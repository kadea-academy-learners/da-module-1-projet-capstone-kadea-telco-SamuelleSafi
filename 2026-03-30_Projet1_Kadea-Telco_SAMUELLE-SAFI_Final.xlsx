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5AF60965-13EF-457C-B090-5A242142F5FA}" xr6:coauthVersionLast="47" xr6:coauthVersionMax="47" xr10:uidLastSave="{00000000-0000-0000-0000-000000000000}"/>
  <bookViews>
    <workbookView xWindow="-108" yWindow="-108" windowWidth="23256" windowHeight="13896" activeTab="4" xr2:uid="{04FDCBEB-B261-4C24-A0F1-39B2F0490EAB}"/>
  </bookViews>
  <sheets>
    <sheet name="Client" sheetId="2" r:id="rId1"/>
    <sheet name="Logs_Reseau2" sheetId="3" r:id="rId2"/>
    <sheet name="Maintenance_Rx" sheetId="4" r:id="rId3"/>
    <sheet name="Vlookup" sheetId="5" r:id="rId4"/>
    <sheet name="TCD" sheetId="11" r:id="rId5"/>
    <sheet name="Matrice2" sheetId="10" r:id="rId6"/>
  </sheets>
  <definedNames>
    <definedName name="DonnéesExternes_1" localSheetId="0" hidden="1">'Client'!$A$1:$J$749</definedName>
    <definedName name="DonnéesExternes_1" localSheetId="1" hidden="1">Logs_Reseau2!$A$1:$F$1034</definedName>
    <definedName name="DonnéesExternes_1" localSheetId="2" hidden="1">Maintenance_Rx!$A$1:$G$499</definedName>
    <definedName name="DonnéesExternes_1" localSheetId="5" hidden="1">Matrice2!$A$1:$W$749</definedName>
    <definedName name="Segment_Maint_Rx.Technologi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K3" i="2"/>
  <c r="K4" i="2"/>
  <c r="K12" i="2"/>
  <c r="K13" i="2"/>
  <c r="K16" i="2"/>
  <c r="K22" i="2"/>
  <c r="K23" i="2"/>
  <c r="K27" i="2"/>
  <c r="K30" i="2"/>
  <c r="K31" i="2"/>
  <c r="K32" i="2"/>
  <c r="K33" i="2"/>
  <c r="K36" i="2"/>
  <c r="K38" i="2"/>
  <c r="K39" i="2"/>
  <c r="K43" i="2"/>
  <c r="K45" i="2"/>
  <c r="K47" i="2"/>
  <c r="K54" i="2"/>
  <c r="K55" i="2"/>
  <c r="K62" i="2"/>
  <c r="K65" i="2"/>
  <c r="K67" i="2"/>
  <c r="K70" i="2"/>
  <c r="K71" i="2"/>
  <c r="K72" i="2"/>
  <c r="K75" i="2"/>
  <c r="K86" i="2"/>
  <c r="K87" i="2"/>
  <c r="K88" i="2"/>
  <c r="K96" i="2"/>
  <c r="K100" i="2"/>
  <c r="K102" i="2"/>
  <c r="K103" i="2"/>
  <c r="K112" i="2"/>
  <c r="K113" i="2"/>
  <c r="K118" i="2"/>
  <c r="K119" i="2"/>
  <c r="K126" i="2"/>
  <c r="K128" i="2"/>
  <c r="K133" i="2"/>
  <c r="K134" i="2"/>
  <c r="K135" i="2"/>
  <c r="K137" i="2"/>
  <c r="K140" i="2"/>
  <c r="K146" i="2"/>
  <c r="K147" i="2"/>
  <c r="K149" i="2"/>
  <c r="K150" i="2"/>
  <c r="K151" i="2"/>
  <c r="K153" i="2"/>
  <c r="K157" i="2"/>
  <c r="K159" i="2"/>
  <c r="K160" i="2"/>
  <c r="K161" i="2"/>
  <c r="K162" i="2"/>
  <c r="K163" i="2"/>
  <c r="K165" i="2"/>
  <c r="K166" i="2"/>
  <c r="K167" i="2"/>
  <c r="K168" i="2"/>
  <c r="K171" i="2"/>
  <c r="K182" i="2"/>
  <c r="K183" i="2"/>
  <c r="K198" i="2"/>
  <c r="K199" i="2"/>
  <c r="K200" i="2"/>
  <c r="K203" i="2"/>
  <c r="K209" i="2"/>
  <c r="K214" i="2"/>
  <c r="K215" i="2"/>
  <c r="K218" i="2"/>
  <c r="K220" i="2"/>
  <c r="K224" i="2"/>
  <c r="K230" i="2"/>
  <c r="K231" i="2"/>
  <c r="K232" i="2"/>
  <c r="K243" i="2"/>
  <c r="K246" i="2"/>
  <c r="K247" i="2"/>
  <c r="K249" i="2"/>
  <c r="K250" i="2"/>
  <c r="K253" i="2"/>
  <c r="K260" i="2"/>
  <c r="K261" i="2"/>
  <c r="K262" i="2"/>
  <c r="K263" i="2"/>
  <c r="K264" i="2"/>
  <c r="K266" i="2"/>
  <c r="K269" i="2"/>
  <c r="K271" i="2"/>
  <c r="K278" i="2"/>
  <c r="K279" i="2"/>
  <c r="K282" i="2"/>
  <c r="K286" i="2"/>
  <c r="K287" i="2"/>
  <c r="K289" i="2"/>
  <c r="K294" i="2"/>
  <c r="K295" i="2"/>
  <c r="K296" i="2"/>
  <c r="K299" i="2"/>
  <c r="K302" i="2"/>
  <c r="K304" i="2"/>
  <c r="K306" i="2"/>
  <c r="K310" i="2"/>
  <c r="K311" i="2"/>
  <c r="K314" i="2"/>
  <c r="K315" i="2"/>
  <c r="K319" i="2"/>
  <c r="K321" i="2"/>
  <c r="K322" i="2"/>
  <c r="K324" i="2"/>
  <c r="K325" i="2"/>
  <c r="K326" i="2"/>
  <c r="K327" i="2"/>
  <c r="K330" i="2"/>
  <c r="K336" i="2"/>
  <c r="K339" i="2"/>
  <c r="K340" i="2"/>
  <c r="K342" i="2"/>
  <c r="K343" i="2"/>
  <c r="K350" i="2"/>
  <c r="K351" i="2"/>
  <c r="K358" i="2"/>
  <c r="K359" i="2"/>
  <c r="K363" i="2"/>
  <c r="K364" i="2"/>
  <c r="K366" i="2"/>
  <c r="K368" i="2"/>
  <c r="K371" i="2"/>
  <c r="K374" i="2"/>
  <c r="K375" i="2"/>
  <c r="K376" i="2"/>
  <c r="K387" i="2"/>
  <c r="K389" i="2"/>
  <c r="K390" i="2"/>
  <c r="K391" i="2"/>
  <c r="K392" i="2"/>
  <c r="K394" i="2"/>
  <c r="K398" i="2"/>
  <c r="K404" i="2"/>
  <c r="K406" i="2"/>
  <c r="K407" i="2"/>
  <c r="K412" i="2"/>
  <c r="K417" i="2"/>
  <c r="K422" i="2"/>
  <c r="K423" i="2"/>
  <c r="K427" i="2"/>
  <c r="K429" i="2"/>
  <c r="K431" i="2"/>
  <c r="K432" i="2"/>
  <c r="K438" i="2"/>
  <c r="K439" i="2"/>
  <c r="K441" i="2"/>
  <c r="K442" i="2"/>
  <c r="K445" i="2"/>
  <c r="K446" i="2"/>
  <c r="K447" i="2"/>
  <c r="K448" i="2"/>
  <c r="K454" i="2"/>
  <c r="K455" i="2"/>
  <c r="K456" i="2"/>
  <c r="K459" i="2"/>
  <c r="K460" i="2"/>
  <c r="K461" i="2"/>
  <c r="K462" i="2"/>
  <c r="K466" i="2"/>
  <c r="K467" i="2"/>
  <c r="K468" i="2"/>
  <c r="K469" i="2"/>
  <c r="K470" i="2"/>
  <c r="K471" i="2"/>
  <c r="K473" i="2"/>
  <c r="K482" i="2"/>
  <c r="K486" i="2"/>
  <c r="K487" i="2"/>
  <c r="K490" i="2"/>
  <c r="K492" i="2"/>
  <c r="K502" i="2"/>
  <c r="K503" i="2"/>
  <c r="K507" i="2"/>
  <c r="K509" i="2"/>
  <c r="K512" i="2"/>
  <c r="K513" i="2"/>
  <c r="K516" i="2"/>
  <c r="K517" i="2"/>
  <c r="K518" i="2"/>
  <c r="K519" i="2"/>
  <c r="K523" i="2"/>
  <c r="K524" i="2"/>
  <c r="K526" i="2"/>
  <c r="K531" i="2"/>
  <c r="K533" i="2"/>
  <c r="K534" i="2"/>
  <c r="K535" i="2"/>
  <c r="K536" i="2"/>
  <c r="K539" i="2"/>
  <c r="K544" i="2"/>
  <c r="K547" i="2"/>
  <c r="K548" i="2"/>
  <c r="K550" i="2"/>
  <c r="K551" i="2"/>
  <c r="K553" i="2"/>
  <c r="K556" i="2"/>
  <c r="K564" i="2"/>
  <c r="K566" i="2"/>
  <c r="K567" i="2"/>
  <c r="K573" i="2"/>
  <c r="K582" i="2"/>
  <c r="K583" i="2"/>
  <c r="K585" i="2"/>
  <c r="K587" i="2"/>
  <c r="K589" i="2"/>
  <c r="K591" i="2"/>
  <c r="K594" i="2"/>
  <c r="K595" i="2"/>
  <c r="K597" i="2"/>
  <c r="K598" i="2"/>
  <c r="K599" i="2"/>
  <c r="K600" i="2"/>
  <c r="K601" i="2"/>
  <c r="K604" i="2"/>
  <c r="K605" i="2"/>
  <c r="K608" i="2"/>
  <c r="K614" i="2"/>
  <c r="K615" i="2"/>
  <c r="K619" i="2"/>
  <c r="K624" i="2"/>
  <c r="K625" i="2"/>
  <c r="K627" i="2"/>
  <c r="K630" i="2"/>
  <c r="K631" i="2"/>
  <c r="K633" i="2"/>
  <c r="K639" i="2"/>
  <c r="K640" i="2"/>
  <c r="K642" i="2"/>
  <c r="K646" i="2"/>
  <c r="K647" i="2"/>
  <c r="K654" i="2"/>
  <c r="K657" i="2"/>
  <c r="K658" i="2"/>
  <c r="K659" i="2"/>
  <c r="K662" i="2"/>
  <c r="K663" i="2"/>
  <c r="K665" i="2"/>
  <c r="K671" i="2"/>
  <c r="K677" i="2"/>
  <c r="K678" i="2"/>
  <c r="K679" i="2"/>
  <c r="K680" i="2"/>
  <c r="K683" i="2"/>
  <c r="K686" i="2"/>
  <c r="K688" i="2"/>
  <c r="K689" i="2"/>
  <c r="K690" i="2"/>
  <c r="K691" i="2"/>
  <c r="K692" i="2"/>
  <c r="K694" i="2"/>
  <c r="K695" i="2"/>
  <c r="K706" i="2"/>
  <c r="K710" i="2"/>
  <c r="K711" i="2"/>
  <c r="K713" i="2"/>
  <c r="K718" i="2"/>
  <c r="K719" i="2"/>
  <c r="K720" i="2"/>
  <c r="K726" i="2"/>
  <c r="K727" i="2"/>
  <c r="K735" i="2"/>
  <c r="K742" i="2"/>
  <c r="K743" i="2"/>
  <c r="K74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G2" i="2"/>
  <c r="K2" i="2" s="1"/>
  <c r="G3" i="2"/>
  <c r="G4" i="2"/>
  <c r="G5" i="2"/>
  <c r="K5" i="2" s="1"/>
  <c r="G6" i="2"/>
  <c r="K6" i="2" s="1"/>
  <c r="G7" i="2"/>
  <c r="K7" i="2" s="1"/>
  <c r="G8" i="2"/>
  <c r="K8" i="2" s="1"/>
  <c r="G9" i="2"/>
  <c r="K9" i="2" s="1"/>
  <c r="G10" i="2"/>
  <c r="K10" i="2" s="1"/>
  <c r="G11" i="2"/>
  <c r="K11" i="2" s="1"/>
  <c r="G12" i="2"/>
  <c r="G13" i="2"/>
  <c r="G14" i="2"/>
  <c r="K14" i="2" s="1"/>
  <c r="G15" i="2"/>
  <c r="K15" i="2" s="1"/>
  <c r="G16" i="2"/>
  <c r="G17" i="2"/>
  <c r="K17" i="2" s="1"/>
  <c r="G18" i="2"/>
  <c r="K18" i="2" s="1"/>
  <c r="G19" i="2"/>
  <c r="K19" i="2" s="1"/>
  <c r="G20" i="2"/>
  <c r="K20" i="2" s="1"/>
  <c r="G21" i="2"/>
  <c r="K21" i="2" s="1"/>
  <c r="G22" i="2"/>
  <c r="G23" i="2"/>
  <c r="G24" i="2"/>
  <c r="K24" i="2" s="1"/>
  <c r="G25" i="2"/>
  <c r="K25" i="2" s="1"/>
  <c r="G26" i="2"/>
  <c r="K26" i="2" s="1"/>
  <c r="G27" i="2"/>
  <c r="G28" i="2"/>
  <c r="K28" i="2" s="1"/>
  <c r="G29" i="2"/>
  <c r="K29" i="2" s="1"/>
  <c r="G30" i="2"/>
  <c r="G31" i="2"/>
  <c r="G32" i="2"/>
  <c r="G33" i="2"/>
  <c r="G34" i="2"/>
  <c r="K34" i="2" s="1"/>
  <c r="G35" i="2"/>
  <c r="K35" i="2" s="1"/>
  <c r="G36" i="2"/>
  <c r="G37" i="2"/>
  <c r="K37" i="2" s="1"/>
  <c r="G38" i="2"/>
  <c r="G39" i="2"/>
  <c r="G40" i="2"/>
  <c r="K40" i="2" s="1"/>
  <c r="G41" i="2"/>
  <c r="K41" i="2" s="1"/>
  <c r="G42" i="2"/>
  <c r="K42" i="2" s="1"/>
  <c r="G43" i="2"/>
  <c r="G44" i="2"/>
  <c r="K44" i="2" s="1"/>
  <c r="G45" i="2"/>
  <c r="G46" i="2"/>
  <c r="K46" i="2" s="1"/>
  <c r="G47" i="2"/>
  <c r="G48" i="2"/>
  <c r="K48" i="2" s="1"/>
  <c r="G49" i="2"/>
  <c r="K49" i="2" s="1"/>
  <c r="G50" i="2"/>
  <c r="K50" i="2" s="1"/>
  <c r="G51" i="2"/>
  <c r="K51" i="2" s="1"/>
  <c r="G52" i="2"/>
  <c r="K52" i="2" s="1"/>
  <c r="G53" i="2"/>
  <c r="K53" i="2" s="1"/>
  <c r="G54" i="2"/>
  <c r="G55" i="2"/>
  <c r="G56" i="2"/>
  <c r="K56" i="2" s="1"/>
  <c r="G57" i="2"/>
  <c r="K57" i="2" s="1"/>
  <c r="G58" i="2"/>
  <c r="K58" i="2" s="1"/>
  <c r="G59" i="2"/>
  <c r="K59" i="2" s="1"/>
  <c r="G60" i="2"/>
  <c r="K60" i="2" s="1"/>
  <c r="G61" i="2"/>
  <c r="K61" i="2" s="1"/>
  <c r="G62" i="2"/>
  <c r="G63" i="2"/>
  <c r="K63" i="2" s="1"/>
  <c r="G64" i="2"/>
  <c r="K64" i="2" s="1"/>
  <c r="G65" i="2"/>
  <c r="G66" i="2"/>
  <c r="K66" i="2" s="1"/>
  <c r="G67" i="2"/>
  <c r="G68" i="2"/>
  <c r="K68" i="2" s="1"/>
  <c r="G69" i="2"/>
  <c r="K69" i="2" s="1"/>
  <c r="G70" i="2"/>
  <c r="G71" i="2"/>
  <c r="G72" i="2"/>
  <c r="G73" i="2"/>
  <c r="K73" i="2" s="1"/>
  <c r="G74" i="2"/>
  <c r="K74" i="2" s="1"/>
  <c r="G75" i="2"/>
  <c r="G76" i="2"/>
  <c r="K76" i="2" s="1"/>
  <c r="G77" i="2"/>
  <c r="K77" i="2" s="1"/>
  <c r="G78" i="2"/>
  <c r="K78" i="2" s="1"/>
  <c r="G79" i="2"/>
  <c r="K79" i="2" s="1"/>
  <c r="G80" i="2"/>
  <c r="K80" i="2" s="1"/>
  <c r="G81" i="2"/>
  <c r="K81" i="2" s="1"/>
  <c r="G82" i="2"/>
  <c r="K82" i="2" s="1"/>
  <c r="G83" i="2"/>
  <c r="K83" i="2" s="1"/>
  <c r="G84" i="2"/>
  <c r="K84" i="2" s="1"/>
  <c r="G85" i="2"/>
  <c r="K85" i="2" s="1"/>
  <c r="G86" i="2"/>
  <c r="G87" i="2"/>
  <c r="G88" i="2"/>
  <c r="G89" i="2"/>
  <c r="K89" i="2" s="1"/>
  <c r="G90" i="2"/>
  <c r="K90" i="2" s="1"/>
  <c r="G91" i="2"/>
  <c r="K91" i="2" s="1"/>
  <c r="G92" i="2"/>
  <c r="K92" i="2" s="1"/>
  <c r="G93" i="2"/>
  <c r="K93" i="2" s="1"/>
  <c r="G94" i="2"/>
  <c r="K94" i="2" s="1"/>
  <c r="G95" i="2"/>
  <c r="K95" i="2" s="1"/>
  <c r="G96" i="2"/>
  <c r="G97" i="2"/>
  <c r="K97" i="2" s="1"/>
  <c r="G98" i="2"/>
  <c r="K98" i="2" s="1"/>
  <c r="G99" i="2"/>
  <c r="K99" i="2" s="1"/>
  <c r="G100" i="2"/>
  <c r="G101" i="2"/>
  <c r="K101" i="2" s="1"/>
  <c r="G102" i="2"/>
  <c r="G103" i="2"/>
  <c r="G104" i="2"/>
  <c r="K104" i="2" s="1"/>
  <c r="G105" i="2"/>
  <c r="K105" i="2" s="1"/>
  <c r="G106" i="2"/>
  <c r="K106" i="2" s="1"/>
  <c r="G107" i="2"/>
  <c r="K107" i="2" s="1"/>
  <c r="G108" i="2"/>
  <c r="K108" i="2" s="1"/>
  <c r="G109" i="2"/>
  <c r="K109" i="2" s="1"/>
  <c r="G110" i="2"/>
  <c r="K110" i="2" s="1"/>
  <c r="G111" i="2"/>
  <c r="K111" i="2" s="1"/>
  <c r="G112" i="2"/>
  <c r="G113" i="2"/>
  <c r="G114" i="2"/>
  <c r="K114" i="2" s="1"/>
  <c r="G115" i="2"/>
  <c r="K115" i="2" s="1"/>
  <c r="G116" i="2"/>
  <c r="K116" i="2" s="1"/>
  <c r="G117" i="2"/>
  <c r="K117" i="2" s="1"/>
  <c r="G118" i="2"/>
  <c r="G119" i="2"/>
  <c r="G120" i="2"/>
  <c r="K120" i="2" s="1"/>
  <c r="G121" i="2"/>
  <c r="K121" i="2" s="1"/>
  <c r="G122" i="2"/>
  <c r="K122" i="2" s="1"/>
  <c r="G123" i="2"/>
  <c r="K123" i="2" s="1"/>
  <c r="G124" i="2"/>
  <c r="K124" i="2" s="1"/>
  <c r="G125" i="2"/>
  <c r="K125" i="2" s="1"/>
  <c r="G126" i="2"/>
  <c r="G127" i="2"/>
  <c r="K127" i="2" s="1"/>
  <c r="G128" i="2"/>
  <c r="G129" i="2"/>
  <c r="K129" i="2" s="1"/>
  <c r="G130" i="2"/>
  <c r="K130" i="2" s="1"/>
  <c r="G131" i="2"/>
  <c r="K131" i="2" s="1"/>
  <c r="G132" i="2"/>
  <c r="K132" i="2" s="1"/>
  <c r="G133" i="2"/>
  <c r="G134" i="2"/>
  <c r="G135" i="2"/>
  <c r="G136" i="2"/>
  <c r="K136" i="2" s="1"/>
  <c r="G137" i="2"/>
  <c r="G138" i="2"/>
  <c r="K138" i="2" s="1"/>
  <c r="G139" i="2"/>
  <c r="K139" i="2" s="1"/>
  <c r="G140" i="2"/>
  <c r="G141" i="2"/>
  <c r="K141" i="2" s="1"/>
  <c r="G142" i="2"/>
  <c r="K142" i="2" s="1"/>
  <c r="G143" i="2"/>
  <c r="K143" i="2" s="1"/>
  <c r="G144" i="2"/>
  <c r="K144" i="2" s="1"/>
  <c r="G145" i="2"/>
  <c r="K145" i="2" s="1"/>
  <c r="G146" i="2"/>
  <c r="G147" i="2"/>
  <c r="G148" i="2"/>
  <c r="K148" i="2" s="1"/>
  <c r="G149" i="2"/>
  <c r="G150" i="2"/>
  <c r="G151" i="2"/>
  <c r="G152" i="2"/>
  <c r="K152" i="2" s="1"/>
  <c r="G153" i="2"/>
  <c r="G154" i="2"/>
  <c r="K154" i="2" s="1"/>
  <c r="G155" i="2"/>
  <c r="K155" i="2" s="1"/>
  <c r="G156" i="2"/>
  <c r="K156" i="2" s="1"/>
  <c r="G157" i="2"/>
  <c r="G158" i="2"/>
  <c r="K158" i="2" s="1"/>
  <c r="G159" i="2"/>
  <c r="G160" i="2"/>
  <c r="G161" i="2"/>
  <c r="G162" i="2"/>
  <c r="G163" i="2"/>
  <c r="G164" i="2"/>
  <c r="K164" i="2" s="1"/>
  <c r="G165" i="2"/>
  <c r="G166" i="2"/>
  <c r="G167" i="2"/>
  <c r="G168" i="2"/>
  <c r="G169" i="2"/>
  <c r="K169" i="2" s="1"/>
  <c r="G170" i="2"/>
  <c r="K170" i="2" s="1"/>
  <c r="G171" i="2"/>
  <c r="G172" i="2"/>
  <c r="K172" i="2" s="1"/>
  <c r="G173" i="2"/>
  <c r="K173" i="2" s="1"/>
  <c r="G174" i="2"/>
  <c r="K174" i="2" s="1"/>
  <c r="G175" i="2"/>
  <c r="K175" i="2" s="1"/>
  <c r="G176" i="2"/>
  <c r="K176" i="2" s="1"/>
  <c r="G177" i="2"/>
  <c r="K177" i="2" s="1"/>
  <c r="G178" i="2"/>
  <c r="K178" i="2" s="1"/>
  <c r="G179" i="2"/>
  <c r="K179" i="2" s="1"/>
  <c r="G180" i="2"/>
  <c r="K180" i="2" s="1"/>
  <c r="G181" i="2"/>
  <c r="K181" i="2" s="1"/>
  <c r="G182" i="2"/>
  <c r="G183" i="2"/>
  <c r="G184" i="2"/>
  <c r="K184" i="2" s="1"/>
  <c r="G185" i="2"/>
  <c r="K185" i="2" s="1"/>
  <c r="G186" i="2"/>
  <c r="K186" i="2" s="1"/>
  <c r="G187" i="2"/>
  <c r="K187" i="2" s="1"/>
  <c r="G188" i="2"/>
  <c r="K188" i="2" s="1"/>
  <c r="G189" i="2"/>
  <c r="K189" i="2" s="1"/>
  <c r="G190" i="2"/>
  <c r="K190" i="2" s="1"/>
  <c r="G191" i="2"/>
  <c r="K191" i="2" s="1"/>
  <c r="G192" i="2"/>
  <c r="K192" i="2" s="1"/>
  <c r="G193" i="2"/>
  <c r="K193" i="2" s="1"/>
  <c r="G194" i="2"/>
  <c r="K194" i="2" s="1"/>
  <c r="G195" i="2"/>
  <c r="K195" i="2" s="1"/>
  <c r="G196" i="2"/>
  <c r="K196" i="2" s="1"/>
  <c r="G197" i="2"/>
  <c r="K197" i="2" s="1"/>
  <c r="G198" i="2"/>
  <c r="G199" i="2"/>
  <c r="G200" i="2"/>
  <c r="G201" i="2"/>
  <c r="K201" i="2" s="1"/>
  <c r="G202" i="2"/>
  <c r="K202" i="2" s="1"/>
  <c r="G203" i="2"/>
  <c r="G204" i="2"/>
  <c r="K204" i="2" s="1"/>
  <c r="G205" i="2"/>
  <c r="K205" i="2" s="1"/>
  <c r="G206" i="2"/>
  <c r="K206" i="2" s="1"/>
  <c r="G207" i="2"/>
  <c r="K207" i="2" s="1"/>
  <c r="G208" i="2"/>
  <c r="K208" i="2" s="1"/>
  <c r="G209" i="2"/>
  <c r="G210" i="2"/>
  <c r="K210" i="2" s="1"/>
  <c r="G211" i="2"/>
  <c r="K211" i="2" s="1"/>
  <c r="G212" i="2"/>
  <c r="K212" i="2" s="1"/>
  <c r="G213" i="2"/>
  <c r="K213" i="2" s="1"/>
  <c r="G214" i="2"/>
  <c r="G215" i="2"/>
  <c r="G216" i="2"/>
  <c r="K216" i="2" s="1"/>
  <c r="G217" i="2"/>
  <c r="K217" i="2" s="1"/>
  <c r="G218" i="2"/>
  <c r="G219" i="2"/>
  <c r="K219" i="2" s="1"/>
  <c r="G220" i="2"/>
  <c r="G221" i="2"/>
  <c r="K221" i="2" s="1"/>
  <c r="G222" i="2"/>
  <c r="K222" i="2" s="1"/>
  <c r="G223" i="2"/>
  <c r="K223" i="2" s="1"/>
  <c r="G224" i="2"/>
  <c r="G225" i="2"/>
  <c r="K225" i="2" s="1"/>
  <c r="G226" i="2"/>
  <c r="K226" i="2" s="1"/>
  <c r="G227" i="2"/>
  <c r="K227" i="2" s="1"/>
  <c r="G228" i="2"/>
  <c r="K228" i="2" s="1"/>
  <c r="G229" i="2"/>
  <c r="K229" i="2" s="1"/>
  <c r="G230" i="2"/>
  <c r="G231" i="2"/>
  <c r="G232" i="2"/>
  <c r="G233" i="2"/>
  <c r="K233" i="2" s="1"/>
  <c r="G234" i="2"/>
  <c r="K234" i="2" s="1"/>
  <c r="G235" i="2"/>
  <c r="K235" i="2" s="1"/>
  <c r="G236" i="2"/>
  <c r="K236" i="2" s="1"/>
  <c r="G237" i="2"/>
  <c r="K237" i="2" s="1"/>
  <c r="G238" i="2"/>
  <c r="K238" i="2" s="1"/>
  <c r="G239" i="2"/>
  <c r="K239" i="2" s="1"/>
  <c r="G240" i="2"/>
  <c r="K240" i="2" s="1"/>
  <c r="G241" i="2"/>
  <c r="K241" i="2" s="1"/>
  <c r="G242" i="2"/>
  <c r="K242" i="2" s="1"/>
  <c r="G243" i="2"/>
  <c r="G244" i="2"/>
  <c r="K244" i="2" s="1"/>
  <c r="G245" i="2"/>
  <c r="K245" i="2" s="1"/>
  <c r="G246" i="2"/>
  <c r="G247" i="2"/>
  <c r="G248" i="2"/>
  <c r="K248" i="2" s="1"/>
  <c r="G249" i="2"/>
  <c r="G250" i="2"/>
  <c r="G251" i="2"/>
  <c r="K251" i="2" s="1"/>
  <c r="G252" i="2"/>
  <c r="K252" i="2" s="1"/>
  <c r="G253" i="2"/>
  <c r="G254" i="2"/>
  <c r="K254" i="2" s="1"/>
  <c r="G255" i="2"/>
  <c r="K255" i="2" s="1"/>
  <c r="G256" i="2"/>
  <c r="K256" i="2" s="1"/>
  <c r="G257" i="2"/>
  <c r="K257" i="2" s="1"/>
  <c r="G258" i="2"/>
  <c r="K258" i="2" s="1"/>
  <c r="G259" i="2"/>
  <c r="K259" i="2" s="1"/>
  <c r="G260" i="2"/>
  <c r="G261" i="2"/>
  <c r="G262" i="2"/>
  <c r="G263" i="2"/>
  <c r="G264" i="2"/>
  <c r="G265" i="2"/>
  <c r="K265" i="2" s="1"/>
  <c r="G266" i="2"/>
  <c r="G267" i="2"/>
  <c r="K267" i="2" s="1"/>
  <c r="G268" i="2"/>
  <c r="K268" i="2" s="1"/>
  <c r="G269" i="2"/>
  <c r="G270" i="2"/>
  <c r="K270" i="2" s="1"/>
  <c r="G271" i="2"/>
  <c r="G272" i="2"/>
  <c r="K272" i="2" s="1"/>
  <c r="G273" i="2"/>
  <c r="K273" i="2" s="1"/>
  <c r="G274" i="2"/>
  <c r="K274" i="2" s="1"/>
  <c r="G275" i="2"/>
  <c r="K275" i="2" s="1"/>
  <c r="G276" i="2"/>
  <c r="K276" i="2" s="1"/>
  <c r="G277" i="2"/>
  <c r="K277" i="2" s="1"/>
  <c r="G278" i="2"/>
  <c r="G279" i="2"/>
  <c r="G280" i="2"/>
  <c r="K280" i="2" s="1"/>
  <c r="G281" i="2"/>
  <c r="K281" i="2" s="1"/>
  <c r="G282" i="2"/>
  <c r="G283" i="2"/>
  <c r="K283" i="2" s="1"/>
  <c r="G284" i="2"/>
  <c r="K284" i="2" s="1"/>
  <c r="G285" i="2"/>
  <c r="K285" i="2" s="1"/>
  <c r="G286" i="2"/>
  <c r="G287" i="2"/>
  <c r="G288" i="2"/>
  <c r="K288" i="2" s="1"/>
  <c r="G289" i="2"/>
  <c r="G290" i="2"/>
  <c r="K290" i="2" s="1"/>
  <c r="G291" i="2"/>
  <c r="K291" i="2" s="1"/>
  <c r="G292" i="2"/>
  <c r="K292" i="2" s="1"/>
  <c r="G293" i="2"/>
  <c r="K293" i="2" s="1"/>
  <c r="G294" i="2"/>
  <c r="G295" i="2"/>
  <c r="G296" i="2"/>
  <c r="G297" i="2"/>
  <c r="K297" i="2" s="1"/>
  <c r="G298" i="2"/>
  <c r="K298" i="2" s="1"/>
  <c r="G299" i="2"/>
  <c r="G300" i="2"/>
  <c r="K300" i="2" s="1"/>
  <c r="G301" i="2"/>
  <c r="K301" i="2" s="1"/>
  <c r="G302" i="2"/>
  <c r="G303" i="2"/>
  <c r="K303" i="2" s="1"/>
  <c r="G304" i="2"/>
  <c r="G305" i="2"/>
  <c r="K305" i="2" s="1"/>
  <c r="G306" i="2"/>
  <c r="G307" i="2"/>
  <c r="K307" i="2" s="1"/>
  <c r="G308" i="2"/>
  <c r="K308" i="2" s="1"/>
  <c r="G309" i="2"/>
  <c r="K309" i="2" s="1"/>
  <c r="G310" i="2"/>
  <c r="G311" i="2"/>
  <c r="G312" i="2"/>
  <c r="K312" i="2" s="1"/>
  <c r="G313" i="2"/>
  <c r="K313" i="2" s="1"/>
  <c r="G314" i="2"/>
  <c r="G315" i="2"/>
  <c r="G316" i="2"/>
  <c r="K316" i="2" s="1"/>
  <c r="G317" i="2"/>
  <c r="K317" i="2" s="1"/>
  <c r="G318" i="2"/>
  <c r="K318" i="2" s="1"/>
  <c r="G319" i="2"/>
  <c r="G320" i="2"/>
  <c r="K320" i="2" s="1"/>
  <c r="G321" i="2"/>
  <c r="G322" i="2"/>
  <c r="G323" i="2"/>
  <c r="K323" i="2" s="1"/>
  <c r="G324" i="2"/>
  <c r="G325" i="2"/>
  <c r="G326" i="2"/>
  <c r="G327" i="2"/>
  <c r="G328" i="2"/>
  <c r="K328" i="2" s="1"/>
  <c r="G329" i="2"/>
  <c r="K329" i="2" s="1"/>
  <c r="G330" i="2"/>
  <c r="G331" i="2"/>
  <c r="K331" i="2" s="1"/>
  <c r="G332" i="2"/>
  <c r="K332" i="2" s="1"/>
  <c r="G333" i="2"/>
  <c r="K333" i="2" s="1"/>
  <c r="G334" i="2"/>
  <c r="K334" i="2" s="1"/>
  <c r="G335" i="2"/>
  <c r="K335" i="2" s="1"/>
  <c r="G336" i="2"/>
  <c r="G337" i="2"/>
  <c r="K337" i="2" s="1"/>
  <c r="G338" i="2"/>
  <c r="K338" i="2" s="1"/>
  <c r="G339" i="2"/>
  <c r="G340" i="2"/>
  <c r="G341" i="2"/>
  <c r="K341" i="2" s="1"/>
  <c r="G342" i="2"/>
  <c r="G343" i="2"/>
  <c r="G344" i="2"/>
  <c r="K344" i="2" s="1"/>
  <c r="G345" i="2"/>
  <c r="K345" i="2" s="1"/>
  <c r="G346" i="2"/>
  <c r="K346" i="2" s="1"/>
  <c r="G347" i="2"/>
  <c r="K347" i="2" s="1"/>
  <c r="G348" i="2"/>
  <c r="K348" i="2" s="1"/>
  <c r="G349" i="2"/>
  <c r="K349" i="2" s="1"/>
  <c r="G350" i="2"/>
  <c r="G351" i="2"/>
  <c r="G352" i="2"/>
  <c r="K352" i="2" s="1"/>
  <c r="G353" i="2"/>
  <c r="K353" i="2" s="1"/>
  <c r="G354" i="2"/>
  <c r="K354" i="2" s="1"/>
  <c r="G355" i="2"/>
  <c r="K355" i="2" s="1"/>
  <c r="G356" i="2"/>
  <c r="K356" i="2" s="1"/>
  <c r="G357" i="2"/>
  <c r="K357" i="2" s="1"/>
  <c r="G358" i="2"/>
  <c r="G359" i="2"/>
  <c r="G360" i="2"/>
  <c r="K360" i="2" s="1"/>
  <c r="G361" i="2"/>
  <c r="K361" i="2" s="1"/>
  <c r="G362" i="2"/>
  <c r="K362" i="2" s="1"/>
  <c r="G363" i="2"/>
  <c r="G364" i="2"/>
  <c r="G365" i="2"/>
  <c r="K365" i="2" s="1"/>
  <c r="G366" i="2"/>
  <c r="G367" i="2"/>
  <c r="K367" i="2" s="1"/>
  <c r="G368" i="2"/>
  <c r="G369" i="2"/>
  <c r="K369" i="2" s="1"/>
  <c r="G370" i="2"/>
  <c r="K370" i="2" s="1"/>
  <c r="G371" i="2"/>
  <c r="G372" i="2"/>
  <c r="K372" i="2" s="1"/>
  <c r="G373" i="2"/>
  <c r="K373" i="2" s="1"/>
  <c r="G374" i="2"/>
  <c r="G375" i="2"/>
  <c r="G376" i="2"/>
  <c r="G377" i="2"/>
  <c r="K377" i="2" s="1"/>
  <c r="G378" i="2"/>
  <c r="K378" i="2" s="1"/>
  <c r="G379" i="2"/>
  <c r="K379" i="2" s="1"/>
  <c r="G380" i="2"/>
  <c r="K380" i="2" s="1"/>
  <c r="G381" i="2"/>
  <c r="K381" i="2" s="1"/>
  <c r="G382" i="2"/>
  <c r="K382" i="2" s="1"/>
  <c r="G383" i="2"/>
  <c r="K383" i="2" s="1"/>
  <c r="G384" i="2"/>
  <c r="K384" i="2" s="1"/>
  <c r="G385" i="2"/>
  <c r="K385" i="2" s="1"/>
  <c r="G386" i="2"/>
  <c r="K386" i="2" s="1"/>
  <c r="G387" i="2"/>
  <c r="G388" i="2"/>
  <c r="K388" i="2" s="1"/>
  <c r="G389" i="2"/>
  <c r="G390" i="2"/>
  <c r="G391" i="2"/>
  <c r="G392" i="2"/>
  <c r="G393" i="2"/>
  <c r="K393" i="2" s="1"/>
  <c r="G394" i="2"/>
  <c r="G395" i="2"/>
  <c r="K395" i="2" s="1"/>
  <c r="G396" i="2"/>
  <c r="K396" i="2" s="1"/>
  <c r="G397" i="2"/>
  <c r="K397" i="2" s="1"/>
  <c r="G398" i="2"/>
  <c r="G399" i="2"/>
  <c r="K399" i="2" s="1"/>
  <c r="G400" i="2"/>
  <c r="K400" i="2" s="1"/>
  <c r="G401" i="2"/>
  <c r="K401" i="2" s="1"/>
  <c r="G402" i="2"/>
  <c r="K402" i="2" s="1"/>
  <c r="G403" i="2"/>
  <c r="K403" i="2" s="1"/>
  <c r="G404" i="2"/>
  <c r="G405" i="2"/>
  <c r="K405" i="2" s="1"/>
  <c r="G406" i="2"/>
  <c r="G407" i="2"/>
  <c r="G408" i="2"/>
  <c r="K408" i="2" s="1"/>
  <c r="G409" i="2"/>
  <c r="K409" i="2" s="1"/>
  <c r="G410" i="2"/>
  <c r="K410" i="2" s="1"/>
  <c r="G411" i="2"/>
  <c r="K411" i="2" s="1"/>
  <c r="G412" i="2"/>
  <c r="G413" i="2"/>
  <c r="K413" i="2" s="1"/>
  <c r="G414" i="2"/>
  <c r="K414" i="2" s="1"/>
  <c r="G415" i="2"/>
  <c r="K415" i="2" s="1"/>
  <c r="G416" i="2"/>
  <c r="K416" i="2" s="1"/>
  <c r="G417" i="2"/>
  <c r="G418" i="2"/>
  <c r="K418" i="2" s="1"/>
  <c r="G419" i="2"/>
  <c r="K419" i="2" s="1"/>
  <c r="G420" i="2"/>
  <c r="K420" i="2" s="1"/>
  <c r="G421" i="2"/>
  <c r="K421" i="2" s="1"/>
  <c r="G422" i="2"/>
  <c r="G423" i="2"/>
  <c r="G424" i="2"/>
  <c r="K424" i="2" s="1"/>
  <c r="G425" i="2"/>
  <c r="K425" i="2" s="1"/>
  <c r="G426" i="2"/>
  <c r="K426" i="2" s="1"/>
  <c r="G427" i="2"/>
  <c r="G428" i="2"/>
  <c r="K428" i="2" s="1"/>
  <c r="G429" i="2"/>
  <c r="G430" i="2"/>
  <c r="K430" i="2" s="1"/>
  <c r="G431" i="2"/>
  <c r="G432" i="2"/>
  <c r="G433" i="2"/>
  <c r="K433" i="2" s="1"/>
  <c r="G434" i="2"/>
  <c r="K434" i="2" s="1"/>
  <c r="G435" i="2"/>
  <c r="K435" i="2" s="1"/>
  <c r="G436" i="2"/>
  <c r="K436" i="2" s="1"/>
  <c r="G437" i="2"/>
  <c r="K437" i="2" s="1"/>
  <c r="G438" i="2"/>
  <c r="G439" i="2"/>
  <c r="G440" i="2"/>
  <c r="K440" i="2" s="1"/>
  <c r="G441" i="2"/>
  <c r="G442" i="2"/>
  <c r="G443" i="2"/>
  <c r="K443" i="2" s="1"/>
  <c r="G444" i="2"/>
  <c r="K444" i="2" s="1"/>
  <c r="G445" i="2"/>
  <c r="G446" i="2"/>
  <c r="G447" i="2"/>
  <c r="G448" i="2"/>
  <c r="G449" i="2"/>
  <c r="K449" i="2" s="1"/>
  <c r="G450" i="2"/>
  <c r="K450" i="2" s="1"/>
  <c r="G451" i="2"/>
  <c r="K451" i="2" s="1"/>
  <c r="G452" i="2"/>
  <c r="K452" i="2" s="1"/>
  <c r="G453" i="2"/>
  <c r="K453" i="2" s="1"/>
  <c r="G454" i="2"/>
  <c r="G455" i="2"/>
  <c r="G456" i="2"/>
  <c r="G457" i="2"/>
  <c r="K457" i="2" s="1"/>
  <c r="G458" i="2"/>
  <c r="K458" i="2" s="1"/>
  <c r="G459" i="2"/>
  <c r="G460" i="2"/>
  <c r="G461" i="2"/>
  <c r="G462" i="2"/>
  <c r="G463" i="2"/>
  <c r="K463" i="2" s="1"/>
  <c r="G464" i="2"/>
  <c r="K464" i="2" s="1"/>
  <c r="G465" i="2"/>
  <c r="K465" i="2" s="1"/>
  <c r="G466" i="2"/>
  <c r="G467" i="2"/>
  <c r="G468" i="2"/>
  <c r="G469" i="2"/>
  <c r="G470" i="2"/>
  <c r="G471" i="2"/>
  <c r="G472" i="2"/>
  <c r="K472" i="2" s="1"/>
  <c r="G473" i="2"/>
  <c r="G474" i="2"/>
  <c r="K474" i="2" s="1"/>
  <c r="G475" i="2"/>
  <c r="K475" i="2" s="1"/>
  <c r="G476" i="2"/>
  <c r="K476" i="2" s="1"/>
  <c r="G477" i="2"/>
  <c r="K477" i="2" s="1"/>
  <c r="G478" i="2"/>
  <c r="K478" i="2" s="1"/>
  <c r="G479" i="2"/>
  <c r="K479" i="2" s="1"/>
  <c r="G480" i="2"/>
  <c r="K480" i="2" s="1"/>
  <c r="G481" i="2"/>
  <c r="K481" i="2" s="1"/>
  <c r="G482" i="2"/>
  <c r="G483" i="2"/>
  <c r="K483" i="2" s="1"/>
  <c r="G484" i="2"/>
  <c r="K484" i="2" s="1"/>
  <c r="G485" i="2"/>
  <c r="K485" i="2" s="1"/>
  <c r="G486" i="2"/>
  <c r="G487" i="2"/>
  <c r="G488" i="2"/>
  <c r="K488" i="2" s="1"/>
  <c r="G489" i="2"/>
  <c r="K489" i="2" s="1"/>
  <c r="G490" i="2"/>
  <c r="G491" i="2"/>
  <c r="K491" i="2" s="1"/>
  <c r="G492" i="2"/>
  <c r="G493" i="2"/>
  <c r="K493" i="2" s="1"/>
  <c r="G494" i="2"/>
  <c r="K494" i="2" s="1"/>
  <c r="G495" i="2"/>
  <c r="K495" i="2" s="1"/>
  <c r="G496" i="2"/>
  <c r="K496" i="2" s="1"/>
  <c r="G497" i="2"/>
  <c r="K497" i="2" s="1"/>
  <c r="G498" i="2"/>
  <c r="K498" i="2" s="1"/>
  <c r="G499" i="2"/>
  <c r="K499" i="2" s="1"/>
  <c r="G500" i="2"/>
  <c r="K500" i="2" s="1"/>
  <c r="G501" i="2"/>
  <c r="K501" i="2" s="1"/>
  <c r="G502" i="2"/>
  <c r="G503" i="2"/>
  <c r="G504" i="2"/>
  <c r="K504" i="2" s="1"/>
  <c r="G505" i="2"/>
  <c r="K505" i="2" s="1"/>
  <c r="G506" i="2"/>
  <c r="K506" i="2" s="1"/>
  <c r="G507" i="2"/>
  <c r="G508" i="2"/>
  <c r="K508" i="2" s="1"/>
  <c r="G509" i="2"/>
  <c r="G510" i="2"/>
  <c r="K510" i="2" s="1"/>
  <c r="G511" i="2"/>
  <c r="K511" i="2" s="1"/>
  <c r="G512" i="2"/>
  <c r="G513" i="2"/>
  <c r="G514" i="2"/>
  <c r="K514" i="2" s="1"/>
  <c r="G515" i="2"/>
  <c r="K515" i="2" s="1"/>
  <c r="G516" i="2"/>
  <c r="G517" i="2"/>
  <c r="G518" i="2"/>
  <c r="G519" i="2"/>
  <c r="G520" i="2"/>
  <c r="K520" i="2" s="1"/>
  <c r="G521" i="2"/>
  <c r="K521" i="2" s="1"/>
  <c r="G522" i="2"/>
  <c r="K522" i="2" s="1"/>
  <c r="G523" i="2"/>
  <c r="G524" i="2"/>
  <c r="G525" i="2"/>
  <c r="K525" i="2" s="1"/>
  <c r="G526" i="2"/>
  <c r="G527" i="2"/>
  <c r="K527" i="2" s="1"/>
  <c r="G528" i="2"/>
  <c r="K528" i="2" s="1"/>
  <c r="G529" i="2"/>
  <c r="K529" i="2" s="1"/>
  <c r="G530" i="2"/>
  <c r="K530" i="2" s="1"/>
  <c r="G531" i="2"/>
  <c r="G532" i="2"/>
  <c r="K532" i="2" s="1"/>
  <c r="G533" i="2"/>
  <c r="G534" i="2"/>
  <c r="G535" i="2"/>
  <c r="G536" i="2"/>
  <c r="G537" i="2"/>
  <c r="K537" i="2" s="1"/>
  <c r="G538" i="2"/>
  <c r="K538" i="2" s="1"/>
  <c r="G539" i="2"/>
  <c r="G540" i="2"/>
  <c r="K540" i="2" s="1"/>
  <c r="G541" i="2"/>
  <c r="K541" i="2" s="1"/>
  <c r="G542" i="2"/>
  <c r="K542" i="2" s="1"/>
  <c r="G543" i="2"/>
  <c r="K543" i="2" s="1"/>
  <c r="G544" i="2"/>
  <c r="G545" i="2"/>
  <c r="K545" i="2" s="1"/>
  <c r="G546" i="2"/>
  <c r="K546" i="2" s="1"/>
  <c r="G547" i="2"/>
  <c r="G548" i="2"/>
  <c r="G549" i="2"/>
  <c r="K549" i="2" s="1"/>
  <c r="G550" i="2"/>
  <c r="G551" i="2"/>
  <c r="G552" i="2"/>
  <c r="K552" i="2" s="1"/>
  <c r="G553" i="2"/>
  <c r="G554" i="2"/>
  <c r="K554" i="2" s="1"/>
  <c r="G555" i="2"/>
  <c r="K555" i="2" s="1"/>
  <c r="G556" i="2"/>
  <c r="G557" i="2"/>
  <c r="K557" i="2" s="1"/>
  <c r="G558" i="2"/>
  <c r="K558" i="2" s="1"/>
  <c r="G559" i="2"/>
  <c r="K559" i="2" s="1"/>
  <c r="G560" i="2"/>
  <c r="K560" i="2" s="1"/>
  <c r="G561" i="2"/>
  <c r="K561" i="2" s="1"/>
  <c r="G562" i="2"/>
  <c r="K562" i="2" s="1"/>
  <c r="G563" i="2"/>
  <c r="K563" i="2" s="1"/>
  <c r="G564" i="2"/>
  <c r="G565" i="2"/>
  <c r="K565" i="2" s="1"/>
  <c r="G566" i="2"/>
  <c r="G567" i="2"/>
  <c r="G568" i="2"/>
  <c r="K568" i="2" s="1"/>
  <c r="G569" i="2"/>
  <c r="K569" i="2" s="1"/>
  <c r="G570" i="2"/>
  <c r="K570" i="2" s="1"/>
  <c r="G571" i="2"/>
  <c r="K571" i="2" s="1"/>
  <c r="G572" i="2"/>
  <c r="K572" i="2" s="1"/>
  <c r="G573" i="2"/>
  <c r="G574" i="2"/>
  <c r="K574" i="2" s="1"/>
  <c r="G575" i="2"/>
  <c r="K575" i="2" s="1"/>
  <c r="G576" i="2"/>
  <c r="K576" i="2" s="1"/>
  <c r="G577" i="2"/>
  <c r="K577" i="2" s="1"/>
  <c r="G578" i="2"/>
  <c r="K578" i="2" s="1"/>
  <c r="G579" i="2"/>
  <c r="K579" i="2" s="1"/>
  <c r="G580" i="2"/>
  <c r="K580" i="2" s="1"/>
  <c r="G581" i="2"/>
  <c r="K581" i="2" s="1"/>
  <c r="G582" i="2"/>
  <c r="G583" i="2"/>
  <c r="G584" i="2"/>
  <c r="K584" i="2" s="1"/>
  <c r="G585" i="2"/>
  <c r="G586" i="2"/>
  <c r="K586" i="2" s="1"/>
  <c r="G587" i="2"/>
  <c r="G588" i="2"/>
  <c r="K588" i="2" s="1"/>
  <c r="G589" i="2"/>
  <c r="G590" i="2"/>
  <c r="K590" i="2" s="1"/>
  <c r="G591" i="2"/>
  <c r="G592" i="2"/>
  <c r="K592" i="2" s="1"/>
  <c r="G593" i="2"/>
  <c r="K593" i="2" s="1"/>
  <c r="G594" i="2"/>
  <c r="G595" i="2"/>
  <c r="G596" i="2"/>
  <c r="K596" i="2" s="1"/>
  <c r="G597" i="2"/>
  <c r="G598" i="2"/>
  <c r="G599" i="2"/>
  <c r="G600" i="2"/>
  <c r="G601" i="2"/>
  <c r="G602" i="2"/>
  <c r="K602" i="2" s="1"/>
  <c r="G603" i="2"/>
  <c r="K603" i="2" s="1"/>
  <c r="G604" i="2"/>
  <c r="G605" i="2"/>
  <c r="G606" i="2"/>
  <c r="K606" i="2" s="1"/>
  <c r="G607" i="2"/>
  <c r="K607" i="2" s="1"/>
  <c r="G608" i="2"/>
  <c r="G609" i="2"/>
  <c r="K609" i="2" s="1"/>
  <c r="G610" i="2"/>
  <c r="K610" i="2" s="1"/>
  <c r="G611" i="2"/>
  <c r="K611" i="2" s="1"/>
  <c r="G612" i="2"/>
  <c r="K612" i="2" s="1"/>
  <c r="G613" i="2"/>
  <c r="K613" i="2" s="1"/>
  <c r="G614" i="2"/>
  <c r="G615" i="2"/>
  <c r="G616" i="2"/>
  <c r="K616" i="2" s="1"/>
  <c r="G617" i="2"/>
  <c r="K617" i="2" s="1"/>
  <c r="G618" i="2"/>
  <c r="K618" i="2" s="1"/>
  <c r="G619" i="2"/>
  <c r="G620" i="2"/>
  <c r="K620" i="2" s="1"/>
  <c r="G621" i="2"/>
  <c r="K621" i="2" s="1"/>
  <c r="G622" i="2"/>
  <c r="K622" i="2" s="1"/>
  <c r="G623" i="2"/>
  <c r="K623" i="2" s="1"/>
  <c r="G624" i="2"/>
  <c r="G625" i="2"/>
  <c r="G626" i="2"/>
  <c r="K626" i="2" s="1"/>
  <c r="G627" i="2"/>
  <c r="G628" i="2"/>
  <c r="K628" i="2" s="1"/>
  <c r="G629" i="2"/>
  <c r="K629" i="2" s="1"/>
  <c r="G630" i="2"/>
  <c r="G631" i="2"/>
  <c r="G632" i="2"/>
  <c r="K632" i="2" s="1"/>
  <c r="G633" i="2"/>
  <c r="G634" i="2"/>
  <c r="K634" i="2" s="1"/>
  <c r="G635" i="2"/>
  <c r="K635" i="2" s="1"/>
  <c r="G636" i="2"/>
  <c r="K636" i="2" s="1"/>
  <c r="G637" i="2"/>
  <c r="K637" i="2" s="1"/>
  <c r="G638" i="2"/>
  <c r="K638" i="2" s="1"/>
  <c r="G639" i="2"/>
  <c r="G640" i="2"/>
  <c r="G641" i="2"/>
  <c r="K641" i="2" s="1"/>
  <c r="G642" i="2"/>
  <c r="G643" i="2"/>
  <c r="K643" i="2" s="1"/>
  <c r="G644" i="2"/>
  <c r="K644" i="2" s="1"/>
  <c r="G645" i="2"/>
  <c r="K645" i="2" s="1"/>
  <c r="G646" i="2"/>
  <c r="G647" i="2"/>
  <c r="G648" i="2"/>
  <c r="K648" i="2" s="1"/>
  <c r="G649" i="2"/>
  <c r="K649" i="2" s="1"/>
  <c r="G650" i="2"/>
  <c r="K650" i="2" s="1"/>
  <c r="G651" i="2"/>
  <c r="K651" i="2" s="1"/>
  <c r="G652" i="2"/>
  <c r="K652" i="2" s="1"/>
  <c r="G653" i="2"/>
  <c r="K653" i="2" s="1"/>
  <c r="G654" i="2"/>
  <c r="G655" i="2"/>
  <c r="K655" i="2" s="1"/>
  <c r="G656" i="2"/>
  <c r="K656" i="2" s="1"/>
  <c r="G657" i="2"/>
  <c r="G658" i="2"/>
  <c r="G659" i="2"/>
  <c r="G660" i="2"/>
  <c r="K660" i="2" s="1"/>
  <c r="G661" i="2"/>
  <c r="K661" i="2" s="1"/>
  <c r="G662" i="2"/>
  <c r="G663" i="2"/>
  <c r="G664" i="2"/>
  <c r="K664" i="2" s="1"/>
  <c r="G665" i="2"/>
  <c r="G666" i="2"/>
  <c r="K666" i="2" s="1"/>
  <c r="G667" i="2"/>
  <c r="K667" i="2" s="1"/>
  <c r="G668" i="2"/>
  <c r="K668" i="2" s="1"/>
  <c r="G669" i="2"/>
  <c r="K669" i="2" s="1"/>
  <c r="G670" i="2"/>
  <c r="K670" i="2" s="1"/>
  <c r="G671" i="2"/>
  <c r="G672" i="2"/>
  <c r="K672" i="2" s="1"/>
  <c r="G673" i="2"/>
  <c r="K673" i="2" s="1"/>
  <c r="G674" i="2"/>
  <c r="K674" i="2" s="1"/>
  <c r="G675" i="2"/>
  <c r="K675" i="2" s="1"/>
  <c r="G676" i="2"/>
  <c r="K676" i="2" s="1"/>
  <c r="G677" i="2"/>
  <c r="G678" i="2"/>
  <c r="G679" i="2"/>
  <c r="G680" i="2"/>
  <c r="G681" i="2"/>
  <c r="K681" i="2" s="1"/>
  <c r="G682" i="2"/>
  <c r="K682" i="2" s="1"/>
  <c r="G683" i="2"/>
  <c r="G684" i="2"/>
  <c r="K684" i="2" s="1"/>
  <c r="G685" i="2"/>
  <c r="K685" i="2" s="1"/>
  <c r="G686" i="2"/>
  <c r="G687" i="2"/>
  <c r="K687" i="2" s="1"/>
  <c r="G688" i="2"/>
  <c r="G689" i="2"/>
  <c r="G690" i="2"/>
  <c r="G691" i="2"/>
  <c r="G692" i="2"/>
  <c r="G693" i="2"/>
  <c r="K693" i="2" s="1"/>
  <c r="G694" i="2"/>
  <c r="G695" i="2"/>
  <c r="G696" i="2"/>
  <c r="K696" i="2" s="1"/>
  <c r="G697" i="2"/>
  <c r="K697" i="2" s="1"/>
  <c r="G698" i="2"/>
  <c r="K698" i="2" s="1"/>
  <c r="G699" i="2"/>
  <c r="K699" i="2" s="1"/>
  <c r="G700" i="2"/>
  <c r="K700" i="2" s="1"/>
  <c r="G701" i="2"/>
  <c r="K701" i="2" s="1"/>
  <c r="G702" i="2"/>
  <c r="K702" i="2" s="1"/>
  <c r="G703" i="2"/>
  <c r="K703" i="2" s="1"/>
  <c r="G704" i="2"/>
  <c r="K704" i="2" s="1"/>
  <c r="G705" i="2"/>
  <c r="K705" i="2" s="1"/>
  <c r="G706" i="2"/>
  <c r="G707" i="2"/>
  <c r="K707" i="2" s="1"/>
  <c r="G708" i="2"/>
  <c r="K708" i="2" s="1"/>
  <c r="G709" i="2"/>
  <c r="K709" i="2" s="1"/>
  <c r="G710" i="2"/>
  <c r="G711" i="2"/>
  <c r="G712" i="2"/>
  <c r="K712" i="2" s="1"/>
  <c r="G713" i="2"/>
  <c r="G714" i="2"/>
  <c r="K714" i="2" s="1"/>
  <c r="G715" i="2"/>
  <c r="K715" i="2" s="1"/>
  <c r="G716" i="2"/>
  <c r="K716" i="2" s="1"/>
  <c r="G717" i="2"/>
  <c r="K717" i="2" s="1"/>
  <c r="G718" i="2"/>
  <c r="G719" i="2"/>
  <c r="G720" i="2"/>
  <c r="G721" i="2"/>
  <c r="K721" i="2" s="1"/>
  <c r="G722" i="2"/>
  <c r="K722" i="2" s="1"/>
  <c r="G723" i="2"/>
  <c r="K723" i="2" s="1"/>
  <c r="G724" i="2"/>
  <c r="K724" i="2" s="1"/>
  <c r="G725" i="2"/>
  <c r="K725" i="2" s="1"/>
  <c r="G726" i="2"/>
  <c r="G727" i="2"/>
  <c r="G728" i="2"/>
  <c r="K728" i="2" s="1"/>
  <c r="G729" i="2"/>
  <c r="K729" i="2" s="1"/>
  <c r="G730" i="2"/>
  <c r="K730" i="2" s="1"/>
  <c r="G731" i="2"/>
  <c r="K731" i="2" s="1"/>
  <c r="G732" i="2"/>
  <c r="K732" i="2" s="1"/>
  <c r="G733" i="2"/>
  <c r="K733" i="2" s="1"/>
  <c r="G734" i="2"/>
  <c r="K734" i="2" s="1"/>
  <c r="G735" i="2"/>
  <c r="G736" i="2"/>
  <c r="K736" i="2" s="1"/>
  <c r="G737" i="2"/>
  <c r="K737" i="2" s="1"/>
  <c r="G738" i="2"/>
  <c r="K738" i="2" s="1"/>
  <c r="G739" i="2"/>
  <c r="K739" i="2" s="1"/>
  <c r="G740" i="2"/>
  <c r="K740" i="2" s="1"/>
  <c r="G741" i="2"/>
  <c r="K741" i="2" s="1"/>
  <c r="G742" i="2"/>
  <c r="G743" i="2"/>
  <c r="G744" i="2"/>
  <c r="K744" i="2" s="1"/>
  <c r="G745" i="2"/>
  <c r="K745" i="2" s="1"/>
  <c r="G746" i="2"/>
  <c r="G747" i="2"/>
  <c r="K747" i="2" s="1"/>
  <c r="G748" i="2"/>
  <c r="K748" i="2" s="1"/>
  <c r="G749" i="2"/>
  <c r="K74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6E902-FD8D-48CB-B119-4775CF9CC2FC}" keepAlive="1" name="Requête - Client" description="Connexion à la requête « Client » dans le classeur." type="5" refreshedVersion="8" background="1" saveData="1">
    <dbPr connection="Provider=Microsoft.Mashup.OleDb.1;Data Source=$Workbook$;Location=Client;Extended Properties=&quot;&quot;" command="SELECT * FROM [Client]"/>
  </connection>
  <connection id="2" xr16:uid="{0366394B-438C-4CD0-A4C1-6801C49F61D8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E8841E16-CB7D-4A0E-83A1-AD829DC067F2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F9E43427-32FB-445E-AC00-693B605CD8DE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0044456A-95B8-4258-A1CF-B19CE748E5AD}" keepAlive="1" name="Requête - Fusionner1" description="Connexion à la requête « Fusionner1 » dans le classeur." type="5" refreshedVersion="0" background="1">
    <dbPr connection="Provider=Microsoft.Mashup.OleDb.1;Data Source=$Workbook$;Location=Fusionner1;Extended Properties=&quot;&quot;" command="SELECT * FROM [Fusionner1]"/>
  </connection>
  <connection id="6" xr16:uid="{75457ECE-2E27-4AF6-A6D1-A93B25E6C7D4}" keepAlive="1" name="Requête - Fusionner2" description="Connexion à la requête « Fusionner2 » dans le classeur." type="5" refreshedVersion="8" background="1" saveData="1">
    <dbPr connection="Provider=Microsoft.Mashup.OleDb.1;Data Source=$Workbook$;Location=Fusionner2;Extended Properties=&quot;&quot;" command="SELECT * FROM [Fusionner2]"/>
  </connection>
  <connection id="7" xr16:uid="{17E423A9-3FAA-4515-9FF9-D599813FE3D1}" keepAlive="1" name="Requête - Logs_Reseau2" description="Connexion à la requête « Logs_Reseau2 » dans le classeur." type="5" refreshedVersion="8" background="1" saveData="1">
    <dbPr connection="Provider=Microsoft.Mashup.OleDb.1;Data Source=$Workbook$;Location=Logs_Reseau2;Extended Properties=&quot;&quot;" command="SELECT * FROM [Logs_Reseau2]"/>
  </connection>
  <connection id="8" xr16:uid="{AA543179-9DBF-49E2-AC94-90B0CBA35DD0}" keepAlive="1" name="Requête - Maintenance_Rx" description="Connexion à la requête « Maintenance_Rx » dans le classeur." type="5" refreshedVersion="8" background="1" saveData="1">
    <dbPr connection="Provider=Microsoft.Mashup.OleDb.1;Data Source=$Workbook$;Location=Maintenance_Rx;Extended Properties=&quot;&quot;" command="SELECT * FROM [Maintenance_Rx]"/>
  </connection>
  <connection id="9" xr16:uid="{7CAFFD7F-4FEB-4F05-BD0A-01E83297481D}" keepAlive="1" name="Requête - Matrice1 (2)" description="Connexion à la requête « Matrice1 (2) » dans le classeur." type="5" refreshedVersion="8" background="1" saveData="1">
    <dbPr connection="Provider=Microsoft.Mashup.OleDb.1;Data Source=$Workbook$;Location=&quot;Matrice1 (2)&quot;;Extended Properties=&quot;&quot;" command="SELECT * FROM [Matrice1 (2)]"/>
  </connection>
  <connection id="10" xr16:uid="{DCAB4A43-C544-4A37-B6F0-3A31C6220B70}" keepAlive="1" name="Requête - Matrice2" description="Connexion à la requête « Matrice2 » dans le classeur." type="5" refreshedVersion="8" background="1" saveData="1">
    <dbPr connection="Provider=Microsoft.Mashup.OleDb.1;Data Source=$Workbook$;Location=Matrice2;Extended Properties=&quot;&quot;" command="SELECT * FROM [Matrice2]"/>
  </connection>
  <connection id="11" xr16:uid="{D42B0753-5D32-455C-A8D2-B1072333C240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2" xr16:uid="{05E35296-2E63-46A3-A9D6-1A9CB24CA2FF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3" xr16:uid="{EC5DCBE8-BA7D-493D-87B5-B68E3DEA05DD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4" xr16:uid="{2BCBDCF5-6E74-4277-BB5B-BD2B83223AA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5" xr16:uid="{07F85CD0-462E-41AE-9F27-B84DDE262BB7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6" xr16:uid="{0247C73C-9852-4C9B-B483-143F85A5894B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7" xr16:uid="{FF75E488-A7B3-4478-98D1-05A3430E670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8" xr16:uid="{19069720-1F6B-41C2-B3B3-3944D4FA9A12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9" xr16:uid="{48E64300-6523-4772-9768-C0C98B731CE4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</connections>
</file>

<file path=xl/sharedStrings.xml><?xml version="1.0" encoding="utf-8"?>
<sst xmlns="http://schemas.openxmlformats.org/spreadsheetml/2006/main" count="20678" uniqueCount="1841">
  <si>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</si>
  <si>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</si>
  <si>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</si>
  <si>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</si>
  <si>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</si>
  <si>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</si>
  <si>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</si>
  <si>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</si>
  <si>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</si>
  <si>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</si>
  <si>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</si>
  <si>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</si>
  <si>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</si>
  <si>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</si>
  <si>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</si>
  <si>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</si>
  <si>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</si>
  <si>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</si>
  <si>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</si>
  <si>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</si>
  <si>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</si>
  <si>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</si>
  <si>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</si>
  <si>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</si>
  <si>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</si>
  <si>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</si>
  <si>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</si>
  <si>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</si>
  <si>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</si>
  <si>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</si>
  <si>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</si>
  <si>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</si>
  <si>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</si>
  <si>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</si>
  <si>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</si>
  <si>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</si>
  <si>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</si>
  <si>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</si>
  <si>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</si>
  <si>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</si>
  <si>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</si>
  <si>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</si>
  <si>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</si>
  <si>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</si>
  <si>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</si>
  <si>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</si>
  <si>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</si>
  <si>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</si>
  <si>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</si>
  <si>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</si>
  <si>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</si>
  <si>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</si>
  <si>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</si>
  <si>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</si>
  <si>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</si>
  <si>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</si>
  <si>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</si>
  <si>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</si>
  <si>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</si>
  <si>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</si>
  <si>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</si>
  <si>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</si>
  <si>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</si>
  <si>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</si>
  <si>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</si>
  <si>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</si>
  <si>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</si>
  <si>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</si>
  <si>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</si>
  <si>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</si>
  <si>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</si>
  <si>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</si>
  <si>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</si>
  <si>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</si>
  <si>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</si>
  <si>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</si>
  <si>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</si>
  <si>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</si>
  <si>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</si>
  <si>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</si>
  <si>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</si>
  <si>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</si>
  <si>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</si>
  <si>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</si>
  <si>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</si>
  <si>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</si>
  <si>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</si>
  <si>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</si>
  <si>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</si>
  <si>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</si>
  <si>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</si>
  <si>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</si>
  <si>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</si>
  <si>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</si>
  <si>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</si>
  <si>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</si>
  <si>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</si>
  <si>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</si>
  <si>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</si>
  <si>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</si>
  <si>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</si>
  <si>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</si>
  <si>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</si>
  <si>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</si>
  <si>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</si>
  <si>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</si>
  <si>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</si>
  <si>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</si>
  <si>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</si>
  <si>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</si>
  <si>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</si>
  <si>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</si>
  <si>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</si>
  <si>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</si>
  <si>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</si>
  <si>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</si>
  <si>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</si>
  <si>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</si>
  <si>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</si>
  <si>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</si>
  <si>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</si>
  <si>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</si>
  <si>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</si>
  <si>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</si>
  <si>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</si>
  <si>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</si>
  <si>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</si>
  <si>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</si>
  <si>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</si>
  <si>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</si>
  <si>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</si>
  <si>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</si>
  <si>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</si>
  <si>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</si>
  <si>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</si>
  <si>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</si>
  <si>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</si>
  <si>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</si>
  <si>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</si>
  <si>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</si>
  <si>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</si>
  <si>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</si>
  <si>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</si>
  <si>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</si>
  <si>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</si>
  <si>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</si>
  <si>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</si>
  <si>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</si>
  <si>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</si>
  <si>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</si>
  <si>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</si>
  <si>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</si>
  <si>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</si>
  <si>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</si>
  <si>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</si>
  <si>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</si>
  <si>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</si>
  <si>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</si>
  <si>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</si>
  <si>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</si>
  <si>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</si>
  <si>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</si>
  <si>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</si>
  <si>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</si>
  <si>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</si>
  <si>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</si>
  <si>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</si>
  <si>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</si>
  <si>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</si>
  <si>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</si>
  <si>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</si>
  <si>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</si>
  <si>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</si>
  <si>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</si>
  <si>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</si>
  <si>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</si>
  <si>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</si>
  <si>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</si>
  <si>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</si>
  <si>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</si>
  <si>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</si>
  <si>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</si>
  <si>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</si>
  <si>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</si>
  <si>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</si>
  <si>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</si>
  <si>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</si>
  <si>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</si>
  <si>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</si>
  <si>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</si>
  <si>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</si>
  <si>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</si>
  <si>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</si>
  <si>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</si>
  <si>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</si>
  <si>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</si>
  <si>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</si>
  <si>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</si>
  <si>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</si>
  <si>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</si>
  <si>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</si>
  <si>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</si>
  <si>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</si>
  <si>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</si>
  <si>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</si>
  <si>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</si>
  <si>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</si>
  <si>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</si>
  <si>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</si>
  <si>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</si>
  <si>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</si>
  <si>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</si>
  <si>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</si>
  <si>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</si>
  <si>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</si>
  <si>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</si>
  <si>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</si>
  <si>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</si>
  <si>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</si>
  <si>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</si>
  <si>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</si>
  <si>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</si>
  <si>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</si>
  <si>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</si>
  <si>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</si>
  <si>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</si>
  <si>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</si>
  <si>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</si>
  <si>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</si>
  <si>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</si>
  <si>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</si>
  <si>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</si>
  <si>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</si>
  <si>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</si>
  <si>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</si>
  <si>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</si>
  <si>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</si>
  <si>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</si>
  <si>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</si>
  <si>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</si>
  <si>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</si>
  <si>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</si>
  <si>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</si>
  <si>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</si>
  <si>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</si>
  <si>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</si>
  <si>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</si>
  <si>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</si>
  <si>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</si>
  <si>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</si>
  <si>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</si>
  <si>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</si>
  <si>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</si>
  <si>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</si>
  <si>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</si>
  <si>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</si>
  <si>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</si>
  <si>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</si>
  <si>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</si>
  <si>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</si>
  <si>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</si>
  <si>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</si>
  <si>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</si>
  <si>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</si>
  <si>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</si>
  <si>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</si>
  <si>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</si>
  <si>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</si>
  <si>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</si>
  <si>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</si>
  <si>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</si>
  <si>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</si>
  <si>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</si>
  <si>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</si>
  <si>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</si>
  <si>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</si>
  <si>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</si>
  <si>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</si>
  <si>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</si>
  <si>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</si>
  <si>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</si>
  <si>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</si>
  <si>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</si>
  <si>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</si>
  <si>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</si>
  <si>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</si>
  <si>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</si>
  <si>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</si>
  <si>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</si>
  <si>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</si>
  <si>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</si>
  <si>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</si>
  <si>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Clients_Churn_Part_06.xlsx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</si>
  <si>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</si>
  <si>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</si>
  <si>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</si>
  <si>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</si>
  <si>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</si>
  <si>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</si>
  <si>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</si>
  <si>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</si>
  <si>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</si>
  <si>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</si>
  <si>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</si>
  <si>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</si>
  <si>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</si>
  <si>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</si>
  <si>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</si>
  <si>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</si>
  <si>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</si>
  <si>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</si>
  <si>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</si>
  <si>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</si>
  <si>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</si>
  <si>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</si>
  <si>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</si>
  <si>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</si>
  <si>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</si>
  <si>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</si>
  <si>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</si>
  <si>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</si>
  <si>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</si>
  <si>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</si>
  <si>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</si>
  <si>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</si>
  <si>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</si>
  <si>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</si>
  <si>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</si>
  <si>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</si>
  <si>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</si>
  <si>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</si>
  <si>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</si>
  <si>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</si>
  <si>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</si>
  <si>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</si>
  <si>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</si>
  <si>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</si>
  <si>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</si>
  <si>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</si>
  <si>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</si>
  <si>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</si>
  <si>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</si>
  <si>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</si>
  <si>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</si>
  <si>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</si>
  <si>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</si>
  <si>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</si>
  <si>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</si>
  <si>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</si>
  <si>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</si>
  <si>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</si>
  <si>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</si>
  <si>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</si>
  <si>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</si>
  <si>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</si>
  <si>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</si>
  <si>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</si>
  <si>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</si>
  <si>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</si>
  <si>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</si>
  <si>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</si>
  <si>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</si>
  <si>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</si>
  <si>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</si>
  <si>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</si>
  <si>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</si>
  <si>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</si>
  <si>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</si>
  <si>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</si>
  <si>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</si>
  <si>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</si>
  <si>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</si>
  <si>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</si>
  <si>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</si>
  <si>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</si>
  <si>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</si>
  <si>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</si>
  <si>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</si>
  <si>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</si>
  <si>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</si>
  <si>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</si>
  <si>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</si>
  <si>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</si>
  <si>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</si>
  <si>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</si>
  <si>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</si>
  <si>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</si>
  <si>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</si>
  <si>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</si>
  <si>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</si>
  <si>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</si>
  <si>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</si>
  <si>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</si>
  <si>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</si>
  <si>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</si>
  <si>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</si>
  <si>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</si>
  <si>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</si>
  <si>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</si>
  <si>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</si>
  <si>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</si>
  <si>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</si>
  <si>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</si>
  <si>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</si>
  <si>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</si>
  <si>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</si>
  <si>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</si>
  <si>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</si>
  <si>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</si>
  <si>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</si>
  <si>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</si>
  <si>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</si>
  <si>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</si>
  <si>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</si>
  <si>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</si>
  <si>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</si>
  <si>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</si>
  <si>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</si>
  <si>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</si>
  <si>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</si>
  <si>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</si>
  <si>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</si>
  <si>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</si>
  <si>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</si>
  <si>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</si>
  <si>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</si>
  <si>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</si>
  <si>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</si>
  <si>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</si>
  <si>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</si>
  <si>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</si>
  <si>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</si>
  <si>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</si>
  <si>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</si>
  <si>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</si>
  <si>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</si>
  <si>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</si>
  <si>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</si>
  <si>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</si>
  <si>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</si>
  <si>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</si>
  <si>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</si>
  <si>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</si>
  <si>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</si>
  <si>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Clients_Churn_Part_09.xlsx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</si>
  <si>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</si>
  <si>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</si>
  <si>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</si>
  <si>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</si>
  <si>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</si>
  <si>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</si>
  <si>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</si>
  <si>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</si>
  <si>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</si>
  <si>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</si>
  <si>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</si>
  <si>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</si>
  <si>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</si>
  <si>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</si>
  <si>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</si>
  <si>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</si>
  <si>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</si>
  <si>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</si>
  <si>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</si>
  <si>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</si>
  <si>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</si>
  <si>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</si>
  <si>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</si>
  <si>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</si>
  <si>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</si>
  <si>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</si>
  <si>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</si>
  <si>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</si>
  <si>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</si>
  <si>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</si>
  <si>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</si>
  <si>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</si>
  <si>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</si>
  <si>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</si>
  <si>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</si>
  <si>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</si>
  <si>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</si>
  <si>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</si>
  <si>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</si>
  <si>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</si>
  <si>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</si>
  <si>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</si>
  <si>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</si>
  <si>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</si>
  <si>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</si>
  <si>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</si>
  <si>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</si>
  <si>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</si>
  <si>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</si>
  <si>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</si>
  <si>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Clients_Churn_Part_10.xlsx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</si>
  <si>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</si>
  <si>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</si>
  <si>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</si>
  <si>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</si>
  <si>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</si>
  <si>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</si>
  <si>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</si>
  <si>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</si>
  <si>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</si>
  <si>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</si>
  <si>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</si>
  <si>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</si>
  <si>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</si>
  <si>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</si>
  <si>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</si>
  <si>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</si>
  <si>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</si>
  <si>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</si>
  <si>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</si>
  <si>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</si>
  <si>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</si>
  <si>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</si>
  <si>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</si>
  <si>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</si>
  <si>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</si>
  <si>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</si>
  <si>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</si>
  <si>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</si>
  <si>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</si>
  <si>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</si>
  <si>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</si>
  <si>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</si>
  <si>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</si>
  <si>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</si>
  <si>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</si>
  <si>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</si>
  <si>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</si>
  <si>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</si>
  <si>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</si>
  <si>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</si>
  <si>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</si>
  <si>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</si>
  <si>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</si>
  <si>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</si>
  <si>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</si>
  <si>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</si>
  <si>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</si>
  <si>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</si>
  <si>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</si>
  <si>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</si>
  <si>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</si>
  <si>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</si>
  <si>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</si>
  <si>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</si>
  <si>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</si>
  <si>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</si>
  <si>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</si>
  <si>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</si>
  <si>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</si>
  <si>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</si>
  <si>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</si>
  <si>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</si>
  <si>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</si>
  <si>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</si>
  <si>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</si>
  <si>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</si>
  <si>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</si>
  <si>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</si>
  <si>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</si>
  <si>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</si>
  <si>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</si>
  <si>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</si>
  <si>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</si>
  <si>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</si>
  <si>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</si>
  <si>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</si>
  <si>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</si>
  <si>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</si>
  <si>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</si>
  <si>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</si>
  <si>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</si>
  <si>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</si>
  <si>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</si>
  <si>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</si>
  <si>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</si>
  <si>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</si>
  <si>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</si>
  <si>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</si>
  <si>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</si>
  <si>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</si>
  <si>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</si>
  <si>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</si>
  <si>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</si>
  <si>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</si>
  <si>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</si>
  <si>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</si>
  <si>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</si>
  <si>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</si>
  <si>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</si>
  <si>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</si>
  <si>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</si>
  <si>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</si>
  <si>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</si>
  <si>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</si>
  <si>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</si>
  <si>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</si>
  <si>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</si>
  <si>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</si>
  <si>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</si>
  <si>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</si>
  <si>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</si>
  <si>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</si>
  <si>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</si>
  <si>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</si>
  <si>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</si>
  <si>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</si>
  <si>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</si>
  <si>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</si>
  <si>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</si>
  <si>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</si>
  <si>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</si>
  <si>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</si>
  <si>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</si>
  <si>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</si>
  <si>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</si>
  <si>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</si>
  <si>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</si>
  <si>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</si>
  <si>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</si>
  <si>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</si>
  <si>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</si>
  <si>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</si>
  <si>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</si>
  <si>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</si>
  <si>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</si>
  <si>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</si>
  <si>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</si>
  <si>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</si>
  <si>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</si>
  <si>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</si>
  <si>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</si>
  <si>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</si>
  <si>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</si>
  <si>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</si>
  <si>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</si>
  <si>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</si>
  <si>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</si>
  <si>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</si>
  <si>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</si>
  <si>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</si>
  <si>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</si>
  <si>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</si>
  <si>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</si>
  <si>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</si>
  <si>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</si>
  <si>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</si>
  <si>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</si>
  <si>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</si>
  <si>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</si>
  <si>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</si>
  <si>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</si>
  <si>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</si>
  <si>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</si>
  <si>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</si>
  <si>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</si>
  <si>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</si>
  <si>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</si>
  <si>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</si>
  <si>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</si>
  <si>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</si>
  <si>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</si>
  <si>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</si>
  <si>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</si>
  <si>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</si>
  <si>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</si>
  <si>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</si>
  <si>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</si>
  <si>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</si>
  <si>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</si>
  <si>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</si>
  <si>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</si>
  <si>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</si>
  <si>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</si>
  <si>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</si>
  <si>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</si>
  <si>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</si>
  <si>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</si>
  <si>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</si>
  <si>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</si>
  <si>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</si>
  <si>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</si>
  <si>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</si>
  <si>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</si>
  <si>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</si>
  <si>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</si>
  <si>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</si>
  <si>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</si>
  <si>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</si>
  <si>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</si>
  <si>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</si>
  <si>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</si>
  <si>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</si>
  <si>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</si>
  <si>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</si>
  <si>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</si>
  <si>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</si>
  <si>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</si>
  <si>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</si>
  <si>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</si>
  <si>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</si>
  <si>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</si>
  <si>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</si>
  <si>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</si>
  <si>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</si>
  <si>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</si>
  <si>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</si>
  <si>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</si>
  <si>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</si>
  <si>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</si>
  <si>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</si>
  <si>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</si>
  <si>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</si>
  <si>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</si>
  <si>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</si>
  <si>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</si>
  <si>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</si>
  <si>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</si>
  <si>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</si>
  <si>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</si>
  <si>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</si>
  <si>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</si>
  <si>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</si>
  <si>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</si>
  <si>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</si>
  <si>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</si>
  <si>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</si>
  <si>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</si>
  <si>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</si>
  <si>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</si>
  <si>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</si>
  <si>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</si>
  <si>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</si>
  <si>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</si>
  <si>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</si>
  <si>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</si>
  <si>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</si>
  <si>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</si>
  <si>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</si>
  <si>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</si>
  <si>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</si>
  <si>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</si>
  <si>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</si>
  <si>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</si>
  <si>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</si>
  <si>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</si>
  <si>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</si>
  <si>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</si>
  <si>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</si>
  <si>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</si>
  <si>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</si>
  <si>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</si>
  <si>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</si>
  <si>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</si>
  <si>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</si>
  <si>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</si>
  <si>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</si>
  <si>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</si>
  <si>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</si>
  <si>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</si>
  <si>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</si>
  <si>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</si>
  <si>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</si>
  <si>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</si>
  <si>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</si>
  <si>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</si>
  <si>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</si>
  <si>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</si>
  <si>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</si>
  <si>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</si>
  <si>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</si>
  <si>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</si>
  <si>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</si>
  <si>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</si>
  <si>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</si>
  <si>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</si>
  <si>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</si>
  <si>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</si>
  <si>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</si>
  <si>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</si>
  <si>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</si>
  <si>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</si>
  <si>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</si>
  <si>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</si>
  <si>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</si>
  <si>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</si>
  <si>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</si>
  <si>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</si>
  <si>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</si>
  <si>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</si>
  <si>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</si>
  <si>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</si>
  <si>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</si>
  <si>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</si>
  <si>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</si>
  <si>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</si>
  <si>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</si>
  <si>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</si>
  <si>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</si>
  <si>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</si>
  <si>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</si>
  <si>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</si>
  <si>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</si>
  <si>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</si>
  <si>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</si>
  <si>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</si>
  <si>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</si>
  <si>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</si>
  <si>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</si>
  <si>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</si>
  <si>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</si>
  <si>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</si>
  <si>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</si>
  <si>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</si>
  <si>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</si>
  <si>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</si>
  <si>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</si>
  <si>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</si>
  <si>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</si>
  <si>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</si>
  <si>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</si>
  <si>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</si>
  <si>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</si>
  <si>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</si>
  <si>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</si>
  <si>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</si>
  <si>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</si>
  <si>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</si>
  <si>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</si>
  <si>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</si>
  <si>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</si>
  <si>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</si>
  <si>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</si>
  <si>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</si>
  <si>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</si>
  <si>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</si>
  <si>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</si>
  <si>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</si>
  <si>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</si>
  <si>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</si>
  <si>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</si>
  <si>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</si>
  <si>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</si>
  <si>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</si>
  <si>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</si>
  <si>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</si>
  <si>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</si>
  <si>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</si>
  <si>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</si>
  <si>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</si>
  <si>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</si>
  <si>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</si>
  <si>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</si>
  <si>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</si>
  <si>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</si>
  <si>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</si>
  <si>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</si>
  <si>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</si>
  <si>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</si>
  <si>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</si>
  <si>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</si>
  <si>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</si>
  <si>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</si>
  <si>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</si>
  <si>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</si>
  <si>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</si>
  <si>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</si>
  <si>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</si>
  <si>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</si>
  <si>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</si>
  <si>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</si>
  <si>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</si>
  <si>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</si>
  <si>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</si>
  <si>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</si>
  <si>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</si>
  <si>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</si>
  <si>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</si>
  <si>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</si>
  <si>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</si>
  <si>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</si>
  <si>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</si>
  <si>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</si>
  <si>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</si>
  <si>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</si>
  <si>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</si>
  <si>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</si>
  <si>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</si>
  <si>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</si>
  <si>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</si>
  <si>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</si>
  <si>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</si>
  <si>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</si>
  <si>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</si>
  <si>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</si>
  <si>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</si>
  <si>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</si>
  <si>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</si>
  <si>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</si>
  <si>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</si>
  <si>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</si>
  <si>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</si>
  <si>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</si>
  <si>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</si>
  <si>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</si>
  <si>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</si>
  <si>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</si>
  <si>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</si>
  <si>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</si>
  <si>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</si>
  <si>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</si>
  <si>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</si>
  <si>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</si>
  <si>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</si>
  <si>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</si>
  <si>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</si>
  <si>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</si>
  <si>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</si>
  <si>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</si>
  <si>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</si>
  <si>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</si>
  <si>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</si>
  <si>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</si>
  <si>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</si>
  <si>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</si>
  <si>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</si>
  <si>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</si>
  <si>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</si>
  <si>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</si>
  <si>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</si>
  <si>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</si>
  <si>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</si>
  <si>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</si>
  <si>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</si>
  <si>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</si>
  <si>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</si>
  <si>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</si>
  <si>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</si>
  <si>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</si>
  <si>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</si>
  <si>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</si>
  <si>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</si>
  <si>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</si>
  <si>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</si>
  <si>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</si>
  <si>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</si>
  <si>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</si>
  <si>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</si>
  <si>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</si>
  <si>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</si>
  <si>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</si>
  <si>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</si>
  <si>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</si>
  <si>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</si>
  <si>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</si>
  <si>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</si>
  <si>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</si>
  <si>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</si>
  <si>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</si>
  <si>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</si>
  <si>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</si>
  <si>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</si>
  <si>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</si>
  <si>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</si>
  <si>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</si>
  <si>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</si>
  <si>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</si>
  <si>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</si>
  <si>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</si>
  <si>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</si>
  <si>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</si>
  <si>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</si>
  <si>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</si>
  <si>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</si>
  <si>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</si>
  <si>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</si>
  <si>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</si>
  <si>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</si>
  <si>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</si>
  <si>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</si>
  <si>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</si>
  <si>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</si>
  <si>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</si>
  <si>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</si>
  <si>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</si>
  <si>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</si>
  <si>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</si>
  <si>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</si>
  <si>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</si>
  <si>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</si>
  <si>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</si>
  <si>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</si>
  <si>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</si>
  <si>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</si>
  <si>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</si>
  <si>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</si>
  <si>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</si>
  <si>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</si>
  <si>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</si>
  <si>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</si>
  <si>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</si>
  <si>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</si>
  <si>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</si>
  <si>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</si>
  <si>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</si>
  <si>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</si>
  <si>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</si>
  <si>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</si>
  <si>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</si>
  <si>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</si>
  <si>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</si>
  <si>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</si>
  <si>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</si>
  <si>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</si>
  <si>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</si>
  <si>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</si>
  <si>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</si>
  <si>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</si>
  <si>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</si>
  <si>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</si>
  <si>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</si>
  <si>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</si>
  <si>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</si>
  <si>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</si>
  <si>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</si>
  <si>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</si>
  <si>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</si>
  <si>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</si>
  <si>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</si>
  <si>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</si>
  <si>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</si>
  <si>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</si>
  <si>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</si>
  <si>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</si>
  <si>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</si>
  <si>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</si>
  <si>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</si>
  <si>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</si>
  <si>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</si>
  <si>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</si>
  <si>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</si>
  <si>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</si>
  <si>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</si>
  <si>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</si>
  <si>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</si>
  <si>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</si>
  <si>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</si>
  <si>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</si>
  <si>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</si>
  <si>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</si>
  <si>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</si>
  <si>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</si>
  <si>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</si>
  <si>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</si>
  <si>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</si>
  <si>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</si>
  <si>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</si>
  <si>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</si>
  <si>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</si>
  <si>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</si>
  <si>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</si>
  <si>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</si>
  <si>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</si>
  <si>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</si>
  <si>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</si>
  <si>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</si>
  <si>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</si>
  <si>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</si>
  <si>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</si>
  <si>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</si>
  <si>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</si>
  <si>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</si>
  <si>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</si>
  <si>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</si>
  <si>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</si>
  <si>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</si>
  <si>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</si>
  <si>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</si>
  <si>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</si>
  <si>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</si>
  <si>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</si>
  <si>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</si>
  <si>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</si>
  <si>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</si>
  <si>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</si>
  <si>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</si>
  <si>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</si>
  <si>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</si>
  <si>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</si>
  <si>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</si>
  <si>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</si>
  <si>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</si>
  <si>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</si>
  <si>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</si>
  <si>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</si>
  <si>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</si>
  <si>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</si>
  <si>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</si>
  <si>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</si>
  <si>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</si>
  <si>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</si>
  <si>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</si>
  <si>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</si>
  <si>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</si>
  <si>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</si>
  <si>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</si>
  <si>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</si>
  <si>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</si>
  <si>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</si>
  <si>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</si>
  <si>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</si>
  <si>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</si>
  <si>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</si>
  <si>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</si>
  <si>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</si>
  <si>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</si>
  <si>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</si>
  <si>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</si>
  <si>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</si>
  <si>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</si>
  <si>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</si>
  <si>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</si>
  <si>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</si>
  <si>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</si>
  <si>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</si>
  <si>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</si>
  <si>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</si>
  <si>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</si>
  <si>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</si>
  <si>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</si>
  <si>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</si>
  <si>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</si>
  <si>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</si>
  <si>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</si>
  <si>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</si>
  <si>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</si>
  <si>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</si>
  <si>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</si>
  <si>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</si>
  <si>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</si>
  <si>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</si>
  <si>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</si>
  <si>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</si>
  <si>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</si>
  <si>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</si>
  <si>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</si>
  <si>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</si>
  <si>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</si>
  <si>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</si>
  <si>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</si>
  <si>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</si>
  <si>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</si>
  <si>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</si>
  <si>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</si>
  <si>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</si>
  <si>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</si>
  <si>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</si>
  <si>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</si>
  <si>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</si>
  <si>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</si>
  <si>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</si>
  <si>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</si>
  <si>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</si>
  <si>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</si>
  <si>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</si>
  <si>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</si>
  <si>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</si>
  <si>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</si>
  <si>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</si>
  <si>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</si>
  <si>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</si>
  <si>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</si>
  <si>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</si>
  <si>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</si>
  <si>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</si>
  <si>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</si>
  <si>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</si>
  <si>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</si>
  <si>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</si>
  <si>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</si>
  <si>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</si>
  <si>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</si>
  <si>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</si>
  <si>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</si>
  <si>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</si>
  <si>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</si>
  <si>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</si>
  <si>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</si>
  <si>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</si>
  <si>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</si>
  <si>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</si>
  <si>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</si>
  <si>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</si>
  <si>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</si>
  <si>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</si>
  <si>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</si>
  <si>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</si>
  <si>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</si>
  <si>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</si>
  <si>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</si>
  <si>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</si>
  <si>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</si>
  <si>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</si>
  <si>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</si>
  <si>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</si>
  <si>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</si>
  <si>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</si>
  <si>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</si>
  <si>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</si>
  <si>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</si>
  <si>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</si>
  <si>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</si>
  <si>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</si>
  <si>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</si>
  <si>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</si>
  <si>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</si>
  <si>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</si>
  <si>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</si>
  <si>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</si>
  <si>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</si>
  <si>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</si>
  <si>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</si>
  <si>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</si>
  <si>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</si>
  <si>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</si>
  <si>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</si>
  <si>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</si>
  <si>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</si>
  <si>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</si>
  <si>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</si>
  <si>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</si>
  <si>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</si>
  <si>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</si>
  <si>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</si>
  <si>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</si>
  <si>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</si>
  <si>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</si>
  <si>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</si>
  <si>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</si>
  <si>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</si>
  <si>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</si>
  <si>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</si>
  <si>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</si>
  <si>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</si>
  <si>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</si>
  <si>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</si>
  <si>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</si>
  <si>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</si>
  <si>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</si>
  <si>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</si>
  <si>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</si>
  <si>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</si>
  <si>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</si>
  <si>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</si>
  <si>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</si>
  <si>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</si>
  <si>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</si>
  <si>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</si>
  <si>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</si>
  <si>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</si>
  <si>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</si>
  <si>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</si>
  <si>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</si>
  <si>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</si>
  <si>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</si>
  <si>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</si>
  <si>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</si>
  <si>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</si>
  <si>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</si>
  <si>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</si>
  <si>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</si>
  <si>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</si>
  <si>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</si>
  <si>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</si>
  <si>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</si>
  <si>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</si>
  <si>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</si>
  <si>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</si>
  <si>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</si>
  <si>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</si>
  <si>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</si>
  <si>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</si>
  <si>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</si>
  <si>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</si>
  <si>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</si>
  <si>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</si>
  <si>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</si>
  <si>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</si>
  <si>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</si>
  <si>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</si>
  <si>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</si>
  <si>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</si>
  <si>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</si>
  <si>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</si>
  <si>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</si>
  <si>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</si>
  <si>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</si>
  <si>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</si>
  <si>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</si>
  <si>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</si>
  <si>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</si>
  <si>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</si>
  <si>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</si>
  <si>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</si>
  <si>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</si>
  <si>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</si>
  <si>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</si>
  <si>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</si>
  <si>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</si>
  <si>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</si>
  <si>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</si>
  <si>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</si>
  <si>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</si>
  <si>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</si>
  <si>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</si>
  <si>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</si>
  <si>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</si>
  <si>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</si>
  <si>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</si>
  <si>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</si>
  <si>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</si>
  <si>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</si>
  <si>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</si>
  <si>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</si>
  <si>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</si>
  <si>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</si>
  <si>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</si>
  <si>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</si>
  <si>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</si>
  <si>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</si>
  <si>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</si>
  <si>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</si>
  <si>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</si>
  <si>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</si>
  <si>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</si>
  <si>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</si>
  <si>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</si>
  <si>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</si>
  <si>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</si>
  <si>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</si>
  <si>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</si>
  <si>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</si>
  <si>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</si>
  <si>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</si>
  <si>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</si>
  <si>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</si>
  <si>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</si>
  <si>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</si>
  <si>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</si>
  <si>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</si>
  <si>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</si>
  <si>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</si>
  <si>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</si>
  <si>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</si>
  <si>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</si>
  <si>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</si>
  <si>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</si>
  <si>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</si>
  <si>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</si>
  <si>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</si>
  <si>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</si>
  <si>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</si>
  <si>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</si>
  <si>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</si>
  <si>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</si>
  <si>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</si>
  <si>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</si>
  <si>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</si>
  <si>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</si>
  <si>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</si>
  <si>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</si>
  <si>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</si>
  <si>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</si>
  <si>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</si>
  <si>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</si>
  <si>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</si>
  <si>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</si>
  <si>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</si>
  <si>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</si>
  <si>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</si>
  <si>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</si>
  <si>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</si>
  <si>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</si>
  <si>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</si>
  <si>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</si>
  <si>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</si>
  <si>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</si>
  <si>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</si>
  <si>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</si>
  <si>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</si>
  <si>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</si>
  <si>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</si>
  <si>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</si>
  <si>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</si>
  <si>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</si>
  <si>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</si>
  <si>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</si>
  <si>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</si>
  <si>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</si>
  <si>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</si>
  <si>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</si>
  <si>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</si>
  <si>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</si>
  <si>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</si>
  <si>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</si>
  <si>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</si>
  <si>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</si>
  <si>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</si>
  <si>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</si>
  <si>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</si>
  <si>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</si>
  <si>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</si>
  <si>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</si>
  <si>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</si>
  <si>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</si>
  <si>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</si>
  <si>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</si>
  <si>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</si>
  <si>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</si>
  <si>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</si>
  <si>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</si>
  <si>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</si>
  <si>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</si>
  <si>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</si>
  <si>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</si>
  <si>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</si>
  <si>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</si>
  <si>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</si>
  <si>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</si>
  <si>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</si>
  <si>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</si>
  <si>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</si>
  <si>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</si>
  <si>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</si>
  <si>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</si>
  <si>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</si>
  <si>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</si>
  <si>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</si>
  <si>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</si>
  <si>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</si>
  <si>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</si>
  <si>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</si>
  <si>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</si>
  <si>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</si>
  <si>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</si>
  <si>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</si>
  <si>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</si>
  <si>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</si>
  <si>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</si>
  <si>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</si>
  <si>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</si>
  <si>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</si>
  <si>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</si>
  <si>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</si>
  <si>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</si>
  <si>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</si>
  <si>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</si>
  <si>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</si>
  <si>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</si>
  <si>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</si>
  <si>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</si>
  <si>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</si>
  <si>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</si>
  <si>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</si>
  <si>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</si>
  <si>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</si>
  <si>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</si>
  <si>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</si>
  <si>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</si>
  <si>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</si>
  <si>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</si>
  <si>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</si>
  <si>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</si>
  <si>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</si>
  <si>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</si>
  <si>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</si>
  <si>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</si>
  <si>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</si>
  <si>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</si>
  <si>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</si>
  <si>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</si>
  <si>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</si>
  <si>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Date_Heure_Panne - Copier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</si>
  <si>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</si>
  <si>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</si>
  <si>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</si>
  <si>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</si>
  <si>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</si>
  <si>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</si>
  <si>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</si>
  <si>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</si>
  <si>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</si>
  <si>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</si>
  <si>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</si>
  <si>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</si>
  <si>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</si>
  <si>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</si>
  <si>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</si>
  <si>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</si>
  <si>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</si>
  <si>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</si>
  <si>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</si>
  <si>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</si>
  <si>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</si>
  <si>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</si>
  <si>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</si>
  <si>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</si>
  <si>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</si>
  <si>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</si>
  <si>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</si>
  <si>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</si>
  <si>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</si>
  <si>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</si>
  <si>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</si>
  <si>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</si>
  <si>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</si>
  <si>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</si>
  <si>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</si>
  <si>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</si>
  <si>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</si>
  <si>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</si>
  <si>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</si>
  <si>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</si>
  <si>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</si>
  <si>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</si>
  <si>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</si>
  <si>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</si>
  <si>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</si>
  <si>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</si>
  <si>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</si>
  <si>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</si>
  <si>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Registre_Maintenance_Part_03.xlsx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</si>
  <si>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</si>
  <si>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</si>
  <si>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</si>
  <si>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</si>
  <si>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</si>
  <si>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</si>
  <si>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</si>
  <si>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</si>
  <si>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</si>
  <si>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</si>
  <si>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</si>
  <si>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</si>
  <si>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</si>
  <si>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</si>
  <si>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Registre_Maintenance_Part_04.xlsx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</si>
  <si>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</si>
  <si>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</si>
  <si>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</si>
  <si>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</si>
  <si>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</si>
  <si>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</si>
  <si>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</si>
  <si>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</si>
  <si>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</si>
  <si>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</si>
  <si>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</si>
  <si>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</si>
  <si>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</si>
  <si>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</si>
  <si>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</si>
  <si>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</si>
  <si>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</si>
  <si>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</si>
  <si>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</si>
  <si>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</si>
  <si>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</si>
  <si>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</si>
  <si>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</si>
  <si>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</si>
  <si>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</si>
  <si>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</si>
  <si>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</si>
  <si>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</si>
  <si>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</si>
  <si>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</si>
  <si>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</si>
  <si>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</si>
  <si>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</si>
  <si>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</si>
  <si>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</si>
  <si>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</si>
  <si>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</si>
  <si>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</si>
  <si>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</si>
  <si>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</si>
  <si>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Registre_Maintenance_Part_06.xlsx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</si>
  <si>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</si>
  <si>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</si>
  <si>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</si>
  <si>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</si>
  <si>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</si>
  <si>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</si>
  <si>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</si>
  <si>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</si>
  <si>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</si>
  <si>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</si>
  <si>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</si>
  <si>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</si>
  <si>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</si>
  <si>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</si>
  <si>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</si>
  <si>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</si>
  <si>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</si>
  <si>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</si>
  <si>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</si>
  <si>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Registre_Maintenance_Part_07.xlsx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</si>
  <si>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</si>
  <si>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</si>
  <si>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</si>
  <si>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</si>
  <si>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</si>
  <si>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</si>
  <si>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</si>
  <si>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</si>
  <si>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</si>
  <si>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</si>
  <si>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</si>
  <si>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</si>
  <si>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</si>
  <si>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</si>
  <si>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</si>
  <si>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</si>
  <si>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</si>
  <si>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</si>
  <si>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</si>
  <si>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</si>
  <si>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</si>
  <si>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</si>
  <si>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</si>
  <si>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</si>
  <si>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</si>
  <si>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</si>
  <si>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</si>
  <si>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</si>
  <si>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</si>
  <si>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</si>
  <si>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</si>
  <si>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</si>
  <si>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</si>
  <si>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</si>
  <si>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</si>
  <si>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</si>
  <si>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</si>
  <si>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</si>
  <si>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Registre_Maintenance_Part_09.xlsx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</si>
  <si>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</si>
  <si>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</si>
  <si>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</si>
  <si>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</si>
  <si>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</si>
  <si>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</si>
  <si>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</si>
  <si>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</si>
  <si>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</si>
  <si>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</si>
  <si>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</si>
  <si>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</si>
  <si>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</si>
  <si>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</si>
  <si>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</si>
  <si>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</si>
  <si>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</si>
  <si>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</si>
  <si>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</si>
  <si>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</si>
  <si>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</si>
  <si>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</si>
  <si>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</si>
  <si>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</si>
  <si>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</si>
  <si>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</si>
  <si>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</si>
  <si>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</si>
  <si>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</si>
  <si>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</si>
  <si>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</si>
  <si>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</si>
  <si>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</si>
  <si>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</si>
  <si>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</si>
  <si>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Maintenance_Rx.ID_Antenne</t>
  </si>
  <si>
    <t>Maintenance_Rx.Province_RDC</t>
  </si>
  <si>
    <t>Maintenance_Rx.Latitude</t>
  </si>
  <si>
    <t>Maintenance_Rx.Longitude</t>
  </si>
  <si>
    <t>Maintenance_Rx.Technologie</t>
  </si>
  <si>
    <t>Maintenance_Rx.Equipementier</t>
  </si>
  <si>
    <t>Client.ID_Client</t>
  </si>
  <si>
    <t>Client.Province_Client</t>
  </si>
  <si>
    <t>Client.Type_Forfait</t>
  </si>
  <si>
    <t>Client.Duree_Cumulee_Panne_Min</t>
  </si>
  <si>
    <t>Client.Facture_Mensuelle</t>
  </si>
  <si>
    <t>Client.Plaintes_Service_Client</t>
  </si>
  <si>
    <t>Total général</t>
  </si>
  <si>
    <t>Nombre de Client.ID_Client</t>
  </si>
  <si>
    <t>Total Nombre de Client.ID_Client</t>
  </si>
  <si>
    <t>Client.Anciennete_Mois2</t>
  </si>
  <si>
    <t>Remise</t>
  </si>
  <si>
    <t>Montant_Remise</t>
  </si>
  <si>
    <t>Duree_Cumulee_Panne</t>
  </si>
  <si>
    <t>Étiquettes de lignes</t>
  </si>
  <si>
    <t>Étiquettes de colonnes</t>
  </si>
  <si>
    <t>Total Somme de Duree_Cumulee_Panne</t>
  </si>
  <si>
    <t>Somme de Duree_Cumulee_Panne</t>
  </si>
  <si>
    <t>9 ans et 7 mois</t>
  </si>
  <si>
    <t>5 ans et 9 mois</t>
  </si>
  <si>
    <t>4 ans et 7 mois</t>
  </si>
  <si>
    <t>6 ans et 11 mois</t>
  </si>
  <si>
    <t>2 ans et 5 mois</t>
  </si>
  <si>
    <t>4 ans et 0 mois</t>
  </si>
  <si>
    <t>9 ans et 2 mois</t>
  </si>
  <si>
    <t>0 ans et 2 mois</t>
  </si>
  <si>
    <t>5 ans et 3 mois</t>
  </si>
  <si>
    <t>4 ans et 2 mois</t>
  </si>
  <si>
    <t>7 ans et 1 mois</t>
  </si>
  <si>
    <t>3 ans et 0 mois</t>
  </si>
  <si>
    <t>1 ans et 4 mois</t>
  </si>
  <si>
    <t>7 ans et 10 mois</t>
  </si>
  <si>
    <t>3 ans et 3 mois</t>
  </si>
  <si>
    <t>7 ans et 8 mois</t>
  </si>
  <si>
    <t>5 ans et 11 mois</t>
  </si>
  <si>
    <t>6 ans et 5 mois</t>
  </si>
  <si>
    <t>0 ans et 1 mois</t>
  </si>
  <si>
    <t>0 ans et 9 mois</t>
  </si>
  <si>
    <t>1 ans et 6 mois</t>
  </si>
  <si>
    <t>8 ans et 7 mois</t>
  </si>
  <si>
    <t>3 ans et 8 mois</t>
  </si>
  <si>
    <t>6 ans et 2 mois</t>
  </si>
  <si>
    <t>9 ans et 5 mois</t>
  </si>
  <si>
    <t>0 ans et 10 mois</t>
  </si>
  <si>
    <t>5 ans et 0 mois</t>
  </si>
  <si>
    <t>0 ans et 3 mois</t>
  </si>
  <si>
    <t>8 ans et 0 mois</t>
  </si>
  <si>
    <t>3 ans et 4 mois</t>
  </si>
  <si>
    <t>7 ans et 3 mois</t>
  </si>
  <si>
    <t>4 ans et 11 mois</t>
  </si>
  <si>
    <t>5 ans et 8 mois</t>
  </si>
  <si>
    <t>9 ans et 3 mois</t>
  </si>
  <si>
    <t>2 ans et 0 mois</t>
  </si>
  <si>
    <t>3 ans et 11 mois</t>
  </si>
  <si>
    <t>2 ans et 9 mois</t>
  </si>
  <si>
    <t>7 ans et 2 mois</t>
  </si>
  <si>
    <t>3 ans et 9 mois</t>
  </si>
  <si>
    <t>7 ans et 0 mois</t>
  </si>
  <si>
    <t>8 ans et 5 mois</t>
  </si>
  <si>
    <t>5 ans et 5 mois</t>
  </si>
  <si>
    <t>5 ans et 10 mois</t>
  </si>
  <si>
    <t>0 ans et 4 mois</t>
  </si>
  <si>
    <t>9 ans et 6 mois</t>
  </si>
  <si>
    <t>2 ans et 11 mois</t>
  </si>
  <si>
    <t>7 ans et 5 mois</t>
  </si>
  <si>
    <t>6 ans et 6 mois</t>
  </si>
  <si>
    <t>1 ans et 3 mois</t>
  </si>
  <si>
    <t>8 ans et 8 mois</t>
  </si>
  <si>
    <t>8 ans et 9 mois</t>
  </si>
  <si>
    <t>9 ans et 11 mois</t>
  </si>
  <si>
    <t>1 ans et 2 mois</t>
  </si>
  <si>
    <t>0 ans et 6 mois</t>
  </si>
  <si>
    <t>9 ans et 0 mois</t>
  </si>
  <si>
    <t>6 ans et 4 mois</t>
  </si>
  <si>
    <t>8 ans et 1 mois</t>
  </si>
  <si>
    <t>6 ans et 1 mois</t>
  </si>
  <si>
    <t>6 ans et 0 mois</t>
  </si>
  <si>
    <t>5 ans et 4 mois</t>
  </si>
  <si>
    <t>1 ans et 11 mois</t>
  </si>
  <si>
    <t>9 ans et 10 mois</t>
  </si>
  <si>
    <t>0 ans et 11 mois</t>
  </si>
  <si>
    <t>2 ans et 8 mois</t>
  </si>
  <si>
    <t>1 ans et 7 mois</t>
  </si>
  <si>
    <t>4 ans et 1 mois</t>
  </si>
  <si>
    <t>0 ans et 7 mois</t>
  </si>
  <si>
    <t>4 ans et 8 mois</t>
  </si>
  <si>
    <t>3 ans et 7 mois</t>
  </si>
  <si>
    <t>2 ans et 10 mois</t>
  </si>
  <si>
    <t>3 ans et 6 mois</t>
  </si>
  <si>
    <t>2 ans et 2 mois</t>
  </si>
  <si>
    <t>8 ans et 6 mois</t>
  </si>
  <si>
    <t>4 ans et 3 mois</t>
  </si>
  <si>
    <t>9 ans et 9 mois</t>
  </si>
  <si>
    <t>8 ans et 10 mois</t>
  </si>
  <si>
    <t>7 ans et 11 mois</t>
  </si>
  <si>
    <t>8 ans et 3 mois</t>
  </si>
  <si>
    <t>10 ans et 0 mois</t>
  </si>
  <si>
    <t>6 ans et 7 mois</t>
  </si>
  <si>
    <t>6 ans et 8 mois</t>
  </si>
  <si>
    <t>5 ans et 2 mois</t>
  </si>
  <si>
    <t>1 ans et 8 mois</t>
  </si>
  <si>
    <t>5 ans et 7 mois</t>
  </si>
  <si>
    <t>3 ans et 5 mois</t>
  </si>
  <si>
    <t>3 ans et 10 mois</t>
  </si>
  <si>
    <t>1 ans et 10 mois</t>
  </si>
  <si>
    <t>7 ans et 7 mois</t>
  </si>
  <si>
    <t>4 ans et 10 mois</t>
  </si>
  <si>
    <t>5 ans et 1 mois</t>
  </si>
  <si>
    <t>7 ans et 6 mois</t>
  </si>
  <si>
    <t>9 ans et 1 mois</t>
  </si>
  <si>
    <t>1 ans et 1 mois</t>
  </si>
  <si>
    <t>1 ans et 0 mois</t>
  </si>
  <si>
    <t>4 ans et 5 mois</t>
  </si>
  <si>
    <t>3 ans et 2 mois</t>
  </si>
  <si>
    <t>9 ans et 4 mois</t>
  </si>
  <si>
    <t>4 ans et 9 mois</t>
  </si>
  <si>
    <t>9 ans et 8 mois</t>
  </si>
  <si>
    <t>4 ans et 6 mois</t>
  </si>
  <si>
    <t>6 ans et 9 mois</t>
  </si>
  <si>
    <t>7 ans et 4 mois</t>
  </si>
  <si>
    <t>1 ans et 9 mois</t>
  </si>
  <si>
    <t>2 ans et 1 mois</t>
  </si>
  <si>
    <t>4 ans et 4 mois</t>
  </si>
  <si>
    <t>6 ans et 10 mois</t>
  </si>
  <si>
    <t>5 ans et 6 mois</t>
  </si>
  <si>
    <t>8 ans et 4 mois</t>
  </si>
  <si>
    <t>2 ans et 3 mois</t>
  </si>
  <si>
    <t>7 ans et 9 mois</t>
  </si>
  <si>
    <t>0 ans et 8 mois</t>
  </si>
  <si>
    <t>1 ans et 5 mois</t>
  </si>
  <si>
    <t>6 ans et 3 mois</t>
  </si>
  <si>
    <t>8 ans et 2 mois</t>
  </si>
  <si>
    <t>2 ans et 6 mois</t>
  </si>
  <si>
    <t>0 ans et 5 mois</t>
  </si>
  <si>
    <t>2 ans et 7 mois</t>
  </si>
  <si>
    <t>2 ans et 4 mois</t>
  </si>
  <si>
    <t>3 ans et 1 mois</t>
  </si>
  <si>
    <t>8 ans et 11 mois</t>
  </si>
  <si>
    <t>Heure_Panne - Copier</t>
  </si>
  <si>
    <t>Date_Panne</t>
  </si>
  <si>
    <t>Maint_Rx.ID_Antenne</t>
  </si>
  <si>
    <t>Maint_Rx.Province_RDC</t>
  </si>
  <si>
    <t>Maint_Rx.Technologie</t>
  </si>
  <si>
    <t>Maint_Rx.Equipementier</t>
  </si>
  <si>
    <t>Somme de Montant_Remise</t>
  </si>
  <si>
    <t>Total Somme de Montant_Remise</t>
  </si>
  <si>
    <t>Anciennete_Clie</t>
  </si>
  <si>
    <t>Remises</t>
  </si>
  <si>
    <t>Mont_Remise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</si>
</sst>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0" fontId="0" fillId="0" borderId="0" xfId="0" applyNumberFormat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31">
    <dxf>
      <numFmt numFmtId="165" formatCode="0.000"/>
    </dxf>
    <dxf>
      <numFmt numFmtId="0" formatCode="General"/>
    </dxf>
    <dxf>
      <numFmt numFmtId="25" formatCode="hh:m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</xdr:colOff>
      <xdr:row>2</xdr:row>
      <xdr:rowOff>7621</xdr:rowOff>
    </xdr:from>
    <xdr:to>
      <xdr:col>16</xdr:col>
      <xdr:colOff>213360</xdr:colOff>
      <xdr:row>8</xdr:row>
      <xdr:rowOff>175261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aint_Rx.Technologie">
              <a:extLst>
                <a:ext uri="{FF2B5EF4-FFF2-40B4-BE49-F238E27FC236}">
                  <a16:creationId xmlns:a16="http://schemas.microsoft.com/office/drawing/2014/main" id="{A2A5721D-85B4-7C9C-BB6F-3C3B53667B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t_Rx.Technologi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82860" y="373381"/>
              <a:ext cx="1828800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bruiker" refreshedDate="46117.725300810183" backgroundQuery="1" createdVersion="8" refreshedVersion="8" minRefreshableVersion="3" recordCount="748" xr:uid="{D7E5114C-F5D9-4F79-97B5-385235D42B55}">
  <cacheSource type="external" connectionId="9"/>
  <cacheFields count="25">
    <cacheField name="Source.Name" numFmtId="0">
      <sharedItems count="8">
        <s v="Logs_Reseau_Part_01.xlsx"/>
        <s v="Logs_Reseau_Part_02.xlsx"/>
        <s v="Logs_Reseau_Part_03.xlsx"/>
        <s v="Logs_Reseau_Part_08.xlsx"/>
        <s v="Logs_Reseau_Part_04.xlsx"/>
        <s v="Logs_Reseau_Part_10.xlsx"/>
        <s v="Logs_Reseau_Part_06.xlsx"/>
        <s v="Logs_Reseau_Part_11.xlsx"/>
      </sharedItems>
    </cacheField>
    <cacheField name="Date_Panne" numFmtId="0">
      <sharedItems containsSemiMixedTypes="0" containsNonDate="0" containsDate="1" containsString="0" minDate="2023-10-02T00:00:00" maxDate="2023-10-27T00:00:00" count="18">
        <d v="2023-10-13T00:00:00"/>
        <d v="2023-10-20T00:00:00"/>
        <d v="2023-10-14T00:00:00"/>
        <d v="2023-10-03T00:00:00"/>
        <d v="2023-10-22T00:00:00"/>
        <d v="2023-10-11T00:00:00"/>
        <d v="2023-10-06T00:00:00"/>
        <d v="2023-10-19T00:00:00"/>
        <d v="2023-10-15T00:00:00"/>
        <d v="2023-10-23T00:00:00"/>
        <d v="2023-10-18T00:00:00"/>
        <d v="2023-10-17T00:00:00"/>
        <d v="2023-10-26T00:00:00"/>
        <d v="2023-10-02T00:00:00"/>
        <d v="2023-10-04T00:00:00"/>
        <d v="2023-10-08T00:00:00"/>
        <d v="2023-10-12T00:00:00"/>
        <d v="2023-10-07T00:00:00"/>
      </sharedItems>
    </cacheField>
    <cacheField name="Heure_Panne - Copier" numFmtId="0">
      <sharedItems containsSemiMixedTypes="0" containsNonDate="0" containsDate="1" containsString="0" minDate="1899-12-30T01:01:00" maxDate="1899-12-30T23:15:00" count="26">
        <d v="1899-12-30T03:22:00"/>
        <d v="1899-12-30T02:26:00"/>
        <d v="1899-12-30T01:01:00"/>
        <d v="1899-12-30T06:06:00"/>
        <d v="1899-12-30T06:14:00"/>
        <d v="1899-12-30T18:36:00"/>
        <d v="1899-12-30T13:38:00"/>
        <d v="1899-12-30T11:19:00"/>
        <d v="1899-12-30T07:28:00"/>
        <d v="1899-12-30T12:25:00"/>
        <d v="1899-12-30T08:51:00"/>
        <d v="1899-12-30T17:07:00"/>
        <d v="1899-12-30T10:15:00"/>
        <d v="1899-12-30T23:15:00"/>
        <d v="1899-12-30T21:40:00"/>
        <d v="1899-12-30T16:10:00"/>
        <d v="1899-12-30T09:02:00"/>
        <d v="1899-12-30T22:46:00"/>
        <d v="1899-12-30T14:02:00"/>
        <d v="1899-12-30T05:10:00"/>
        <d v="1899-12-30T21:14:00"/>
        <d v="1899-12-30T12:17:00"/>
        <d v="1899-12-30T03:12:00"/>
        <d v="1899-12-30T06:42:00"/>
        <d v="1899-12-30T23:03:00"/>
        <d v="1899-12-30T16:30:00"/>
      </sharedItems>
    </cacheField>
    <cacheField name="Cell_ID" numFmtId="0">
      <sharedItems count="26">
        <s v="ANT-0862"/>
        <s v="ANT-0037"/>
        <s v="ANT-0737"/>
        <s v="ANT-0271"/>
        <s v="ANT-0270"/>
        <s v="ANT-0855"/>
        <s v="ANT-0913"/>
        <s v="ANT-0604"/>
        <s v="ANT-0183"/>
        <s v="ANT-0415"/>
        <s v="ANT-0520"/>
        <s v="ANT-0624"/>
        <s v="ANT-0566"/>
        <s v="ANT-0020"/>
        <s v="ANT-0642"/>
        <s v="ANT-0078"/>
        <s v="ANT-0079"/>
        <s v="ANT-0760"/>
        <s v="ANT-0870"/>
        <s v="ANT-0375"/>
        <s v="ANT-0553"/>
        <s v="ANT-0945"/>
        <s v="ANT-0298"/>
        <s v="ANT-0001"/>
        <s v="ANT-0258"/>
        <s v="ANT-0797"/>
      </sharedItems>
    </cacheField>
    <cacheField name="Duree_Panne_Min" numFmtId="0">
      <sharedItems containsSemiMixedTypes="0" containsString="0" containsNumber="1" containsInteger="1" minValue="15" maxValue="119" count="25">
        <n v="19"/>
        <n v="75"/>
        <n v="119"/>
        <n v="73"/>
        <n v="79"/>
        <n v="24"/>
        <n v="96"/>
        <n v="50"/>
        <n v="22"/>
        <n v="83"/>
        <n v="70"/>
        <n v="25"/>
        <n v="82"/>
        <n v="97"/>
        <n v="20"/>
        <n v="117"/>
        <n v="59"/>
        <n v="72"/>
        <n v="15"/>
        <n v="41"/>
        <n v="54"/>
        <n v="64"/>
        <n v="66"/>
        <n v="38"/>
        <n v="76"/>
      </sharedItems>
    </cacheField>
    <cacheField name="Statut_Resolution" numFmtId="0">
      <sharedItems count="3">
        <s v="Non Résolu"/>
        <s v="Résolu"/>
        <s v="En Cours"/>
      </sharedItems>
    </cacheField>
    <cacheField name="Maint_Rx.ID_Antenne" numFmtId="0">
      <sharedItems count="26">
        <s v="ANT-0862"/>
        <s v="ANT-0037"/>
        <s v="ANT-0737"/>
        <s v="ANT-0271"/>
        <s v="ANT-0270"/>
        <s v="ANT-0855"/>
        <s v="ANT-0913"/>
        <s v="ANT-0604"/>
        <s v="ANT-0183"/>
        <s v="ANT-0415"/>
        <s v="ANT-0520"/>
        <s v="ANT-0624"/>
        <s v="ANT-0566"/>
        <s v="ANT-0020"/>
        <s v="ANT-0642"/>
        <s v="ANT-0078"/>
        <s v="ANT-0079"/>
        <s v="ANT-0760"/>
        <s v="ANT-0870"/>
        <s v="ANT-0375"/>
        <s v="ANT-0553"/>
        <s v="ANT-0945"/>
        <s v="ANT-0298"/>
        <s v="ANT-0001"/>
        <s v="ANT-0258"/>
        <s v="ANT-0797"/>
      </sharedItems>
    </cacheField>
    <cacheField name="Maint_Rx.Province_RDC" numFmtId="0">
      <sharedItems count="26">
        <s v="Tanganyika"/>
        <s v="Ituri"/>
        <s v="Kongo-Central"/>
        <s v="Tshuapa"/>
        <s v="Kasai-Central"/>
        <s v="Mongala"/>
        <s v="Kinshasa"/>
        <s v="Haut-Lomami"/>
        <s v="Kwango"/>
        <s v="Sud-Kivu"/>
        <s v="Lomami"/>
        <s v="Haut-Katanga"/>
        <s v="Bas-Uele"/>
        <s v="Kasai"/>
        <s v="Kwilu"/>
        <s v="Sud-Ubangi"/>
        <s v="Maniema"/>
        <s v="Sankuru"/>
        <s v="Equateur"/>
        <s v="Mai-Ndombe"/>
        <s v="Nord-Kivu"/>
        <s v="Tshopo"/>
        <s v="Kasai-Oriental"/>
        <s v="Nord-Ubangi"/>
        <s v="Lualaba"/>
        <s v="Haut-Uele"/>
      </sharedItems>
    </cacheField>
    <cacheField name="Maintenance_Rx.Latitude" numFmtId="0">
      <sharedItems containsSemiMixedTypes="0" containsString="0" containsNumber="1" minValue="-12.141233" maxValue="4.8319039999999998" count="26">
        <n v="-9.4708620000000003"/>
        <n v="-7.0076900000000002"/>
        <n v="-2.8211520000000001"/>
        <n v="-5.1030600000000002"/>
        <n v="-1.648264"/>
        <n v="-11.514188000000001"/>
        <n v="-5.4126279999999998"/>
        <n v="2.628638"/>
        <n v="4.8319039999999998"/>
        <n v="-2.9651529999999999"/>
        <n v="-8.4227860000000003"/>
        <n v="0.172153"/>
        <n v="-4.4697000000000001E-2"/>
        <n v="-10.059846"/>
        <n v="-4.2408359999999998"/>
        <n v="-12.141233"/>
        <n v="-8.4824669999999998"/>
        <n v="-2.7140689999999998"/>
        <n v="-9.1215879999999991"/>
        <n v="-4.9552579999999997"/>
        <n v="4.6287159999999998"/>
        <n v="0.23583499999999999"/>
        <n v="-5.4073029999999997"/>
        <n v="-8.1437910000000002"/>
        <n v="-11.710407999999999"/>
        <n v="-12.100756000000001"/>
      </sharedItems>
    </cacheField>
    <cacheField name="Maintenance_Rx.Longitude" numFmtId="0">
      <sharedItems containsSemiMixedTypes="0" containsString="0" containsNumber="1" minValue="14.375757999999999" maxValue="29.79908" count="26">
        <n v="29.234387999999999"/>
        <n v="27.367121999999998"/>
        <n v="20.651419000000001"/>
        <n v="22.849231"/>
        <n v="28.866143999999998"/>
        <n v="15.971181"/>
        <n v="25.498235999999999"/>
        <n v="28.420582"/>
        <n v="20.733468999999999"/>
        <n v="29.79908"/>
        <n v="16.781293000000002"/>
        <n v="21.091376"/>
        <n v="22.943373000000001"/>
        <n v="14.375757999999999"/>
        <n v="26.210014000000001"/>
        <n v="15.179043999999999"/>
        <n v="21.897777999999999"/>
        <n v="22.222104000000002"/>
        <n v="16.457916999999998"/>
        <n v="22.008103999999999"/>
        <n v="19.407077999999998"/>
        <n v="24.889558999999998"/>
        <n v="29.762294000000001"/>
        <n v="28.946161"/>
        <n v="23.741330999999999"/>
        <n v="21.938649999999999"/>
      </sharedItems>
    </cacheField>
    <cacheField name="Maint_Rx.Technologie" numFmtId="0">
      <sharedItems count="3">
        <s v="3G"/>
        <s v="5G"/>
        <s v="4G"/>
      </sharedItems>
    </cacheField>
    <cacheField name="Maint_Rx.Equipementier" numFmtId="0">
      <sharedItems count="4">
        <s v="ZTE"/>
        <s v="Nokia"/>
        <s v="Ericsson"/>
        <s v="Huawei"/>
      </sharedItems>
    </cacheField>
    <cacheField name="Client.ID_Client" numFmtId="0">
      <sharedItems count="748">
        <s v="CLI-01618"/>
        <s v="CLI-00232"/>
        <s v="CLI-01802"/>
        <s v="CLI-01607"/>
        <s v="CLI-00017"/>
        <s v="CLI-00617"/>
        <s v="CLI-00899"/>
        <s v="CLI-00007"/>
        <s v="CLI-00626"/>
        <s v="CLI-01702"/>
        <s v="CLI-00241"/>
        <s v="CLI-01706"/>
        <s v="CLI-01387"/>
        <s v="CLI-01374"/>
        <s v="CLI-00781"/>
        <s v="CLI-01375"/>
        <s v="CLI-01687"/>
        <s v="CLI-01606"/>
        <s v="CLI-01821"/>
        <s v="CLI-00994"/>
        <s v="CLI-01682"/>
        <s v="CLI-01210"/>
        <s v="CLI-00265"/>
        <s v="CLI-00427"/>
        <s v="CLI-01147"/>
        <s v="CLI-00041"/>
        <s v="CLI-00813"/>
        <s v="CLI-00251"/>
        <s v="CLI-00867"/>
        <s v="CLI-00524"/>
        <s v="CLI-01860"/>
        <s v="CLI-01561"/>
        <s v="CLI-01291"/>
        <s v="CLI-01217"/>
        <s v="CLI-01215"/>
        <s v="CLI-00578"/>
        <s v="CLI-00753"/>
        <s v="CLI-00048"/>
        <s v="CLI-00417"/>
        <s v="CLI-01729"/>
        <s v="CLI-01242"/>
        <s v="CLI-00348"/>
        <s v="CLI-00959"/>
        <s v="CLI-00262"/>
        <s v="CLI-01560"/>
        <s v="CLI-01446"/>
        <s v="CLI-00731"/>
        <s v="CLI-00304"/>
        <s v="CLI-00418"/>
        <s v="CLI-01741"/>
        <s v="CLI-01846"/>
        <s v="CLI-01275"/>
        <s v="CLI-01719"/>
        <s v="CLI-01233"/>
        <s v="CLI-01376"/>
        <s v="CLI-01025"/>
        <s v="CLI-01584"/>
        <s v="CLI-01916"/>
        <s v="CLI-01399"/>
        <s v="CLI-00833"/>
        <s v="CLI-00846"/>
        <s v="CLI-01970"/>
        <s v="CLI-00525"/>
        <s v="CLI-00074"/>
        <s v="CLI-00084"/>
        <s v="CLI-00716"/>
        <s v="CLI-01359"/>
        <s v="CLI-00012"/>
        <s v="CLI-01739"/>
        <s v="CLI-00894"/>
        <s v="CLI-01349"/>
        <s v="CLI-01957"/>
        <s v="CLI-01357"/>
        <s v="CLI-01415"/>
        <s v="CLI-01616"/>
        <s v="CLI-00907"/>
        <s v="CLI-00721"/>
        <s v="CLI-01313"/>
        <s v="CLI-01462"/>
        <s v="CLI-00726"/>
        <s v="CLI-01146"/>
        <s v="CLI-01927"/>
        <s v="CLI-01256"/>
        <s v="CLI-01858"/>
        <s v="CLI-00766"/>
        <s v="CLI-01852"/>
        <s v="CLI-00060"/>
        <s v="CLI-01746"/>
        <s v="CLI-00172"/>
        <s v="CLI-00675"/>
        <s v="CLI-00744"/>
        <s v="CLI-01466"/>
        <s v="CLI-01515"/>
        <s v="CLI-01757"/>
        <s v="CLI-00431"/>
        <s v="CLI-01973"/>
        <s v="CLI-01775"/>
        <s v="CLI-01689"/>
        <s v="CLI-00267"/>
        <s v="CLI-01472"/>
        <s v="CLI-00892"/>
        <s v="CLI-00273"/>
        <s v="CLI-01920"/>
        <s v="CLI-00809"/>
        <s v="CLI-00541"/>
        <s v="CLI-01959"/>
        <s v="CLI-01721"/>
        <s v="CLI-00238"/>
        <s v="CLI-00865"/>
        <s v="CLI-00754"/>
        <s v="CLI-01571"/>
        <s v="CLI-01723"/>
        <s v="CLI-00324"/>
        <s v="CLI-01835"/>
        <s v="CLI-01688"/>
        <s v="CLI-01623"/>
        <s v="CLI-00299"/>
        <s v="CLI-01141"/>
        <s v="CLI-00011"/>
        <s v="CLI-01270"/>
        <s v="CLI-00620"/>
        <s v="CLI-00085"/>
        <s v="CLI-01532"/>
        <s v="CLI-00902"/>
        <s v="CLI-00109"/>
        <s v="CLI-00938"/>
        <s v="CLI-01536"/>
        <s v="CLI-00583"/>
        <s v="CLI-00666"/>
        <s v="CLI-01979"/>
        <s v="CLI-00611"/>
        <s v="CLI-00516"/>
        <s v="CLI-00799"/>
        <s v="CLI-00974"/>
        <s v="CLI-00796"/>
        <s v="CLI-01169"/>
        <s v="CLI-01929"/>
        <s v="CLI-00930"/>
        <s v="CLI-01508"/>
        <s v="CLI-00184"/>
        <s v="CLI-00957"/>
        <s v="CLI-01154"/>
        <s v="CLI-00853"/>
        <s v="CLI-01893"/>
        <s v="CLI-01325"/>
        <s v="CLI-01646"/>
        <s v="CLI-01197"/>
        <s v="CLI-01768"/>
        <s v="CLI-01637"/>
        <s v="CLI-01309"/>
        <s v="CLI-01096"/>
        <s v="CLI-01839"/>
        <s v="CLI-00377"/>
        <s v="CLI-01330"/>
        <s v="CLI-01563"/>
        <s v="CLI-00849"/>
        <s v="CLI-01749"/>
        <s v="CLI-01380"/>
        <s v="CLI-01013"/>
        <s v="CLI-01602"/>
        <s v="CLI-00388"/>
        <s v="CLI-00857"/>
        <s v="CLI-00370"/>
        <s v="CLI-00022"/>
        <s v="CLI-00663"/>
        <s v="CLI-01917"/>
        <s v="CLI-00520"/>
        <s v="CLI-01823"/>
        <s v="CLI-01598"/>
        <s v="CLI-00569"/>
        <s v="CLI-01814"/>
        <s v="CLI-01950"/>
        <s v="CLI-01435"/>
        <s v="CLI-01933"/>
        <s v="CLI-01431"/>
        <s v="CLI-01234"/>
        <s v="CLI-01573"/>
        <s v="CLI-00925"/>
        <s v="CLI-01144"/>
        <s v="CLI-01885"/>
        <s v="CLI-00590"/>
        <s v="CLI-00442"/>
        <s v="CLI-01402"/>
        <s v="CLI-00939"/>
        <s v="CLI-00481"/>
        <s v="CLI-00094"/>
        <s v="CLI-01087"/>
        <s v="CLI-01023"/>
        <s v="CLI-01014"/>
        <s v="CLI-00983"/>
        <s v="CLI-01348"/>
        <s v="CLI-01855"/>
        <s v="CLI-01776"/>
        <s v="CLI-01845"/>
        <s v="CLI-00230"/>
        <s v="CLI-01361"/>
        <s v="CLI-01189"/>
        <s v="CLI-01524"/>
        <s v="CLI-00973"/>
        <s v="CLI-01294"/>
        <s v="CLI-00655"/>
        <s v="CLI-00243"/>
        <s v="CLI-01407"/>
        <s v="CLI-00760"/>
        <s v="CLI-00054"/>
        <s v="CLI-01351"/>
        <s v="CLI-01766"/>
        <s v="CLI-00492"/>
        <s v="CLI-00131"/>
        <s v="CLI-00505"/>
        <s v="CLI-00044"/>
        <s v="CLI-01850"/>
        <s v="CLI-00485"/>
        <s v="CLI-01470"/>
        <s v="CLI-00227"/>
        <s v="CLI-01638"/>
        <s v="CLI-01437"/>
        <s v="CLI-00509"/>
        <s v="CLI-00150"/>
        <s v="CLI-01822"/>
        <s v="CLI-01034"/>
        <s v="CLI-00887"/>
        <s v="CLI-00881"/>
        <s v="CLI-00964"/>
        <s v="CLI-00345"/>
        <s v="CLI-00076"/>
        <s v="CLI-00327"/>
        <s v="CLI-01603"/>
        <s v="CLI-01347"/>
        <s v="CLI-01017"/>
        <s v="CLI-00488"/>
        <s v="CLI-00901"/>
        <s v="CLI-01433"/>
        <s v="CLI-01967"/>
        <s v="CLI-00610"/>
        <s v="CLI-01597"/>
        <s v="CLI-00682"/>
        <s v="CLI-00535"/>
        <s v="CLI-00136"/>
        <s v="CLI-01424"/>
        <s v="CLI-00773"/>
        <s v="CLI-01529"/>
        <s v="CLI-00059"/>
        <s v="CLI-01844"/>
        <s v="CLI-00695"/>
        <s v="CLI-00893"/>
        <s v="CLI-00338"/>
        <s v="CLI-00190"/>
        <s v="CLI-00414"/>
        <s v="CLI-01128"/>
        <s v="CLI-01480"/>
        <s v="CLI-00114"/>
        <s v="CLI-01076"/>
        <s v="CLI-01510"/>
        <s v="CLI-00447"/>
        <s v="CLI-00521"/>
        <s v="CLI-00868"/>
        <s v="CLI-01986"/>
        <s v="CLI-01241"/>
        <s v="CLI-00206"/>
        <s v="CLI-01037"/>
        <s v="CLI-01735"/>
        <s v="CLI-01732"/>
        <s v="CLI-00029"/>
        <s v="CLI-01740"/>
        <s v="CLI-00546"/>
        <s v="CLI-01059"/>
        <s v="CLI-00254"/>
        <s v="CLI-01662"/>
        <s v="CLI-00559"/>
        <s v="CLI-01320"/>
        <s v="CLI-00087"/>
        <s v="CLI-00834"/>
        <s v="CLI-01972"/>
        <s v="CLI-01705"/>
        <s v="CLI-00072"/>
        <s v="CLI-00519"/>
        <s v="CLI-01494"/>
        <s v="CLI-00057"/>
        <s v="CLI-01314"/>
        <s v="CLI-00279"/>
        <s v="CLI-00169"/>
        <s v="CLI-00671"/>
        <s v="CLI-00537"/>
        <s v="CLI-00121"/>
        <s v="CLI-01880"/>
        <s v="CLI-01139"/>
        <s v="CLI-00315"/>
        <s v="CLI-01344"/>
        <s v="CLI-00433"/>
        <s v="CLI-00996"/>
        <s v="CLI-01932"/>
        <s v="CLI-01726"/>
        <s v="CLI-00484"/>
        <s v="CLI-01069"/>
        <s v="CLI-01651"/>
        <s v="CLI-00632"/>
        <s v="CLI-01685"/>
        <s v="CLI-00410"/>
        <s v="CLI-01624"/>
        <s v="CLI-01506"/>
        <s v="CLI-00758"/>
        <s v="CLI-01736"/>
        <s v="CLI-01420"/>
        <s v="CLI-00291"/>
        <s v="CLI-00240"/>
        <s v="CLI-00739"/>
        <s v="CLI-00647"/>
        <s v="CLI-01873"/>
        <s v="CLI-01992"/>
        <s v="CLI-01200"/>
        <s v="CLI-00009"/>
        <s v="CLI-00218"/>
        <s v="CLI-01990"/>
        <s v="CLI-00943"/>
        <s v="CLI-00552"/>
        <s v="CLI-00280"/>
        <s v="CLI-01974"/>
        <s v="CLI-01720"/>
        <s v="CLI-01208"/>
        <s v="CLI-00297"/>
        <s v="CLI-01960"/>
        <s v="CLI-00805"/>
        <s v="CLI-01891"/>
        <s v="CLI-00070"/>
        <s v="CLI-00862"/>
        <s v="CLI-00929"/>
        <s v="CLI-01793"/>
        <s v="CLI-00173"/>
        <s v="CLI-01284"/>
        <s v="CLI-00306"/>
        <s v="CLI-01931"/>
        <s v="CLI-00368"/>
        <s v="CLI-01836"/>
        <s v="CLI-00310"/>
        <s v="CLI-01999"/>
        <s v="CLI-01709"/>
        <s v="CLI-01926"/>
        <s v="CLI-00662"/>
        <s v="CLI-01485"/>
        <s v="CLI-00185"/>
        <s v="CLI-00563"/>
        <s v="CLI-00650"/>
        <s v="CLI-00965"/>
        <s v="CLI-01408"/>
        <s v="CLI-00349"/>
        <s v="CLI-00783"/>
        <s v="CLI-00580"/>
        <s v="CLI-00176"/>
        <s v="CLI-01461"/>
        <s v="CLI-01010"/>
        <s v="CLI-00576"/>
        <s v="CLI-01475"/>
        <s v="CLI-01782"/>
        <s v="CLI-01804"/>
        <s v="CLI-00523"/>
        <s v="CLI-00530"/>
        <s v="CLI-01761"/>
        <s v="CLI-01505"/>
        <s v="CLI-01698"/>
        <s v="CLI-01588"/>
        <s v="CLI-01908"/>
        <s v="CLI-01653"/>
        <s v="CLI-00642"/>
        <s v="CLI-00219"/>
        <s v="CLI-01686"/>
        <s v="CLI-01511"/>
        <s v="CLI-01058"/>
        <s v="CLI-01254"/>
        <s v="CLI-00822"/>
        <s v="CLI-00879"/>
        <s v="CLI-01194"/>
        <s v="CLI-01224"/>
        <s v="CLI-01149"/>
        <s v="CLI-01196"/>
        <s v="CLI-01396"/>
        <s v="CLI-01450"/>
        <s v="CLI-00365"/>
        <s v="CLI-00643"/>
        <s v="CLI-00288"/>
        <s v="CLI-01533"/>
        <s v="CLI-01724"/>
        <s v="CLI-01824"/>
        <s v="CLI-00165"/>
        <s v="CLI-00512"/>
        <s v="CLI-00841"/>
        <s v="CLI-00469"/>
        <s v="CLI-00948"/>
        <s v="CLI-00533"/>
        <s v="CLI-00595"/>
        <s v="CLI-01454"/>
        <s v="CLI-01788"/>
        <s v="CLI-00091"/>
        <s v="CLI-00582"/>
        <s v="CLI-01042"/>
        <s v="CLI-01658"/>
        <s v="CLI-00361"/>
        <s v="CLI-00248"/>
        <s v="CLI-01812"/>
        <s v="CLI-01964"/>
        <s v="CLI-00115"/>
        <s v="CLI-01093"/>
        <s v="CLI-00634"/>
        <s v="CLI-01888"/>
        <s v="CLI-01550"/>
        <s v="CLI-00483"/>
        <s v="CLI-01007"/>
        <s v="CLI-00866"/>
        <s v="CLI-00806"/>
        <s v="CLI-00183"/>
        <s v="CLI-01162"/>
        <s v="CLI-01077"/>
        <s v="CLI-00435"/>
        <s v="CLI-01226"/>
        <s v="CLI-01032"/>
        <s v="CLI-00387"/>
        <s v="CLI-00471"/>
        <s v="CLI-00335"/>
        <s v="CLI-01549"/>
        <s v="CLI-00674"/>
        <s v="CLI-00090"/>
        <s v="CLI-01499"/>
        <s v="CLI-00817"/>
        <s v="CLI-00837"/>
        <s v="CLI-01683"/>
        <s v="CLI-00329"/>
        <s v="CLI-01122"/>
        <s v="CLI-00670"/>
        <s v="CLI-01621"/>
        <s v="CLI-01287"/>
        <s v="CLI-00043"/>
        <s v="CLI-00346"/>
        <s v="CLI-01230"/>
        <s v="CLI-01773"/>
        <s v="CLI-00391"/>
        <s v="CLI-01489"/>
        <s v="CLI-01938"/>
        <s v="CLI-00786"/>
        <s v="CLI-00196"/>
        <s v="CLI-01794"/>
        <s v="CLI-01626"/>
        <s v="CLI-00376"/>
        <s v="CLI-00905"/>
        <s v="CLI-00194"/>
        <s v="CLI-00808"/>
        <s v="CLI-00825"/>
        <s v="CLI-00745"/>
        <s v="CLI-01911"/>
        <s v="CLI-00768"/>
        <s v="CLI-01854"/>
        <s v="CLI-00250"/>
        <s v="CLI-01796"/>
        <s v="CLI-01666"/>
        <s v="CLI-00274"/>
        <s v="CLI-00407"/>
        <s v="CLI-01695"/>
        <s v="CLI-01940"/>
        <s v="CLI-01565"/>
        <s v="CLI-01453"/>
        <s v="CLI-00192"/>
        <s v="CLI-01078"/>
        <s v="CLI-00928"/>
        <s v="CLI-00100"/>
        <s v="CLI-01319"/>
        <s v="CLI-00145"/>
        <s v="CLI-01837"/>
        <s v="CLI-01484"/>
        <s v="CLI-00649"/>
        <s v="CLI-01118"/>
        <s v="CLI-01404"/>
        <s v="CLI-01982"/>
        <s v="CLI-01923"/>
        <s v="CLI-00107"/>
        <s v="CLI-01180"/>
        <s v="CLI-01906"/>
        <s v="CLI-01877"/>
        <s v="CLI-00924"/>
        <s v="CLI-01455"/>
        <s v="CLI-00540"/>
        <s v="CLI-00305"/>
        <s v="CLI-01988"/>
        <s v="CLI-00231"/>
        <s v="CLI-00158"/>
        <s v="CLI-01021"/>
        <s v="CLI-01394"/>
        <s v="CLI-00167"/>
        <s v="CLI-01170"/>
        <s v="CLI-01229"/>
        <s v="CLI-00296"/>
        <s v="CLI-00359"/>
        <s v="CLI-01322"/>
        <s v="CLI-00112"/>
        <s v="CLI-00491"/>
        <s v="CLI-00788"/>
        <s v="CLI-01664"/>
        <s v="CLI-00562"/>
        <s v="CLI-01680"/>
        <s v="CLI-00821"/>
        <s v="CLI-00884"/>
        <s v="CLI-00961"/>
        <s v="CLI-00815"/>
        <s v="CLI-01451"/>
        <s v="CLI-00271"/>
        <s v="CLI-01304"/>
        <s v="CLI-01005"/>
        <s v="CLI-01617"/>
        <s v="CLI-01405"/>
        <s v="CLI-00980"/>
        <s v="CLI-00534"/>
        <s v="CLI-00356"/>
        <s v="CLI-00373"/>
        <s v="CLI-00460"/>
        <s v="CLI-01326"/>
        <s v="CLI-00424"/>
        <s v="CLI-01166"/>
        <s v="CLI-01121"/>
        <s v="CLI-00334"/>
        <s v="CLI-00439"/>
        <s v="CLI-00909"/>
        <s v="CLI-01694"/>
        <s v="CLI-00102"/>
        <s v="CLI-01266"/>
        <s v="CLI-01818"/>
        <s v="CLI-00782"/>
        <s v="CLI-00584"/>
        <s v="CLI-01668"/>
        <s v="CLI-01340"/>
        <s v="CLI-00316"/>
        <s v="CLI-00247"/>
        <s v="CLI-00612"/>
        <s v="CLI-01006"/>
        <s v="CLI-00886"/>
        <s v="CLI-00636"/>
        <s v="CLI-01403"/>
        <s v="CLI-01236"/>
        <s v="CLI-00269"/>
        <s v="CLI-00736"/>
        <s v="CLI-01363"/>
        <s v="CLI-00197"/>
        <s v="CLI-01981"/>
        <s v="CLI-01050"/>
        <s v="CLI-01783"/>
        <s v="CLI-01003"/>
        <s v="CLI-00913"/>
        <s v="CLI-00795"/>
        <s v="CLI-00976"/>
        <s v="CLI-00550"/>
        <s v="CLI-01544"/>
        <s v="CLI-01722"/>
        <s v="CLI-01654"/>
        <s v="CLI-01847"/>
        <s v="CLI-01816"/>
        <s v="CLI-00755"/>
        <s v="CLI-01258"/>
        <s v="CLI-00382"/>
        <s v="CLI-00890"/>
        <s v="CLI-01292"/>
        <s v="CLI-00873"/>
        <s v="CLI-00191"/>
        <s v="CLI-00083"/>
        <s v="CLI-01052"/>
        <s v="CLI-00700"/>
        <s v="CLI-00950"/>
        <s v="CLI-01386"/>
        <s v="CLI-01704"/>
        <s v="CLI-01327"/>
        <s v="CLI-01406"/>
        <s v="CLI-00318"/>
        <s v="CLI-01015"/>
        <s v="CLI-01080"/>
        <s v="CLI-01290"/>
        <s v="CLI-01473"/>
        <s v="CLI-01075"/>
        <s v="CLI-01971"/>
        <s v="CLI-00596"/>
        <s v="CLI-01871"/>
        <s v="CLI-00896"/>
        <s v="CLI-00163"/>
        <s v="CLI-00979"/>
        <s v="CLI-00616"/>
        <s v="CLI-01578"/>
        <s v="CLI-01604"/>
        <s v="CLI-01669"/>
        <s v="CLI-01419"/>
        <s v="CLI-00510"/>
        <s v="CLI-01072"/>
        <s v="CLI-00876"/>
        <s v="CLI-00606"/>
        <s v="CLI-01165"/>
        <s v="CLI-00098"/>
        <s v="CLI-01129"/>
        <s v="CLI-00157"/>
        <s v="CLI-00093"/>
        <s v="CLI-01438"/>
        <s v="CLI-00221"/>
        <s v="CLI-01046"/>
        <s v="CLI-00871"/>
        <s v="CLI-01820"/>
        <s v="CLI-01530"/>
        <s v="CLI-00952"/>
        <s v="CLI-01354"/>
        <s v="CLI-01410"/>
        <s v="CLI-01868"/>
        <s v="CLI-00728"/>
        <s v="CLI-00522"/>
        <s v="CLI-01542"/>
        <s v="CLI-00168"/>
        <s v="CLI-01619"/>
        <s v="CLI-00034"/>
        <s v="CLI-00234"/>
        <s v="CLI-01355"/>
        <s v="CLI-01731"/>
        <s v="CLI-01622"/>
        <s v="CLI-00374"/>
        <s v="CLI-01861"/>
        <s v="CLI-01432"/>
        <s v="CLI-00171"/>
        <s v="CLI-01535"/>
        <s v="CLI-01843"/>
        <s v="CLI-01780"/>
        <s v="CLI-01203"/>
        <s v="CLI-00932"/>
        <s v="CLI-01373"/>
        <s v="CLI-00922"/>
        <s v="CLI-01278"/>
        <s v="CLI-00543"/>
        <s v="CLI-01728"/>
        <s v="CLI-00384"/>
        <s v="CLI-01496"/>
        <s v="CLI-00380"/>
        <s v="CLI-00161"/>
        <s v="CLI-01238"/>
        <s v="CLI-00532"/>
        <s v="CLI-01520"/>
        <s v="CLI-00889"/>
        <s v="CLI-01095"/>
        <s v="CLI-00037"/>
        <s v="CLI-01759"/>
        <s v="CLI-01629"/>
        <s v="CLI-00239"/>
        <s v="CLI-00028"/>
        <s v="CLI-00352"/>
        <s v="CLI-01503"/>
        <s v="CLI-00978"/>
        <s v="CLI-01876"/>
        <s v="CLI-00830"/>
        <s v="CLI-01507"/>
        <s v="CLI-01969"/>
        <s v="CLI-00997"/>
        <s v="CLI-00621"/>
        <s v="CLI-01267"/>
        <s v="CLI-01264"/>
        <s v="CLI-01600"/>
        <s v="CLI-01360"/>
        <s v="CLI-01630"/>
        <s v="CLI-00180"/>
        <s v="CLI-00257"/>
        <s v="CLI-00277"/>
        <s v="CLI-01714"/>
        <s v="CLI-01701"/>
        <s v="CLI-01949"/>
        <s v="CLI-00033"/>
        <s v="CLI-00386"/>
        <s v="CLI-00055"/>
        <s v="CLI-00429"/>
        <s v="CLI-00986"/>
        <s v="CLI-01329"/>
        <s v="CLI-00298"/>
        <s v="CLI-00496"/>
        <s v="CLI-01591"/>
        <s v="CLI-01283"/>
        <s v="CLI-01104"/>
        <s v="CLI-01339"/>
        <s v="CLI-00177"/>
        <s v="CLI-01848"/>
        <s v="CLI-01436"/>
        <s v="CLI-01555"/>
        <s v="CLI-00971"/>
        <s v="CLI-01998"/>
        <s v="CLI-00045"/>
        <s v="CLI-01543"/>
        <s v="CLI-00341"/>
        <s v="CLI-00313"/>
        <s v="CLI-00912"/>
        <s v="CLI-01595"/>
        <s v="CLI-00966"/>
        <s v="CLI-01975"/>
        <s v="CLI-00921"/>
        <s v="CLI-01199"/>
        <s v="CLI-00497"/>
        <s v="CLI-00413"/>
        <s v="CLI-00604"/>
        <s v="CLI-01167"/>
        <s v="CLI-00803"/>
        <s v="CLI-00105"/>
        <s v="CLI-00684"/>
        <s v="CLI-01851"/>
        <s v="CLI-00211"/>
        <s v="CLI-01442"/>
        <s v="CLI-00885"/>
        <s v="CLI-00852"/>
        <s v="CLI-01016"/>
        <s v="CLI-01186"/>
        <s v="CLI-01221"/>
        <s v="CLI-01136"/>
        <s v="CLI-01797"/>
        <s v="CLI-01995"/>
        <s v="CLI-00999"/>
        <s v="CLI-00819"/>
        <s v="CLI-01977"/>
        <s v="CLI-01765"/>
        <s v="CLI-01211"/>
        <s v="CLI-01253"/>
        <s v="CLI-01000"/>
        <s v="CLI-00475"/>
        <s v="CLI-00125"/>
        <s v="CLI-01082"/>
        <s v="CLI-00039"/>
        <s v="CLI-01832"/>
        <s v="CLI-01181"/>
        <s v="CLI-01589"/>
        <s v="CLI-01134"/>
        <s v="CLI-01966"/>
        <s v="CLI-00549"/>
        <s v="CLI-00855"/>
        <s v="CLI-00970"/>
        <s v="CLI-01890"/>
        <s v="CLI-01566"/>
        <s v="CLI-00711"/>
        <s v="CLI-00919"/>
        <s v="CLI-01568"/>
        <s v="CLI-01479"/>
        <s v="CLI-00331"/>
        <s v="CLI-01697"/>
        <s v="CLI-00394"/>
        <s v="CLI-00962"/>
        <s v="CLI-00705"/>
        <s v="CLI-00898"/>
        <s v="CLI-00476"/>
        <s v="CLI-01040"/>
        <s v="CLI-00450"/>
        <s v="CLI-01204"/>
        <s v="CLI-01830"/>
        <s v="CLI-01488"/>
        <s v="CLI-00960"/>
        <s v="CLI-01463"/>
        <s v="CLI-00601"/>
        <s v="CLI-00800"/>
      </sharedItems>
    </cacheField>
    <cacheField name="Client.Province_Client" numFmtId="0">
      <sharedItems count="26">
        <s v="Tanganyika"/>
        <s v="Ituri"/>
        <s v="Kongo-Central"/>
        <s v="Tshuapa"/>
        <s v="Kasai-Central"/>
        <s v="Mongala"/>
        <s v="Kinshasa"/>
        <s v="Haut-Lomami"/>
        <s v="Kwango"/>
        <s v="Sud-Kivu"/>
        <s v="Lomami"/>
        <s v="Haut-Katanga"/>
        <s v="Bas-Uele"/>
        <s v="Kasai"/>
        <s v="Kwilu"/>
        <s v="Sud-Ubangi"/>
        <s v="Maniema"/>
        <s v="Sankuru"/>
        <s v="Equateur"/>
        <s v="Mai-Ndombe"/>
        <s v="Nord-Kivu"/>
        <s v="Tshopo"/>
        <s v="Kasai-Oriental"/>
        <s v="Nord-Ubangi"/>
        <s v="Lualaba"/>
        <s v="Haut-Uele"/>
      </sharedItems>
    </cacheField>
    <cacheField name="Anciennete_Mois" numFmtId="0">
      <sharedItems/>
    </cacheField>
    <cacheField name="Client.Anciennete_Mois2" numFmtId="0">
      <sharedItems containsSemiMixedTypes="0" containsString="0" containsNumber="1" containsInteger="1" minValue="1" maxValue="120"/>
    </cacheField>
    <cacheField name="Client.Type_Forfait" numFmtId="0">
      <sharedItems count="4">
        <s v="Bloqué 5Go"/>
        <s v="Pro Monde"/>
        <s v="Illimité 50Go"/>
        <s v="Premium 5G 150Go"/>
      </sharedItems>
    </cacheField>
    <cacheField name="Duree_Cumulee_Panne" numFmtId="0">
      <sharedItems containsSemiMixedTypes="0" containsNonDate="0" containsDate="1" containsString="0" minDate="1899-12-30T00:01:00" maxDate="1899-12-30T08:19:00" count="388">
        <d v="1899-12-30T02:56:00"/>
        <d v="1899-12-30T05:06:00"/>
        <d v="1899-12-30T06:47:00"/>
        <d v="1899-12-30T03:39:00"/>
        <d v="1899-12-30T02:04:00"/>
        <d v="1899-12-30T07:00:00"/>
        <d v="1899-12-30T01:16:00"/>
        <d v="1899-12-30T01:52:00"/>
        <d v="1899-12-30T02:22:00"/>
        <d v="1899-12-30T06:32:00"/>
        <d v="1899-12-30T04:08:00"/>
        <d v="1899-12-30T01:26:00"/>
        <d v="1899-12-30T01:00:00"/>
        <d v="1899-12-30T05:11:00"/>
        <d v="1899-12-30T06:31:00"/>
        <d v="1899-12-30T01:55:00"/>
        <d v="1899-12-30T00:01:00"/>
        <d v="1899-12-30T00:04:00"/>
        <d v="1899-12-30T04:22:00"/>
        <d v="1899-12-30T01:08:00"/>
        <d v="1899-12-30T06:15:00"/>
        <d v="1899-12-30T03:33:00"/>
        <d v="1899-12-30T00:11:00"/>
        <d v="1899-12-30T07:26:00"/>
        <d v="1899-12-30T03:34:00"/>
        <d v="1899-12-30T01:45:00"/>
        <d v="1899-12-30T00:43:00"/>
        <d v="1899-12-30T02:17:00"/>
        <d v="1899-12-30T00:09:00"/>
        <d v="1899-12-30T03:27:00"/>
        <d v="1899-12-30T01:56:00"/>
        <d v="1899-12-30T02:45:00"/>
        <d v="1899-12-30T02:41:00"/>
        <d v="1899-12-30T04:34:00"/>
        <d v="1899-12-30T05:56:00"/>
        <d v="1899-12-30T04:50:00"/>
        <d v="1899-12-30T01:42:00"/>
        <d v="1899-12-30T07:41:00"/>
        <d v="1899-12-30T00:21:00"/>
        <d v="1899-12-30T06:09:00"/>
        <d v="1899-12-30T05:50:00"/>
        <d v="1899-12-30T08:07:00"/>
        <d v="1899-12-30T03:14:00"/>
        <d v="1899-12-30T01:51:00"/>
        <d v="1899-12-30T04:33:00"/>
        <d v="1899-12-30T07:32:00"/>
        <d v="1899-12-30T05:28:00"/>
        <d v="1899-12-30T04:04:00"/>
        <d v="1899-12-30T01:15:00"/>
        <d v="1899-12-30T05:55:00"/>
        <d v="1899-12-30T06:04:00"/>
        <d v="1899-12-30T05:33:00"/>
        <d v="1899-12-30T06:37:00"/>
        <d v="1899-12-30T07:40:00"/>
        <d v="1899-12-30T00:31:00"/>
        <d v="1899-12-30T07:33:00"/>
        <d v="1899-12-30T03:52:00"/>
        <d v="1899-12-30T01:47:00"/>
        <d v="1899-12-30T03:56:00"/>
        <d v="1899-12-30T05:32:00"/>
        <d v="1899-12-30T06:58:00"/>
        <d v="1899-12-30T07:01:00"/>
        <d v="1899-12-30T00:27:00"/>
        <d v="1899-12-30T02:52:00"/>
        <d v="1899-12-30T03:51:00"/>
        <d v="1899-12-30T03:25:00"/>
        <d v="1899-12-30T02:23:00"/>
        <d v="1899-12-30T06:55:00"/>
        <d v="1899-12-30T01:38:00"/>
        <d v="1899-12-30T00:06:00"/>
        <d v="1899-12-30T05:04:00"/>
        <d v="1899-12-30T03:47:00"/>
        <d v="1899-12-30T03:50:00"/>
        <d v="1899-12-30T01:48:00"/>
        <d v="1899-12-30T03:30:00"/>
        <d v="1899-12-30T04:30:00"/>
        <d v="1899-12-30T03:07:00"/>
        <d v="1899-12-30T04:36:00"/>
        <d v="1899-12-30T04:52:00"/>
        <d v="1899-12-30T04:51:00"/>
        <d v="1899-12-30T06:56:00"/>
        <d v="1899-12-30T04:28:00"/>
        <d v="1899-12-30T02:40:00"/>
        <d v="1899-12-30T07:51:00"/>
        <d v="1899-12-30T06:43:00"/>
        <d v="1899-12-30T04:43:00"/>
        <d v="1899-12-30T05:17:00"/>
        <d v="1899-12-30T00:51:00"/>
        <d v="1899-12-30T05:00:00"/>
        <d v="1899-12-30T05:34:00"/>
        <d v="1899-12-30T06:34:00"/>
        <d v="1899-12-30T00:52:00"/>
        <d v="1899-12-30T06:29:00"/>
        <d v="1899-12-30T03:49:00"/>
        <d v="1899-12-30T07:42:00"/>
        <d v="1899-12-30T05:03:00"/>
        <d v="1899-12-30T01:54:00"/>
        <d v="1899-12-30T00:20:00"/>
        <d v="1899-12-30T02:53:00"/>
        <d v="1899-12-30T06:10:00"/>
        <d v="1899-12-30T02:54:00"/>
        <d v="1899-12-30T00:34:00"/>
        <d v="1899-12-30T03:12:00"/>
        <d v="1899-12-30T01:31:00"/>
        <d v="1899-12-30T03:42:00"/>
        <d v="1899-12-30T08:16:00"/>
        <d v="1899-12-30T05:38:00"/>
        <d v="1899-12-30T07:31:00"/>
        <d v="1899-12-30T07:09:00"/>
        <d v="1899-12-30T02:28:00"/>
        <d v="1899-12-30T02:35:00"/>
        <d v="1899-12-30T07:16:00"/>
        <d v="1899-12-30T02:18:00"/>
        <d v="1899-12-30T02:05:00"/>
        <d v="1899-12-30T02:09:00"/>
        <d v="1899-12-30T03:46:00"/>
        <d v="1899-12-30T04:20:00"/>
        <d v="1899-12-30T00:14:00"/>
        <d v="1899-12-30T01:35:00"/>
        <d v="1899-12-30T06:28:00"/>
        <d v="1899-12-30T02:16:00"/>
        <d v="1899-12-30T03:57:00"/>
        <d v="1899-12-30T03:11:00"/>
        <d v="1899-12-30T02:01:00"/>
        <d v="1899-12-30T03:10:00"/>
        <d v="1899-12-30T01:20:00"/>
        <d v="1899-12-30T05:48:00"/>
        <d v="1899-12-30T00:33:00"/>
        <d v="1899-12-30T00:55:00"/>
        <d v="1899-12-30T07:43:00"/>
        <d v="1899-12-30T03:35:00"/>
        <d v="1899-12-30T08:02:00"/>
        <d v="1899-12-30T04:15:00"/>
        <d v="1899-12-30T07:24:00"/>
        <d v="1899-12-30T08:09:00"/>
        <d v="1899-12-30T00:03:00"/>
        <d v="1899-12-30T08:06:00"/>
        <d v="1899-12-30T04:23:00"/>
        <d v="1899-12-30T08:08:00"/>
        <d v="1899-12-30T06:21:00"/>
        <d v="1899-12-30T06:38:00"/>
        <d v="1899-12-30T05:45:00"/>
        <d v="1899-12-30T03:53:00"/>
        <d v="1899-12-30T03:36:00"/>
        <d v="1899-12-30T07:03:00"/>
        <d v="1899-12-30T07:47:00"/>
        <d v="1899-12-30T04:53:00"/>
        <d v="1899-12-30T04:56:00"/>
        <d v="1899-12-30T05:57:00"/>
        <d v="1899-12-30T04:45:00"/>
        <d v="1899-12-30T02:34:00"/>
        <d v="1899-12-30T01:27:00"/>
        <d v="1899-12-30T04:59:00"/>
        <d v="1899-12-30T05:47:00"/>
        <d v="1899-12-30T04:02:00"/>
        <d v="1899-12-30T04:10:00"/>
        <d v="1899-12-30T05:52:00"/>
        <d v="1899-12-30T07:30:00"/>
        <d v="1899-12-30T08:13:00"/>
        <d v="1899-12-30T07:19:00"/>
        <d v="1899-12-30T05:27:00"/>
        <d v="1899-12-30T05:58:00"/>
        <d v="1899-12-30T07:34:00"/>
        <d v="1899-12-30T02:02:00"/>
        <d v="1899-12-30T05:05:00"/>
        <d v="1899-12-30T01:59:00"/>
        <d v="1899-12-30T00:05:00"/>
        <d v="1899-12-30T07:23:00"/>
        <d v="1899-12-30T05:40:00"/>
        <d v="1899-12-30T05:54:00"/>
        <d v="1899-12-30T01:29:00"/>
        <d v="1899-12-30T00:40:00"/>
        <d v="1899-12-30T02:32:00"/>
        <d v="1899-12-30T03:16:00"/>
        <d v="1899-12-30T05:26:00"/>
        <d v="1899-12-30T06:11:00"/>
        <d v="1899-12-30T00:22:00"/>
        <d v="1899-12-30T07:53:00"/>
        <d v="1899-12-30T01:25:00"/>
        <d v="1899-12-30T08:03:00"/>
        <d v="1899-12-30T07:56:00"/>
        <d v="1899-12-30T01:34:00"/>
        <d v="1899-12-30T00:13:00"/>
        <d v="1899-12-30T05:29:00"/>
        <d v="1899-12-30T01:41:00"/>
        <d v="1899-12-30T06:25:00"/>
        <d v="1899-12-30T02:06:00"/>
        <d v="1899-12-30T07:22:00"/>
        <d v="1899-12-30T04:06:00"/>
        <d v="1899-12-30T04:01:00"/>
        <d v="1899-12-30T06:27:00"/>
        <d v="1899-12-30T06:45:00"/>
        <d v="1899-12-30T03:44:00"/>
        <d v="1899-12-30T00:54:00"/>
        <d v="1899-12-30T01:33:00"/>
        <d v="1899-12-30T07:10:00"/>
        <d v="1899-12-30T03:26:00"/>
        <d v="1899-12-30T04:13:00"/>
        <d v="1899-12-30T07:55:00"/>
        <d v="1899-12-30T00:35:00"/>
        <d v="1899-12-30T07:27:00"/>
        <d v="1899-12-30T04:12:00"/>
        <d v="1899-12-30T04:07:00"/>
        <d v="1899-12-30T04:44:00"/>
        <d v="1899-12-30T05:19:00"/>
        <d v="1899-12-30T00:15:00"/>
        <d v="1899-12-30T05:44:00"/>
        <d v="1899-12-30T04:58:00"/>
        <d v="1899-12-30T03:38:00"/>
        <d v="1899-12-30T02:07:00"/>
        <d v="1899-12-30T05:12:00"/>
        <d v="1899-12-30T06:40:00"/>
        <d v="1899-12-30T03:28:00"/>
        <d v="1899-12-30T04:24:00"/>
        <d v="1899-12-30T03:02:00"/>
        <d v="1899-12-30T00:07:00"/>
        <d v="1899-12-30T03:54:00"/>
        <d v="1899-12-30T03:08:00"/>
        <d v="1899-12-30T05:25:00"/>
        <d v="1899-12-30T03:00:00"/>
        <d v="1899-12-30T06:08:00"/>
        <d v="1899-12-30T05:30:00"/>
        <d v="1899-12-30T03:48:00"/>
        <d v="1899-12-30T00:18:00"/>
        <d v="1899-12-30T03:19:00"/>
        <d v="1899-12-30T02:12:00"/>
        <d v="1899-12-30T01:43:00"/>
        <d v="1899-12-30T08:00:00"/>
        <d v="1899-12-30T05:36:00"/>
        <d v="1899-12-30T07:15:00"/>
        <d v="1899-12-30T08:11:00"/>
        <d v="1899-12-30T02:03:00"/>
        <d v="1899-12-30T07:05:00"/>
        <d v="1899-12-30T06:44:00"/>
        <d v="1899-12-30T06:02:00"/>
        <d v="1899-12-30T03:37:00"/>
        <d v="1899-12-30T05:59:00"/>
        <d v="1899-12-30T04:57:00"/>
        <d v="1899-12-30T04:00:00"/>
        <d v="1899-12-30T01:11:00"/>
        <d v="1899-12-30T06:20:00"/>
        <d v="1899-12-30T04:35:00"/>
        <d v="1899-12-30T06:42:00"/>
        <d v="1899-12-30T06:05:00"/>
        <d v="1899-12-30T08:04:00"/>
        <d v="1899-12-30T01:49:00"/>
        <d v="1899-12-30T05:20:00"/>
        <d v="1899-12-30T02:55:00"/>
        <d v="1899-12-30T08:18:00"/>
        <d v="1899-12-30T02:29:00"/>
        <d v="1899-12-30T08:05:00"/>
        <d v="1899-12-30T03:23:00"/>
        <d v="1899-12-30T05:23:00"/>
        <d v="1899-12-30T02:00:00"/>
        <d v="1899-12-30T07:54:00"/>
        <d v="1899-12-30T05:43:00"/>
        <d v="1899-12-30T00:26:00"/>
        <d v="1899-12-30T02:33:00"/>
        <d v="1899-12-30T00:42:00"/>
        <d v="1899-12-30T07:45:00"/>
        <d v="1899-12-30T04:38:00"/>
        <d v="1899-12-30T02:42:00"/>
        <d v="1899-12-30T04:42:00"/>
        <d v="1899-12-30T01:01:00"/>
        <d v="1899-12-30T03:45:00"/>
        <d v="1899-12-30T01:03:00"/>
        <d v="1899-12-30T05:39:00"/>
        <d v="1899-12-30T00:39:00"/>
        <d v="1899-12-30T06:23:00"/>
        <d v="1899-12-30T00:41:00"/>
        <d v="1899-12-30T05:16:00"/>
        <d v="1899-12-30T05:24:00"/>
        <d v="1899-12-30T02:48:00"/>
        <d v="1899-12-30T07:52:00"/>
        <d v="1899-12-30T00:32:00"/>
        <d v="1899-12-30T05:21:00"/>
        <d v="1899-12-30T05:10:00"/>
        <d v="1899-12-30T03:13:00"/>
        <d v="1899-12-30T08:14:00"/>
        <d v="1899-12-30T04:18:00"/>
        <d v="1899-12-30T03:17:00"/>
        <d v="1899-12-30T01:04:00"/>
        <d v="1899-12-30T01:39:00"/>
        <d v="1899-12-30T05:35:00"/>
        <d v="1899-12-30T03:59:00"/>
        <d v="1899-12-30T00:23:00"/>
        <d v="1899-12-30T07:08:00"/>
        <d v="1899-12-30T01:12:00"/>
        <d v="1899-12-30T02:20:00"/>
        <d v="1899-12-30T06:30:00"/>
        <d v="1899-12-30T01:58:00"/>
        <d v="1899-12-30T06:57:00"/>
        <d v="1899-12-30T02:21:00"/>
        <d v="1899-12-30T00:49:00"/>
        <d v="1899-12-30T05:37:00"/>
        <d v="1899-12-30T06:18:00"/>
        <d v="1899-12-30T03:01:00"/>
        <d v="1899-12-30T07:13:00"/>
        <d v="1899-12-30T00:48:00"/>
        <d v="1899-12-30T06:24:00"/>
        <d v="1899-12-30T04:17:00"/>
        <d v="1899-12-30T00:37:00"/>
        <d v="1899-12-30T02:51:00"/>
        <d v="1899-12-30T02:11:00"/>
        <d v="1899-12-30T01:28:00"/>
        <d v="1899-12-30T00:28:00"/>
        <d v="1899-12-30T00:17:00"/>
        <d v="1899-12-30T00:57:00"/>
        <d v="1899-12-30T01:21:00"/>
        <d v="1899-12-30T02:31:00"/>
        <d v="1899-12-30T07:25:00"/>
        <d v="1899-12-30T00:58:00"/>
        <d v="1899-12-30T01:36:00"/>
        <d v="1899-12-30T00:45:00"/>
        <d v="1899-12-30T00:38:00"/>
        <d v="1899-12-30T02:08:00"/>
        <d v="1899-12-30T05:07:00"/>
        <d v="1899-12-30T02:46:00"/>
        <d v="1899-12-30T00:30:00"/>
        <d v="1899-12-30T03:29:00"/>
        <d v="1899-12-30T01:30:00"/>
        <d v="1899-12-30T03:18:00"/>
        <d v="1899-12-30T02:30:00"/>
        <d v="1899-12-30T05:42:00"/>
        <d v="1899-12-30T07:37:00"/>
        <d v="1899-12-30T00:47:00"/>
        <d v="1899-12-30T07:38:00"/>
        <d v="1899-12-30T01:24:00"/>
        <d v="1899-12-30T02:58:00"/>
        <d v="1899-12-30T04:03:00"/>
        <d v="1899-12-30T06:41:00"/>
        <d v="1899-12-30T07:17:00"/>
        <d v="1899-12-30T00:16:00"/>
        <d v="1899-12-30T08:19:00"/>
        <d v="1899-12-30T02:57:00"/>
        <d v="1899-12-30T05:14:00"/>
        <d v="1899-12-30T04:39:00"/>
        <d v="1899-12-30T00:02:00"/>
        <d v="1899-12-30T04:27:00"/>
        <d v="1899-12-30T06:19:00"/>
        <d v="1899-12-30T02:10:00"/>
        <d v="1899-12-30T01:02:00"/>
        <d v="1899-12-30T04:25:00"/>
        <d v="1899-12-30T01:18:00"/>
        <d v="1899-12-30T01:50:00"/>
        <d v="1899-12-30T03:06:00"/>
        <d v="1899-12-30T02:47:00"/>
        <d v="1899-12-30T01:10:00"/>
        <d v="1899-12-30T06:12:00"/>
        <d v="1899-12-30T08:01:00"/>
        <d v="1899-12-30T07:28:00"/>
        <d v="1899-12-30T00:56:00"/>
        <d v="1899-12-30T00:08:00"/>
        <d v="1899-12-30T03:55:00"/>
        <d v="1899-12-30T04:31:00"/>
        <d v="1899-12-30T02:15:00"/>
        <d v="1899-12-30T04:41:00"/>
        <d v="1899-12-30T03:40:00"/>
        <d v="1899-12-30T01:17:00"/>
        <d v="1899-12-30T02:50:00"/>
        <d v="1899-12-30T02:19:00"/>
        <d v="1899-12-30T03:09:00"/>
        <d v="1899-12-30T00:50:00"/>
        <d v="1899-12-30T00:25:00"/>
        <d v="1899-12-30T03:15:00"/>
        <d v="1899-12-30T06:14:00"/>
        <d v="1899-12-30T01:05:00"/>
        <d v="1899-12-30T04:49:00"/>
        <d v="1899-12-30T07:29:00"/>
        <d v="1899-12-30T06:26:00"/>
        <d v="1899-12-30T07:12:00"/>
        <d v="1899-12-30T03:21:00"/>
        <d v="1899-12-30T06:53:00"/>
        <d v="1899-12-30T07:04:00"/>
        <d v="1899-12-30T05:53:00"/>
        <d v="1899-12-30T02:49:00"/>
        <d v="1899-12-30T04:21:00"/>
        <d v="1899-12-30T06:07:00"/>
        <d v="1899-12-30T02:13:00"/>
        <d v="1899-12-30T01:44:00"/>
        <d v="1899-12-30T04:40:00"/>
        <d v="1899-12-30T06:52:00"/>
        <d v="1899-12-30T04:48:00"/>
        <d v="1899-12-30T07:07:00"/>
        <d v="1899-12-30T00:36:00"/>
        <d v="1899-12-30T05:13:00"/>
        <d v="1899-12-30T04:05:00"/>
        <d v="1899-12-30T01:06:00"/>
      </sharedItems>
      <fieldGroup par="24"/>
    </cacheField>
    <cacheField name="Client.Duree_Cumulee_Panne_Min" numFmtId="0">
      <sharedItems containsSemiMixedTypes="0" containsString="0" containsNumber="1" containsInteger="1" minValue="1" maxValue="499"/>
    </cacheField>
    <cacheField name="Client.Facture_Mensuelle" numFmtId="0">
      <sharedItems containsSemiMixedTypes="0" containsString="0" containsNumber="1" minValue="10" maxValue="99.93"/>
    </cacheField>
    <cacheField name="Client.Plaintes_Service_Client" numFmtId="0">
      <sharedItems containsSemiMixedTypes="0" containsString="0" containsNumber="1" containsInteger="1" minValue="0" maxValue="5" count="6">
        <n v="4"/>
        <n v="1"/>
        <n v="0"/>
        <n v="5"/>
        <n v="2"/>
        <n v="3"/>
      </sharedItems>
    </cacheField>
    <cacheField name="Remise" numFmtId="0">
      <sharedItems containsSemiMixedTypes="0" containsString="0" containsNumber="1" minValue="0.1" maxValue="0.45" count="2">
        <n v="0.45"/>
        <n v="0.1"/>
      </sharedItems>
    </cacheField>
    <cacheField name="Montant_Remise" numFmtId="0">
      <sharedItems containsSemiMixedTypes="0" containsString="0" containsNumber="1" minValue="0.01" maxValue="0.45" count="342">
        <n v="0.15"/>
        <n v="6.3E-2"/>
        <n v="0.104"/>
        <n v="5.1999999999999998E-2"/>
        <n v="0.19700000000000001"/>
        <n v="9.5000000000000001E-2"/>
        <n v="3.9E-2"/>
        <n v="0.44500000000000001"/>
        <n v="3.7999999999999999E-2"/>
        <n v="0.41899999999999998"/>
        <n v="0.312"/>
        <n v="7.8E-2"/>
        <n v="2.5999999999999999E-2"/>
        <n v="5.8999999999999997E-2"/>
        <n v="0.40600000000000003"/>
        <n v="8.5999999999999993E-2"/>
        <n v="0.30099999999999999"/>
        <n v="9.9000000000000005E-2"/>
        <n v="6.6000000000000003E-2"/>
        <n v="0.23899999999999999"/>
        <n v="0.108"/>
        <n v="0.23499999999999999"/>
        <n v="0.32600000000000001"/>
        <n v="0.438"/>
        <n v="0.33600000000000002"/>
        <n v="6.2E-2"/>
        <n v="0.254"/>
        <n v="3.3000000000000002E-2"/>
        <n v="0.45"/>
        <n v="9.7000000000000003E-2"/>
        <n v="0.107"/>
        <n v="0.17399999999999999"/>
        <n v="0.28199999999999997"/>
        <n v="0.158"/>
        <n v="0.41199999999999998"/>
        <n v="0.13"/>
        <n v="0.435"/>
        <n v="0.17299999999999999"/>
        <n v="0.36699999999999999"/>
        <n v="2.7E-2"/>
        <n v="0.379"/>
        <n v="0.311"/>
        <n v="0.218"/>
        <n v="0.122"/>
        <n v="0.42799999999999999"/>
        <n v="0.224"/>
        <n v="0.34100000000000003"/>
        <n v="6.0999999999999999E-2"/>
        <n v="0.17100000000000001"/>
        <n v="0.248"/>
        <n v="9.8000000000000004E-2"/>
        <n v="0.26800000000000002"/>
        <n v="0.39500000000000002"/>
        <n v="7.3999999999999996E-2"/>
        <n v="0.10199999999999999"/>
        <n v="0.10299999999999999"/>
        <n v="0.32"/>
        <n v="0.33900000000000002"/>
        <n v="0.19"/>
        <n v="0.3"/>
        <n v="0.22800000000000001"/>
        <n v="0.34399999999999997"/>
        <n v="0.39"/>
        <n v="0.14899999999999999"/>
        <n v="0.20499999999999999"/>
        <n v="0.38200000000000001"/>
        <n v="7.0999999999999994E-2"/>
        <n v="9.0999999999999998E-2"/>
        <n v="8.8999999999999996E-2"/>
        <n v="0.216"/>
        <n v="0.16600000000000001"/>
        <n v="7.2999999999999995E-2"/>
        <n v="0.32500000000000001"/>
        <n v="0.23400000000000001"/>
        <n v="0.375"/>
        <n v="0.13900000000000001"/>
        <n v="0.128"/>
        <n v="6.8000000000000005E-2"/>
        <n v="0.253"/>
        <n v="8.7999999999999995E-2"/>
        <n v="0.27200000000000002"/>
        <n v="0.376"/>
        <n v="5.7000000000000002E-2"/>
        <n v="0.09"/>
        <n v="7.6999999999999999E-2"/>
        <n v="0.13100000000000001"/>
        <n v="0.16300000000000001"/>
        <n v="0.255"/>
        <n v="2.8000000000000001E-2"/>
        <n v="7.9000000000000001E-2"/>
        <n v="7.1999999999999995E-2"/>
        <n v="4.5999999999999999E-2"/>
        <n v="0.442"/>
        <n v="0.121"/>
        <n v="6.7000000000000004E-2"/>
        <n v="0.436"/>
        <n v="5.3999999999999999E-2"/>
        <n v="4.2000000000000003E-2"/>
        <n v="0.40300000000000002"/>
        <n v="0.28999999999999998"/>
        <n v="9.6000000000000002E-2"/>
        <n v="0.40699999999999997"/>
        <n v="0.308"/>
        <n v="0.156"/>
        <n v="8.5000000000000006E-2"/>
        <n v="1.6E-2"/>
        <n v="0.29399999999999998"/>
        <n v="0.01"/>
        <n v="0.12"/>
        <n v="2.4E-2"/>
        <n v="0.34599999999999997"/>
        <n v="0.39700000000000002"/>
        <n v="5.5E-2"/>
        <n v="5.8000000000000003E-2"/>
        <n v="0.03"/>
        <n v="0.11"/>
        <n v="7.0000000000000007E-2"/>
        <n v="0.42499999999999999"/>
        <n v="0.29599999999999999"/>
        <n v="0.26100000000000001"/>
        <n v="8.3000000000000004E-2"/>
        <n v="0.18099999999999999"/>
        <n v="0.30199999999999999"/>
        <n v="0.39900000000000002"/>
        <n v="0.374"/>
        <n v="1.0999999999999999E-2"/>
        <n v="0.217"/>
        <n v="0.26400000000000001"/>
        <n v="0.159"/>
        <n v="3.5000000000000003E-2"/>
        <n v="1.9E-2"/>
        <n v="0.29099999999999998"/>
        <n v="0.28699999999999998"/>
        <n v="0.25600000000000001"/>
        <n v="0.34300000000000003"/>
        <n v="0.24099999999999999"/>
        <n v="0.30599999999999999"/>
        <n v="0.221"/>
        <n v="0.40899999999999997"/>
        <n v="0.129"/>
        <n v="0.04"/>
        <n v="4.9000000000000002E-2"/>
        <n v="6.4000000000000001E-2"/>
        <n v="3.6999999999999998E-2"/>
        <n v="0.38100000000000001"/>
        <n v="0.4"/>
        <n v="0.06"/>
        <n v="0.307"/>
        <n v="0.14199999999999999"/>
        <n v="0.19400000000000001"/>
        <n v="0.27700000000000002"/>
        <n v="0.33400000000000002"/>
        <n v="0.16800000000000001"/>
        <n v="0.39300000000000002"/>
        <n v="0.13200000000000001"/>
        <n v="0.315"/>
        <n v="0.14000000000000001"/>
        <n v="0.38800000000000001"/>
        <n v="0.43099999999999999"/>
        <n v="0.32800000000000001"/>
        <n v="0.309"/>
        <n v="0.441"/>
        <n v="0.11799999999999999"/>
        <n v="0.24399999999999999"/>
        <n v="5.0999999999999997E-2"/>
        <n v="0.28100000000000003"/>
        <n v="0.377"/>
        <n v="5.2999999999999999E-2"/>
        <n v="8.6999999999999994E-2"/>
        <n v="1.4999999999999999E-2"/>
        <n v="0.20799999999999999"/>
        <n v="0.26200000000000001"/>
        <n v="0.42299999999999999"/>
        <n v="0.188"/>
        <n v="0.111"/>
        <n v="0.40200000000000002"/>
        <n v="0.252"/>
        <n v="0.183"/>
        <n v="0.22700000000000001"/>
        <n v="4.3999999999999997E-2"/>
        <n v="6.9000000000000006E-2"/>
        <n v="9.2999999999999999E-2"/>
        <n v="2.1999999999999999E-2"/>
        <n v="0.215"/>
        <n v="0.16"/>
        <n v="0.35199999999999998"/>
        <n v="2.1000000000000001E-2"/>
        <n v="9.1999999999999998E-2"/>
        <n v="0.16400000000000001"/>
        <n v="0.25"/>
        <n v="0.35099999999999998"/>
        <n v="4.7E-2"/>
        <n v="0.40100000000000002"/>
        <n v="0.33200000000000002"/>
        <n v="0.184"/>
        <n v="0.24299999999999999"/>
        <n v="0.17799999999999999"/>
        <n v="0.152"/>
        <n v="0.30499999999999999"/>
        <n v="0.38600000000000001"/>
        <n v="0.251"/>
        <n v="0.38500000000000001"/>
        <n v="0.27400000000000002"/>
        <n v="0.115"/>
        <n v="0.24"/>
        <n v="3.2000000000000001E-2"/>
        <n v="8.4000000000000005E-2"/>
        <n v="0.17"/>
        <n v="0.20300000000000001"/>
        <n v="0.42599999999999999"/>
        <n v="0.22600000000000001"/>
        <n v="0.14399999999999999"/>
        <n v="3.1E-2"/>
        <n v="0.373"/>
        <n v="6.5000000000000002E-2"/>
        <n v="0.44400000000000001"/>
        <n v="7.4999999999999997E-2"/>
        <n v="0.249"/>
        <n v="0.17199999999999999"/>
        <n v="0.112"/>
        <n v="5.6000000000000001E-2"/>
        <n v="0.36"/>
        <n v="0.313"/>
        <n v="0.27900000000000003"/>
        <n v="0.41799999999999998"/>
        <n v="0.14599999999999999"/>
        <n v="0.24199999999999999"/>
        <n v="0.02"/>
        <n v="0.28899999999999998"/>
        <n v="0.105"/>
        <n v="8.1000000000000003E-2"/>
        <n v="0.26300000000000001"/>
        <n v="0.34699999999999998"/>
        <n v="0.36499999999999999"/>
        <n v="0.36899999999999999"/>
        <n v="0.11600000000000001"/>
        <n v="0.182"/>
        <n v="0.36199999999999999"/>
        <n v="0.434"/>
        <n v="0.439"/>
        <n v="0.106"/>
        <n v="0.20599999999999999"/>
        <n v="0.26"/>
        <n v="0.27300000000000002"/>
        <n v="0.11899999999999999"/>
        <n v="0.124"/>
        <n v="0.30399999999999999"/>
        <n v="0.08"/>
        <n v="0.16500000000000001"/>
        <n v="0.35299999999999998"/>
        <n v="0.44"/>
        <n v="0.34899999999999998"/>
        <n v="0.29499999999999998"/>
        <n v="0.125"/>
        <n v="0.161"/>
        <n v="0.113"/>
        <n v="0.17499999999999999"/>
        <n v="0.41399999999999998"/>
        <n v="0.38300000000000001"/>
        <n v="4.1000000000000002E-2"/>
        <n v="0.26900000000000002"/>
        <n v="0.27"/>
        <n v="0.23300000000000001"/>
        <n v="0.13700000000000001"/>
        <n v="0.32400000000000001"/>
        <n v="2.9000000000000001E-2"/>
        <n v="0.32700000000000001"/>
        <n v="0.40799999999999997"/>
        <n v="3.5999999999999997E-2"/>
        <n v="0.27500000000000002"/>
        <n v="0.36599999999999999"/>
        <n v="0.189"/>
        <n v="0.22900000000000001"/>
        <n v="0.17899999999999999"/>
        <n v="0.27600000000000002"/>
        <n v="0.316"/>
        <n v="0.223"/>
        <n v="0.37"/>
        <n v="0.23799999999999999"/>
        <n v="0.39600000000000002"/>
        <n v="0.16200000000000001"/>
        <n v="0.14299999999999999"/>
        <n v="0.153"/>
        <n v="4.2999999999999997E-2"/>
        <n v="0.17599999999999999"/>
        <n v="0.2"/>
        <n v="0.314"/>
        <n v="0.42"/>
        <n v="0.13300000000000001"/>
        <n v="0.13400000000000001"/>
        <n v="0.26600000000000001"/>
        <n v="2.5000000000000001E-2"/>
        <n v="0.19800000000000001"/>
        <n v="0.186"/>
        <n v="0.126"/>
        <n v="8.2000000000000003E-2"/>
        <n v="0.222"/>
        <n v="0.28299999999999997"/>
        <n v="0.33700000000000002"/>
        <n v="0.155"/>
        <n v="0.05"/>
        <n v="0.40500000000000003"/>
        <n v="0.433"/>
        <n v="0.21099999999999999"/>
        <n v="0.19600000000000001"/>
        <n v="0.32100000000000001"/>
        <n v="1.2999999999999999E-2"/>
        <n v="0.33500000000000002"/>
        <n v="0.20399999999999999"/>
        <n v="0.34200000000000003"/>
        <n v="3.4000000000000002E-2"/>
        <n v="0.36299999999999999"/>
        <n v="7.5999999999999998E-2"/>
        <n v="0.32900000000000001"/>
        <n v="0.16900000000000001"/>
        <n v="0.11700000000000001"/>
        <n v="0.39100000000000001"/>
        <n v="0.34499999999999997"/>
        <n v="0.13600000000000001"/>
        <n v="0.31900000000000001"/>
        <n v="0.44600000000000001"/>
        <n v="4.8000000000000001E-2"/>
        <n v="9.4E-2"/>
        <n v="0.23699999999999999"/>
        <n v="0.22500000000000001"/>
        <n v="0.20899999999999999"/>
        <n v="0.443"/>
        <n v="0.22"/>
        <n v="0.30299999999999999"/>
        <n v="0.245"/>
        <n v="0.246"/>
        <n v="0.187"/>
        <n v="0.42199999999999999"/>
        <n v="0.32200000000000001"/>
        <n v="0.20200000000000001"/>
        <n v="0.41099999999999998"/>
        <n v="0.41699999999999998"/>
        <n v="0.14099999999999999"/>
        <n v="0.21199999999999999"/>
        <n v="0.35"/>
        <n v="0.372"/>
        <n v="0.44900000000000001"/>
      </sharedItems>
    </cacheField>
    <cacheField name="Minutes (Duree_Cumulee_Panne)" numFmtId="0" databaseField="0">
      <fieldGroup base="17">
        <rangePr groupBy="minutes" startDate="1899-12-30T00:01:00" endDate="1899-12-30T08:1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eures (Duree_Cumulee_Panne)" numFmtId="0" databaseField="0">
      <fieldGroup base="17">
        <rangePr groupBy="hours" startDate="1899-12-30T00:01:00" endDate="1899-12-30T08:1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361334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x v="0"/>
    <x v="0"/>
    <x v="0"/>
    <x v="0"/>
    <x v="0"/>
    <x v="0"/>
    <x v="0"/>
    <x v="0"/>
    <x v="0"/>
    <x v="0"/>
    <x v="0"/>
    <x v="0"/>
    <x v="0"/>
    <x v="0"/>
    <s v="9 ans et 7 mois"/>
    <n v="115"/>
    <x v="0"/>
    <x v="0"/>
    <n v="176"/>
    <n v="33.28"/>
    <x v="0"/>
    <x v="0"/>
    <x v="0"/>
  </r>
  <r>
    <x v="0"/>
    <x v="0"/>
    <x v="0"/>
    <x v="0"/>
    <x v="0"/>
    <x v="0"/>
    <x v="0"/>
    <x v="0"/>
    <x v="0"/>
    <x v="0"/>
    <x v="0"/>
    <x v="0"/>
    <x v="1"/>
    <x v="0"/>
    <s v="5 ans et 9 mois"/>
    <n v="69"/>
    <x v="0"/>
    <x v="1"/>
    <n v="306"/>
    <n v="13.97"/>
    <x v="1"/>
    <x v="0"/>
    <x v="1"/>
  </r>
  <r>
    <x v="0"/>
    <x v="0"/>
    <x v="0"/>
    <x v="0"/>
    <x v="0"/>
    <x v="0"/>
    <x v="0"/>
    <x v="0"/>
    <x v="0"/>
    <x v="0"/>
    <x v="0"/>
    <x v="0"/>
    <x v="2"/>
    <x v="0"/>
    <s v="4 ans et 7 mois"/>
    <n v="55"/>
    <x v="0"/>
    <x v="2"/>
    <n v="407"/>
    <n v="23.11"/>
    <x v="2"/>
    <x v="0"/>
    <x v="2"/>
  </r>
  <r>
    <x v="0"/>
    <x v="0"/>
    <x v="0"/>
    <x v="0"/>
    <x v="0"/>
    <x v="0"/>
    <x v="0"/>
    <x v="0"/>
    <x v="0"/>
    <x v="0"/>
    <x v="0"/>
    <x v="0"/>
    <x v="3"/>
    <x v="0"/>
    <s v="6 ans et 11 mois"/>
    <n v="83"/>
    <x v="1"/>
    <x v="3"/>
    <n v="219"/>
    <n v="52.26"/>
    <x v="1"/>
    <x v="1"/>
    <x v="3"/>
  </r>
  <r>
    <x v="0"/>
    <x v="0"/>
    <x v="0"/>
    <x v="0"/>
    <x v="0"/>
    <x v="0"/>
    <x v="0"/>
    <x v="0"/>
    <x v="0"/>
    <x v="0"/>
    <x v="0"/>
    <x v="0"/>
    <x v="4"/>
    <x v="0"/>
    <s v="2 ans et 5 mois"/>
    <n v="29"/>
    <x v="2"/>
    <x v="4"/>
    <n v="124"/>
    <n v="43.83"/>
    <x v="3"/>
    <x v="0"/>
    <x v="4"/>
  </r>
  <r>
    <x v="0"/>
    <x v="0"/>
    <x v="0"/>
    <x v="0"/>
    <x v="0"/>
    <x v="0"/>
    <x v="0"/>
    <x v="0"/>
    <x v="0"/>
    <x v="0"/>
    <x v="0"/>
    <x v="0"/>
    <x v="5"/>
    <x v="0"/>
    <s v="6 ans et 11 mois"/>
    <n v="83"/>
    <x v="1"/>
    <x v="5"/>
    <n v="420"/>
    <n v="94.9"/>
    <x v="1"/>
    <x v="1"/>
    <x v="5"/>
  </r>
  <r>
    <x v="0"/>
    <x v="0"/>
    <x v="0"/>
    <x v="0"/>
    <x v="0"/>
    <x v="0"/>
    <x v="0"/>
    <x v="0"/>
    <x v="0"/>
    <x v="0"/>
    <x v="0"/>
    <x v="0"/>
    <x v="6"/>
    <x v="0"/>
    <s v="4 ans et 0 mois"/>
    <n v="48"/>
    <x v="1"/>
    <x v="6"/>
    <n v="76"/>
    <n v="39.35"/>
    <x v="4"/>
    <x v="1"/>
    <x v="6"/>
  </r>
  <r>
    <x v="0"/>
    <x v="0"/>
    <x v="0"/>
    <x v="0"/>
    <x v="0"/>
    <x v="0"/>
    <x v="0"/>
    <x v="0"/>
    <x v="0"/>
    <x v="0"/>
    <x v="0"/>
    <x v="0"/>
    <x v="7"/>
    <x v="0"/>
    <s v="9 ans et 2 mois"/>
    <n v="110"/>
    <x v="0"/>
    <x v="7"/>
    <n v="112"/>
    <n v="98.95"/>
    <x v="3"/>
    <x v="0"/>
    <x v="7"/>
  </r>
  <r>
    <x v="0"/>
    <x v="0"/>
    <x v="0"/>
    <x v="0"/>
    <x v="0"/>
    <x v="0"/>
    <x v="0"/>
    <x v="0"/>
    <x v="0"/>
    <x v="0"/>
    <x v="0"/>
    <x v="0"/>
    <x v="8"/>
    <x v="0"/>
    <s v="0 ans et 2 mois"/>
    <n v="2"/>
    <x v="1"/>
    <x v="8"/>
    <n v="142"/>
    <n v="37.799999999999997"/>
    <x v="2"/>
    <x v="1"/>
    <x v="8"/>
  </r>
  <r>
    <x v="0"/>
    <x v="0"/>
    <x v="0"/>
    <x v="0"/>
    <x v="0"/>
    <x v="0"/>
    <x v="0"/>
    <x v="0"/>
    <x v="0"/>
    <x v="0"/>
    <x v="0"/>
    <x v="0"/>
    <x v="9"/>
    <x v="0"/>
    <s v="5 ans et 3 mois"/>
    <n v="63"/>
    <x v="0"/>
    <x v="9"/>
    <n v="392"/>
    <n v="93.11"/>
    <x v="5"/>
    <x v="0"/>
    <x v="9"/>
  </r>
  <r>
    <x v="0"/>
    <x v="0"/>
    <x v="0"/>
    <x v="0"/>
    <x v="0"/>
    <x v="0"/>
    <x v="0"/>
    <x v="0"/>
    <x v="0"/>
    <x v="0"/>
    <x v="0"/>
    <x v="0"/>
    <x v="10"/>
    <x v="0"/>
    <s v="4 ans et 2 mois"/>
    <n v="50"/>
    <x v="0"/>
    <x v="10"/>
    <n v="248"/>
    <n v="69.42"/>
    <x v="2"/>
    <x v="0"/>
    <x v="10"/>
  </r>
  <r>
    <x v="0"/>
    <x v="0"/>
    <x v="0"/>
    <x v="0"/>
    <x v="0"/>
    <x v="0"/>
    <x v="0"/>
    <x v="0"/>
    <x v="0"/>
    <x v="0"/>
    <x v="0"/>
    <x v="0"/>
    <x v="11"/>
    <x v="0"/>
    <s v="4 ans et 7 mois"/>
    <n v="55"/>
    <x v="3"/>
    <x v="11"/>
    <n v="86"/>
    <n v="17.440000000000001"/>
    <x v="4"/>
    <x v="0"/>
    <x v="11"/>
  </r>
  <r>
    <x v="0"/>
    <x v="0"/>
    <x v="0"/>
    <x v="0"/>
    <x v="0"/>
    <x v="0"/>
    <x v="0"/>
    <x v="0"/>
    <x v="0"/>
    <x v="0"/>
    <x v="0"/>
    <x v="0"/>
    <x v="12"/>
    <x v="0"/>
    <s v="7 ans et 1 mois"/>
    <n v="85"/>
    <x v="1"/>
    <x v="12"/>
    <n v="60"/>
    <n v="26.3"/>
    <x v="4"/>
    <x v="1"/>
    <x v="12"/>
  </r>
  <r>
    <x v="0"/>
    <x v="0"/>
    <x v="0"/>
    <x v="0"/>
    <x v="0"/>
    <x v="0"/>
    <x v="0"/>
    <x v="0"/>
    <x v="0"/>
    <x v="0"/>
    <x v="0"/>
    <x v="0"/>
    <x v="13"/>
    <x v="0"/>
    <s v="3 ans et 0 mois"/>
    <n v="36"/>
    <x v="0"/>
    <x v="13"/>
    <n v="311"/>
    <n v="13.19"/>
    <x v="0"/>
    <x v="0"/>
    <x v="13"/>
  </r>
  <r>
    <x v="0"/>
    <x v="0"/>
    <x v="0"/>
    <x v="0"/>
    <x v="0"/>
    <x v="0"/>
    <x v="0"/>
    <x v="0"/>
    <x v="0"/>
    <x v="0"/>
    <x v="0"/>
    <x v="0"/>
    <x v="14"/>
    <x v="0"/>
    <s v="1 ans et 4 mois"/>
    <n v="16"/>
    <x v="3"/>
    <x v="14"/>
    <n v="391"/>
    <n v="90.12"/>
    <x v="3"/>
    <x v="0"/>
    <x v="14"/>
  </r>
  <r>
    <x v="0"/>
    <x v="0"/>
    <x v="0"/>
    <x v="0"/>
    <x v="0"/>
    <x v="0"/>
    <x v="0"/>
    <x v="0"/>
    <x v="0"/>
    <x v="0"/>
    <x v="0"/>
    <x v="0"/>
    <x v="15"/>
    <x v="0"/>
    <s v="7 ans et 10 mois"/>
    <n v="94"/>
    <x v="2"/>
    <x v="15"/>
    <n v="115"/>
    <n v="19.12"/>
    <x v="2"/>
    <x v="0"/>
    <x v="15"/>
  </r>
  <r>
    <x v="0"/>
    <x v="0"/>
    <x v="0"/>
    <x v="0"/>
    <x v="0"/>
    <x v="0"/>
    <x v="0"/>
    <x v="0"/>
    <x v="0"/>
    <x v="0"/>
    <x v="0"/>
    <x v="0"/>
    <x v="16"/>
    <x v="0"/>
    <s v="3 ans et 3 mois"/>
    <n v="39"/>
    <x v="3"/>
    <x v="16"/>
    <n v="1"/>
    <n v="66.94"/>
    <x v="3"/>
    <x v="0"/>
    <x v="16"/>
  </r>
  <r>
    <x v="0"/>
    <x v="0"/>
    <x v="0"/>
    <x v="0"/>
    <x v="0"/>
    <x v="0"/>
    <x v="0"/>
    <x v="0"/>
    <x v="0"/>
    <x v="0"/>
    <x v="0"/>
    <x v="0"/>
    <x v="17"/>
    <x v="0"/>
    <s v="7 ans et 8 mois"/>
    <n v="92"/>
    <x v="0"/>
    <x v="17"/>
    <n v="4"/>
    <n v="22.03"/>
    <x v="5"/>
    <x v="0"/>
    <x v="17"/>
  </r>
  <r>
    <x v="0"/>
    <x v="0"/>
    <x v="0"/>
    <x v="0"/>
    <x v="0"/>
    <x v="0"/>
    <x v="0"/>
    <x v="0"/>
    <x v="0"/>
    <x v="0"/>
    <x v="0"/>
    <x v="0"/>
    <x v="18"/>
    <x v="0"/>
    <s v="9 ans et 7 mois"/>
    <n v="115"/>
    <x v="1"/>
    <x v="18"/>
    <n v="262"/>
    <n v="66.34"/>
    <x v="5"/>
    <x v="1"/>
    <x v="18"/>
  </r>
  <r>
    <x v="0"/>
    <x v="0"/>
    <x v="0"/>
    <x v="0"/>
    <x v="0"/>
    <x v="0"/>
    <x v="0"/>
    <x v="0"/>
    <x v="0"/>
    <x v="0"/>
    <x v="0"/>
    <x v="0"/>
    <x v="19"/>
    <x v="0"/>
    <s v="5 ans et 11 mois"/>
    <n v="71"/>
    <x v="2"/>
    <x v="19"/>
    <n v="68"/>
    <n v="53.11"/>
    <x v="4"/>
    <x v="0"/>
    <x v="19"/>
  </r>
  <r>
    <x v="0"/>
    <x v="0"/>
    <x v="0"/>
    <x v="0"/>
    <x v="0"/>
    <x v="0"/>
    <x v="0"/>
    <x v="0"/>
    <x v="0"/>
    <x v="0"/>
    <x v="0"/>
    <x v="0"/>
    <x v="20"/>
    <x v="0"/>
    <s v="6 ans et 5 mois"/>
    <n v="77"/>
    <x v="2"/>
    <x v="20"/>
    <n v="375"/>
    <n v="24.03"/>
    <x v="1"/>
    <x v="0"/>
    <x v="20"/>
  </r>
  <r>
    <x v="0"/>
    <x v="0"/>
    <x v="0"/>
    <x v="0"/>
    <x v="0"/>
    <x v="0"/>
    <x v="0"/>
    <x v="0"/>
    <x v="0"/>
    <x v="0"/>
    <x v="0"/>
    <x v="0"/>
    <x v="21"/>
    <x v="0"/>
    <s v="0 ans et 1 mois"/>
    <n v="1"/>
    <x v="2"/>
    <x v="21"/>
    <n v="213"/>
    <n v="52.16"/>
    <x v="5"/>
    <x v="0"/>
    <x v="21"/>
  </r>
  <r>
    <x v="0"/>
    <x v="0"/>
    <x v="0"/>
    <x v="0"/>
    <x v="0"/>
    <x v="0"/>
    <x v="0"/>
    <x v="0"/>
    <x v="0"/>
    <x v="0"/>
    <x v="0"/>
    <x v="0"/>
    <x v="22"/>
    <x v="0"/>
    <s v="0 ans et 9 mois"/>
    <n v="9"/>
    <x v="0"/>
    <x v="22"/>
    <n v="11"/>
    <n v="72.36"/>
    <x v="4"/>
    <x v="0"/>
    <x v="22"/>
  </r>
  <r>
    <x v="0"/>
    <x v="0"/>
    <x v="0"/>
    <x v="0"/>
    <x v="0"/>
    <x v="0"/>
    <x v="0"/>
    <x v="0"/>
    <x v="0"/>
    <x v="0"/>
    <x v="0"/>
    <x v="0"/>
    <x v="23"/>
    <x v="0"/>
    <s v="1 ans et 6 mois"/>
    <n v="18"/>
    <x v="0"/>
    <x v="23"/>
    <n v="446"/>
    <n v="97.3"/>
    <x v="3"/>
    <x v="0"/>
    <x v="23"/>
  </r>
  <r>
    <x v="1"/>
    <x v="1"/>
    <x v="1"/>
    <x v="1"/>
    <x v="1"/>
    <x v="1"/>
    <x v="1"/>
    <x v="1"/>
    <x v="1"/>
    <x v="1"/>
    <x v="0"/>
    <x v="1"/>
    <x v="24"/>
    <x v="1"/>
    <s v="2 ans et 5 mois"/>
    <n v="29"/>
    <x v="3"/>
    <x v="24"/>
    <n v="214"/>
    <n v="74.7"/>
    <x v="5"/>
    <x v="0"/>
    <x v="24"/>
  </r>
  <r>
    <x v="1"/>
    <x v="1"/>
    <x v="1"/>
    <x v="1"/>
    <x v="1"/>
    <x v="1"/>
    <x v="1"/>
    <x v="1"/>
    <x v="1"/>
    <x v="1"/>
    <x v="0"/>
    <x v="1"/>
    <x v="25"/>
    <x v="1"/>
    <s v="8 ans et 7 mois"/>
    <n v="103"/>
    <x v="1"/>
    <x v="25"/>
    <n v="105"/>
    <n v="61.52"/>
    <x v="5"/>
    <x v="1"/>
    <x v="25"/>
  </r>
  <r>
    <x v="1"/>
    <x v="1"/>
    <x v="1"/>
    <x v="1"/>
    <x v="1"/>
    <x v="1"/>
    <x v="1"/>
    <x v="1"/>
    <x v="1"/>
    <x v="1"/>
    <x v="0"/>
    <x v="1"/>
    <x v="26"/>
    <x v="1"/>
    <s v="1 ans et 4 mois"/>
    <n v="16"/>
    <x v="0"/>
    <x v="26"/>
    <n v="43"/>
    <n v="56.48"/>
    <x v="2"/>
    <x v="0"/>
    <x v="26"/>
  </r>
  <r>
    <x v="1"/>
    <x v="1"/>
    <x v="1"/>
    <x v="1"/>
    <x v="1"/>
    <x v="1"/>
    <x v="1"/>
    <x v="1"/>
    <x v="1"/>
    <x v="1"/>
    <x v="0"/>
    <x v="1"/>
    <x v="27"/>
    <x v="1"/>
    <s v="3 ans et 8 mois"/>
    <n v="44"/>
    <x v="1"/>
    <x v="27"/>
    <n v="137"/>
    <n v="32.58"/>
    <x v="2"/>
    <x v="1"/>
    <x v="27"/>
  </r>
  <r>
    <x v="1"/>
    <x v="1"/>
    <x v="1"/>
    <x v="1"/>
    <x v="1"/>
    <x v="1"/>
    <x v="1"/>
    <x v="1"/>
    <x v="1"/>
    <x v="1"/>
    <x v="0"/>
    <x v="1"/>
    <x v="28"/>
    <x v="1"/>
    <s v="6 ans et 2 mois"/>
    <n v="74"/>
    <x v="2"/>
    <x v="28"/>
    <n v="9"/>
    <n v="99.89"/>
    <x v="2"/>
    <x v="0"/>
    <x v="28"/>
  </r>
  <r>
    <x v="1"/>
    <x v="1"/>
    <x v="1"/>
    <x v="1"/>
    <x v="1"/>
    <x v="1"/>
    <x v="1"/>
    <x v="1"/>
    <x v="1"/>
    <x v="1"/>
    <x v="0"/>
    <x v="1"/>
    <x v="29"/>
    <x v="1"/>
    <s v="9 ans et 5 mois"/>
    <n v="113"/>
    <x v="3"/>
    <x v="29"/>
    <n v="207"/>
    <n v="21.55"/>
    <x v="2"/>
    <x v="0"/>
    <x v="29"/>
  </r>
  <r>
    <x v="1"/>
    <x v="1"/>
    <x v="1"/>
    <x v="1"/>
    <x v="1"/>
    <x v="1"/>
    <x v="1"/>
    <x v="1"/>
    <x v="1"/>
    <x v="1"/>
    <x v="0"/>
    <x v="1"/>
    <x v="30"/>
    <x v="1"/>
    <s v="7 ans et 8 mois"/>
    <n v="92"/>
    <x v="3"/>
    <x v="30"/>
    <n v="116"/>
    <n v="23.83"/>
    <x v="5"/>
    <x v="0"/>
    <x v="30"/>
  </r>
  <r>
    <x v="1"/>
    <x v="1"/>
    <x v="1"/>
    <x v="1"/>
    <x v="1"/>
    <x v="1"/>
    <x v="1"/>
    <x v="1"/>
    <x v="1"/>
    <x v="1"/>
    <x v="0"/>
    <x v="1"/>
    <x v="31"/>
    <x v="1"/>
    <s v="0 ans et 10 mois"/>
    <n v="10"/>
    <x v="0"/>
    <x v="31"/>
    <n v="165"/>
    <n v="38.619999999999997"/>
    <x v="4"/>
    <x v="0"/>
    <x v="31"/>
  </r>
  <r>
    <x v="1"/>
    <x v="1"/>
    <x v="1"/>
    <x v="1"/>
    <x v="1"/>
    <x v="1"/>
    <x v="1"/>
    <x v="1"/>
    <x v="1"/>
    <x v="1"/>
    <x v="0"/>
    <x v="1"/>
    <x v="32"/>
    <x v="1"/>
    <s v="5 ans et 0 mois"/>
    <n v="60"/>
    <x v="2"/>
    <x v="32"/>
    <n v="161"/>
    <n v="62.65"/>
    <x v="2"/>
    <x v="0"/>
    <x v="32"/>
  </r>
  <r>
    <x v="1"/>
    <x v="1"/>
    <x v="1"/>
    <x v="1"/>
    <x v="1"/>
    <x v="1"/>
    <x v="1"/>
    <x v="1"/>
    <x v="1"/>
    <x v="1"/>
    <x v="0"/>
    <x v="1"/>
    <x v="33"/>
    <x v="1"/>
    <s v="7 ans et 1 mois"/>
    <n v="85"/>
    <x v="3"/>
    <x v="33"/>
    <n v="274"/>
    <n v="35.03"/>
    <x v="1"/>
    <x v="0"/>
    <x v="33"/>
  </r>
  <r>
    <x v="1"/>
    <x v="1"/>
    <x v="1"/>
    <x v="1"/>
    <x v="1"/>
    <x v="1"/>
    <x v="1"/>
    <x v="1"/>
    <x v="1"/>
    <x v="1"/>
    <x v="0"/>
    <x v="1"/>
    <x v="34"/>
    <x v="1"/>
    <s v="0 ans et 3 mois"/>
    <n v="3"/>
    <x v="2"/>
    <x v="34"/>
    <n v="356"/>
    <n v="91.6"/>
    <x v="5"/>
    <x v="0"/>
    <x v="34"/>
  </r>
  <r>
    <x v="1"/>
    <x v="1"/>
    <x v="1"/>
    <x v="1"/>
    <x v="1"/>
    <x v="1"/>
    <x v="1"/>
    <x v="1"/>
    <x v="1"/>
    <x v="1"/>
    <x v="0"/>
    <x v="1"/>
    <x v="35"/>
    <x v="1"/>
    <s v="8 ans et 0 mois"/>
    <n v="96"/>
    <x v="2"/>
    <x v="35"/>
    <n v="290"/>
    <n v="29"/>
    <x v="5"/>
    <x v="0"/>
    <x v="35"/>
  </r>
  <r>
    <x v="1"/>
    <x v="1"/>
    <x v="1"/>
    <x v="1"/>
    <x v="1"/>
    <x v="1"/>
    <x v="1"/>
    <x v="1"/>
    <x v="1"/>
    <x v="1"/>
    <x v="0"/>
    <x v="1"/>
    <x v="36"/>
    <x v="1"/>
    <s v="3 ans et 4 mois"/>
    <n v="40"/>
    <x v="3"/>
    <x v="36"/>
    <n v="102"/>
    <n v="96.59"/>
    <x v="3"/>
    <x v="0"/>
    <x v="36"/>
  </r>
  <r>
    <x v="1"/>
    <x v="1"/>
    <x v="1"/>
    <x v="1"/>
    <x v="1"/>
    <x v="1"/>
    <x v="1"/>
    <x v="1"/>
    <x v="1"/>
    <x v="1"/>
    <x v="0"/>
    <x v="1"/>
    <x v="37"/>
    <x v="1"/>
    <s v="1 ans et 4 mois"/>
    <n v="16"/>
    <x v="0"/>
    <x v="37"/>
    <n v="461"/>
    <n v="38.369999999999997"/>
    <x v="0"/>
    <x v="0"/>
    <x v="37"/>
  </r>
  <r>
    <x v="1"/>
    <x v="1"/>
    <x v="1"/>
    <x v="1"/>
    <x v="1"/>
    <x v="1"/>
    <x v="1"/>
    <x v="1"/>
    <x v="1"/>
    <x v="1"/>
    <x v="0"/>
    <x v="1"/>
    <x v="38"/>
    <x v="1"/>
    <s v="7 ans et 3 mois"/>
    <n v="87"/>
    <x v="0"/>
    <x v="38"/>
    <n v="21"/>
    <n v="81.459999999999994"/>
    <x v="5"/>
    <x v="0"/>
    <x v="38"/>
  </r>
  <r>
    <x v="1"/>
    <x v="1"/>
    <x v="1"/>
    <x v="1"/>
    <x v="1"/>
    <x v="1"/>
    <x v="1"/>
    <x v="1"/>
    <x v="1"/>
    <x v="1"/>
    <x v="0"/>
    <x v="1"/>
    <x v="39"/>
    <x v="1"/>
    <s v="4 ans et 11 mois"/>
    <n v="59"/>
    <x v="1"/>
    <x v="39"/>
    <n v="369"/>
    <n v="26.64"/>
    <x v="0"/>
    <x v="1"/>
    <x v="39"/>
  </r>
  <r>
    <x v="1"/>
    <x v="1"/>
    <x v="1"/>
    <x v="1"/>
    <x v="1"/>
    <x v="1"/>
    <x v="1"/>
    <x v="1"/>
    <x v="1"/>
    <x v="1"/>
    <x v="0"/>
    <x v="1"/>
    <x v="40"/>
    <x v="1"/>
    <s v="2 ans et 5 mois"/>
    <n v="29"/>
    <x v="3"/>
    <x v="40"/>
    <n v="350"/>
    <n v="84.32"/>
    <x v="5"/>
    <x v="0"/>
    <x v="40"/>
  </r>
  <r>
    <x v="1"/>
    <x v="1"/>
    <x v="1"/>
    <x v="1"/>
    <x v="1"/>
    <x v="1"/>
    <x v="1"/>
    <x v="1"/>
    <x v="1"/>
    <x v="1"/>
    <x v="0"/>
    <x v="1"/>
    <x v="41"/>
    <x v="1"/>
    <s v="5 ans et 8 mois"/>
    <n v="68"/>
    <x v="0"/>
    <x v="41"/>
    <n v="487"/>
    <n v="69.099999999999994"/>
    <x v="3"/>
    <x v="0"/>
    <x v="41"/>
  </r>
  <r>
    <x v="1"/>
    <x v="1"/>
    <x v="1"/>
    <x v="1"/>
    <x v="1"/>
    <x v="1"/>
    <x v="1"/>
    <x v="1"/>
    <x v="1"/>
    <x v="1"/>
    <x v="0"/>
    <x v="1"/>
    <x v="42"/>
    <x v="1"/>
    <s v="9 ans et 3 mois"/>
    <n v="111"/>
    <x v="0"/>
    <x v="42"/>
    <n v="194"/>
    <n v="48.55"/>
    <x v="4"/>
    <x v="0"/>
    <x v="42"/>
  </r>
  <r>
    <x v="1"/>
    <x v="1"/>
    <x v="1"/>
    <x v="1"/>
    <x v="1"/>
    <x v="1"/>
    <x v="1"/>
    <x v="1"/>
    <x v="1"/>
    <x v="1"/>
    <x v="0"/>
    <x v="1"/>
    <x v="43"/>
    <x v="1"/>
    <s v="2 ans et 0 mois"/>
    <n v="24"/>
    <x v="2"/>
    <x v="9"/>
    <n v="392"/>
    <n v="27.06"/>
    <x v="1"/>
    <x v="0"/>
    <x v="43"/>
  </r>
  <r>
    <x v="1"/>
    <x v="1"/>
    <x v="1"/>
    <x v="1"/>
    <x v="1"/>
    <x v="1"/>
    <x v="1"/>
    <x v="1"/>
    <x v="1"/>
    <x v="1"/>
    <x v="0"/>
    <x v="1"/>
    <x v="44"/>
    <x v="1"/>
    <s v="3 ans et 11 mois"/>
    <n v="47"/>
    <x v="0"/>
    <x v="43"/>
    <n v="111"/>
    <n v="95.18"/>
    <x v="2"/>
    <x v="0"/>
    <x v="44"/>
  </r>
  <r>
    <x v="1"/>
    <x v="1"/>
    <x v="1"/>
    <x v="1"/>
    <x v="1"/>
    <x v="1"/>
    <x v="1"/>
    <x v="1"/>
    <x v="1"/>
    <x v="1"/>
    <x v="0"/>
    <x v="1"/>
    <x v="45"/>
    <x v="1"/>
    <s v="2 ans et 9 mois"/>
    <n v="33"/>
    <x v="0"/>
    <x v="44"/>
    <n v="273"/>
    <n v="49.8"/>
    <x v="2"/>
    <x v="0"/>
    <x v="45"/>
  </r>
  <r>
    <x v="1"/>
    <x v="1"/>
    <x v="1"/>
    <x v="1"/>
    <x v="1"/>
    <x v="1"/>
    <x v="1"/>
    <x v="1"/>
    <x v="1"/>
    <x v="1"/>
    <x v="0"/>
    <x v="1"/>
    <x v="46"/>
    <x v="1"/>
    <s v="7 ans et 2 mois"/>
    <n v="86"/>
    <x v="3"/>
    <x v="45"/>
    <n v="452"/>
    <n v="75.680000000000007"/>
    <x v="2"/>
    <x v="0"/>
    <x v="46"/>
  </r>
  <r>
    <x v="1"/>
    <x v="1"/>
    <x v="1"/>
    <x v="1"/>
    <x v="1"/>
    <x v="1"/>
    <x v="1"/>
    <x v="1"/>
    <x v="1"/>
    <x v="1"/>
    <x v="0"/>
    <x v="1"/>
    <x v="47"/>
    <x v="1"/>
    <s v="3 ans et 11 mois"/>
    <n v="47"/>
    <x v="1"/>
    <x v="46"/>
    <n v="328"/>
    <n v="61.27"/>
    <x v="5"/>
    <x v="1"/>
    <x v="47"/>
  </r>
  <r>
    <x v="1"/>
    <x v="1"/>
    <x v="1"/>
    <x v="1"/>
    <x v="1"/>
    <x v="1"/>
    <x v="1"/>
    <x v="1"/>
    <x v="1"/>
    <x v="1"/>
    <x v="0"/>
    <x v="1"/>
    <x v="48"/>
    <x v="1"/>
    <s v="8 ans et 0 mois"/>
    <n v="96"/>
    <x v="3"/>
    <x v="44"/>
    <n v="273"/>
    <n v="37.909999999999997"/>
    <x v="4"/>
    <x v="0"/>
    <x v="48"/>
  </r>
  <r>
    <x v="1"/>
    <x v="1"/>
    <x v="1"/>
    <x v="1"/>
    <x v="1"/>
    <x v="1"/>
    <x v="1"/>
    <x v="1"/>
    <x v="1"/>
    <x v="1"/>
    <x v="0"/>
    <x v="1"/>
    <x v="49"/>
    <x v="1"/>
    <s v="3 ans et 9 mois"/>
    <n v="45"/>
    <x v="3"/>
    <x v="47"/>
    <n v="244"/>
    <n v="55.17"/>
    <x v="4"/>
    <x v="0"/>
    <x v="49"/>
  </r>
  <r>
    <x v="1"/>
    <x v="1"/>
    <x v="1"/>
    <x v="1"/>
    <x v="1"/>
    <x v="1"/>
    <x v="1"/>
    <x v="1"/>
    <x v="1"/>
    <x v="1"/>
    <x v="0"/>
    <x v="1"/>
    <x v="50"/>
    <x v="1"/>
    <s v="7 ans et 1 mois"/>
    <n v="85"/>
    <x v="1"/>
    <x v="48"/>
    <n v="75"/>
    <n v="98.01"/>
    <x v="1"/>
    <x v="1"/>
    <x v="50"/>
  </r>
  <r>
    <x v="1"/>
    <x v="1"/>
    <x v="1"/>
    <x v="1"/>
    <x v="1"/>
    <x v="1"/>
    <x v="1"/>
    <x v="1"/>
    <x v="1"/>
    <x v="1"/>
    <x v="0"/>
    <x v="1"/>
    <x v="51"/>
    <x v="1"/>
    <s v="4 ans et 7 mois"/>
    <n v="55"/>
    <x v="0"/>
    <x v="49"/>
    <n v="355"/>
    <n v="59.65"/>
    <x v="2"/>
    <x v="0"/>
    <x v="51"/>
  </r>
  <r>
    <x v="1"/>
    <x v="1"/>
    <x v="1"/>
    <x v="1"/>
    <x v="1"/>
    <x v="1"/>
    <x v="1"/>
    <x v="1"/>
    <x v="1"/>
    <x v="1"/>
    <x v="0"/>
    <x v="1"/>
    <x v="52"/>
    <x v="1"/>
    <s v="7 ans et 0 mois"/>
    <n v="84"/>
    <x v="0"/>
    <x v="50"/>
    <n v="364"/>
    <n v="87.79"/>
    <x v="5"/>
    <x v="0"/>
    <x v="52"/>
  </r>
  <r>
    <x v="0"/>
    <x v="2"/>
    <x v="2"/>
    <x v="2"/>
    <x v="2"/>
    <x v="0"/>
    <x v="2"/>
    <x v="2"/>
    <x v="2"/>
    <x v="2"/>
    <x v="1"/>
    <x v="2"/>
    <x v="53"/>
    <x v="2"/>
    <s v="8 ans et 5 mois"/>
    <n v="101"/>
    <x v="1"/>
    <x v="51"/>
    <n v="333"/>
    <n v="74.319999999999993"/>
    <x v="1"/>
    <x v="1"/>
    <x v="53"/>
  </r>
  <r>
    <x v="0"/>
    <x v="2"/>
    <x v="2"/>
    <x v="2"/>
    <x v="2"/>
    <x v="0"/>
    <x v="2"/>
    <x v="2"/>
    <x v="2"/>
    <x v="2"/>
    <x v="1"/>
    <x v="2"/>
    <x v="54"/>
    <x v="2"/>
    <s v="5 ans et 5 mois"/>
    <n v="65"/>
    <x v="3"/>
    <x v="52"/>
    <n v="397"/>
    <n v="22.6"/>
    <x v="3"/>
    <x v="0"/>
    <x v="54"/>
  </r>
  <r>
    <x v="0"/>
    <x v="2"/>
    <x v="2"/>
    <x v="2"/>
    <x v="2"/>
    <x v="0"/>
    <x v="2"/>
    <x v="2"/>
    <x v="2"/>
    <x v="2"/>
    <x v="1"/>
    <x v="2"/>
    <x v="55"/>
    <x v="2"/>
    <s v="7 ans et 2 mois"/>
    <n v="86"/>
    <x v="0"/>
    <x v="53"/>
    <n v="460"/>
    <n v="22.81"/>
    <x v="0"/>
    <x v="0"/>
    <x v="55"/>
  </r>
  <r>
    <x v="0"/>
    <x v="2"/>
    <x v="2"/>
    <x v="2"/>
    <x v="2"/>
    <x v="0"/>
    <x v="2"/>
    <x v="2"/>
    <x v="2"/>
    <x v="2"/>
    <x v="1"/>
    <x v="2"/>
    <x v="56"/>
    <x v="2"/>
    <s v="5 ans et 10 mois"/>
    <n v="70"/>
    <x v="0"/>
    <x v="54"/>
    <n v="31"/>
    <n v="71.2"/>
    <x v="0"/>
    <x v="0"/>
    <x v="56"/>
  </r>
  <r>
    <x v="0"/>
    <x v="2"/>
    <x v="2"/>
    <x v="2"/>
    <x v="2"/>
    <x v="0"/>
    <x v="2"/>
    <x v="2"/>
    <x v="2"/>
    <x v="2"/>
    <x v="1"/>
    <x v="2"/>
    <x v="57"/>
    <x v="2"/>
    <s v="0 ans et 4 mois"/>
    <n v="4"/>
    <x v="0"/>
    <x v="55"/>
    <n v="453"/>
    <n v="75.260000000000005"/>
    <x v="3"/>
    <x v="0"/>
    <x v="57"/>
  </r>
  <r>
    <x v="0"/>
    <x v="2"/>
    <x v="2"/>
    <x v="2"/>
    <x v="2"/>
    <x v="0"/>
    <x v="2"/>
    <x v="2"/>
    <x v="2"/>
    <x v="2"/>
    <x v="1"/>
    <x v="2"/>
    <x v="58"/>
    <x v="2"/>
    <s v="9 ans et 6 mois"/>
    <n v="114"/>
    <x v="3"/>
    <x v="56"/>
    <n v="232"/>
    <n v="42.2"/>
    <x v="4"/>
    <x v="0"/>
    <x v="58"/>
  </r>
  <r>
    <x v="0"/>
    <x v="2"/>
    <x v="2"/>
    <x v="2"/>
    <x v="2"/>
    <x v="0"/>
    <x v="2"/>
    <x v="2"/>
    <x v="2"/>
    <x v="2"/>
    <x v="1"/>
    <x v="2"/>
    <x v="59"/>
    <x v="2"/>
    <s v="2 ans et 11 mois"/>
    <n v="35"/>
    <x v="2"/>
    <x v="57"/>
    <n v="107"/>
    <n v="66.69"/>
    <x v="0"/>
    <x v="0"/>
    <x v="59"/>
  </r>
  <r>
    <x v="0"/>
    <x v="2"/>
    <x v="2"/>
    <x v="2"/>
    <x v="2"/>
    <x v="0"/>
    <x v="2"/>
    <x v="2"/>
    <x v="2"/>
    <x v="2"/>
    <x v="1"/>
    <x v="2"/>
    <x v="60"/>
    <x v="2"/>
    <s v="9 ans et 7 mois"/>
    <n v="115"/>
    <x v="0"/>
    <x v="58"/>
    <n v="236"/>
    <n v="50.64"/>
    <x v="1"/>
    <x v="0"/>
    <x v="60"/>
  </r>
  <r>
    <x v="0"/>
    <x v="2"/>
    <x v="2"/>
    <x v="2"/>
    <x v="2"/>
    <x v="0"/>
    <x v="2"/>
    <x v="2"/>
    <x v="2"/>
    <x v="2"/>
    <x v="1"/>
    <x v="2"/>
    <x v="61"/>
    <x v="2"/>
    <s v="2 ans et 9 mois"/>
    <n v="33"/>
    <x v="0"/>
    <x v="59"/>
    <n v="332"/>
    <n v="76.41"/>
    <x v="1"/>
    <x v="0"/>
    <x v="61"/>
  </r>
  <r>
    <x v="0"/>
    <x v="2"/>
    <x v="2"/>
    <x v="2"/>
    <x v="2"/>
    <x v="0"/>
    <x v="2"/>
    <x v="2"/>
    <x v="2"/>
    <x v="2"/>
    <x v="1"/>
    <x v="2"/>
    <x v="62"/>
    <x v="2"/>
    <s v="7 ans et 5 mois"/>
    <n v="89"/>
    <x v="2"/>
    <x v="60"/>
    <n v="418"/>
    <n v="86.63"/>
    <x v="0"/>
    <x v="0"/>
    <x v="62"/>
  </r>
  <r>
    <x v="0"/>
    <x v="2"/>
    <x v="2"/>
    <x v="2"/>
    <x v="2"/>
    <x v="0"/>
    <x v="2"/>
    <x v="2"/>
    <x v="2"/>
    <x v="2"/>
    <x v="1"/>
    <x v="2"/>
    <x v="63"/>
    <x v="2"/>
    <s v="6 ans et 6 mois"/>
    <n v="78"/>
    <x v="3"/>
    <x v="12"/>
    <n v="60"/>
    <n v="33.159999999999997"/>
    <x v="3"/>
    <x v="0"/>
    <x v="63"/>
  </r>
  <r>
    <x v="0"/>
    <x v="2"/>
    <x v="2"/>
    <x v="2"/>
    <x v="2"/>
    <x v="0"/>
    <x v="2"/>
    <x v="2"/>
    <x v="2"/>
    <x v="2"/>
    <x v="1"/>
    <x v="2"/>
    <x v="64"/>
    <x v="2"/>
    <s v="1 ans et 3 mois"/>
    <n v="15"/>
    <x v="3"/>
    <x v="48"/>
    <n v="75"/>
    <n v="45.59"/>
    <x v="2"/>
    <x v="0"/>
    <x v="64"/>
  </r>
  <r>
    <x v="0"/>
    <x v="2"/>
    <x v="2"/>
    <x v="2"/>
    <x v="2"/>
    <x v="0"/>
    <x v="2"/>
    <x v="2"/>
    <x v="2"/>
    <x v="2"/>
    <x v="1"/>
    <x v="2"/>
    <x v="65"/>
    <x v="2"/>
    <s v="8 ans et 8 mois"/>
    <n v="104"/>
    <x v="1"/>
    <x v="61"/>
    <n v="421"/>
    <n v="26.24"/>
    <x v="5"/>
    <x v="1"/>
    <x v="12"/>
  </r>
  <r>
    <x v="0"/>
    <x v="2"/>
    <x v="2"/>
    <x v="2"/>
    <x v="2"/>
    <x v="0"/>
    <x v="2"/>
    <x v="2"/>
    <x v="2"/>
    <x v="2"/>
    <x v="1"/>
    <x v="2"/>
    <x v="66"/>
    <x v="2"/>
    <s v="7 ans et 2 mois"/>
    <n v="86"/>
    <x v="3"/>
    <x v="62"/>
    <n v="27"/>
    <n v="84.94"/>
    <x v="0"/>
    <x v="0"/>
    <x v="65"/>
  </r>
  <r>
    <x v="0"/>
    <x v="2"/>
    <x v="2"/>
    <x v="2"/>
    <x v="2"/>
    <x v="0"/>
    <x v="2"/>
    <x v="2"/>
    <x v="2"/>
    <x v="2"/>
    <x v="1"/>
    <x v="2"/>
    <x v="67"/>
    <x v="2"/>
    <s v="8 ans et 9 mois"/>
    <n v="105"/>
    <x v="2"/>
    <x v="63"/>
    <n v="172"/>
    <n v="15.88"/>
    <x v="3"/>
    <x v="0"/>
    <x v="66"/>
  </r>
  <r>
    <x v="0"/>
    <x v="2"/>
    <x v="2"/>
    <x v="2"/>
    <x v="2"/>
    <x v="0"/>
    <x v="2"/>
    <x v="2"/>
    <x v="2"/>
    <x v="2"/>
    <x v="1"/>
    <x v="2"/>
    <x v="68"/>
    <x v="2"/>
    <s v="9 ans et 11 mois"/>
    <n v="119"/>
    <x v="2"/>
    <x v="64"/>
    <n v="231"/>
    <n v="20.22"/>
    <x v="4"/>
    <x v="0"/>
    <x v="67"/>
  </r>
  <r>
    <x v="1"/>
    <x v="2"/>
    <x v="3"/>
    <x v="3"/>
    <x v="3"/>
    <x v="2"/>
    <x v="3"/>
    <x v="3"/>
    <x v="3"/>
    <x v="3"/>
    <x v="1"/>
    <x v="0"/>
    <x v="69"/>
    <x v="3"/>
    <s v="5 ans et 3 mois"/>
    <n v="63"/>
    <x v="1"/>
    <x v="65"/>
    <n v="205"/>
    <n v="89.19"/>
    <x v="2"/>
    <x v="1"/>
    <x v="68"/>
  </r>
  <r>
    <x v="1"/>
    <x v="2"/>
    <x v="3"/>
    <x v="3"/>
    <x v="3"/>
    <x v="2"/>
    <x v="3"/>
    <x v="3"/>
    <x v="3"/>
    <x v="3"/>
    <x v="1"/>
    <x v="0"/>
    <x v="70"/>
    <x v="3"/>
    <s v="7 ans et 5 mois"/>
    <n v="89"/>
    <x v="3"/>
    <x v="66"/>
    <n v="143"/>
    <n v="48.05"/>
    <x v="0"/>
    <x v="0"/>
    <x v="69"/>
  </r>
  <r>
    <x v="1"/>
    <x v="2"/>
    <x v="3"/>
    <x v="3"/>
    <x v="3"/>
    <x v="2"/>
    <x v="3"/>
    <x v="3"/>
    <x v="3"/>
    <x v="3"/>
    <x v="1"/>
    <x v="0"/>
    <x v="71"/>
    <x v="3"/>
    <s v="1 ans et 2 mois"/>
    <n v="14"/>
    <x v="0"/>
    <x v="67"/>
    <n v="415"/>
    <n v="36.93"/>
    <x v="3"/>
    <x v="0"/>
    <x v="70"/>
  </r>
  <r>
    <x v="1"/>
    <x v="2"/>
    <x v="3"/>
    <x v="3"/>
    <x v="3"/>
    <x v="2"/>
    <x v="3"/>
    <x v="3"/>
    <x v="3"/>
    <x v="3"/>
    <x v="1"/>
    <x v="0"/>
    <x v="72"/>
    <x v="3"/>
    <s v="3 ans et 11 mois"/>
    <n v="47"/>
    <x v="0"/>
    <x v="68"/>
    <n v="98"/>
    <n v="16.16"/>
    <x v="3"/>
    <x v="0"/>
    <x v="71"/>
  </r>
  <r>
    <x v="1"/>
    <x v="2"/>
    <x v="3"/>
    <x v="3"/>
    <x v="3"/>
    <x v="2"/>
    <x v="3"/>
    <x v="3"/>
    <x v="3"/>
    <x v="3"/>
    <x v="1"/>
    <x v="0"/>
    <x v="73"/>
    <x v="3"/>
    <s v="0 ans et 6 mois"/>
    <n v="6"/>
    <x v="0"/>
    <x v="69"/>
    <n v="6"/>
    <n v="72.27"/>
    <x v="0"/>
    <x v="0"/>
    <x v="72"/>
  </r>
  <r>
    <x v="1"/>
    <x v="2"/>
    <x v="3"/>
    <x v="3"/>
    <x v="3"/>
    <x v="2"/>
    <x v="3"/>
    <x v="3"/>
    <x v="3"/>
    <x v="3"/>
    <x v="1"/>
    <x v="0"/>
    <x v="74"/>
    <x v="3"/>
    <s v="9 ans et 6 mois"/>
    <n v="114"/>
    <x v="0"/>
    <x v="70"/>
    <n v="304"/>
    <n v="52.07"/>
    <x v="1"/>
    <x v="0"/>
    <x v="73"/>
  </r>
  <r>
    <x v="1"/>
    <x v="2"/>
    <x v="3"/>
    <x v="3"/>
    <x v="3"/>
    <x v="2"/>
    <x v="3"/>
    <x v="3"/>
    <x v="3"/>
    <x v="3"/>
    <x v="1"/>
    <x v="0"/>
    <x v="75"/>
    <x v="3"/>
    <s v="0 ans et 4 mois"/>
    <n v="4"/>
    <x v="0"/>
    <x v="71"/>
    <n v="227"/>
    <n v="83.32"/>
    <x v="4"/>
    <x v="0"/>
    <x v="74"/>
  </r>
  <r>
    <x v="1"/>
    <x v="2"/>
    <x v="3"/>
    <x v="3"/>
    <x v="3"/>
    <x v="2"/>
    <x v="3"/>
    <x v="3"/>
    <x v="3"/>
    <x v="3"/>
    <x v="1"/>
    <x v="0"/>
    <x v="76"/>
    <x v="3"/>
    <s v="9 ans et 0 mois"/>
    <n v="108"/>
    <x v="3"/>
    <x v="72"/>
    <n v="230"/>
    <n v="16.3"/>
    <x v="3"/>
    <x v="0"/>
    <x v="71"/>
  </r>
  <r>
    <x v="1"/>
    <x v="2"/>
    <x v="3"/>
    <x v="3"/>
    <x v="3"/>
    <x v="2"/>
    <x v="3"/>
    <x v="3"/>
    <x v="3"/>
    <x v="3"/>
    <x v="1"/>
    <x v="0"/>
    <x v="77"/>
    <x v="3"/>
    <s v="8 ans et 0 mois"/>
    <n v="96"/>
    <x v="2"/>
    <x v="73"/>
    <n v="108"/>
    <n v="30.92"/>
    <x v="1"/>
    <x v="0"/>
    <x v="75"/>
  </r>
  <r>
    <x v="1"/>
    <x v="2"/>
    <x v="3"/>
    <x v="3"/>
    <x v="3"/>
    <x v="2"/>
    <x v="3"/>
    <x v="3"/>
    <x v="3"/>
    <x v="3"/>
    <x v="1"/>
    <x v="0"/>
    <x v="78"/>
    <x v="3"/>
    <s v="8 ans et 0 mois"/>
    <n v="96"/>
    <x v="2"/>
    <x v="74"/>
    <n v="210"/>
    <n v="28.39"/>
    <x v="5"/>
    <x v="0"/>
    <x v="76"/>
  </r>
  <r>
    <x v="1"/>
    <x v="2"/>
    <x v="3"/>
    <x v="3"/>
    <x v="3"/>
    <x v="2"/>
    <x v="3"/>
    <x v="3"/>
    <x v="3"/>
    <x v="3"/>
    <x v="1"/>
    <x v="0"/>
    <x v="79"/>
    <x v="3"/>
    <s v="8 ans et 7 mois"/>
    <n v="103"/>
    <x v="1"/>
    <x v="75"/>
    <n v="270"/>
    <n v="67.87"/>
    <x v="5"/>
    <x v="1"/>
    <x v="77"/>
  </r>
  <r>
    <x v="1"/>
    <x v="2"/>
    <x v="3"/>
    <x v="3"/>
    <x v="3"/>
    <x v="2"/>
    <x v="3"/>
    <x v="3"/>
    <x v="3"/>
    <x v="3"/>
    <x v="1"/>
    <x v="0"/>
    <x v="80"/>
    <x v="3"/>
    <s v="6 ans et 4 mois"/>
    <n v="76"/>
    <x v="3"/>
    <x v="76"/>
    <n v="187"/>
    <n v="56.29"/>
    <x v="1"/>
    <x v="0"/>
    <x v="78"/>
  </r>
  <r>
    <x v="1"/>
    <x v="2"/>
    <x v="3"/>
    <x v="3"/>
    <x v="3"/>
    <x v="2"/>
    <x v="3"/>
    <x v="3"/>
    <x v="3"/>
    <x v="3"/>
    <x v="1"/>
    <x v="0"/>
    <x v="81"/>
    <x v="3"/>
    <s v="8 ans et 1 mois"/>
    <n v="97"/>
    <x v="1"/>
    <x v="77"/>
    <n v="276"/>
    <n v="88.35"/>
    <x v="2"/>
    <x v="1"/>
    <x v="79"/>
  </r>
  <r>
    <x v="1"/>
    <x v="2"/>
    <x v="3"/>
    <x v="3"/>
    <x v="3"/>
    <x v="2"/>
    <x v="3"/>
    <x v="3"/>
    <x v="3"/>
    <x v="3"/>
    <x v="1"/>
    <x v="0"/>
    <x v="82"/>
    <x v="3"/>
    <s v="2 ans et 11 mois"/>
    <n v="35"/>
    <x v="1"/>
    <x v="78"/>
    <n v="292"/>
    <n v="39.21"/>
    <x v="1"/>
    <x v="1"/>
    <x v="6"/>
  </r>
  <r>
    <x v="1"/>
    <x v="2"/>
    <x v="3"/>
    <x v="3"/>
    <x v="3"/>
    <x v="2"/>
    <x v="3"/>
    <x v="3"/>
    <x v="3"/>
    <x v="3"/>
    <x v="1"/>
    <x v="0"/>
    <x v="83"/>
    <x v="3"/>
    <s v="8 ans et 7 mois"/>
    <n v="103"/>
    <x v="2"/>
    <x v="79"/>
    <n v="291"/>
    <n v="60.34"/>
    <x v="3"/>
    <x v="0"/>
    <x v="80"/>
  </r>
  <r>
    <x v="1"/>
    <x v="2"/>
    <x v="3"/>
    <x v="3"/>
    <x v="3"/>
    <x v="2"/>
    <x v="3"/>
    <x v="3"/>
    <x v="3"/>
    <x v="3"/>
    <x v="1"/>
    <x v="0"/>
    <x v="84"/>
    <x v="3"/>
    <s v="8 ans et 5 mois"/>
    <n v="101"/>
    <x v="0"/>
    <x v="80"/>
    <n v="416"/>
    <n v="83.49"/>
    <x v="4"/>
    <x v="0"/>
    <x v="81"/>
  </r>
  <r>
    <x v="1"/>
    <x v="2"/>
    <x v="3"/>
    <x v="3"/>
    <x v="3"/>
    <x v="2"/>
    <x v="3"/>
    <x v="3"/>
    <x v="3"/>
    <x v="3"/>
    <x v="1"/>
    <x v="0"/>
    <x v="85"/>
    <x v="3"/>
    <s v="6 ans et 1 mois"/>
    <n v="73"/>
    <x v="1"/>
    <x v="81"/>
    <n v="268"/>
    <n v="56.86"/>
    <x v="3"/>
    <x v="1"/>
    <x v="82"/>
  </r>
  <r>
    <x v="0"/>
    <x v="3"/>
    <x v="4"/>
    <x v="4"/>
    <x v="4"/>
    <x v="1"/>
    <x v="4"/>
    <x v="4"/>
    <x v="4"/>
    <x v="4"/>
    <x v="1"/>
    <x v="2"/>
    <x v="86"/>
    <x v="4"/>
    <s v="6 ans et 0 mois"/>
    <n v="72"/>
    <x v="1"/>
    <x v="82"/>
    <n v="160"/>
    <n v="90.13"/>
    <x v="4"/>
    <x v="1"/>
    <x v="83"/>
  </r>
  <r>
    <x v="0"/>
    <x v="3"/>
    <x v="4"/>
    <x v="4"/>
    <x v="4"/>
    <x v="1"/>
    <x v="4"/>
    <x v="4"/>
    <x v="4"/>
    <x v="4"/>
    <x v="1"/>
    <x v="2"/>
    <x v="87"/>
    <x v="4"/>
    <s v="7 ans et 2 mois"/>
    <n v="86"/>
    <x v="3"/>
    <x v="83"/>
    <n v="471"/>
    <n v="33.380000000000003"/>
    <x v="0"/>
    <x v="0"/>
    <x v="0"/>
  </r>
  <r>
    <x v="0"/>
    <x v="3"/>
    <x v="4"/>
    <x v="4"/>
    <x v="4"/>
    <x v="1"/>
    <x v="4"/>
    <x v="4"/>
    <x v="4"/>
    <x v="4"/>
    <x v="1"/>
    <x v="2"/>
    <x v="88"/>
    <x v="4"/>
    <s v="1 ans et 3 mois"/>
    <n v="15"/>
    <x v="1"/>
    <x v="84"/>
    <n v="403"/>
    <n v="77.12"/>
    <x v="1"/>
    <x v="1"/>
    <x v="84"/>
  </r>
  <r>
    <x v="0"/>
    <x v="3"/>
    <x v="4"/>
    <x v="4"/>
    <x v="4"/>
    <x v="1"/>
    <x v="4"/>
    <x v="4"/>
    <x v="4"/>
    <x v="4"/>
    <x v="1"/>
    <x v="2"/>
    <x v="89"/>
    <x v="4"/>
    <s v="9 ans et 6 mois"/>
    <n v="114"/>
    <x v="3"/>
    <x v="85"/>
    <n v="283"/>
    <n v="29.15"/>
    <x v="5"/>
    <x v="0"/>
    <x v="85"/>
  </r>
  <r>
    <x v="0"/>
    <x v="3"/>
    <x v="4"/>
    <x v="4"/>
    <x v="4"/>
    <x v="1"/>
    <x v="4"/>
    <x v="4"/>
    <x v="4"/>
    <x v="4"/>
    <x v="1"/>
    <x v="2"/>
    <x v="90"/>
    <x v="4"/>
    <s v="7 ans et 0 mois"/>
    <n v="84"/>
    <x v="0"/>
    <x v="86"/>
    <n v="317"/>
    <n v="36.200000000000003"/>
    <x v="5"/>
    <x v="0"/>
    <x v="86"/>
  </r>
  <r>
    <x v="0"/>
    <x v="3"/>
    <x v="4"/>
    <x v="4"/>
    <x v="4"/>
    <x v="1"/>
    <x v="4"/>
    <x v="4"/>
    <x v="4"/>
    <x v="4"/>
    <x v="1"/>
    <x v="2"/>
    <x v="91"/>
    <x v="4"/>
    <s v="9 ans et 2 mois"/>
    <n v="110"/>
    <x v="3"/>
    <x v="87"/>
    <n v="51"/>
    <n v="56.59"/>
    <x v="3"/>
    <x v="0"/>
    <x v="87"/>
  </r>
  <r>
    <x v="0"/>
    <x v="3"/>
    <x v="4"/>
    <x v="4"/>
    <x v="4"/>
    <x v="1"/>
    <x v="4"/>
    <x v="4"/>
    <x v="4"/>
    <x v="4"/>
    <x v="1"/>
    <x v="2"/>
    <x v="92"/>
    <x v="4"/>
    <s v="5 ans et 4 mois"/>
    <n v="64"/>
    <x v="1"/>
    <x v="88"/>
    <n v="300"/>
    <n v="28.11"/>
    <x v="4"/>
    <x v="1"/>
    <x v="88"/>
  </r>
  <r>
    <x v="0"/>
    <x v="3"/>
    <x v="4"/>
    <x v="4"/>
    <x v="4"/>
    <x v="1"/>
    <x v="4"/>
    <x v="4"/>
    <x v="4"/>
    <x v="4"/>
    <x v="1"/>
    <x v="2"/>
    <x v="93"/>
    <x v="4"/>
    <s v="8 ans et 8 mois"/>
    <n v="104"/>
    <x v="1"/>
    <x v="86"/>
    <n v="317"/>
    <n v="79.150000000000006"/>
    <x v="1"/>
    <x v="1"/>
    <x v="89"/>
  </r>
  <r>
    <x v="0"/>
    <x v="3"/>
    <x v="4"/>
    <x v="4"/>
    <x v="4"/>
    <x v="1"/>
    <x v="4"/>
    <x v="4"/>
    <x v="4"/>
    <x v="4"/>
    <x v="1"/>
    <x v="2"/>
    <x v="94"/>
    <x v="4"/>
    <s v="5 ans et 0 mois"/>
    <n v="60"/>
    <x v="1"/>
    <x v="89"/>
    <n v="334"/>
    <n v="71.72"/>
    <x v="5"/>
    <x v="1"/>
    <x v="90"/>
  </r>
  <r>
    <x v="0"/>
    <x v="3"/>
    <x v="4"/>
    <x v="4"/>
    <x v="4"/>
    <x v="1"/>
    <x v="4"/>
    <x v="4"/>
    <x v="4"/>
    <x v="4"/>
    <x v="1"/>
    <x v="2"/>
    <x v="95"/>
    <x v="4"/>
    <s v="1 ans et 11 mois"/>
    <n v="23"/>
    <x v="1"/>
    <x v="18"/>
    <n v="262"/>
    <n v="46.3"/>
    <x v="1"/>
    <x v="1"/>
    <x v="91"/>
  </r>
  <r>
    <x v="0"/>
    <x v="3"/>
    <x v="4"/>
    <x v="4"/>
    <x v="4"/>
    <x v="1"/>
    <x v="4"/>
    <x v="4"/>
    <x v="4"/>
    <x v="4"/>
    <x v="1"/>
    <x v="2"/>
    <x v="96"/>
    <x v="4"/>
    <s v="9 ans et 10 mois"/>
    <n v="118"/>
    <x v="0"/>
    <x v="88"/>
    <n v="300"/>
    <n v="98.22"/>
    <x v="0"/>
    <x v="0"/>
    <x v="92"/>
  </r>
  <r>
    <x v="0"/>
    <x v="3"/>
    <x v="4"/>
    <x v="4"/>
    <x v="4"/>
    <x v="1"/>
    <x v="4"/>
    <x v="4"/>
    <x v="4"/>
    <x v="4"/>
    <x v="1"/>
    <x v="2"/>
    <x v="97"/>
    <x v="4"/>
    <s v="4 ans et 7 mois"/>
    <n v="55"/>
    <x v="3"/>
    <x v="90"/>
    <n v="394"/>
    <n v="26.8"/>
    <x v="0"/>
    <x v="0"/>
    <x v="93"/>
  </r>
  <r>
    <x v="0"/>
    <x v="3"/>
    <x v="4"/>
    <x v="4"/>
    <x v="4"/>
    <x v="1"/>
    <x v="4"/>
    <x v="4"/>
    <x v="4"/>
    <x v="4"/>
    <x v="1"/>
    <x v="2"/>
    <x v="98"/>
    <x v="4"/>
    <s v="0 ans et 11 mois"/>
    <n v="11"/>
    <x v="0"/>
    <x v="91"/>
    <n v="52"/>
    <n v="76.53"/>
    <x v="3"/>
    <x v="0"/>
    <x v="61"/>
  </r>
  <r>
    <x v="0"/>
    <x v="3"/>
    <x v="4"/>
    <x v="4"/>
    <x v="4"/>
    <x v="1"/>
    <x v="4"/>
    <x v="4"/>
    <x v="4"/>
    <x v="4"/>
    <x v="1"/>
    <x v="2"/>
    <x v="99"/>
    <x v="4"/>
    <s v="4 ans et 7 mois"/>
    <n v="55"/>
    <x v="1"/>
    <x v="92"/>
    <n v="389"/>
    <n v="67.430000000000007"/>
    <x v="5"/>
    <x v="1"/>
    <x v="94"/>
  </r>
  <r>
    <x v="0"/>
    <x v="3"/>
    <x v="4"/>
    <x v="4"/>
    <x v="4"/>
    <x v="1"/>
    <x v="4"/>
    <x v="4"/>
    <x v="4"/>
    <x v="4"/>
    <x v="1"/>
    <x v="2"/>
    <x v="100"/>
    <x v="4"/>
    <s v="2 ans et 8 mois"/>
    <n v="32"/>
    <x v="1"/>
    <x v="17"/>
    <n v="4"/>
    <n v="39"/>
    <x v="2"/>
    <x v="1"/>
    <x v="6"/>
  </r>
  <r>
    <x v="0"/>
    <x v="3"/>
    <x v="4"/>
    <x v="4"/>
    <x v="4"/>
    <x v="1"/>
    <x v="4"/>
    <x v="4"/>
    <x v="4"/>
    <x v="4"/>
    <x v="1"/>
    <x v="2"/>
    <x v="101"/>
    <x v="4"/>
    <s v="1 ans et 7 mois"/>
    <n v="19"/>
    <x v="2"/>
    <x v="89"/>
    <n v="334"/>
    <n v="96.91"/>
    <x v="1"/>
    <x v="0"/>
    <x v="95"/>
  </r>
  <r>
    <x v="0"/>
    <x v="3"/>
    <x v="4"/>
    <x v="4"/>
    <x v="4"/>
    <x v="1"/>
    <x v="4"/>
    <x v="4"/>
    <x v="4"/>
    <x v="4"/>
    <x v="1"/>
    <x v="2"/>
    <x v="102"/>
    <x v="4"/>
    <s v="4 ans et 1 mois"/>
    <n v="49"/>
    <x v="1"/>
    <x v="93"/>
    <n v="229"/>
    <n v="53.94"/>
    <x v="3"/>
    <x v="1"/>
    <x v="96"/>
  </r>
  <r>
    <x v="0"/>
    <x v="3"/>
    <x v="4"/>
    <x v="4"/>
    <x v="4"/>
    <x v="1"/>
    <x v="4"/>
    <x v="4"/>
    <x v="4"/>
    <x v="4"/>
    <x v="1"/>
    <x v="2"/>
    <x v="103"/>
    <x v="4"/>
    <s v="5 ans et 8 mois"/>
    <n v="68"/>
    <x v="1"/>
    <x v="94"/>
    <n v="462"/>
    <n v="41.91"/>
    <x v="1"/>
    <x v="1"/>
    <x v="97"/>
  </r>
  <r>
    <x v="0"/>
    <x v="3"/>
    <x v="4"/>
    <x v="4"/>
    <x v="4"/>
    <x v="1"/>
    <x v="4"/>
    <x v="4"/>
    <x v="4"/>
    <x v="4"/>
    <x v="1"/>
    <x v="2"/>
    <x v="104"/>
    <x v="4"/>
    <s v="3 ans et 0 mois"/>
    <n v="36"/>
    <x v="0"/>
    <x v="95"/>
    <n v="303"/>
    <n v="89.56"/>
    <x v="1"/>
    <x v="0"/>
    <x v="98"/>
  </r>
  <r>
    <x v="0"/>
    <x v="3"/>
    <x v="4"/>
    <x v="4"/>
    <x v="4"/>
    <x v="1"/>
    <x v="4"/>
    <x v="4"/>
    <x v="4"/>
    <x v="4"/>
    <x v="1"/>
    <x v="2"/>
    <x v="105"/>
    <x v="4"/>
    <s v="0 ans et 7 mois"/>
    <n v="7"/>
    <x v="1"/>
    <x v="81"/>
    <n v="268"/>
    <n v="33.04"/>
    <x v="3"/>
    <x v="1"/>
    <x v="27"/>
  </r>
  <r>
    <x v="0"/>
    <x v="3"/>
    <x v="4"/>
    <x v="4"/>
    <x v="4"/>
    <x v="1"/>
    <x v="4"/>
    <x v="4"/>
    <x v="4"/>
    <x v="4"/>
    <x v="1"/>
    <x v="2"/>
    <x v="106"/>
    <x v="4"/>
    <s v="4 ans et 8 mois"/>
    <n v="56"/>
    <x v="0"/>
    <x v="96"/>
    <n v="114"/>
    <n v="64.39"/>
    <x v="1"/>
    <x v="0"/>
    <x v="99"/>
  </r>
  <r>
    <x v="0"/>
    <x v="3"/>
    <x v="4"/>
    <x v="4"/>
    <x v="4"/>
    <x v="1"/>
    <x v="4"/>
    <x v="4"/>
    <x v="4"/>
    <x v="4"/>
    <x v="1"/>
    <x v="2"/>
    <x v="107"/>
    <x v="4"/>
    <s v="3 ans et 7 mois"/>
    <n v="43"/>
    <x v="0"/>
    <x v="97"/>
    <n v="20"/>
    <n v="66.680000000000007"/>
    <x v="3"/>
    <x v="0"/>
    <x v="59"/>
  </r>
  <r>
    <x v="1"/>
    <x v="4"/>
    <x v="5"/>
    <x v="5"/>
    <x v="5"/>
    <x v="1"/>
    <x v="5"/>
    <x v="5"/>
    <x v="5"/>
    <x v="5"/>
    <x v="1"/>
    <x v="2"/>
    <x v="108"/>
    <x v="5"/>
    <s v="2 ans et 10 mois"/>
    <n v="34"/>
    <x v="1"/>
    <x v="55"/>
    <n v="453"/>
    <n v="56.84"/>
    <x v="2"/>
    <x v="1"/>
    <x v="82"/>
  </r>
  <r>
    <x v="1"/>
    <x v="4"/>
    <x v="5"/>
    <x v="5"/>
    <x v="5"/>
    <x v="1"/>
    <x v="5"/>
    <x v="5"/>
    <x v="5"/>
    <x v="5"/>
    <x v="1"/>
    <x v="2"/>
    <x v="109"/>
    <x v="5"/>
    <s v="3 ans et 6 mois"/>
    <n v="42"/>
    <x v="2"/>
    <x v="98"/>
    <n v="173"/>
    <n v="69.19"/>
    <x v="0"/>
    <x v="0"/>
    <x v="41"/>
  </r>
  <r>
    <x v="1"/>
    <x v="4"/>
    <x v="5"/>
    <x v="5"/>
    <x v="5"/>
    <x v="1"/>
    <x v="5"/>
    <x v="5"/>
    <x v="5"/>
    <x v="5"/>
    <x v="1"/>
    <x v="2"/>
    <x v="110"/>
    <x v="5"/>
    <s v="5 ans et 4 mois"/>
    <n v="64"/>
    <x v="1"/>
    <x v="99"/>
    <n v="370"/>
    <n v="95.74"/>
    <x v="1"/>
    <x v="1"/>
    <x v="100"/>
  </r>
  <r>
    <x v="1"/>
    <x v="4"/>
    <x v="5"/>
    <x v="5"/>
    <x v="5"/>
    <x v="1"/>
    <x v="5"/>
    <x v="5"/>
    <x v="5"/>
    <x v="5"/>
    <x v="1"/>
    <x v="2"/>
    <x v="111"/>
    <x v="5"/>
    <s v="2 ans et 2 mois"/>
    <n v="26"/>
    <x v="0"/>
    <x v="100"/>
    <n v="174"/>
    <n v="90.53"/>
    <x v="5"/>
    <x v="0"/>
    <x v="101"/>
  </r>
  <r>
    <x v="1"/>
    <x v="4"/>
    <x v="5"/>
    <x v="5"/>
    <x v="5"/>
    <x v="1"/>
    <x v="5"/>
    <x v="5"/>
    <x v="5"/>
    <x v="5"/>
    <x v="1"/>
    <x v="2"/>
    <x v="112"/>
    <x v="5"/>
    <s v="1 ans et 6 mois"/>
    <n v="18"/>
    <x v="2"/>
    <x v="101"/>
    <n v="34"/>
    <n v="43.71"/>
    <x v="1"/>
    <x v="0"/>
    <x v="4"/>
  </r>
  <r>
    <x v="1"/>
    <x v="4"/>
    <x v="5"/>
    <x v="5"/>
    <x v="5"/>
    <x v="1"/>
    <x v="5"/>
    <x v="5"/>
    <x v="5"/>
    <x v="5"/>
    <x v="1"/>
    <x v="2"/>
    <x v="113"/>
    <x v="5"/>
    <s v="6 ans et 4 mois"/>
    <n v="76"/>
    <x v="0"/>
    <x v="102"/>
    <n v="192"/>
    <n v="68.53"/>
    <x v="2"/>
    <x v="0"/>
    <x v="102"/>
  </r>
  <r>
    <x v="1"/>
    <x v="4"/>
    <x v="5"/>
    <x v="5"/>
    <x v="5"/>
    <x v="1"/>
    <x v="5"/>
    <x v="5"/>
    <x v="5"/>
    <x v="5"/>
    <x v="1"/>
    <x v="2"/>
    <x v="114"/>
    <x v="5"/>
    <s v="8 ans et 6 mois"/>
    <n v="102"/>
    <x v="0"/>
    <x v="103"/>
    <n v="91"/>
    <n v="34.64"/>
    <x v="4"/>
    <x v="0"/>
    <x v="103"/>
  </r>
  <r>
    <x v="1"/>
    <x v="4"/>
    <x v="5"/>
    <x v="5"/>
    <x v="5"/>
    <x v="1"/>
    <x v="5"/>
    <x v="5"/>
    <x v="5"/>
    <x v="5"/>
    <x v="1"/>
    <x v="2"/>
    <x v="115"/>
    <x v="5"/>
    <s v="4 ans et 3 mois"/>
    <n v="51"/>
    <x v="3"/>
    <x v="104"/>
    <n v="222"/>
    <n v="18.95"/>
    <x v="0"/>
    <x v="0"/>
    <x v="104"/>
  </r>
  <r>
    <x v="1"/>
    <x v="4"/>
    <x v="5"/>
    <x v="5"/>
    <x v="5"/>
    <x v="1"/>
    <x v="5"/>
    <x v="5"/>
    <x v="5"/>
    <x v="5"/>
    <x v="1"/>
    <x v="2"/>
    <x v="116"/>
    <x v="5"/>
    <s v="0 ans et 2 mois"/>
    <n v="2"/>
    <x v="1"/>
    <x v="105"/>
    <n v="496"/>
    <n v="15.71"/>
    <x v="5"/>
    <x v="1"/>
    <x v="105"/>
  </r>
  <r>
    <x v="1"/>
    <x v="4"/>
    <x v="5"/>
    <x v="5"/>
    <x v="5"/>
    <x v="1"/>
    <x v="5"/>
    <x v="5"/>
    <x v="5"/>
    <x v="5"/>
    <x v="1"/>
    <x v="2"/>
    <x v="117"/>
    <x v="5"/>
    <s v="9 ans et 9 mois"/>
    <n v="117"/>
    <x v="2"/>
    <x v="106"/>
    <n v="338"/>
    <n v="29.18"/>
    <x v="3"/>
    <x v="0"/>
    <x v="85"/>
  </r>
  <r>
    <x v="1"/>
    <x v="4"/>
    <x v="5"/>
    <x v="5"/>
    <x v="5"/>
    <x v="1"/>
    <x v="5"/>
    <x v="5"/>
    <x v="5"/>
    <x v="5"/>
    <x v="1"/>
    <x v="2"/>
    <x v="118"/>
    <x v="5"/>
    <s v="4 ans et 1 mois"/>
    <n v="49"/>
    <x v="2"/>
    <x v="11"/>
    <n v="86"/>
    <n v="65.400000000000006"/>
    <x v="4"/>
    <x v="0"/>
    <x v="106"/>
  </r>
  <r>
    <x v="1"/>
    <x v="4"/>
    <x v="5"/>
    <x v="5"/>
    <x v="5"/>
    <x v="1"/>
    <x v="5"/>
    <x v="5"/>
    <x v="5"/>
    <x v="5"/>
    <x v="1"/>
    <x v="2"/>
    <x v="119"/>
    <x v="5"/>
    <s v="9 ans et 11 mois"/>
    <n v="119"/>
    <x v="1"/>
    <x v="107"/>
    <n v="451"/>
    <n v="10.46"/>
    <x v="3"/>
    <x v="1"/>
    <x v="107"/>
  </r>
  <r>
    <x v="1"/>
    <x v="4"/>
    <x v="5"/>
    <x v="5"/>
    <x v="5"/>
    <x v="1"/>
    <x v="5"/>
    <x v="5"/>
    <x v="5"/>
    <x v="5"/>
    <x v="1"/>
    <x v="2"/>
    <x v="120"/>
    <x v="5"/>
    <s v="1 ans et 11 mois"/>
    <n v="23"/>
    <x v="3"/>
    <x v="81"/>
    <n v="268"/>
    <n v="26.75"/>
    <x v="5"/>
    <x v="0"/>
    <x v="108"/>
  </r>
  <r>
    <x v="1"/>
    <x v="4"/>
    <x v="5"/>
    <x v="5"/>
    <x v="5"/>
    <x v="1"/>
    <x v="5"/>
    <x v="5"/>
    <x v="5"/>
    <x v="5"/>
    <x v="1"/>
    <x v="2"/>
    <x v="121"/>
    <x v="5"/>
    <s v="8 ans et 10 mois"/>
    <n v="106"/>
    <x v="1"/>
    <x v="108"/>
    <n v="429"/>
    <n v="23.83"/>
    <x v="1"/>
    <x v="1"/>
    <x v="109"/>
  </r>
  <r>
    <x v="1"/>
    <x v="4"/>
    <x v="5"/>
    <x v="5"/>
    <x v="5"/>
    <x v="1"/>
    <x v="5"/>
    <x v="5"/>
    <x v="5"/>
    <x v="5"/>
    <x v="1"/>
    <x v="2"/>
    <x v="122"/>
    <x v="5"/>
    <s v="7 ans et 11 mois"/>
    <n v="95"/>
    <x v="3"/>
    <x v="109"/>
    <n v="148"/>
    <n v="76.95"/>
    <x v="3"/>
    <x v="0"/>
    <x v="110"/>
  </r>
  <r>
    <x v="1"/>
    <x v="4"/>
    <x v="5"/>
    <x v="5"/>
    <x v="5"/>
    <x v="1"/>
    <x v="5"/>
    <x v="5"/>
    <x v="5"/>
    <x v="5"/>
    <x v="1"/>
    <x v="2"/>
    <x v="123"/>
    <x v="5"/>
    <s v="8 ans et 0 mois"/>
    <n v="96"/>
    <x v="2"/>
    <x v="110"/>
    <n v="155"/>
    <n v="69.16"/>
    <x v="0"/>
    <x v="0"/>
    <x v="41"/>
  </r>
  <r>
    <x v="1"/>
    <x v="4"/>
    <x v="5"/>
    <x v="5"/>
    <x v="5"/>
    <x v="1"/>
    <x v="5"/>
    <x v="5"/>
    <x v="5"/>
    <x v="5"/>
    <x v="1"/>
    <x v="2"/>
    <x v="124"/>
    <x v="5"/>
    <s v="3 ans et 6 mois"/>
    <n v="42"/>
    <x v="0"/>
    <x v="111"/>
    <n v="436"/>
    <n v="88.12"/>
    <x v="2"/>
    <x v="0"/>
    <x v="111"/>
  </r>
  <r>
    <x v="1"/>
    <x v="4"/>
    <x v="5"/>
    <x v="5"/>
    <x v="5"/>
    <x v="1"/>
    <x v="5"/>
    <x v="5"/>
    <x v="5"/>
    <x v="5"/>
    <x v="1"/>
    <x v="2"/>
    <x v="125"/>
    <x v="5"/>
    <s v="8 ans et 3 mois"/>
    <n v="99"/>
    <x v="1"/>
    <x v="112"/>
    <n v="138"/>
    <n v="54.64"/>
    <x v="3"/>
    <x v="1"/>
    <x v="112"/>
  </r>
  <r>
    <x v="1"/>
    <x v="4"/>
    <x v="5"/>
    <x v="5"/>
    <x v="5"/>
    <x v="1"/>
    <x v="5"/>
    <x v="5"/>
    <x v="5"/>
    <x v="5"/>
    <x v="1"/>
    <x v="2"/>
    <x v="126"/>
    <x v="5"/>
    <s v="7 ans et 3 mois"/>
    <n v="87"/>
    <x v="3"/>
    <x v="34"/>
    <n v="356"/>
    <n v="12.89"/>
    <x v="2"/>
    <x v="0"/>
    <x v="113"/>
  </r>
  <r>
    <x v="1"/>
    <x v="4"/>
    <x v="5"/>
    <x v="5"/>
    <x v="5"/>
    <x v="1"/>
    <x v="5"/>
    <x v="5"/>
    <x v="5"/>
    <x v="5"/>
    <x v="1"/>
    <x v="2"/>
    <x v="127"/>
    <x v="5"/>
    <s v="8 ans et 8 mois"/>
    <n v="104"/>
    <x v="1"/>
    <x v="113"/>
    <n v="125"/>
    <n v="29.7"/>
    <x v="4"/>
    <x v="1"/>
    <x v="114"/>
  </r>
  <r>
    <x v="1"/>
    <x v="4"/>
    <x v="5"/>
    <x v="5"/>
    <x v="5"/>
    <x v="1"/>
    <x v="5"/>
    <x v="5"/>
    <x v="5"/>
    <x v="5"/>
    <x v="1"/>
    <x v="2"/>
    <x v="128"/>
    <x v="5"/>
    <s v="10 ans et 0 mois"/>
    <n v="120"/>
    <x v="0"/>
    <x v="62"/>
    <n v="27"/>
    <n v="24.46"/>
    <x v="5"/>
    <x v="0"/>
    <x v="115"/>
  </r>
  <r>
    <x v="1"/>
    <x v="4"/>
    <x v="5"/>
    <x v="5"/>
    <x v="5"/>
    <x v="1"/>
    <x v="5"/>
    <x v="5"/>
    <x v="5"/>
    <x v="5"/>
    <x v="1"/>
    <x v="2"/>
    <x v="129"/>
    <x v="5"/>
    <s v="0 ans et 10 mois"/>
    <n v="10"/>
    <x v="1"/>
    <x v="114"/>
    <n v="129"/>
    <n v="70.12"/>
    <x v="2"/>
    <x v="1"/>
    <x v="116"/>
  </r>
  <r>
    <x v="2"/>
    <x v="5"/>
    <x v="6"/>
    <x v="6"/>
    <x v="6"/>
    <x v="1"/>
    <x v="6"/>
    <x v="6"/>
    <x v="6"/>
    <x v="6"/>
    <x v="1"/>
    <x v="0"/>
    <x v="130"/>
    <x v="6"/>
    <s v="6 ans et 7 mois"/>
    <n v="79"/>
    <x v="3"/>
    <x v="115"/>
    <n v="226"/>
    <n v="94.38"/>
    <x v="5"/>
    <x v="0"/>
    <x v="117"/>
  </r>
  <r>
    <x v="2"/>
    <x v="5"/>
    <x v="6"/>
    <x v="6"/>
    <x v="6"/>
    <x v="1"/>
    <x v="6"/>
    <x v="6"/>
    <x v="6"/>
    <x v="6"/>
    <x v="1"/>
    <x v="0"/>
    <x v="131"/>
    <x v="6"/>
    <s v="6 ans et 8 mois"/>
    <n v="80"/>
    <x v="0"/>
    <x v="116"/>
    <n v="260"/>
    <n v="65.87"/>
    <x v="5"/>
    <x v="0"/>
    <x v="118"/>
  </r>
  <r>
    <x v="2"/>
    <x v="5"/>
    <x v="6"/>
    <x v="6"/>
    <x v="6"/>
    <x v="1"/>
    <x v="6"/>
    <x v="6"/>
    <x v="6"/>
    <x v="6"/>
    <x v="1"/>
    <x v="0"/>
    <x v="132"/>
    <x v="6"/>
    <s v="6 ans et 11 mois"/>
    <n v="83"/>
    <x v="2"/>
    <x v="117"/>
    <n v="14"/>
    <n v="58.07"/>
    <x v="5"/>
    <x v="0"/>
    <x v="119"/>
  </r>
  <r>
    <x v="2"/>
    <x v="5"/>
    <x v="6"/>
    <x v="6"/>
    <x v="6"/>
    <x v="1"/>
    <x v="6"/>
    <x v="6"/>
    <x v="6"/>
    <x v="6"/>
    <x v="1"/>
    <x v="0"/>
    <x v="133"/>
    <x v="6"/>
    <s v="0 ans et 7 mois"/>
    <n v="7"/>
    <x v="3"/>
    <x v="86"/>
    <n v="317"/>
    <n v="97.32"/>
    <x v="1"/>
    <x v="0"/>
    <x v="23"/>
  </r>
  <r>
    <x v="2"/>
    <x v="5"/>
    <x v="6"/>
    <x v="6"/>
    <x v="6"/>
    <x v="1"/>
    <x v="6"/>
    <x v="6"/>
    <x v="6"/>
    <x v="6"/>
    <x v="1"/>
    <x v="0"/>
    <x v="134"/>
    <x v="6"/>
    <s v="7 ans et 11 mois"/>
    <n v="95"/>
    <x v="1"/>
    <x v="118"/>
    <n v="95"/>
    <n v="82.65"/>
    <x v="4"/>
    <x v="1"/>
    <x v="120"/>
  </r>
  <r>
    <x v="2"/>
    <x v="5"/>
    <x v="6"/>
    <x v="6"/>
    <x v="6"/>
    <x v="1"/>
    <x v="6"/>
    <x v="6"/>
    <x v="6"/>
    <x v="6"/>
    <x v="1"/>
    <x v="0"/>
    <x v="135"/>
    <x v="6"/>
    <s v="9 ans et 6 mois"/>
    <n v="114"/>
    <x v="0"/>
    <x v="119"/>
    <n v="388"/>
    <n v="40.29"/>
    <x v="3"/>
    <x v="0"/>
    <x v="121"/>
  </r>
  <r>
    <x v="2"/>
    <x v="5"/>
    <x v="6"/>
    <x v="6"/>
    <x v="6"/>
    <x v="1"/>
    <x v="6"/>
    <x v="6"/>
    <x v="6"/>
    <x v="6"/>
    <x v="1"/>
    <x v="0"/>
    <x v="136"/>
    <x v="6"/>
    <s v="2 ans et 8 mois"/>
    <n v="32"/>
    <x v="2"/>
    <x v="54"/>
    <n v="31"/>
    <n v="67.040000000000006"/>
    <x v="1"/>
    <x v="0"/>
    <x v="122"/>
  </r>
  <r>
    <x v="2"/>
    <x v="5"/>
    <x v="6"/>
    <x v="6"/>
    <x v="6"/>
    <x v="1"/>
    <x v="6"/>
    <x v="6"/>
    <x v="6"/>
    <x v="6"/>
    <x v="1"/>
    <x v="0"/>
    <x v="137"/>
    <x v="6"/>
    <s v="5 ans et 2 mois"/>
    <n v="62"/>
    <x v="2"/>
    <x v="120"/>
    <n v="136"/>
    <n v="88.61"/>
    <x v="4"/>
    <x v="0"/>
    <x v="123"/>
  </r>
  <r>
    <x v="2"/>
    <x v="5"/>
    <x v="6"/>
    <x v="6"/>
    <x v="6"/>
    <x v="1"/>
    <x v="6"/>
    <x v="6"/>
    <x v="6"/>
    <x v="6"/>
    <x v="1"/>
    <x v="0"/>
    <x v="138"/>
    <x v="6"/>
    <s v="3 ans et 4 mois"/>
    <n v="40"/>
    <x v="3"/>
    <x v="121"/>
    <n v="237"/>
    <n v="24.51"/>
    <x v="1"/>
    <x v="0"/>
    <x v="115"/>
  </r>
  <r>
    <x v="2"/>
    <x v="5"/>
    <x v="6"/>
    <x v="6"/>
    <x v="6"/>
    <x v="1"/>
    <x v="6"/>
    <x v="6"/>
    <x v="6"/>
    <x v="6"/>
    <x v="1"/>
    <x v="0"/>
    <x v="139"/>
    <x v="6"/>
    <s v="5 ans et 11 mois"/>
    <n v="71"/>
    <x v="3"/>
    <x v="122"/>
    <n v="191"/>
    <n v="83.04"/>
    <x v="0"/>
    <x v="0"/>
    <x v="124"/>
  </r>
  <r>
    <x v="2"/>
    <x v="5"/>
    <x v="6"/>
    <x v="6"/>
    <x v="6"/>
    <x v="1"/>
    <x v="6"/>
    <x v="6"/>
    <x v="6"/>
    <x v="6"/>
    <x v="1"/>
    <x v="0"/>
    <x v="140"/>
    <x v="6"/>
    <s v="5 ans et 3 mois"/>
    <n v="63"/>
    <x v="1"/>
    <x v="123"/>
    <n v="121"/>
    <n v="39.18"/>
    <x v="4"/>
    <x v="1"/>
    <x v="6"/>
  </r>
  <r>
    <x v="2"/>
    <x v="5"/>
    <x v="6"/>
    <x v="6"/>
    <x v="6"/>
    <x v="1"/>
    <x v="6"/>
    <x v="6"/>
    <x v="6"/>
    <x v="6"/>
    <x v="1"/>
    <x v="0"/>
    <x v="141"/>
    <x v="6"/>
    <s v="9 ans et 7 mois"/>
    <n v="115"/>
    <x v="1"/>
    <x v="124"/>
    <n v="190"/>
    <n v="10.98"/>
    <x v="2"/>
    <x v="1"/>
    <x v="125"/>
  </r>
  <r>
    <x v="2"/>
    <x v="5"/>
    <x v="6"/>
    <x v="6"/>
    <x v="6"/>
    <x v="1"/>
    <x v="6"/>
    <x v="6"/>
    <x v="6"/>
    <x v="6"/>
    <x v="1"/>
    <x v="0"/>
    <x v="142"/>
    <x v="6"/>
    <s v="1 ans et 2 mois"/>
    <n v="14"/>
    <x v="2"/>
    <x v="70"/>
    <n v="304"/>
    <n v="48.13"/>
    <x v="4"/>
    <x v="0"/>
    <x v="126"/>
  </r>
  <r>
    <x v="2"/>
    <x v="5"/>
    <x v="6"/>
    <x v="6"/>
    <x v="6"/>
    <x v="1"/>
    <x v="6"/>
    <x v="6"/>
    <x v="6"/>
    <x v="6"/>
    <x v="1"/>
    <x v="0"/>
    <x v="143"/>
    <x v="6"/>
    <s v="9 ans et 10 mois"/>
    <n v="118"/>
    <x v="1"/>
    <x v="125"/>
    <n v="80"/>
    <n v="97.58"/>
    <x v="5"/>
    <x v="1"/>
    <x v="50"/>
  </r>
  <r>
    <x v="3"/>
    <x v="6"/>
    <x v="7"/>
    <x v="7"/>
    <x v="7"/>
    <x v="0"/>
    <x v="7"/>
    <x v="7"/>
    <x v="7"/>
    <x v="7"/>
    <x v="2"/>
    <x v="3"/>
    <x v="144"/>
    <x v="7"/>
    <s v="3 ans et 8 mois"/>
    <n v="44"/>
    <x v="0"/>
    <x v="126"/>
    <n v="348"/>
    <n v="58.67"/>
    <x v="2"/>
    <x v="0"/>
    <x v="127"/>
  </r>
  <r>
    <x v="3"/>
    <x v="6"/>
    <x v="7"/>
    <x v="7"/>
    <x v="7"/>
    <x v="0"/>
    <x v="7"/>
    <x v="7"/>
    <x v="7"/>
    <x v="7"/>
    <x v="2"/>
    <x v="3"/>
    <x v="145"/>
    <x v="7"/>
    <s v="1 ans et 8 mois"/>
    <n v="20"/>
    <x v="2"/>
    <x v="17"/>
    <n v="4"/>
    <n v="84.9"/>
    <x v="5"/>
    <x v="0"/>
    <x v="65"/>
  </r>
  <r>
    <x v="3"/>
    <x v="6"/>
    <x v="7"/>
    <x v="7"/>
    <x v="7"/>
    <x v="0"/>
    <x v="7"/>
    <x v="7"/>
    <x v="7"/>
    <x v="7"/>
    <x v="2"/>
    <x v="3"/>
    <x v="146"/>
    <x v="7"/>
    <s v="7 ans et 11 mois"/>
    <n v="95"/>
    <x v="0"/>
    <x v="127"/>
    <n v="33"/>
    <n v="35.32"/>
    <x v="2"/>
    <x v="0"/>
    <x v="128"/>
  </r>
  <r>
    <x v="3"/>
    <x v="6"/>
    <x v="7"/>
    <x v="7"/>
    <x v="7"/>
    <x v="0"/>
    <x v="7"/>
    <x v="7"/>
    <x v="7"/>
    <x v="7"/>
    <x v="2"/>
    <x v="3"/>
    <x v="147"/>
    <x v="7"/>
    <s v="6 ans et 0 mois"/>
    <n v="72"/>
    <x v="1"/>
    <x v="51"/>
    <n v="333"/>
    <n v="34.57"/>
    <x v="4"/>
    <x v="1"/>
    <x v="129"/>
  </r>
  <r>
    <x v="3"/>
    <x v="6"/>
    <x v="7"/>
    <x v="7"/>
    <x v="7"/>
    <x v="0"/>
    <x v="7"/>
    <x v="7"/>
    <x v="7"/>
    <x v="7"/>
    <x v="2"/>
    <x v="3"/>
    <x v="148"/>
    <x v="7"/>
    <s v="5 ans et 7 mois"/>
    <n v="67"/>
    <x v="1"/>
    <x v="128"/>
    <n v="55"/>
    <n v="27.04"/>
    <x v="1"/>
    <x v="1"/>
    <x v="39"/>
  </r>
  <r>
    <x v="3"/>
    <x v="6"/>
    <x v="7"/>
    <x v="7"/>
    <x v="7"/>
    <x v="0"/>
    <x v="7"/>
    <x v="7"/>
    <x v="7"/>
    <x v="7"/>
    <x v="2"/>
    <x v="3"/>
    <x v="149"/>
    <x v="7"/>
    <s v="5 ans et 9 mois"/>
    <n v="69"/>
    <x v="1"/>
    <x v="129"/>
    <n v="463"/>
    <n v="19.440000000000001"/>
    <x v="2"/>
    <x v="1"/>
    <x v="130"/>
  </r>
  <r>
    <x v="3"/>
    <x v="6"/>
    <x v="7"/>
    <x v="7"/>
    <x v="7"/>
    <x v="0"/>
    <x v="7"/>
    <x v="7"/>
    <x v="7"/>
    <x v="7"/>
    <x v="2"/>
    <x v="3"/>
    <x v="150"/>
    <x v="7"/>
    <s v="0 ans et 11 mois"/>
    <n v="11"/>
    <x v="0"/>
    <x v="130"/>
    <n v="215"/>
    <n v="51.99"/>
    <x v="1"/>
    <x v="0"/>
    <x v="73"/>
  </r>
  <r>
    <x v="3"/>
    <x v="6"/>
    <x v="7"/>
    <x v="7"/>
    <x v="7"/>
    <x v="0"/>
    <x v="7"/>
    <x v="7"/>
    <x v="7"/>
    <x v="7"/>
    <x v="2"/>
    <x v="3"/>
    <x v="151"/>
    <x v="7"/>
    <s v="9 ans et 6 mois"/>
    <n v="114"/>
    <x v="3"/>
    <x v="131"/>
    <n v="482"/>
    <n v="16.25"/>
    <x v="5"/>
    <x v="0"/>
    <x v="71"/>
  </r>
  <r>
    <x v="3"/>
    <x v="6"/>
    <x v="7"/>
    <x v="7"/>
    <x v="7"/>
    <x v="0"/>
    <x v="7"/>
    <x v="7"/>
    <x v="7"/>
    <x v="7"/>
    <x v="2"/>
    <x v="3"/>
    <x v="152"/>
    <x v="7"/>
    <s v="8 ans et 0 mois"/>
    <n v="96"/>
    <x v="3"/>
    <x v="89"/>
    <n v="334"/>
    <n v="64.77"/>
    <x v="2"/>
    <x v="0"/>
    <x v="131"/>
  </r>
  <r>
    <x v="3"/>
    <x v="6"/>
    <x v="7"/>
    <x v="7"/>
    <x v="7"/>
    <x v="0"/>
    <x v="7"/>
    <x v="7"/>
    <x v="7"/>
    <x v="7"/>
    <x v="2"/>
    <x v="3"/>
    <x v="153"/>
    <x v="7"/>
    <s v="5 ans et 0 mois"/>
    <n v="60"/>
    <x v="0"/>
    <x v="1"/>
    <n v="306"/>
    <n v="63.83"/>
    <x v="4"/>
    <x v="0"/>
    <x v="132"/>
  </r>
  <r>
    <x v="3"/>
    <x v="6"/>
    <x v="7"/>
    <x v="7"/>
    <x v="7"/>
    <x v="0"/>
    <x v="7"/>
    <x v="7"/>
    <x v="7"/>
    <x v="7"/>
    <x v="2"/>
    <x v="3"/>
    <x v="154"/>
    <x v="7"/>
    <s v="0 ans et 9 mois"/>
    <n v="9"/>
    <x v="1"/>
    <x v="132"/>
    <n v="255"/>
    <n v="95.13"/>
    <x v="1"/>
    <x v="1"/>
    <x v="5"/>
  </r>
  <r>
    <x v="3"/>
    <x v="6"/>
    <x v="7"/>
    <x v="7"/>
    <x v="7"/>
    <x v="0"/>
    <x v="7"/>
    <x v="7"/>
    <x v="7"/>
    <x v="7"/>
    <x v="2"/>
    <x v="3"/>
    <x v="155"/>
    <x v="7"/>
    <s v="5 ans et 3 mois"/>
    <n v="63"/>
    <x v="2"/>
    <x v="118"/>
    <n v="95"/>
    <n v="56.81"/>
    <x v="2"/>
    <x v="0"/>
    <x v="133"/>
  </r>
  <r>
    <x v="3"/>
    <x v="6"/>
    <x v="7"/>
    <x v="7"/>
    <x v="7"/>
    <x v="0"/>
    <x v="7"/>
    <x v="7"/>
    <x v="7"/>
    <x v="7"/>
    <x v="2"/>
    <x v="3"/>
    <x v="156"/>
    <x v="7"/>
    <s v="2 ans et 9 mois"/>
    <n v="33"/>
    <x v="3"/>
    <x v="133"/>
    <n v="444"/>
    <n v="10.28"/>
    <x v="3"/>
    <x v="0"/>
    <x v="91"/>
  </r>
  <r>
    <x v="3"/>
    <x v="6"/>
    <x v="7"/>
    <x v="7"/>
    <x v="7"/>
    <x v="0"/>
    <x v="7"/>
    <x v="7"/>
    <x v="7"/>
    <x v="7"/>
    <x v="2"/>
    <x v="3"/>
    <x v="157"/>
    <x v="7"/>
    <s v="9 ans et 10 mois"/>
    <n v="118"/>
    <x v="2"/>
    <x v="134"/>
    <n v="489"/>
    <n v="76.22"/>
    <x v="4"/>
    <x v="0"/>
    <x v="134"/>
  </r>
  <r>
    <x v="3"/>
    <x v="6"/>
    <x v="7"/>
    <x v="7"/>
    <x v="7"/>
    <x v="0"/>
    <x v="7"/>
    <x v="7"/>
    <x v="7"/>
    <x v="7"/>
    <x v="2"/>
    <x v="3"/>
    <x v="158"/>
    <x v="7"/>
    <s v="8 ans et 9 mois"/>
    <n v="105"/>
    <x v="2"/>
    <x v="135"/>
    <n v="3"/>
    <n v="71.010000000000005"/>
    <x v="1"/>
    <x v="0"/>
    <x v="56"/>
  </r>
  <r>
    <x v="3"/>
    <x v="6"/>
    <x v="7"/>
    <x v="7"/>
    <x v="7"/>
    <x v="0"/>
    <x v="7"/>
    <x v="7"/>
    <x v="7"/>
    <x v="7"/>
    <x v="2"/>
    <x v="3"/>
    <x v="159"/>
    <x v="7"/>
    <s v="5 ans et 9 mois"/>
    <n v="69"/>
    <x v="3"/>
    <x v="136"/>
    <n v="486"/>
    <n v="34.770000000000003"/>
    <x v="2"/>
    <x v="0"/>
    <x v="103"/>
  </r>
  <r>
    <x v="3"/>
    <x v="6"/>
    <x v="7"/>
    <x v="7"/>
    <x v="7"/>
    <x v="0"/>
    <x v="7"/>
    <x v="7"/>
    <x v="7"/>
    <x v="7"/>
    <x v="2"/>
    <x v="3"/>
    <x v="160"/>
    <x v="7"/>
    <s v="6 ans et 6 mois"/>
    <n v="78"/>
    <x v="3"/>
    <x v="137"/>
    <n v="263"/>
    <n v="53.58"/>
    <x v="3"/>
    <x v="0"/>
    <x v="135"/>
  </r>
  <r>
    <x v="3"/>
    <x v="6"/>
    <x v="7"/>
    <x v="7"/>
    <x v="7"/>
    <x v="0"/>
    <x v="7"/>
    <x v="7"/>
    <x v="7"/>
    <x v="7"/>
    <x v="2"/>
    <x v="3"/>
    <x v="161"/>
    <x v="7"/>
    <s v="6 ans et 4 mois"/>
    <n v="76"/>
    <x v="2"/>
    <x v="59"/>
    <n v="332"/>
    <n v="68.010000000000005"/>
    <x v="0"/>
    <x v="0"/>
    <x v="136"/>
  </r>
  <r>
    <x v="3"/>
    <x v="6"/>
    <x v="7"/>
    <x v="7"/>
    <x v="7"/>
    <x v="0"/>
    <x v="7"/>
    <x v="7"/>
    <x v="7"/>
    <x v="7"/>
    <x v="2"/>
    <x v="3"/>
    <x v="162"/>
    <x v="7"/>
    <s v="2 ans et 5 mois"/>
    <n v="29"/>
    <x v="0"/>
    <x v="98"/>
    <n v="173"/>
    <n v="49.03"/>
    <x v="5"/>
    <x v="0"/>
    <x v="137"/>
  </r>
  <r>
    <x v="3"/>
    <x v="6"/>
    <x v="7"/>
    <x v="7"/>
    <x v="7"/>
    <x v="0"/>
    <x v="7"/>
    <x v="7"/>
    <x v="7"/>
    <x v="7"/>
    <x v="2"/>
    <x v="3"/>
    <x v="163"/>
    <x v="7"/>
    <s v="6 ans et 5 mois"/>
    <n v="77"/>
    <x v="3"/>
    <x v="138"/>
    <n v="488"/>
    <n v="21.17"/>
    <x v="2"/>
    <x v="0"/>
    <x v="5"/>
  </r>
  <r>
    <x v="3"/>
    <x v="6"/>
    <x v="7"/>
    <x v="7"/>
    <x v="7"/>
    <x v="0"/>
    <x v="7"/>
    <x v="7"/>
    <x v="7"/>
    <x v="7"/>
    <x v="2"/>
    <x v="3"/>
    <x v="164"/>
    <x v="7"/>
    <s v="8 ans et 0 mois"/>
    <n v="96"/>
    <x v="2"/>
    <x v="139"/>
    <n v="381"/>
    <n v="90.78"/>
    <x v="4"/>
    <x v="0"/>
    <x v="138"/>
  </r>
  <r>
    <x v="3"/>
    <x v="6"/>
    <x v="7"/>
    <x v="7"/>
    <x v="7"/>
    <x v="0"/>
    <x v="7"/>
    <x v="7"/>
    <x v="7"/>
    <x v="7"/>
    <x v="2"/>
    <x v="3"/>
    <x v="165"/>
    <x v="7"/>
    <s v="3 ans et 5 mois"/>
    <n v="41"/>
    <x v="0"/>
    <x v="140"/>
    <n v="398"/>
    <n v="28.56"/>
    <x v="4"/>
    <x v="0"/>
    <x v="139"/>
  </r>
  <r>
    <x v="3"/>
    <x v="6"/>
    <x v="7"/>
    <x v="7"/>
    <x v="7"/>
    <x v="0"/>
    <x v="7"/>
    <x v="7"/>
    <x v="7"/>
    <x v="7"/>
    <x v="2"/>
    <x v="3"/>
    <x v="166"/>
    <x v="7"/>
    <s v="1 ans et 2 mois"/>
    <n v="14"/>
    <x v="1"/>
    <x v="141"/>
    <n v="345"/>
    <n v="39.57"/>
    <x v="5"/>
    <x v="1"/>
    <x v="140"/>
  </r>
  <r>
    <x v="3"/>
    <x v="6"/>
    <x v="7"/>
    <x v="7"/>
    <x v="7"/>
    <x v="0"/>
    <x v="7"/>
    <x v="7"/>
    <x v="7"/>
    <x v="7"/>
    <x v="2"/>
    <x v="3"/>
    <x v="167"/>
    <x v="7"/>
    <s v="0 ans et 7 mois"/>
    <n v="7"/>
    <x v="0"/>
    <x v="142"/>
    <n v="233"/>
    <n v="10.94"/>
    <x v="2"/>
    <x v="0"/>
    <x v="141"/>
  </r>
  <r>
    <x v="3"/>
    <x v="6"/>
    <x v="7"/>
    <x v="7"/>
    <x v="7"/>
    <x v="0"/>
    <x v="7"/>
    <x v="7"/>
    <x v="7"/>
    <x v="7"/>
    <x v="2"/>
    <x v="3"/>
    <x v="168"/>
    <x v="7"/>
    <s v="3 ans et 10 mois"/>
    <n v="46"/>
    <x v="1"/>
    <x v="143"/>
    <n v="216"/>
    <n v="63.74"/>
    <x v="0"/>
    <x v="1"/>
    <x v="142"/>
  </r>
  <r>
    <x v="0"/>
    <x v="2"/>
    <x v="8"/>
    <x v="8"/>
    <x v="8"/>
    <x v="0"/>
    <x v="8"/>
    <x v="8"/>
    <x v="8"/>
    <x v="8"/>
    <x v="1"/>
    <x v="2"/>
    <x v="169"/>
    <x v="8"/>
    <s v="9 ans et 2 mois"/>
    <n v="110"/>
    <x v="1"/>
    <x v="144"/>
    <n v="423"/>
    <n v="37.35"/>
    <x v="0"/>
    <x v="1"/>
    <x v="143"/>
  </r>
  <r>
    <x v="0"/>
    <x v="2"/>
    <x v="8"/>
    <x v="8"/>
    <x v="8"/>
    <x v="0"/>
    <x v="8"/>
    <x v="8"/>
    <x v="8"/>
    <x v="8"/>
    <x v="1"/>
    <x v="2"/>
    <x v="170"/>
    <x v="8"/>
    <s v="1 ans et 10 mois"/>
    <n v="22"/>
    <x v="2"/>
    <x v="107"/>
    <n v="451"/>
    <n v="76.38"/>
    <x v="5"/>
    <x v="0"/>
    <x v="61"/>
  </r>
  <r>
    <x v="0"/>
    <x v="2"/>
    <x v="8"/>
    <x v="8"/>
    <x v="8"/>
    <x v="0"/>
    <x v="8"/>
    <x v="8"/>
    <x v="8"/>
    <x v="8"/>
    <x v="1"/>
    <x v="2"/>
    <x v="171"/>
    <x v="8"/>
    <s v="7 ans et 7 mois"/>
    <n v="91"/>
    <x v="3"/>
    <x v="145"/>
    <n v="467"/>
    <n v="84.74"/>
    <x v="1"/>
    <x v="0"/>
    <x v="144"/>
  </r>
  <r>
    <x v="0"/>
    <x v="2"/>
    <x v="8"/>
    <x v="8"/>
    <x v="8"/>
    <x v="0"/>
    <x v="8"/>
    <x v="8"/>
    <x v="8"/>
    <x v="8"/>
    <x v="1"/>
    <x v="2"/>
    <x v="172"/>
    <x v="8"/>
    <s v="4 ans et 10 mois"/>
    <n v="58"/>
    <x v="0"/>
    <x v="146"/>
    <n v="293"/>
    <n v="88.85"/>
    <x v="3"/>
    <x v="0"/>
    <x v="145"/>
  </r>
  <r>
    <x v="0"/>
    <x v="2"/>
    <x v="8"/>
    <x v="8"/>
    <x v="8"/>
    <x v="0"/>
    <x v="8"/>
    <x v="8"/>
    <x v="8"/>
    <x v="8"/>
    <x v="1"/>
    <x v="2"/>
    <x v="173"/>
    <x v="8"/>
    <s v="8 ans et 1 mois"/>
    <n v="97"/>
    <x v="3"/>
    <x v="147"/>
    <n v="296"/>
    <n v="10.87"/>
    <x v="0"/>
    <x v="0"/>
    <x v="141"/>
  </r>
  <r>
    <x v="0"/>
    <x v="2"/>
    <x v="8"/>
    <x v="8"/>
    <x v="8"/>
    <x v="0"/>
    <x v="8"/>
    <x v="8"/>
    <x v="8"/>
    <x v="8"/>
    <x v="1"/>
    <x v="2"/>
    <x v="174"/>
    <x v="8"/>
    <s v="4 ans et 1 mois"/>
    <n v="49"/>
    <x v="3"/>
    <x v="148"/>
    <n v="357"/>
    <n v="96.67"/>
    <x v="5"/>
    <x v="0"/>
    <x v="36"/>
  </r>
  <r>
    <x v="0"/>
    <x v="2"/>
    <x v="8"/>
    <x v="8"/>
    <x v="8"/>
    <x v="0"/>
    <x v="8"/>
    <x v="8"/>
    <x v="8"/>
    <x v="8"/>
    <x v="1"/>
    <x v="2"/>
    <x v="175"/>
    <x v="8"/>
    <s v="2 ans et 9 mois"/>
    <n v="33"/>
    <x v="3"/>
    <x v="149"/>
    <n v="285"/>
    <n v="56.67"/>
    <x v="4"/>
    <x v="0"/>
    <x v="87"/>
  </r>
  <r>
    <x v="0"/>
    <x v="2"/>
    <x v="8"/>
    <x v="8"/>
    <x v="8"/>
    <x v="0"/>
    <x v="8"/>
    <x v="8"/>
    <x v="8"/>
    <x v="8"/>
    <x v="1"/>
    <x v="2"/>
    <x v="176"/>
    <x v="8"/>
    <s v="5 ans et 0 mois"/>
    <n v="60"/>
    <x v="2"/>
    <x v="150"/>
    <n v="154"/>
    <n v="13.41"/>
    <x v="3"/>
    <x v="0"/>
    <x v="146"/>
  </r>
  <r>
    <x v="0"/>
    <x v="2"/>
    <x v="8"/>
    <x v="8"/>
    <x v="8"/>
    <x v="0"/>
    <x v="8"/>
    <x v="8"/>
    <x v="8"/>
    <x v="8"/>
    <x v="1"/>
    <x v="2"/>
    <x v="177"/>
    <x v="8"/>
    <s v="5 ans et 1 mois"/>
    <n v="61"/>
    <x v="2"/>
    <x v="151"/>
    <n v="87"/>
    <n v="68.319999999999993"/>
    <x v="4"/>
    <x v="0"/>
    <x v="147"/>
  </r>
  <r>
    <x v="0"/>
    <x v="2"/>
    <x v="8"/>
    <x v="8"/>
    <x v="8"/>
    <x v="0"/>
    <x v="8"/>
    <x v="8"/>
    <x v="8"/>
    <x v="8"/>
    <x v="1"/>
    <x v="2"/>
    <x v="178"/>
    <x v="8"/>
    <s v="4 ans et 2 mois"/>
    <n v="50"/>
    <x v="2"/>
    <x v="23"/>
    <n v="446"/>
    <n v="31.56"/>
    <x v="3"/>
    <x v="0"/>
    <x v="148"/>
  </r>
  <r>
    <x v="0"/>
    <x v="2"/>
    <x v="8"/>
    <x v="8"/>
    <x v="8"/>
    <x v="0"/>
    <x v="8"/>
    <x v="8"/>
    <x v="8"/>
    <x v="8"/>
    <x v="1"/>
    <x v="2"/>
    <x v="179"/>
    <x v="8"/>
    <s v="7 ans et 6 mois"/>
    <n v="90"/>
    <x v="1"/>
    <x v="152"/>
    <n v="299"/>
    <n v="71.760000000000005"/>
    <x v="1"/>
    <x v="1"/>
    <x v="90"/>
  </r>
  <r>
    <x v="0"/>
    <x v="2"/>
    <x v="8"/>
    <x v="8"/>
    <x v="8"/>
    <x v="0"/>
    <x v="8"/>
    <x v="8"/>
    <x v="8"/>
    <x v="8"/>
    <x v="1"/>
    <x v="2"/>
    <x v="180"/>
    <x v="8"/>
    <s v="9 ans et 1 mois"/>
    <n v="109"/>
    <x v="2"/>
    <x v="153"/>
    <n v="347"/>
    <n v="43.06"/>
    <x v="0"/>
    <x v="0"/>
    <x v="149"/>
  </r>
  <r>
    <x v="0"/>
    <x v="2"/>
    <x v="8"/>
    <x v="8"/>
    <x v="8"/>
    <x v="0"/>
    <x v="8"/>
    <x v="8"/>
    <x v="8"/>
    <x v="8"/>
    <x v="1"/>
    <x v="2"/>
    <x v="181"/>
    <x v="8"/>
    <s v="10 ans et 0 mois"/>
    <n v="120"/>
    <x v="2"/>
    <x v="154"/>
    <n v="242"/>
    <n v="61.54"/>
    <x v="1"/>
    <x v="0"/>
    <x v="150"/>
  </r>
  <r>
    <x v="0"/>
    <x v="2"/>
    <x v="8"/>
    <x v="8"/>
    <x v="8"/>
    <x v="0"/>
    <x v="8"/>
    <x v="8"/>
    <x v="8"/>
    <x v="8"/>
    <x v="1"/>
    <x v="2"/>
    <x v="182"/>
    <x v="8"/>
    <s v="5 ans et 4 mois"/>
    <n v="64"/>
    <x v="0"/>
    <x v="155"/>
    <n v="250"/>
    <n v="56.7"/>
    <x v="2"/>
    <x v="0"/>
    <x v="87"/>
  </r>
  <r>
    <x v="0"/>
    <x v="2"/>
    <x v="8"/>
    <x v="8"/>
    <x v="8"/>
    <x v="0"/>
    <x v="8"/>
    <x v="8"/>
    <x v="8"/>
    <x v="8"/>
    <x v="1"/>
    <x v="2"/>
    <x v="183"/>
    <x v="8"/>
    <s v="4 ans et 11 mois"/>
    <n v="59"/>
    <x v="3"/>
    <x v="156"/>
    <n v="352"/>
    <n v="74.239999999999995"/>
    <x v="2"/>
    <x v="0"/>
    <x v="151"/>
  </r>
  <r>
    <x v="0"/>
    <x v="2"/>
    <x v="8"/>
    <x v="8"/>
    <x v="8"/>
    <x v="0"/>
    <x v="8"/>
    <x v="8"/>
    <x v="8"/>
    <x v="8"/>
    <x v="1"/>
    <x v="2"/>
    <x v="184"/>
    <x v="8"/>
    <s v="1 ans et 7 mois"/>
    <n v="19"/>
    <x v="2"/>
    <x v="157"/>
    <n v="450"/>
    <n v="37.43"/>
    <x v="4"/>
    <x v="0"/>
    <x v="152"/>
  </r>
  <r>
    <x v="0"/>
    <x v="2"/>
    <x v="8"/>
    <x v="8"/>
    <x v="8"/>
    <x v="0"/>
    <x v="8"/>
    <x v="8"/>
    <x v="8"/>
    <x v="8"/>
    <x v="1"/>
    <x v="2"/>
    <x v="185"/>
    <x v="8"/>
    <s v="2 ans et 5 mois"/>
    <n v="29"/>
    <x v="1"/>
    <x v="158"/>
    <n v="493"/>
    <n v="42.02"/>
    <x v="1"/>
    <x v="1"/>
    <x v="97"/>
  </r>
  <r>
    <x v="0"/>
    <x v="2"/>
    <x v="8"/>
    <x v="8"/>
    <x v="8"/>
    <x v="0"/>
    <x v="8"/>
    <x v="8"/>
    <x v="8"/>
    <x v="8"/>
    <x v="1"/>
    <x v="2"/>
    <x v="186"/>
    <x v="8"/>
    <s v="1 ans et 1 mois"/>
    <n v="13"/>
    <x v="1"/>
    <x v="98"/>
    <n v="173"/>
    <n v="85.54"/>
    <x v="5"/>
    <x v="1"/>
    <x v="15"/>
  </r>
  <r>
    <x v="0"/>
    <x v="2"/>
    <x v="8"/>
    <x v="8"/>
    <x v="8"/>
    <x v="0"/>
    <x v="8"/>
    <x v="8"/>
    <x v="8"/>
    <x v="8"/>
    <x v="1"/>
    <x v="2"/>
    <x v="187"/>
    <x v="8"/>
    <s v="3 ans et 9 mois"/>
    <n v="45"/>
    <x v="0"/>
    <x v="159"/>
    <n v="439"/>
    <n v="13.62"/>
    <x v="0"/>
    <x v="0"/>
    <x v="47"/>
  </r>
  <r>
    <x v="0"/>
    <x v="2"/>
    <x v="8"/>
    <x v="8"/>
    <x v="8"/>
    <x v="0"/>
    <x v="8"/>
    <x v="8"/>
    <x v="8"/>
    <x v="8"/>
    <x v="1"/>
    <x v="2"/>
    <x v="188"/>
    <x v="8"/>
    <s v="3 ans et 3 mois"/>
    <n v="39"/>
    <x v="2"/>
    <x v="160"/>
    <n v="327"/>
    <n v="87.24"/>
    <x v="0"/>
    <x v="0"/>
    <x v="153"/>
  </r>
  <r>
    <x v="0"/>
    <x v="2"/>
    <x v="8"/>
    <x v="8"/>
    <x v="8"/>
    <x v="0"/>
    <x v="8"/>
    <x v="8"/>
    <x v="8"/>
    <x v="8"/>
    <x v="1"/>
    <x v="2"/>
    <x v="189"/>
    <x v="8"/>
    <s v="4 ans et 2 mois"/>
    <n v="50"/>
    <x v="2"/>
    <x v="148"/>
    <n v="357"/>
    <n v="17"/>
    <x v="5"/>
    <x v="0"/>
    <x v="84"/>
  </r>
  <r>
    <x v="0"/>
    <x v="2"/>
    <x v="8"/>
    <x v="8"/>
    <x v="8"/>
    <x v="0"/>
    <x v="8"/>
    <x v="8"/>
    <x v="8"/>
    <x v="8"/>
    <x v="1"/>
    <x v="2"/>
    <x v="190"/>
    <x v="8"/>
    <s v="5 ans et 2 mois"/>
    <n v="62"/>
    <x v="2"/>
    <x v="39"/>
    <n v="369"/>
    <n v="58.74"/>
    <x v="1"/>
    <x v="0"/>
    <x v="127"/>
  </r>
  <r>
    <x v="4"/>
    <x v="4"/>
    <x v="9"/>
    <x v="9"/>
    <x v="9"/>
    <x v="2"/>
    <x v="9"/>
    <x v="9"/>
    <x v="9"/>
    <x v="9"/>
    <x v="2"/>
    <x v="2"/>
    <x v="191"/>
    <x v="9"/>
    <s v="8 ans et 5 mois"/>
    <n v="101"/>
    <x v="2"/>
    <x v="161"/>
    <n v="358"/>
    <n v="29.24"/>
    <x v="5"/>
    <x v="0"/>
    <x v="154"/>
  </r>
  <r>
    <x v="4"/>
    <x v="4"/>
    <x v="9"/>
    <x v="9"/>
    <x v="9"/>
    <x v="2"/>
    <x v="9"/>
    <x v="9"/>
    <x v="9"/>
    <x v="9"/>
    <x v="2"/>
    <x v="2"/>
    <x v="192"/>
    <x v="9"/>
    <s v="6 ans et 7 mois"/>
    <n v="79"/>
    <x v="0"/>
    <x v="148"/>
    <n v="357"/>
    <n v="69.900000000000006"/>
    <x v="3"/>
    <x v="0"/>
    <x v="155"/>
  </r>
  <r>
    <x v="4"/>
    <x v="4"/>
    <x v="9"/>
    <x v="9"/>
    <x v="9"/>
    <x v="2"/>
    <x v="9"/>
    <x v="9"/>
    <x v="9"/>
    <x v="9"/>
    <x v="2"/>
    <x v="2"/>
    <x v="193"/>
    <x v="9"/>
    <s v="9 ans et 2 mois"/>
    <n v="110"/>
    <x v="2"/>
    <x v="162"/>
    <n v="454"/>
    <n v="31.05"/>
    <x v="1"/>
    <x v="0"/>
    <x v="156"/>
  </r>
  <r>
    <x v="4"/>
    <x v="4"/>
    <x v="9"/>
    <x v="9"/>
    <x v="9"/>
    <x v="2"/>
    <x v="9"/>
    <x v="9"/>
    <x v="9"/>
    <x v="9"/>
    <x v="2"/>
    <x v="2"/>
    <x v="194"/>
    <x v="9"/>
    <s v="4 ans et 11 mois"/>
    <n v="59"/>
    <x v="2"/>
    <x v="102"/>
    <n v="192"/>
    <n v="86.17"/>
    <x v="1"/>
    <x v="0"/>
    <x v="157"/>
  </r>
  <r>
    <x v="4"/>
    <x v="4"/>
    <x v="9"/>
    <x v="9"/>
    <x v="9"/>
    <x v="2"/>
    <x v="9"/>
    <x v="9"/>
    <x v="9"/>
    <x v="9"/>
    <x v="2"/>
    <x v="2"/>
    <x v="195"/>
    <x v="9"/>
    <s v="7 ans et 10 mois"/>
    <n v="94"/>
    <x v="2"/>
    <x v="163"/>
    <n v="122"/>
    <n v="95.74"/>
    <x v="3"/>
    <x v="0"/>
    <x v="158"/>
  </r>
  <r>
    <x v="4"/>
    <x v="4"/>
    <x v="9"/>
    <x v="9"/>
    <x v="9"/>
    <x v="2"/>
    <x v="9"/>
    <x v="9"/>
    <x v="9"/>
    <x v="9"/>
    <x v="2"/>
    <x v="2"/>
    <x v="196"/>
    <x v="9"/>
    <s v="1 ans et 0 mois"/>
    <n v="12"/>
    <x v="1"/>
    <x v="164"/>
    <n v="305"/>
    <n v="59.96"/>
    <x v="5"/>
    <x v="1"/>
    <x v="146"/>
  </r>
  <r>
    <x v="4"/>
    <x v="4"/>
    <x v="9"/>
    <x v="9"/>
    <x v="9"/>
    <x v="2"/>
    <x v="9"/>
    <x v="9"/>
    <x v="9"/>
    <x v="9"/>
    <x v="2"/>
    <x v="2"/>
    <x v="197"/>
    <x v="9"/>
    <s v="1 ans et 10 mois"/>
    <n v="22"/>
    <x v="2"/>
    <x v="165"/>
    <n v="119"/>
    <n v="72.86"/>
    <x v="5"/>
    <x v="0"/>
    <x v="159"/>
  </r>
  <r>
    <x v="4"/>
    <x v="4"/>
    <x v="9"/>
    <x v="9"/>
    <x v="9"/>
    <x v="2"/>
    <x v="9"/>
    <x v="9"/>
    <x v="9"/>
    <x v="9"/>
    <x v="2"/>
    <x v="2"/>
    <x v="198"/>
    <x v="9"/>
    <s v="6 ans et 0 mois"/>
    <n v="72"/>
    <x v="3"/>
    <x v="166"/>
    <n v="5"/>
    <n v="68.650000000000006"/>
    <x v="2"/>
    <x v="0"/>
    <x v="160"/>
  </r>
  <r>
    <x v="4"/>
    <x v="4"/>
    <x v="9"/>
    <x v="9"/>
    <x v="9"/>
    <x v="2"/>
    <x v="9"/>
    <x v="9"/>
    <x v="9"/>
    <x v="9"/>
    <x v="2"/>
    <x v="2"/>
    <x v="199"/>
    <x v="9"/>
    <s v="5 ans et 8 mois"/>
    <n v="68"/>
    <x v="3"/>
    <x v="167"/>
    <n v="443"/>
    <n v="12.09"/>
    <x v="5"/>
    <x v="0"/>
    <x v="96"/>
  </r>
  <r>
    <x v="4"/>
    <x v="4"/>
    <x v="9"/>
    <x v="9"/>
    <x v="9"/>
    <x v="2"/>
    <x v="9"/>
    <x v="9"/>
    <x v="9"/>
    <x v="9"/>
    <x v="2"/>
    <x v="2"/>
    <x v="200"/>
    <x v="9"/>
    <s v="1 ans et 6 mois"/>
    <n v="18"/>
    <x v="0"/>
    <x v="79"/>
    <n v="291"/>
    <n v="97.98"/>
    <x v="1"/>
    <x v="0"/>
    <x v="161"/>
  </r>
  <r>
    <x v="4"/>
    <x v="4"/>
    <x v="9"/>
    <x v="9"/>
    <x v="9"/>
    <x v="2"/>
    <x v="9"/>
    <x v="9"/>
    <x v="9"/>
    <x v="9"/>
    <x v="2"/>
    <x v="2"/>
    <x v="201"/>
    <x v="9"/>
    <s v="3 ans et 11 mois"/>
    <n v="47"/>
    <x v="2"/>
    <x v="168"/>
    <n v="340"/>
    <n v="31.02"/>
    <x v="3"/>
    <x v="0"/>
    <x v="156"/>
  </r>
  <r>
    <x v="4"/>
    <x v="4"/>
    <x v="9"/>
    <x v="9"/>
    <x v="9"/>
    <x v="2"/>
    <x v="9"/>
    <x v="9"/>
    <x v="9"/>
    <x v="9"/>
    <x v="2"/>
    <x v="2"/>
    <x v="202"/>
    <x v="9"/>
    <s v="8 ans et 7 mois"/>
    <n v="103"/>
    <x v="3"/>
    <x v="169"/>
    <n v="354"/>
    <n v="26.19"/>
    <x v="0"/>
    <x v="0"/>
    <x v="162"/>
  </r>
  <r>
    <x v="4"/>
    <x v="4"/>
    <x v="9"/>
    <x v="9"/>
    <x v="9"/>
    <x v="2"/>
    <x v="9"/>
    <x v="9"/>
    <x v="9"/>
    <x v="9"/>
    <x v="2"/>
    <x v="2"/>
    <x v="203"/>
    <x v="9"/>
    <s v="9 ans et 5 mois"/>
    <n v="113"/>
    <x v="3"/>
    <x v="170"/>
    <n v="89"/>
    <n v="54.28"/>
    <x v="2"/>
    <x v="0"/>
    <x v="163"/>
  </r>
  <r>
    <x v="4"/>
    <x v="4"/>
    <x v="9"/>
    <x v="9"/>
    <x v="9"/>
    <x v="2"/>
    <x v="9"/>
    <x v="9"/>
    <x v="9"/>
    <x v="9"/>
    <x v="2"/>
    <x v="2"/>
    <x v="204"/>
    <x v="9"/>
    <s v="2 ans et 10 mois"/>
    <n v="34"/>
    <x v="0"/>
    <x v="171"/>
    <n v="40"/>
    <n v="65.709999999999994"/>
    <x v="3"/>
    <x v="0"/>
    <x v="118"/>
  </r>
  <r>
    <x v="4"/>
    <x v="4"/>
    <x v="9"/>
    <x v="9"/>
    <x v="9"/>
    <x v="2"/>
    <x v="9"/>
    <x v="9"/>
    <x v="9"/>
    <x v="9"/>
    <x v="2"/>
    <x v="2"/>
    <x v="205"/>
    <x v="9"/>
    <s v="1 ans et 7 mois"/>
    <n v="19"/>
    <x v="3"/>
    <x v="75"/>
    <n v="270"/>
    <n v="19.760000000000002"/>
    <x v="5"/>
    <x v="0"/>
    <x v="68"/>
  </r>
  <r>
    <x v="4"/>
    <x v="4"/>
    <x v="9"/>
    <x v="9"/>
    <x v="9"/>
    <x v="2"/>
    <x v="9"/>
    <x v="9"/>
    <x v="9"/>
    <x v="9"/>
    <x v="2"/>
    <x v="2"/>
    <x v="206"/>
    <x v="9"/>
    <s v="8 ans et 5 mois"/>
    <n v="101"/>
    <x v="1"/>
    <x v="74"/>
    <n v="210"/>
    <n v="35.4"/>
    <x v="1"/>
    <x v="1"/>
    <x v="129"/>
  </r>
  <r>
    <x v="4"/>
    <x v="4"/>
    <x v="9"/>
    <x v="9"/>
    <x v="9"/>
    <x v="2"/>
    <x v="9"/>
    <x v="9"/>
    <x v="9"/>
    <x v="9"/>
    <x v="2"/>
    <x v="2"/>
    <x v="207"/>
    <x v="9"/>
    <s v="9 ans et 5 mois"/>
    <n v="113"/>
    <x v="1"/>
    <x v="172"/>
    <n v="152"/>
    <n v="51.28"/>
    <x v="0"/>
    <x v="1"/>
    <x v="164"/>
  </r>
  <r>
    <x v="0"/>
    <x v="7"/>
    <x v="10"/>
    <x v="10"/>
    <x v="10"/>
    <x v="1"/>
    <x v="10"/>
    <x v="10"/>
    <x v="10"/>
    <x v="10"/>
    <x v="2"/>
    <x v="3"/>
    <x v="208"/>
    <x v="10"/>
    <s v="8 ans et 5 mois"/>
    <n v="101"/>
    <x v="1"/>
    <x v="0"/>
    <n v="176"/>
    <n v="86"/>
    <x v="5"/>
    <x v="1"/>
    <x v="15"/>
  </r>
  <r>
    <x v="0"/>
    <x v="7"/>
    <x v="10"/>
    <x v="10"/>
    <x v="10"/>
    <x v="1"/>
    <x v="10"/>
    <x v="10"/>
    <x v="10"/>
    <x v="10"/>
    <x v="2"/>
    <x v="3"/>
    <x v="209"/>
    <x v="10"/>
    <s v="4 ans et 11 mois"/>
    <n v="59"/>
    <x v="0"/>
    <x v="173"/>
    <n v="196"/>
    <n v="62.53"/>
    <x v="2"/>
    <x v="0"/>
    <x v="165"/>
  </r>
  <r>
    <x v="0"/>
    <x v="7"/>
    <x v="10"/>
    <x v="10"/>
    <x v="10"/>
    <x v="1"/>
    <x v="10"/>
    <x v="10"/>
    <x v="10"/>
    <x v="10"/>
    <x v="2"/>
    <x v="3"/>
    <x v="210"/>
    <x v="10"/>
    <s v="4 ans et 5 mois"/>
    <n v="53"/>
    <x v="2"/>
    <x v="141"/>
    <n v="345"/>
    <n v="83.73"/>
    <x v="2"/>
    <x v="0"/>
    <x v="166"/>
  </r>
  <r>
    <x v="0"/>
    <x v="7"/>
    <x v="10"/>
    <x v="10"/>
    <x v="10"/>
    <x v="1"/>
    <x v="10"/>
    <x v="10"/>
    <x v="10"/>
    <x v="10"/>
    <x v="2"/>
    <x v="3"/>
    <x v="211"/>
    <x v="10"/>
    <s v="0 ans et 1 mois"/>
    <n v="1"/>
    <x v="1"/>
    <x v="174"/>
    <n v="326"/>
    <n v="54.63"/>
    <x v="5"/>
    <x v="1"/>
    <x v="112"/>
  </r>
  <r>
    <x v="0"/>
    <x v="7"/>
    <x v="10"/>
    <x v="10"/>
    <x v="10"/>
    <x v="1"/>
    <x v="10"/>
    <x v="10"/>
    <x v="10"/>
    <x v="10"/>
    <x v="2"/>
    <x v="3"/>
    <x v="212"/>
    <x v="10"/>
    <s v="6 ans et 2 mois"/>
    <n v="74"/>
    <x v="1"/>
    <x v="175"/>
    <n v="371"/>
    <n v="53.27"/>
    <x v="5"/>
    <x v="1"/>
    <x v="167"/>
  </r>
  <r>
    <x v="0"/>
    <x v="7"/>
    <x v="10"/>
    <x v="10"/>
    <x v="10"/>
    <x v="1"/>
    <x v="10"/>
    <x v="10"/>
    <x v="10"/>
    <x v="10"/>
    <x v="2"/>
    <x v="3"/>
    <x v="213"/>
    <x v="10"/>
    <s v="9 ans et 3 mois"/>
    <n v="111"/>
    <x v="3"/>
    <x v="26"/>
    <n v="43"/>
    <n v="19.39"/>
    <x v="5"/>
    <x v="0"/>
    <x v="168"/>
  </r>
  <r>
    <x v="0"/>
    <x v="7"/>
    <x v="10"/>
    <x v="10"/>
    <x v="10"/>
    <x v="1"/>
    <x v="10"/>
    <x v="10"/>
    <x v="10"/>
    <x v="10"/>
    <x v="2"/>
    <x v="3"/>
    <x v="214"/>
    <x v="10"/>
    <s v="9 ans et 10 mois"/>
    <n v="118"/>
    <x v="1"/>
    <x v="176"/>
    <n v="22"/>
    <n v="15.39"/>
    <x v="1"/>
    <x v="1"/>
    <x v="169"/>
  </r>
  <r>
    <x v="0"/>
    <x v="7"/>
    <x v="10"/>
    <x v="10"/>
    <x v="10"/>
    <x v="1"/>
    <x v="10"/>
    <x v="10"/>
    <x v="10"/>
    <x v="10"/>
    <x v="2"/>
    <x v="3"/>
    <x v="215"/>
    <x v="10"/>
    <s v="1 ans et 11 mois"/>
    <n v="23"/>
    <x v="1"/>
    <x v="177"/>
    <n v="473"/>
    <n v="71.86"/>
    <x v="5"/>
    <x v="1"/>
    <x v="90"/>
  </r>
  <r>
    <x v="0"/>
    <x v="7"/>
    <x v="10"/>
    <x v="10"/>
    <x v="10"/>
    <x v="1"/>
    <x v="10"/>
    <x v="10"/>
    <x v="10"/>
    <x v="10"/>
    <x v="2"/>
    <x v="3"/>
    <x v="216"/>
    <x v="10"/>
    <s v="9 ans et 9 mois"/>
    <n v="117"/>
    <x v="0"/>
    <x v="178"/>
    <n v="85"/>
    <n v="46.16"/>
    <x v="5"/>
    <x v="0"/>
    <x v="170"/>
  </r>
  <r>
    <x v="0"/>
    <x v="7"/>
    <x v="10"/>
    <x v="10"/>
    <x v="10"/>
    <x v="1"/>
    <x v="10"/>
    <x v="10"/>
    <x v="10"/>
    <x v="10"/>
    <x v="2"/>
    <x v="3"/>
    <x v="217"/>
    <x v="10"/>
    <s v="3 ans et 2 mois"/>
    <n v="38"/>
    <x v="3"/>
    <x v="12"/>
    <n v="60"/>
    <n v="58.28"/>
    <x v="0"/>
    <x v="0"/>
    <x v="171"/>
  </r>
  <r>
    <x v="0"/>
    <x v="7"/>
    <x v="10"/>
    <x v="10"/>
    <x v="10"/>
    <x v="1"/>
    <x v="10"/>
    <x v="10"/>
    <x v="10"/>
    <x v="10"/>
    <x v="2"/>
    <x v="3"/>
    <x v="218"/>
    <x v="10"/>
    <s v="1 ans et 0 mois"/>
    <n v="12"/>
    <x v="1"/>
    <x v="113"/>
    <n v="125"/>
    <n v="36.93"/>
    <x v="2"/>
    <x v="1"/>
    <x v="143"/>
  </r>
  <r>
    <x v="0"/>
    <x v="7"/>
    <x v="10"/>
    <x v="10"/>
    <x v="10"/>
    <x v="1"/>
    <x v="10"/>
    <x v="10"/>
    <x v="10"/>
    <x v="10"/>
    <x v="2"/>
    <x v="3"/>
    <x v="219"/>
    <x v="10"/>
    <s v="9 ans et 4 mois"/>
    <n v="112"/>
    <x v="2"/>
    <x v="179"/>
    <n v="483"/>
    <n v="93.98"/>
    <x v="2"/>
    <x v="0"/>
    <x v="172"/>
  </r>
  <r>
    <x v="0"/>
    <x v="7"/>
    <x v="10"/>
    <x v="10"/>
    <x v="10"/>
    <x v="1"/>
    <x v="10"/>
    <x v="10"/>
    <x v="10"/>
    <x v="10"/>
    <x v="2"/>
    <x v="3"/>
    <x v="220"/>
    <x v="10"/>
    <s v="8 ans et 5 mois"/>
    <n v="101"/>
    <x v="3"/>
    <x v="180"/>
    <n v="476"/>
    <n v="41.85"/>
    <x v="0"/>
    <x v="0"/>
    <x v="173"/>
  </r>
  <r>
    <x v="0"/>
    <x v="7"/>
    <x v="10"/>
    <x v="10"/>
    <x v="10"/>
    <x v="1"/>
    <x v="10"/>
    <x v="10"/>
    <x v="10"/>
    <x v="10"/>
    <x v="2"/>
    <x v="3"/>
    <x v="221"/>
    <x v="10"/>
    <s v="9 ans et 7 mois"/>
    <n v="115"/>
    <x v="2"/>
    <x v="145"/>
    <n v="467"/>
    <n v="24.57"/>
    <x v="5"/>
    <x v="0"/>
    <x v="174"/>
  </r>
  <r>
    <x v="0"/>
    <x v="7"/>
    <x v="10"/>
    <x v="10"/>
    <x v="10"/>
    <x v="1"/>
    <x v="10"/>
    <x v="10"/>
    <x v="10"/>
    <x v="10"/>
    <x v="2"/>
    <x v="3"/>
    <x v="222"/>
    <x v="10"/>
    <s v="0 ans et 7 mois"/>
    <n v="7"/>
    <x v="2"/>
    <x v="181"/>
    <n v="94"/>
    <n v="68.38"/>
    <x v="5"/>
    <x v="0"/>
    <x v="102"/>
  </r>
  <r>
    <x v="0"/>
    <x v="7"/>
    <x v="10"/>
    <x v="10"/>
    <x v="10"/>
    <x v="1"/>
    <x v="10"/>
    <x v="10"/>
    <x v="10"/>
    <x v="10"/>
    <x v="2"/>
    <x v="3"/>
    <x v="223"/>
    <x v="10"/>
    <s v="1 ans et 1 mois"/>
    <n v="13"/>
    <x v="1"/>
    <x v="151"/>
    <n v="87"/>
    <n v="66.36"/>
    <x v="2"/>
    <x v="1"/>
    <x v="18"/>
  </r>
  <r>
    <x v="0"/>
    <x v="7"/>
    <x v="10"/>
    <x v="10"/>
    <x v="10"/>
    <x v="1"/>
    <x v="10"/>
    <x v="10"/>
    <x v="10"/>
    <x v="10"/>
    <x v="2"/>
    <x v="3"/>
    <x v="224"/>
    <x v="10"/>
    <s v="2 ans et 0 mois"/>
    <n v="24"/>
    <x v="0"/>
    <x v="182"/>
    <n v="13"/>
    <n v="89.3"/>
    <x v="4"/>
    <x v="0"/>
    <x v="175"/>
  </r>
  <r>
    <x v="0"/>
    <x v="8"/>
    <x v="11"/>
    <x v="11"/>
    <x v="11"/>
    <x v="1"/>
    <x v="11"/>
    <x v="11"/>
    <x v="11"/>
    <x v="11"/>
    <x v="0"/>
    <x v="2"/>
    <x v="225"/>
    <x v="11"/>
    <s v="3 ans et 10 mois"/>
    <n v="46"/>
    <x v="3"/>
    <x v="85"/>
    <n v="283"/>
    <n v="56.05"/>
    <x v="1"/>
    <x v="0"/>
    <x v="176"/>
  </r>
  <r>
    <x v="0"/>
    <x v="8"/>
    <x v="11"/>
    <x v="11"/>
    <x v="11"/>
    <x v="1"/>
    <x v="11"/>
    <x v="11"/>
    <x v="11"/>
    <x v="11"/>
    <x v="0"/>
    <x v="2"/>
    <x v="226"/>
    <x v="11"/>
    <s v="0 ans et 6 mois"/>
    <n v="6"/>
    <x v="2"/>
    <x v="110"/>
    <n v="155"/>
    <n v="40.659999999999997"/>
    <x v="1"/>
    <x v="0"/>
    <x v="177"/>
  </r>
  <r>
    <x v="0"/>
    <x v="8"/>
    <x v="11"/>
    <x v="11"/>
    <x v="11"/>
    <x v="1"/>
    <x v="11"/>
    <x v="11"/>
    <x v="11"/>
    <x v="11"/>
    <x v="0"/>
    <x v="2"/>
    <x v="227"/>
    <x v="11"/>
    <s v="4 ans et 9 mois"/>
    <n v="57"/>
    <x v="2"/>
    <x v="183"/>
    <n v="329"/>
    <n v="50.39"/>
    <x v="3"/>
    <x v="0"/>
    <x v="178"/>
  </r>
  <r>
    <x v="0"/>
    <x v="8"/>
    <x v="11"/>
    <x v="11"/>
    <x v="11"/>
    <x v="1"/>
    <x v="11"/>
    <x v="11"/>
    <x v="11"/>
    <x v="11"/>
    <x v="0"/>
    <x v="2"/>
    <x v="228"/>
    <x v="11"/>
    <s v="1 ans et 2 mois"/>
    <n v="14"/>
    <x v="1"/>
    <x v="184"/>
    <n v="101"/>
    <n v="43.99"/>
    <x v="1"/>
    <x v="1"/>
    <x v="179"/>
  </r>
  <r>
    <x v="0"/>
    <x v="8"/>
    <x v="11"/>
    <x v="11"/>
    <x v="11"/>
    <x v="1"/>
    <x v="11"/>
    <x v="11"/>
    <x v="11"/>
    <x v="11"/>
    <x v="0"/>
    <x v="2"/>
    <x v="229"/>
    <x v="11"/>
    <s v="4 ans et 5 mois"/>
    <n v="53"/>
    <x v="1"/>
    <x v="185"/>
    <n v="385"/>
    <n v="68.78"/>
    <x v="5"/>
    <x v="1"/>
    <x v="180"/>
  </r>
  <r>
    <x v="0"/>
    <x v="8"/>
    <x v="11"/>
    <x v="11"/>
    <x v="11"/>
    <x v="1"/>
    <x v="11"/>
    <x v="11"/>
    <x v="11"/>
    <x v="11"/>
    <x v="0"/>
    <x v="2"/>
    <x v="230"/>
    <x v="11"/>
    <s v="9 ans et 8 mois"/>
    <n v="116"/>
    <x v="1"/>
    <x v="136"/>
    <n v="486"/>
    <n v="92.96"/>
    <x v="3"/>
    <x v="1"/>
    <x v="181"/>
  </r>
  <r>
    <x v="0"/>
    <x v="8"/>
    <x v="11"/>
    <x v="11"/>
    <x v="11"/>
    <x v="1"/>
    <x v="11"/>
    <x v="11"/>
    <x v="11"/>
    <x v="11"/>
    <x v="0"/>
    <x v="2"/>
    <x v="231"/>
    <x v="11"/>
    <s v="6 ans et 11 mois"/>
    <n v="83"/>
    <x v="0"/>
    <x v="186"/>
    <n v="126"/>
    <n v="67.17"/>
    <x v="1"/>
    <x v="0"/>
    <x v="122"/>
  </r>
  <r>
    <x v="0"/>
    <x v="8"/>
    <x v="11"/>
    <x v="11"/>
    <x v="11"/>
    <x v="1"/>
    <x v="11"/>
    <x v="11"/>
    <x v="11"/>
    <x v="11"/>
    <x v="0"/>
    <x v="2"/>
    <x v="232"/>
    <x v="11"/>
    <s v="7 ans et 3 mois"/>
    <n v="87"/>
    <x v="1"/>
    <x v="187"/>
    <n v="442"/>
    <n v="22.39"/>
    <x v="5"/>
    <x v="1"/>
    <x v="182"/>
  </r>
  <r>
    <x v="0"/>
    <x v="8"/>
    <x v="11"/>
    <x v="11"/>
    <x v="11"/>
    <x v="1"/>
    <x v="11"/>
    <x v="11"/>
    <x v="11"/>
    <x v="11"/>
    <x v="0"/>
    <x v="2"/>
    <x v="233"/>
    <x v="11"/>
    <s v="9 ans et 5 mois"/>
    <n v="113"/>
    <x v="3"/>
    <x v="188"/>
    <n v="246"/>
    <n v="29.18"/>
    <x v="4"/>
    <x v="0"/>
    <x v="85"/>
  </r>
  <r>
    <x v="0"/>
    <x v="8"/>
    <x v="11"/>
    <x v="11"/>
    <x v="11"/>
    <x v="1"/>
    <x v="11"/>
    <x v="11"/>
    <x v="11"/>
    <x v="11"/>
    <x v="0"/>
    <x v="2"/>
    <x v="234"/>
    <x v="11"/>
    <s v="5 ans et 7 mois"/>
    <n v="67"/>
    <x v="3"/>
    <x v="189"/>
    <n v="241"/>
    <n v="47.72"/>
    <x v="2"/>
    <x v="0"/>
    <x v="183"/>
  </r>
  <r>
    <x v="0"/>
    <x v="8"/>
    <x v="11"/>
    <x v="11"/>
    <x v="11"/>
    <x v="1"/>
    <x v="11"/>
    <x v="11"/>
    <x v="11"/>
    <x v="11"/>
    <x v="0"/>
    <x v="2"/>
    <x v="235"/>
    <x v="11"/>
    <s v="7 ans et 0 mois"/>
    <n v="84"/>
    <x v="3"/>
    <x v="190"/>
    <n v="387"/>
    <n v="58.1"/>
    <x v="5"/>
    <x v="0"/>
    <x v="119"/>
  </r>
  <r>
    <x v="0"/>
    <x v="8"/>
    <x v="11"/>
    <x v="11"/>
    <x v="11"/>
    <x v="1"/>
    <x v="11"/>
    <x v="11"/>
    <x v="11"/>
    <x v="11"/>
    <x v="0"/>
    <x v="2"/>
    <x v="236"/>
    <x v="11"/>
    <s v="4 ans et 10 mois"/>
    <n v="58"/>
    <x v="0"/>
    <x v="191"/>
    <n v="405"/>
    <n v="18.39"/>
    <x v="2"/>
    <x v="0"/>
    <x v="120"/>
  </r>
  <r>
    <x v="0"/>
    <x v="8"/>
    <x v="11"/>
    <x v="11"/>
    <x v="11"/>
    <x v="1"/>
    <x v="11"/>
    <x v="11"/>
    <x v="11"/>
    <x v="11"/>
    <x v="0"/>
    <x v="2"/>
    <x v="237"/>
    <x v="11"/>
    <s v="6 ans et 2 mois"/>
    <n v="74"/>
    <x v="3"/>
    <x v="21"/>
    <n v="213"/>
    <n v="35.54"/>
    <x v="5"/>
    <x v="0"/>
    <x v="184"/>
  </r>
  <r>
    <x v="0"/>
    <x v="8"/>
    <x v="11"/>
    <x v="11"/>
    <x v="11"/>
    <x v="1"/>
    <x v="11"/>
    <x v="11"/>
    <x v="11"/>
    <x v="11"/>
    <x v="0"/>
    <x v="2"/>
    <x v="238"/>
    <x v="11"/>
    <s v="10 ans et 0 mois"/>
    <n v="120"/>
    <x v="2"/>
    <x v="192"/>
    <n v="224"/>
    <n v="69.36"/>
    <x v="2"/>
    <x v="0"/>
    <x v="10"/>
  </r>
  <r>
    <x v="0"/>
    <x v="8"/>
    <x v="11"/>
    <x v="11"/>
    <x v="11"/>
    <x v="1"/>
    <x v="11"/>
    <x v="11"/>
    <x v="11"/>
    <x v="11"/>
    <x v="0"/>
    <x v="2"/>
    <x v="239"/>
    <x v="11"/>
    <s v="5 ans et 0 mois"/>
    <n v="60"/>
    <x v="2"/>
    <x v="193"/>
    <n v="54"/>
    <n v="67.180000000000007"/>
    <x v="5"/>
    <x v="0"/>
    <x v="122"/>
  </r>
  <r>
    <x v="0"/>
    <x v="8"/>
    <x v="11"/>
    <x v="11"/>
    <x v="11"/>
    <x v="1"/>
    <x v="11"/>
    <x v="11"/>
    <x v="11"/>
    <x v="11"/>
    <x v="0"/>
    <x v="2"/>
    <x v="240"/>
    <x v="11"/>
    <s v="0 ans et 10 mois"/>
    <n v="10"/>
    <x v="0"/>
    <x v="194"/>
    <n v="93"/>
    <n v="78.12"/>
    <x v="0"/>
    <x v="0"/>
    <x v="185"/>
  </r>
  <r>
    <x v="0"/>
    <x v="8"/>
    <x v="11"/>
    <x v="11"/>
    <x v="11"/>
    <x v="1"/>
    <x v="11"/>
    <x v="11"/>
    <x v="11"/>
    <x v="11"/>
    <x v="0"/>
    <x v="2"/>
    <x v="241"/>
    <x v="11"/>
    <s v="4 ans et 2 mois"/>
    <n v="50"/>
    <x v="1"/>
    <x v="195"/>
    <n v="430"/>
    <n v="20.8"/>
    <x v="4"/>
    <x v="1"/>
    <x v="186"/>
  </r>
  <r>
    <x v="0"/>
    <x v="8"/>
    <x v="11"/>
    <x v="11"/>
    <x v="11"/>
    <x v="1"/>
    <x v="11"/>
    <x v="11"/>
    <x v="11"/>
    <x v="11"/>
    <x v="0"/>
    <x v="2"/>
    <x v="242"/>
    <x v="11"/>
    <s v="5 ans et 9 mois"/>
    <n v="69"/>
    <x v="1"/>
    <x v="6"/>
    <n v="76"/>
    <n v="91.8"/>
    <x v="3"/>
    <x v="1"/>
    <x v="187"/>
  </r>
  <r>
    <x v="0"/>
    <x v="8"/>
    <x v="11"/>
    <x v="11"/>
    <x v="11"/>
    <x v="1"/>
    <x v="11"/>
    <x v="11"/>
    <x v="11"/>
    <x v="11"/>
    <x v="0"/>
    <x v="2"/>
    <x v="243"/>
    <x v="11"/>
    <s v="3 ans et 5 mois"/>
    <n v="41"/>
    <x v="1"/>
    <x v="196"/>
    <n v="206"/>
    <n v="83.16"/>
    <x v="4"/>
    <x v="1"/>
    <x v="120"/>
  </r>
  <r>
    <x v="0"/>
    <x v="8"/>
    <x v="11"/>
    <x v="11"/>
    <x v="11"/>
    <x v="1"/>
    <x v="11"/>
    <x v="11"/>
    <x v="11"/>
    <x v="11"/>
    <x v="0"/>
    <x v="2"/>
    <x v="244"/>
    <x v="11"/>
    <s v="6 ans et 2 mois"/>
    <n v="74"/>
    <x v="2"/>
    <x v="197"/>
    <n v="253"/>
    <n v="36.94"/>
    <x v="3"/>
    <x v="0"/>
    <x v="70"/>
  </r>
  <r>
    <x v="0"/>
    <x v="8"/>
    <x v="11"/>
    <x v="11"/>
    <x v="11"/>
    <x v="1"/>
    <x v="11"/>
    <x v="11"/>
    <x v="11"/>
    <x v="11"/>
    <x v="0"/>
    <x v="2"/>
    <x v="245"/>
    <x v="11"/>
    <s v="4 ans et 6 mois"/>
    <n v="54"/>
    <x v="0"/>
    <x v="157"/>
    <n v="450"/>
    <n v="90.85"/>
    <x v="1"/>
    <x v="0"/>
    <x v="138"/>
  </r>
  <r>
    <x v="0"/>
    <x v="8"/>
    <x v="11"/>
    <x v="11"/>
    <x v="11"/>
    <x v="1"/>
    <x v="11"/>
    <x v="11"/>
    <x v="11"/>
    <x v="11"/>
    <x v="0"/>
    <x v="2"/>
    <x v="246"/>
    <x v="11"/>
    <s v="2 ans et 8 mois"/>
    <n v="32"/>
    <x v="2"/>
    <x v="198"/>
    <n v="475"/>
    <n v="36.54"/>
    <x v="5"/>
    <x v="0"/>
    <x v="188"/>
  </r>
  <r>
    <x v="0"/>
    <x v="8"/>
    <x v="11"/>
    <x v="11"/>
    <x v="11"/>
    <x v="1"/>
    <x v="11"/>
    <x v="11"/>
    <x v="11"/>
    <x v="11"/>
    <x v="0"/>
    <x v="2"/>
    <x v="247"/>
    <x v="11"/>
    <s v="2 ans et 10 mois"/>
    <n v="34"/>
    <x v="0"/>
    <x v="199"/>
    <n v="35"/>
    <n v="76.86"/>
    <x v="1"/>
    <x v="0"/>
    <x v="110"/>
  </r>
  <r>
    <x v="1"/>
    <x v="9"/>
    <x v="12"/>
    <x v="12"/>
    <x v="12"/>
    <x v="1"/>
    <x v="12"/>
    <x v="12"/>
    <x v="12"/>
    <x v="12"/>
    <x v="0"/>
    <x v="3"/>
    <x v="248"/>
    <x v="12"/>
    <s v="8 ans et 3 mois"/>
    <n v="99"/>
    <x v="3"/>
    <x v="200"/>
    <n v="447"/>
    <n v="38.1"/>
    <x v="5"/>
    <x v="0"/>
    <x v="48"/>
  </r>
  <r>
    <x v="1"/>
    <x v="9"/>
    <x v="12"/>
    <x v="12"/>
    <x v="12"/>
    <x v="1"/>
    <x v="12"/>
    <x v="12"/>
    <x v="12"/>
    <x v="12"/>
    <x v="0"/>
    <x v="3"/>
    <x v="249"/>
    <x v="12"/>
    <s v="9 ans et 4 mois"/>
    <n v="112"/>
    <x v="3"/>
    <x v="53"/>
    <n v="460"/>
    <n v="55.47"/>
    <x v="0"/>
    <x v="0"/>
    <x v="189"/>
  </r>
  <r>
    <x v="1"/>
    <x v="9"/>
    <x v="12"/>
    <x v="12"/>
    <x v="12"/>
    <x v="1"/>
    <x v="12"/>
    <x v="12"/>
    <x v="12"/>
    <x v="12"/>
    <x v="0"/>
    <x v="3"/>
    <x v="250"/>
    <x v="12"/>
    <s v="0 ans et 7 mois"/>
    <n v="7"/>
    <x v="3"/>
    <x v="196"/>
    <n v="206"/>
    <n v="78.09"/>
    <x v="5"/>
    <x v="0"/>
    <x v="190"/>
  </r>
  <r>
    <x v="1"/>
    <x v="9"/>
    <x v="12"/>
    <x v="12"/>
    <x v="12"/>
    <x v="1"/>
    <x v="12"/>
    <x v="12"/>
    <x v="12"/>
    <x v="12"/>
    <x v="0"/>
    <x v="3"/>
    <x v="251"/>
    <x v="12"/>
    <s v="4 ans et 11 mois"/>
    <n v="59"/>
    <x v="2"/>
    <x v="162"/>
    <n v="454"/>
    <n v="10.47"/>
    <x v="3"/>
    <x v="0"/>
    <x v="191"/>
  </r>
  <r>
    <x v="1"/>
    <x v="9"/>
    <x v="12"/>
    <x v="12"/>
    <x v="12"/>
    <x v="1"/>
    <x v="12"/>
    <x v="12"/>
    <x v="12"/>
    <x v="12"/>
    <x v="0"/>
    <x v="3"/>
    <x v="252"/>
    <x v="12"/>
    <s v="7 ans et 2 mois"/>
    <n v="86"/>
    <x v="1"/>
    <x v="201"/>
    <n v="252"/>
    <n v="96.5"/>
    <x v="3"/>
    <x v="1"/>
    <x v="29"/>
  </r>
  <r>
    <x v="1"/>
    <x v="9"/>
    <x v="12"/>
    <x v="12"/>
    <x v="12"/>
    <x v="1"/>
    <x v="12"/>
    <x v="12"/>
    <x v="12"/>
    <x v="12"/>
    <x v="0"/>
    <x v="3"/>
    <x v="253"/>
    <x v="12"/>
    <s v="3 ans et 0 mois"/>
    <n v="36"/>
    <x v="0"/>
    <x v="202"/>
    <n v="247"/>
    <n v="24.53"/>
    <x v="4"/>
    <x v="0"/>
    <x v="115"/>
  </r>
  <r>
    <x v="1"/>
    <x v="9"/>
    <x v="12"/>
    <x v="12"/>
    <x v="12"/>
    <x v="1"/>
    <x v="12"/>
    <x v="12"/>
    <x v="12"/>
    <x v="12"/>
    <x v="0"/>
    <x v="3"/>
    <x v="254"/>
    <x v="12"/>
    <s v="6 ans et 9 mois"/>
    <n v="81"/>
    <x v="3"/>
    <x v="27"/>
    <n v="137"/>
    <n v="89.05"/>
    <x v="2"/>
    <x v="0"/>
    <x v="192"/>
  </r>
  <r>
    <x v="1"/>
    <x v="9"/>
    <x v="12"/>
    <x v="12"/>
    <x v="12"/>
    <x v="1"/>
    <x v="12"/>
    <x v="12"/>
    <x v="12"/>
    <x v="12"/>
    <x v="0"/>
    <x v="3"/>
    <x v="255"/>
    <x v="12"/>
    <s v="6 ans et 11 mois"/>
    <n v="83"/>
    <x v="3"/>
    <x v="203"/>
    <n v="284"/>
    <n v="73.7"/>
    <x v="2"/>
    <x v="0"/>
    <x v="193"/>
  </r>
  <r>
    <x v="1"/>
    <x v="9"/>
    <x v="12"/>
    <x v="12"/>
    <x v="12"/>
    <x v="1"/>
    <x v="12"/>
    <x v="12"/>
    <x v="12"/>
    <x v="12"/>
    <x v="0"/>
    <x v="3"/>
    <x v="256"/>
    <x v="12"/>
    <s v="7 ans et 4 mois"/>
    <n v="88"/>
    <x v="2"/>
    <x v="204"/>
    <n v="319"/>
    <n v="56.18"/>
    <x v="2"/>
    <x v="0"/>
    <x v="78"/>
  </r>
  <r>
    <x v="1"/>
    <x v="9"/>
    <x v="12"/>
    <x v="12"/>
    <x v="12"/>
    <x v="1"/>
    <x v="12"/>
    <x v="12"/>
    <x v="12"/>
    <x v="12"/>
    <x v="0"/>
    <x v="3"/>
    <x v="257"/>
    <x v="12"/>
    <s v="0 ans et 1 mois"/>
    <n v="1"/>
    <x v="0"/>
    <x v="121"/>
    <n v="237"/>
    <n v="58.7"/>
    <x v="0"/>
    <x v="0"/>
    <x v="127"/>
  </r>
  <r>
    <x v="1"/>
    <x v="9"/>
    <x v="12"/>
    <x v="12"/>
    <x v="12"/>
    <x v="1"/>
    <x v="12"/>
    <x v="12"/>
    <x v="12"/>
    <x v="12"/>
    <x v="0"/>
    <x v="3"/>
    <x v="258"/>
    <x v="12"/>
    <s v="7 ans et 4 mois"/>
    <n v="88"/>
    <x v="3"/>
    <x v="56"/>
    <n v="232"/>
    <n v="40.94"/>
    <x v="4"/>
    <x v="0"/>
    <x v="194"/>
  </r>
  <r>
    <x v="1"/>
    <x v="9"/>
    <x v="12"/>
    <x v="12"/>
    <x v="12"/>
    <x v="1"/>
    <x v="12"/>
    <x v="12"/>
    <x v="12"/>
    <x v="12"/>
    <x v="0"/>
    <x v="3"/>
    <x v="259"/>
    <x v="12"/>
    <s v="3 ans et 4 mois"/>
    <n v="40"/>
    <x v="2"/>
    <x v="3"/>
    <n v="219"/>
    <n v="53.98"/>
    <x v="4"/>
    <x v="0"/>
    <x v="195"/>
  </r>
  <r>
    <x v="1"/>
    <x v="9"/>
    <x v="12"/>
    <x v="12"/>
    <x v="12"/>
    <x v="1"/>
    <x v="12"/>
    <x v="12"/>
    <x v="12"/>
    <x v="12"/>
    <x v="0"/>
    <x v="3"/>
    <x v="260"/>
    <x v="12"/>
    <s v="1 ans et 9 mois"/>
    <n v="21"/>
    <x v="2"/>
    <x v="57"/>
    <n v="107"/>
    <n v="30.97"/>
    <x v="0"/>
    <x v="0"/>
    <x v="75"/>
  </r>
  <r>
    <x v="1"/>
    <x v="9"/>
    <x v="12"/>
    <x v="12"/>
    <x v="12"/>
    <x v="1"/>
    <x v="12"/>
    <x v="12"/>
    <x v="12"/>
    <x v="12"/>
    <x v="0"/>
    <x v="3"/>
    <x v="261"/>
    <x v="12"/>
    <s v="5 ans et 11 mois"/>
    <n v="71"/>
    <x v="0"/>
    <x v="50"/>
    <n v="364"/>
    <n v="39.58"/>
    <x v="1"/>
    <x v="0"/>
    <x v="196"/>
  </r>
  <r>
    <x v="1"/>
    <x v="9"/>
    <x v="12"/>
    <x v="12"/>
    <x v="12"/>
    <x v="1"/>
    <x v="12"/>
    <x v="12"/>
    <x v="12"/>
    <x v="12"/>
    <x v="0"/>
    <x v="3"/>
    <x v="262"/>
    <x v="12"/>
    <s v="4 ans et 0 mois"/>
    <n v="48"/>
    <x v="2"/>
    <x v="205"/>
    <n v="15"/>
    <n v="50.67"/>
    <x v="1"/>
    <x v="0"/>
    <x v="60"/>
  </r>
  <r>
    <x v="1"/>
    <x v="9"/>
    <x v="12"/>
    <x v="12"/>
    <x v="12"/>
    <x v="1"/>
    <x v="12"/>
    <x v="12"/>
    <x v="12"/>
    <x v="12"/>
    <x v="0"/>
    <x v="3"/>
    <x v="263"/>
    <x v="12"/>
    <s v="9 ans et 11 mois"/>
    <n v="119"/>
    <x v="1"/>
    <x v="206"/>
    <n v="344"/>
    <n v="10.28"/>
    <x v="2"/>
    <x v="1"/>
    <x v="107"/>
  </r>
  <r>
    <x v="1"/>
    <x v="9"/>
    <x v="12"/>
    <x v="12"/>
    <x v="12"/>
    <x v="1"/>
    <x v="12"/>
    <x v="12"/>
    <x v="12"/>
    <x v="12"/>
    <x v="0"/>
    <x v="3"/>
    <x v="264"/>
    <x v="12"/>
    <s v="6 ans et 9 mois"/>
    <n v="81"/>
    <x v="1"/>
    <x v="207"/>
    <n v="298"/>
    <n v="53.61"/>
    <x v="4"/>
    <x v="1"/>
    <x v="96"/>
  </r>
  <r>
    <x v="1"/>
    <x v="9"/>
    <x v="12"/>
    <x v="12"/>
    <x v="12"/>
    <x v="1"/>
    <x v="12"/>
    <x v="12"/>
    <x v="12"/>
    <x v="12"/>
    <x v="0"/>
    <x v="3"/>
    <x v="265"/>
    <x v="12"/>
    <s v="2 ans et 1 mois"/>
    <n v="25"/>
    <x v="1"/>
    <x v="208"/>
    <n v="218"/>
    <n v="68.790000000000006"/>
    <x v="2"/>
    <x v="1"/>
    <x v="180"/>
  </r>
  <r>
    <x v="1"/>
    <x v="9"/>
    <x v="12"/>
    <x v="12"/>
    <x v="12"/>
    <x v="1"/>
    <x v="12"/>
    <x v="12"/>
    <x v="12"/>
    <x v="12"/>
    <x v="0"/>
    <x v="3"/>
    <x v="266"/>
    <x v="12"/>
    <s v="3 ans et 9 mois"/>
    <n v="45"/>
    <x v="2"/>
    <x v="34"/>
    <n v="356"/>
    <n v="33.76"/>
    <x v="2"/>
    <x v="0"/>
    <x v="197"/>
  </r>
  <r>
    <x v="1"/>
    <x v="9"/>
    <x v="12"/>
    <x v="12"/>
    <x v="12"/>
    <x v="1"/>
    <x v="12"/>
    <x v="12"/>
    <x v="12"/>
    <x v="12"/>
    <x v="0"/>
    <x v="3"/>
    <x v="267"/>
    <x v="12"/>
    <s v="7 ans et 11 mois"/>
    <n v="95"/>
    <x v="1"/>
    <x v="209"/>
    <n v="127"/>
    <n v="94.9"/>
    <x v="0"/>
    <x v="1"/>
    <x v="5"/>
  </r>
  <r>
    <x v="1"/>
    <x v="9"/>
    <x v="12"/>
    <x v="12"/>
    <x v="12"/>
    <x v="1"/>
    <x v="12"/>
    <x v="12"/>
    <x v="12"/>
    <x v="12"/>
    <x v="0"/>
    <x v="3"/>
    <x v="268"/>
    <x v="12"/>
    <s v="10 ans et 0 mois"/>
    <n v="120"/>
    <x v="3"/>
    <x v="14"/>
    <n v="391"/>
    <n v="67.77"/>
    <x v="0"/>
    <x v="0"/>
    <x v="198"/>
  </r>
  <r>
    <x v="0"/>
    <x v="10"/>
    <x v="13"/>
    <x v="13"/>
    <x v="13"/>
    <x v="0"/>
    <x v="13"/>
    <x v="13"/>
    <x v="13"/>
    <x v="13"/>
    <x v="2"/>
    <x v="3"/>
    <x v="269"/>
    <x v="13"/>
    <s v="8 ans et 3 mois"/>
    <n v="99"/>
    <x v="0"/>
    <x v="39"/>
    <n v="369"/>
    <n v="67.209999999999994"/>
    <x v="5"/>
    <x v="0"/>
    <x v="122"/>
  </r>
  <r>
    <x v="0"/>
    <x v="10"/>
    <x v="13"/>
    <x v="13"/>
    <x v="13"/>
    <x v="0"/>
    <x v="13"/>
    <x v="13"/>
    <x v="13"/>
    <x v="13"/>
    <x v="2"/>
    <x v="3"/>
    <x v="270"/>
    <x v="13"/>
    <s v="6 ans et 6 mois"/>
    <n v="78"/>
    <x v="0"/>
    <x v="210"/>
    <n v="312"/>
    <n v="85.74"/>
    <x v="4"/>
    <x v="0"/>
    <x v="199"/>
  </r>
  <r>
    <x v="0"/>
    <x v="10"/>
    <x v="13"/>
    <x v="13"/>
    <x v="13"/>
    <x v="0"/>
    <x v="13"/>
    <x v="13"/>
    <x v="13"/>
    <x v="13"/>
    <x v="2"/>
    <x v="3"/>
    <x v="271"/>
    <x v="13"/>
    <s v="1 ans et 2 mois"/>
    <n v="14"/>
    <x v="3"/>
    <x v="48"/>
    <n v="75"/>
    <n v="55.67"/>
    <x v="5"/>
    <x v="0"/>
    <x v="200"/>
  </r>
  <r>
    <x v="0"/>
    <x v="10"/>
    <x v="13"/>
    <x v="13"/>
    <x v="13"/>
    <x v="0"/>
    <x v="13"/>
    <x v="13"/>
    <x v="13"/>
    <x v="13"/>
    <x v="2"/>
    <x v="3"/>
    <x v="272"/>
    <x v="13"/>
    <s v="8 ans et 10 mois"/>
    <n v="106"/>
    <x v="0"/>
    <x v="211"/>
    <n v="400"/>
    <n v="70.02"/>
    <x v="0"/>
    <x v="0"/>
    <x v="155"/>
  </r>
  <r>
    <x v="0"/>
    <x v="10"/>
    <x v="13"/>
    <x v="13"/>
    <x v="13"/>
    <x v="0"/>
    <x v="13"/>
    <x v="13"/>
    <x v="13"/>
    <x v="13"/>
    <x v="2"/>
    <x v="3"/>
    <x v="273"/>
    <x v="13"/>
    <s v="6 ans et 0 mois"/>
    <n v="72"/>
    <x v="0"/>
    <x v="59"/>
    <n v="332"/>
    <n v="83.36"/>
    <x v="0"/>
    <x v="0"/>
    <x v="74"/>
  </r>
  <r>
    <x v="0"/>
    <x v="10"/>
    <x v="13"/>
    <x v="13"/>
    <x v="13"/>
    <x v="0"/>
    <x v="13"/>
    <x v="13"/>
    <x v="13"/>
    <x v="13"/>
    <x v="2"/>
    <x v="3"/>
    <x v="274"/>
    <x v="13"/>
    <s v="4 ans et 9 mois"/>
    <n v="57"/>
    <x v="0"/>
    <x v="212"/>
    <n v="208"/>
    <n v="85.66"/>
    <x v="3"/>
    <x v="0"/>
    <x v="201"/>
  </r>
  <r>
    <x v="0"/>
    <x v="10"/>
    <x v="13"/>
    <x v="13"/>
    <x v="13"/>
    <x v="0"/>
    <x v="13"/>
    <x v="13"/>
    <x v="13"/>
    <x v="13"/>
    <x v="2"/>
    <x v="3"/>
    <x v="275"/>
    <x v="13"/>
    <s v="5 ans et 7 mois"/>
    <n v="67"/>
    <x v="2"/>
    <x v="213"/>
    <n v="264"/>
    <n v="97.89"/>
    <x v="1"/>
    <x v="0"/>
    <x v="161"/>
  </r>
  <r>
    <x v="0"/>
    <x v="10"/>
    <x v="13"/>
    <x v="13"/>
    <x v="13"/>
    <x v="0"/>
    <x v="13"/>
    <x v="13"/>
    <x v="13"/>
    <x v="13"/>
    <x v="2"/>
    <x v="3"/>
    <x v="276"/>
    <x v="13"/>
    <s v="0 ans et 7 mois"/>
    <n v="7"/>
    <x v="3"/>
    <x v="95"/>
    <n v="303"/>
    <n v="60.95"/>
    <x v="2"/>
    <x v="0"/>
    <x v="202"/>
  </r>
  <r>
    <x v="0"/>
    <x v="10"/>
    <x v="13"/>
    <x v="13"/>
    <x v="13"/>
    <x v="0"/>
    <x v="13"/>
    <x v="13"/>
    <x v="13"/>
    <x v="13"/>
    <x v="2"/>
    <x v="3"/>
    <x v="277"/>
    <x v="13"/>
    <s v="5 ans et 11 mois"/>
    <n v="71"/>
    <x v="3"/>
    <x v="205"/>
    <n v="15"/>
    <n v="25.46"/>
    <x v="3"/>
    <x v="0"/>
    <x v="203"/>
  </r>
  <r>
    <x v="0"/>
    <x v="10"/>
    <x v="13"/>
    <x v="13"/>
    <x v="13"/>
    <x v="0"/>
    <x v="13"/>
    <x v="13"/>
    <x v="13"/>
    <x v="13"/>
    <x v="2"/>
    <x v="3"/>
    <x v="278"/>
    <x v="13"/>
    <s v="0 ans et 4 mois"/>
    <n v="4"/>
    <x v="0"/>
    <x v="214"/>
    <n v="182"/>
    <n v="89.56"/>
    <x v="0"/>
    <x v="0"/>
    <x v="98"/>
  </r>
  <r>
    <x v="0"/>
    <x v="10"/>
    <x v="13"/>
    <x v="13"/>
    <x v="13"/>
    <x v="0"/>
    <x v="13"/>
    <x v="13"/>
    <x v="13"/>
    <x v="13"/>
    <x v="2"/>
    <x v="3"/>
    <x v="279"/>
    <x v="13"/>
    <s v="7 ans et 5 mois"/>
    <n v="89"/>
    <x v="2"/>
    <x v="215"/>
    <n v="7"/>
    <n v="53.39"/>
    <x v="5"/>
    <x v="0"/>
    <x v="204"/>
  </r>
  <r>
    <x v="0"/>
    <x v="10"/>
    <x v="13"/>
    <x v="13"/>
    <x v="13"/>
    <x v="0"/>
    <x v="13"/>
    <x v="13"/>
    <x v="13"/>
    <x v="13"/>
    <x v="2"/>
    <x v="3"/>
    <x v="280"/>
    <x v="13"/>
    <s v="4 ans et 4 mois"/>
    <n v="52"/>
    <x v="1"/>
    <x v="216"/>
    <n v="234"/>
    <n v="62.87"/>
    <x v="2"/>
    <x v="1"/>
    <x v="1"/>
  </r>
  <r>
    <x v="0"/>
    <x v="10"/>
    <x v="13"/>
    <x v="13"/>
    <x v="13"/>
    <x v="0"/>
    <x v="13"/>
    <x v="13"/>
    <x v="13"/>
    <x v="13"/>
    <x v="2"/>
    <x v="3"/>
    <x v="281"/>
    <x v="13"/>
    <s v="7 ans et 7 mois"/>
    <n v="91"/>
    <x v="0"/>
    <x v="217"/>
    <n v="188"/>
    <n v="65.78"/>
    <x v="0"/>
    <x v="0"/>
    <x v="118"/>
  </r>
  <r>
    <x v="0"/>
    <x v="10"/>
    <x v="13"/>
    <x v="13"/>
    <x v="13"/>
    <x v="0"/>
    <x v="13"/>
    <x v="13"/>
    <x v="13"/>
    <x v="13"/>
    <x v="2"/>
    <x v="3"/>
    <x v="282"/>
    <x v="13"/>
    <s v="1 ans et 1 mois"/>
    <n v="13"/>
    <x v="1"/>
    <x v="153"/>
    <n v="347"/>
    <n v="32.35"/>
    <x v="4"/>
    <x v="1"/>
    <x v="205"/>
  </r>
  <r>
    <x v="0"/>
    <x v="10"/>
    <x v="13"/>
    <x v="13"/>
    <x v="13"/>
    <x v="0"/>
    <x v="13"/>
    <x v="13"/>
    <x v="13"/>
    <x v="13"/>
    <x v="2"/>
    <x v="3"/>
    <x v="283"/>
    <x v="13"/>
    <s v="8 ans et 3 mois"/>
    <n v="99"/>
    <x v="1"/>
    <x v="218"/>
    <n v="325"/>
    <n v="88.35"/>
    <x v="0"/>
    <x v="1"/>
    <x v="79"/>
  </r>
  <r>
    <x v="0"/>
    <x v="10"/>
    <x v="13"/>
    <x v="13"/>
    <x v="13"/>
    <x v="0"/>
    <x v="13"/>
    <x v="13"/>
    <x v="13"/>
    <x v="13"/>
    <x v="2"/>
    <x v="3"/>
    <x v="284"/>
    <x v="13"/>
    <s v="3 ans et 7 mois"/>
    <n v="43"/>
    <x v="3"/>
    <x v="136"/>
    <n v="486"/>
    <n v="76.42"/>
    <x v="1"/>
    <x v="0"/>
    <x v="61"/>
  </r>
  <r>
    <x v="0"/>
    <x v="10"/>
    <x v="13"/>
    <x v="13"/>
    <x v="13"/>
    <x v="0"/>
    <x v="13"/>
    <x v="13"/>
    <x v="13"/>
    <x v="13"/>
    <x v="2"/>
    <x v="3"/>
    <x v="285"/>
    <x v="13"/>
    <s v="1 ans et 1 mois"/>
    <n v="13"/>
    <x v="0"/>
    <x v="219"/>
    <n v="180"/>
    <n v="24.01"/>
    <x v="2"/>
    <x v="0"/>
    <x v="20"/>
  </r>
  <r>
    <x v="0"/>
    <x v="10"/>
    <x v="13"/>
    <x v="13"/>
    <x v="13"/>
    <x v="0"/>
    <x v="13"/>
    <x v="13"/>
    <x v="13"/>
    <x v="13"/>
    <x v="2"/>
    <x v="3"/>
    <x v="286"/>
    <x v="13"/>
    <s v="0 ans et 1 mois"/>
    <n v="1"/>
    <x v="3"/>
    <x v="220"/>
    <n v="368"/>
    <n v="35.17"/>
    <x v="1"/>
    <x v="0"/>
    <x v="33"/>
  </r>
  <r>
    <x v="0"/>
    <x v="10"/>
    <x v="13"/>
    <x v="13"/>
    <x v="13"/>
    <x v="0"/>
    <x v="13"/>
    <x v="13"/>
    <x v="13"/>
    <x v="13"/>
    <x v="2"/>
    <x v="3"/>
    <x v="287"/>
    <x v="13"/>
    <s v="1 ans et 8 mois"/>
    <n v="20"/>
    <x v="1"/>
    <x v="194"/>
    <n v="93"/>
    <n v="84.45"/>
    <x v="2"/>
    <x v="1"/>
    <x v="206"/>
  </r>
  <r>
    <x v="0"/>
    <x v="10"/>
    <x v="13"/>
    <x v="13"/>
    <x v="13"/>
    <x v="0"/>
    <x v="13"/>
    <x v="13"/>
    <x v="13"/>
    <x v="13"/>
    <x v="2"/>
    <x v="3"/>
    <x v="288"/>
    <x v="13"/>
    <s v="6 ans et 2 mois"/>
    <n v="74"/>
    <x v="2"/>
    <x v="221"/>
    <n v="330"/>
    <n v="37.82"/>
    <x v="3"/>
    <x v="0"/>
    <x v="207"/>
  </r>
  <r>
    <x v="0"/>
    <x v="10"/>
    <x v="13"/>
    <x v="13"/>
    <x v="13"/>
    <x v="0"/>
    <x v="13"/>
    <x v="13"/>
    <x v="13"/>
    <x v="13"/>
    <x v="2"/>
    <x v="3"/>
    <x v="289"/>
    <x v="13"/>
    <s v="3 ans et 0 mois"/>
    <n v="36"/>
    <x v="2"/>
    <x v="41"/>
    <n v="487"/>
    <n v="45.02"/>
    <x v="4"/>
    <x v="0"/>
    <x v="208"/>
  </r>
  <r>
    <x v="2"/>
    <x v="11"/>
    <x v="14"/>
    <x v="14"/>
    <x v="14"/>
    <x v="2"/>
    <x v="14"/>
    <x v="14"/>
    <x v="14"/>
    <x v="14"/>
    <x v="2"/>
    <x v="3"/>
    <x v="290"/>
    <x v="14"/>
    <s v="9 ans et 11 mois"/>
    <n v="119"/>
    <x v="2"/>
    <x v="222"/>
    <n v="228"/>
    <n v="94.72"/>
    <x v="5"/>
    <x v="0"/>
    <x v="209"/>
  </r>
  <r>
    <x v="2"/>
    <x v="11"/>
    <x v="14"/>
    <x v="14"/>
    <x v="14"/>
    <x v="2"/>
    <x v="14"/>
    <x v="14"/>
    <x v="14"/>
    <x v="14"/>
    <x v="2"/>
    <x v="3"/>
    <x v="291"/>
    <x v="14"/>
    <s v="9 ans et 4 mois"/>
    <n v="112"/>
    <x v="1"/>
    <x v="223"/>
    <n v="18"/>
    <n v="27.33"/>
    <x v="3"/>
    <x v="1"/>
    <x v="39"/>
  </r>
  <r>
    <x v="2"/>
    <x v="11"/>
    <x v="14"/>
    <x v="14"/>
    <x v="14"/>
    <x v="2"/>
    <x v="14"/>
    <x v="14"/>
    <x v="14"/>
    <x v="14"/>
    <x v="2"/>
    <x v="3"/>
    <x v="292"/>
    <x v="14"/>
    <s v="3 ans et 11 mois"/>
    <n v="47"/>
    <x v="0"/>
    <x v="224"/>
    <n v="199"/>
    <n v="23.19"/>
    <x v="4"/>
    <x v="0"/>
    <x v="2"/>
  </r>
  <r>
    <x v="2"/>
    <x v="11"/>
    <x v="14"/>
    <x v="14"/>
    <x v="14"/>
    <x v="2"/>
    <x v="14"/>
    <x v="14"/>
    <x v="14"/>
    <x v="14"/>
    <x v="2"/>
    <x v="3"/>
    <x v="293"/>
    <x v="14"/>
    <s v="6 ans et 10 mois"/>
    <n v="82"/>
    <x v="0"/>
    <x v="225"/>
    <n v="132"/>
    <n v="50.14"/>
    <x v="3"/>
    <x v="0"/>
    <x v="210"/>
  </r>
  <r>
    <x v="2"/>
    <x v="11"/>
    <x v="14"/>
    <x v="14"/>
    <x v="14"/>
    <x v="2"/>
    <x v="14"/>
    <x v="14"/>
    <x v="14"/>
    <x v="14"/>
    <x v="2"/>
    <x v="3"/>
    <x v="294"/>
    <x v="14"/>
    <s v="9 ans et 3 mois"/>
    <n v="111"/>
    <x v="3"/>
    <x v="226"/>
    <n v="103"/>
    <n v="32.06"/>
    <x v="2"/>
    <x v="0"/>
    <x v="211"/>
  </r>
  <r>
    <x v="2"/>
    <x v="11"/>
    <x v="14"/>
    <x v="14"/>
    <x v="14"/>
    <x v="2"/>
    <x v="14"/>
    <x v="14"/>
    <x v="14"/>
    <x v="14"/>
    <x v="2"/>
    <x v="3"/>
    <x v="295"/>
    <x v="14"/>
    <s v="1 ans et 0 mois"/>
    <n v="12"/>
    <x v="3"/>
    <x v="212"/>
    <n v="208"/>
    <n v="16.29"/>
    <x v="0"/>
    <x v="0"/>
    <x v="71"/>
  </r>
  <r>
    <x v="2"/>
    <x v="11"/>
    <x v="14"/>
    <x v="14"/>
    <x v="14"/>
    <x v="2"/>
    <x v="14"/>
    <x v="14"/>
    <x v="14"/>
    <x v="14"/>
    <x v="2"/>
    <x v="3"/>
    <x v="296"/>
    <x v="14"/>
    <s v="9 ans et 1 mois"/>
    <n v="109"/>
    <x v="1"/>
    <x v="227"/>
    <n v="480"/>
    <n v="31.36"/>
    <x v="2"/>
    <x v="1"/>
    <x v="212"/>
  </r>
  <r>
    <x v="2"/>
    <x v="11"/>
    <x v="14"/>
    <x v="14"/>
    <x v="14"/>
    <x v="2"/>
    <x v="14"/>
    <x v="14"/>
    <x v="14"/>
    <x v="14"/>
    <x v="2"/>
    <x v="3"/>
    <x v="297"/>
    <x v="14"/>
    <s v="5 ans et 6 mois"/>
    <n v="66"/>
    <x v="2"/>
    <x v="190"/>
    <n v="387"/>
    <n v="82.94"/>
    <x v="5"/>
    <x v="0"/>
    <x v="213"/>
  </r>
  <r>
    <x v="2"/>
    <x v="11"/>
    <x v="14"/>
    <x v="14"/>
    <x v="14"/>
    <x v="2"/>
    <x v="14"/>
    <x v="14"/>
    <x v="14"/>
    <x v="14"/>
    <x v="2"/>
    <x v="3"/>
    <x v="298"/>
    <x v="14"/>
    <s v="4 ans et 3 mois"/>
    <n v="51"/>
    <x v="1"/>
    <x v="228"/>
    <n v="336"/>
    <n v="65.47"/>
    <x v="1"/>
    <x v="1"/>
    <x v="214"/>
  </r>
  <r>
    <x v="2"/>
    <x v="11"/>
    <x v="14"/>
    <x v="14"/>
    <x v="14"/>
    <x v="2"/>
    <x v="14"/>
    <x v="14"/>
    <x v="14"/>
    <x v="14"/>
    <x v="2"/>
    <x v="3"/>
    <x v="299"/>
    <x v="14"/>
    <s v="4 ans et 9 mois"/>
    <n v="57"/>
    <x v="2"/>
    <x v="229"/>
    <n v="435"/>
    <n v="56.88"/>
    <x v="0"/>
    <x v="0"/>
    <x v="133"/>
  </r>
  <r>
    <x v="2"/>
    <x v="11"/>
    <x v="14"/>
    <x v="14"/>
    <x v="14"/>
    <x v="2"/>
    <x v="14"/>
    <x v="14"/>
    <x v="14"/>
    <x v="14"/>
    <x v="2"/>
    <x v="3"/>
    <x v="300"/>
    <x v="14"/>
    <s v="3 ans et 0 mois"/>
    <n v="36"/>
    <x v="0"/>
    <x v="230"/>
    <n v="491"/>
    <n v="12.13"/>
    <x v="0"/>
    <x v="0"/>
    <x v="112"/>
  </r>
  <r>
    <x v="2"/>
    <x v="11"/>
    <x v="14"/>
    <x v="14"/>
    <x v="14"/>
    <x v="2"/>
    <x v="14"/>
    <x v="14"/>
    <x v="14"/>
    <x v="14"/>
    <x v="2"/>
    <x v="3"/>
    <x v="301"/>
    <x v="14"/>
    <s v="9 ans et 0 mois"/>
    <n v="108"/>
    <x v="2"/>
    <x v="231"/>
    <n v="123"/>
    <n v="83.1"/>
    <x v="1"/>
    <x v="0"/>
    <x v="124"/>
  </r>
  <r>
    <x v="2"/>
    <x v="11"/>
    <x v="14"/>
    <x v="14"/>
    <x v="14"/>
    <x v="2"/>
    <x v="14"/>
    <x v="14"/>
    <x v="14"/>
    <x v="14"/>
    <x v="2"/>
    <x v="3"/>
    <x v="302"/>
    <x v="14"/>
    <s v="7 ans et 4 mois"/>
    <n v="88"/>
    <x v="2"/>
    <x v="150"/>
    <n v="154"/>
    <n v="62.62"/>
    <x v="3"/>
    <x v="0"/>
    <x v="32"/>
  </r>
  <r>
    <x v="2"/>
    <x v="11"/>
    <x v="14"/>
    <x v="14"/>
    <x v="14"/>
    <x v="2"/>
    <x v="14"/>
    <x v="14"/>
    <x v="14"/>
    <x v="14"/>
    <x v="2"/>
    <x v="3"/>
    <x v="303"/>
    <x v="14"/>
    <s v="7 ans et 2 mois"/>
    <n v="86"/>
    <x v="1"/>
    <x v="102"/>
    <n v="192"/>
    <n v="26.26"/>
    <x v="1"/>
    <x v="1"/>
    <x v="12"/>
  </r>
  <r>
    <x v="2"/>
    <x v="11"/>
    <x v="14"/>
    <x v="14"/>
    <x v="14"/>
    <x v="2"/>
    <x v="14"/>
    <x v="14"/>
    <x v="14"/>
    <x v="14"/>
    <x v="2"/>
    <x v="3"/>
    <x v="304"/>
    <x v="14"/>
    <s v="0 ans et 7 mois"/>
    <n v="7"/>
    <x v="1"/>
    <x v="153"/>
    <n v="347"/>
    <n v="41.84"/>
    <x v="4"/>
    <x v="1"/>
    <x v="97"/>
  </r>
  <r>
    <x v="2"/>
    <x v="11"/>
    <x v="14"/>
    <x v="14"/>
    <x v="14"/>
    <x v="2"/>
    <x v="14"/>
    <x v="14"/>
    <x v="14"/>
    <x v="14"/>
    <x v="2"/>
    <x v="3"/>
    <x v="305"/>
    <x v="14"/>
    <s v="3 ans et 5 mois"/>
    <n v="41"/>
    <x v="0"/>
    <x v="232"/>
    <n v="425"/>
    <n v="42.33"/>
    <x v="5"/>
    <x v="0"/>
    <x v="58"/>
  </r>
  <r>
    <x v="2"/>
    <x v="11"/>
    <x v="14"/>
    <x v="14"/>
    <x v="14"/>
    <x v="2"/>
    <x v="14"/>
    <x v="14"/>
    <x v="14"/>
    <x v="14"/>
    <x v="2"/>
    <x v="3"/>
    <x v="306"/>
    <x v="14"/>
    <s v="6 ans et 11 mois"/>
    <n v="83"/>
    <x v="3"/>
    <x v="25"/>
    <n v="105"/>
    <n v="20.46"/>
    <x v="1"/>
    <x v="0"/>
    <x v="187"/>
  </r>
  <r>
    <x v="2"/>
    <x v="11"/>
    <x v="14"/>
    <x v="14"/>
    <x v="14"/>
    <x v="2"/>
    <x v="14"/>
    <x v="14"/>
    <x v="14"/>
    <x v="14"/>
    <x v="2"/>
    <x v="3"/>
    <x v="307"/>
    <x v="14"/>
    <s v="3 ans et 5 mois"/>
    <n v="41"/>
    <x v="2"/>
    <x v="233"/>
    <n v="404"/>
    <n v="98.67"/>
    <x v="3"/>
    <x v="0"/>
    <x v="215"/>
  </r>
  <r>
    <x v="2"/>
    <x v="11"/>
    <x v="14"/>
    <x v="14"/>
    <x v="14"/>
    <x v="2"/>
    <x v="14"/>
    <x v="14"/>
    <x v="14"/>
    <x v="14"/>
    <x v="2"/>
    <x v="3"/>
    <x v="308"/>
    <x v="14"/>
    <s v="5 ans et 1 mois"/>
    <n v="61"/>
    <x v="1"/>
    <x v="234"/>
    <n v="362"/>
    <n v="75.03"/>
    <x v="2"/>
    <x v="1"/>
    <x v="216"/>
  </r>
  <r>
    <x v="2"/>
    <x v="11"/>
    <x v="14"/>
    <x v="14"/>
    <x v="14"/>
    <x v="2"/>
    <x v="14"/>
    <x v="14"/>
    <x v="14"/>
    <x v="14"/>
    <x v="2"/>
    <x v="3"/>
    <x v="309"/>
    <x v="14"/>
    <s v="1 ans et 8 mois"/>
    <n v="20"/>
    <x v="2"/>
    <x v="235"/>
    <n v="217"/>
    <n v="55.3"/>
    <x v="0"/>
    <x v="0"/>
    <x v="217"/>
  </r>
  <r>
    <x v="2"/>
    <x v="11"/>
    <x v="14"/>
    <x v="14"/>
    <x v="14"/>
    <x v="2"/>
    <x v="14"/>
    <x v="14"/>
    <x v="14"/>
    <x v="14"/>
    <x v="2"/>
    <x v="3"/>
    <x v="310"/>
    <x v="14"/>
    <s v="7 ans et 4 mois"/>
    <n v="88"/>
    <x v="3"/>
    <x v="236"/>
    <n v="359"/>
    <n v="71.19"/>
    <x v="5"/>
    <x v="0"/>
    <x v="56"/>
  </r>
  <r>
    <x v="2"/>
    <x v="11"/>
    <x v="14"/>
    <x v="14"/>
    <x v="14"/>
    <x v="2"/>
    <x v="14"/>
    <x v="14"/>
    <x v="14"/>
    <x v="14"/>
    <x v="2"/>
    <x v="3"/>
    <x v="311"/>
    <x v="14"/>
    <s v="8 ans et 9 mois"/>
    <n v="105"/>
    <x v="1"/>
    <x v="237"/>
    <n v="297"/>
    <n v="84.66"/>
    <x v="4"/>
    <x v="1"/>
    <x v="104"/>
  </r>
  <r>
    <x v="2"/>
    <x v="11"/>
    <x v="14"/>
    <x v="14"/>
    <x v="14"/>
    <x v="2"/>
    <x v="14"/>
    <x v="14"/>
    <x v="14"/>
    <x v="14"/>
    <x v="2"/>
    <x v="3"/>
    <x v="312"/>
    <x v="14"/>
    <s v="9 ans et 3 mois"/>
    <n v="111"/>
    <x v="0"/>
    <x v="6"/>
    <n v="76"/>
    <n v="38.19"/>
    <x v="3"/>
    <x v="0"/>
    <x v="218"/>
  </r>
  <r>
    <x v="2"/>
    <x v="11"/>
    <x v="14"/>
    <x v="14"/>
    <x v="14"/>
    <x v="2"/>
    <x v="14"/>
    <x v="14"/>
    <x v="14"/>
    <x v="14"/>
    <x v="2"/>
    <x v="3"/>
    <x v="313"/>
    <x v="14"/>
    <s v="8 ans et 4 mois"/>
    <n v="100"/>
    <x v="2"/>
    <x v="238"/>
    <n v="240"/>
    <n v="24.83"/>
    <x v="0"/>
    <x v="0"/>
    <x v="219"/>
  </r>
  <r>
    <x v="2"/>
    <x v="11"/>
    <x v="14"/>
    <x v="14"/>
    <x v="14"/>
    <x v="2"/>
    <x v="14"/>
    <x v="14"/>
    <x v="14"/>
    <x v="14"/>
    <x v="2"/>
    <x v="3"/>
    <x v="314"/>
    <x v="14"/>
    <s v="1 ans et 7 mois"/>
    <n v="19"/>
    <x v="0"/>
    <x v="239"/>
    <n v="71"/>
    <n v="68.2"/>
    <x v="2"/>
    <x v="0"/>
    <x v="147"/>
  </r>
  <r>
    <x v="2"/>
    <x v="11"/>
    <x v="14"/>
    <x v="14"/>
    <x v="14"/>
    <x v="2"/>
    <x v="14"/>
    <x v="14"/>
    <x v="14"/>
    <x v="14"/>
    <x v="2"/>
    <x v="3"/>
    <x v="315"/>
    <x v="14"/>
    <s v="8 ans et 6 mois"/>
    <n v="102"/>
    <x v="2"/>
    <x v="238"/>
    <n v="240"/>
    <n v="12.52"/>
    <x v="4"/>
    <x v="0"/>
    <x v="220"/>
  </r>
  <r>
    <x v="1"/>
    <x v="11"/>
    <x v="15"/>
    <x v="15"/>
    <x v="15"/>
    <x v="1"/>
    <x v="15"/>
    <x v="15"/>
    <x v="15"/>
    <x v="15"/>
    <x v="1"/>
    <x v="2"/>
    <x v="316"/>
    <x v="15"/>
    <s v="9 ans et 5 mois"/>
    <n v="113"/>
    <x v="2"/>
    <x v="240"/>
    <n v="380"/>
    <n v="12.11"/>
    <x v="2"/>
    <x v="0"/>
    <x v="96"/>
  </r>
  <r>
    <x v="1"/>
    <x v="11"/>
    <x v="15"/>
    <x v="15"/>
    <x v="15"/>
    <x v="1"/>
    <x v="15"/>
    <x v="15"/>
    <x v="15"/>
    <x v="15"/>
    <x v="1"/>
    <x v="2"/>
    <x v="317"/>
    <x v="15"/>
    <s v="7 ans et 7 mois"/>
    <n v="91"/>
    <x v="1"/>
    <x v="161"/>
    <n v="358"/>
    <n v="21.14"/>
    <x v="3"/>
    <x v="1"/>
    <x v="186"/>
  </r>
  <r>
    <x v="1"/>
    <x v="11"/>
    <x v="15"/>
    <x v="15"/>
    <x v="15"/>
    <x v="1"/>
    <x v="15"/>
    <x v="15"/>
    <x v="15"/>
    <x v="15"/>
    <x v="1"/>
    <x v="2"/>
    <x v="318"/>
    <x v="15"/>
    <s v="2 ans et 3 mois"/>
    <n v="27"/>
    <x v="0"/>
    <x v="241"/>
    <n v="275"/>
    <n v="80.069999999999993"/>
    <x v="1"/>
    <x v="0"/>
    <x v="221"/>
  </r>
  <r>
    <x v="1"/>
    <x v="11"/>
    <x v="15"/>
    <x v="15"/>
    <x v="15"/>
    <x v="1"/>
    <x v="15"/>
    <x v="15"/>
    <x v="15"/>
    <x v="15"/>
    <x v="1"/>
    <x v="2"/>
    <x v="319"/>
    <x v="15"/>
    <s v="0 ans et 11 mois"/>
    <n v="11"/>
    <x v="0"/>
    <x v="242"/>
    <n v="402"/>
    <n v="69.599999999999994"/>
    <x v="3"/>
    <x v="0"/>
    <x v="222"/>
  </r>
  <r>
    <x v="1"/>
    <x v="11"/>
    <x v="15"/>
    <x v="15"/>
    <x v="15"/>
    <x v="1"/>
    <x v="15"/>
    <x v="15"/>
    <x v="15"/>
    <x v="15"/>
    <x v="1"/>
    <x v="2"/>
    <x v="320"/>
    <x v="15"/>
    <s v="7 ans et 3 mois"/>
    <n v="87"/>
    <x v="1"/>
    <x v="157"/>
    <n v="450"/>
    <n v="64.3"/>
    <x v="4"/>
    <x v="1"/>
    <x v="142"/>
  </r>
  <r>
    <x v="1"/>
    <x v="11"/>
    <x v="15"/>
    <x v="15"/>
    <x v="15"/>
    <x v="1"/>
    <x v="15"/>
    <x v="15"/>
    <x v="15"/>
    <x v="15"/>
    <x v="1"/>
    <x v="2"/>
    <x v="321"/>
    <x v="15"/>
    <s v="7 ans et 9 mois"/>
    <n v="93"/>
    <x v="0"/>
    <x v="243"/>
    <n v="365"/>
    <n v="72.319999999999993"/>
    <x v="1"/>
    <x v="0"/>
    <x v="72"/>
  </r>
  <r>
    <x v="1"/>
    <x v="11"/>
    <x v="15"/>
    <x v="15"/>
    <x v="15"/>
    <x v="1"/>
    <x v="15"/>
    <x v="15"/>
    <x v="15"/>
    <x v="15"/>
    <x v="1"/>
    <x v="2"/>
    <x v="322"/>
    <x v="15"/>
    <s v="8 ans et 1 mois"/>
    <n v="97"/>
    <x v="0"/>
    <x v="244"/>
    <n v="484"/>
    <n v="61.98"/>
    <x v="1"/>
    <x v="0"/>
    <x v="223"/>
  </r>
  <r>
    <x v="1"/>
    <x v="11"/>
    <x v="15"/>
    <x v="15"/>
    <x v="15"/>
    <x v="1"/>
    <x v="15"/>
    <x v="15"/>
    <x v="15"/>
    <x v="15"/>
    <x v="1"/>
    <x v="2"/>
    <x v="323"/>
    <x v="15"/>
    <s v="5 ans et 2 mois"/>
    <n v="62"/>
    <x v="3"/>
    <x v="30"/>
    <n v="116"/>
    <n v="92.99"/>
    <x v="3"/>
    <x v="0"/>
    <x v="224"/>
  </r>
  <r>
    <x v="1"/>
    <x v="11"/>
    <x v="15"/>
    <x v="15"/>
    <x v="15"/>
    <x v="1"/>
    <x v="15"/>
    <x v="15"/>
    <x v="15"/>
    <x v="15"/>
    <x v="1"/>
    <x v="2"/>
    <x v="324"/>
    <x v="15"/>
    <s v="4 ans et 4 mois"/>
    <n v="52"/>
    <x v="2"/>
    <x v="165"/>
    <n v="119"/>
    <n v="64.709999999999994"/>
    <x v="0"/>
    <x v="0"/>
    <x v="131"/>
  </r>
  <r>
    <x v="1"/>
    <x v="11"/>
    <x v="15"/>
    <x v="15"/>
    <x v="15"/>
    <x v="1"/>
    <x v="15"/>
    <x v="15"/>
    <x v="15"/>
    <x v="15"/>
    <x v="1"/>
    <x v="2"/>
    <x v="325"/>
    <x v="15"/>
    <s v="4 ans et 0 mois"/>
    <n v="48"/>
    <x v="0"/>
    <x v="111"/>
    <n v="436"/>
    <n v="15.17"/>
    <x v="2"/>
    <x v="0"/>
    <x v="77"/>
  </r>
  <r>
    <x v="1"/>
    <x v="11"/>
    <x v="15"/>
    <x v="15"/>
    <x v="15"/>
    <x v="1"/>
    <x v="15"/>
    <x v="15"/>
    <x v="15"/>
    <x v="15"/>
    <x v="1"/>
    <x v="2"/>
    <x v="326"/>
    <x v="15"/>
    <s v="0 ans et 6 mois"/>
    <n v="6"/>
    <x v="1"/>
    <x v="245"/>
    <n v="109"/>
    <n v="39.880000000000003"/>
    <x v="0"/>
    <x v="1"/>
    <x v="140"/>
  </r>
  <r>
    <x v="1"/>
    <x v="11"/>
    <x v="15"/>
    <x v="15"/>
    <x v="15"/>
    <x v="1"/>
    <x v="15"/>
    <x v="15"/>
    <x v="15"/>
    <x v="15"/>
    <x v="1"/>
    <x v="2"/>
    <x v="327"/>
    <x v="15"/>
    <s v="7 ans et 3 mois"/>
    <n v="87"/>
    <x v="1"/>
    <x v="65"/>
    <n v="205"/>
    <n v="40.159999999999997"/>
    <x v="3"/>
    <x v="1"/>
    <x v="140"/>
  </r>
  <r>
    <x v="1"/>
    <x v="11"/>
    <x v="15"/>
    <x v="15"/>
    <x v="15"/>
    <x v="1"/>
    <x v="15"/>
    <x v="15"/>
    <x v="15"/>
    <x v="15"/>
    <x v="1"/>
    <x v="2"/>
    <x v="328"/>
    <x v="15"/>
    <s v="4 ans et 2 mois"/>
    <n v="50"/>
    <x v="1"/>
    <x v="73"/>
    <n v="108"/>
    <n v="43.81"/>
    <x v="3"/>
    <x v="1"/>
    <x v="179"/>
  </r>
  <r>
    <x v="1"/>
    <x v="11"/>
    <x v="15"/>
    <x v="15"/>
    <x v="15"/>
    <x v="1"/>
    <x v="15"/>
    <x v="15"/>
    <x v="15"/>
    <x v="15"/>
    <x v="1"/>
    <x v="2"/>
    <x v="329"/>
    <x v="15"/>
    <s v="1 ans et 9 mois"/>
    <n v="21"/>
    <x v="1"/>
    <x v="246"/>
    <n v="320"/>
    <n v="64.97"/>
    <x v="1"/>
    <x v="1"/>
    <x v="214"/>
  </r>
  <r>
    <x v="1"/>
    <x v="11"/>
    <x v="15"/>
    <x v="15"/>
    <x v="15"/>
    <x v="1"/>
    <x v="15"/>
    <x v="15"/>
    <x v="15"/>
    <x v="15"/>
    <x v="1"/>
    <x v="2"/>
    <x v="330"/>
    <x v="15"/>
    <s v="7 ans et 5 mois"/>
    <n v="89"/>
    <x v="0"/>
    <x v="247"/>
    <n v="175"/>
    <n v="32.369999999999997"/>
    <x v="1"/>
    <x v="0"/>
    <x v="225"/>
  </r>
  <r>
    <x v="1"/>
    <x v="11"/>
    <x v="15"/>
    <x v="15"/>
    <x v="15"/>
    <x v="1"/>
    <x v="15"/>
    <x v="15"/>
    <x v="15"/>
    <x v="15"/>
    <x v="1"/>
    <x v="2"/>
    <x v="331"/>
    <x v="15"/>
    <s v="7 ans et 3 mois"/>
    <n v="87"/>
    <x v="2"/>
    <x v="248"/>
    <n v="498"/>
    <n v="61.57"/>
    <x v="2"/>
    <x v="0"/>
    <x v="150"/>
  </r>
  <r>
    <x v="1"/>
    <x v="11"/>
    <x v="15"/>
    <x v="15"/>
    <x v="15"/>
    <x v="1"/>
    <x v="15"/>
    <x v="15"/>
    <x v="15"/>
    <x v="15"/>
    <x v="1"/>
    <x v="2"/>
    <x v="332"/>
    <x v="15"/>
    <s v="5 ans et 3 mois"/>
    <n v="63"/>
    <x v="0"/>
    <x v="137"/>
    <n v="263"/>
    <n v="53.87"/>
    <x v="0"/>
    <x v="0"/>
    <x v="226"/>
  </r>
  <r>
    <x v="1"/>
    <x v="11"/>
    <x v="15"/>
    <x v="15"/>
    <x v="15"/>
    <x v="1"/>
    <x v="15"/>
    <x v="15"/>
    <x v="15"/>
    <x v="15"/>
    <x v="1"/>
    <x v="2"/>
    <x v="333"/>
    <x v="15"/>
    <s v="2 ans et 11 mois"/>
    <n v="35"/>
    <x v="1"/>
    <x v="105"/>
    <n v="496"/>
    <n v="19.78"/>
    <x v="3"/>
    <x v="1"/>
    <x v="227"/>
  </r>
  <r>
    <x v="1"/>
    <x v="11"/>
    <x v="15"/>
    <x v="15"/>
    <x v="15"/>
    <x v="1"/>
    <x v="15"/>
    <x v="15"/>
    <x v="15"/>
    <x v="15"/>
    <x v="1"/>
    <x v="2"/>
    <x v="334"/>
    <x v="15"/>
    <s v="0 ans et 6 mois"/>
    <n v="6"/>
    <x v="3"/>
    <x v="234"/>
    <n v="362"/>
    <n v="75.739999999999995"/>
    <x v="0"/>
    <x v="0"/>
    <x v="46"/>
  </r>
  <r>
    <x v="1"/>
    <x v="11"/>
    <x v="15"/>
    <x v="15"/>
    <x v="15"/>
    <x v="1"/>
    <x v="15"/>
    <x v="15"/>
    <x v="15"/>
    <x v="15"/>
    <x v="1"/>
    <x v="2"/>
    <x v="335"/>
    <x v="15"/>
    <s v="3 ans et 11 mois"/>
    <n v="47"/>
    <x v="1"/>
    <x v="249"/>
    <n v="149"/>
    <n v="28.35"/>
    <x v="1"/>
    <x v="1"/>
    <x v="88"/>
  </r>
  <r>
    <x v="1"/>
    <x v="11"/>
    <x v="15"/>
    <x v="15"/>
    <x v="15"/>
    <x v="1"/>
    <x v="15"/>
    <x v="15"/>
    <x v="15"/>
    <x v="15"/>
    <x v="1"/>
    <x v="2"/>
    <x v="336"/>
    <x v="15"/>
    <s v="4 ans et 10 mois"/>
    <n v="58"/>
    <x v="3"/>
    <x v="250"/>
    <n v="485"/>
    <n v="64.290000000000006"/>
    <x v="0"/>
    <x v="0"/>
    <x v="228"/>
  </r>
  <r>
    <x v="1"/>
    <x v="11"/>
    <x v="15"/>
    <x v="15"/>
    <x v="15"/>
    <x v="1"/>
    <x v="15"/>
    <x v="15"/>
    <x v="15"/>
    <x v="15"/>
    <x v="1"/>
    <x v="2"/>
    <x v="337"/>
    <x v="15"/>
    <s v="0 ans et 9 mois"/>
    <n v="9"/>
    <x v="2"/>
    <x v="71"/>
    <n v="227"/>
    <n v="63.74"/>
    <x v="5"/>
    <x v="0"/>
    <x v="132"/>
  </r>
  <r>
    <x v="1"/>
    <x v="11"/>
    <x v="15"/>
    <x v="15"/>
    <x v="15"/>
    <x v="1"/>
    <x v="15"/>
    <x v="15"/>
    <x v="15"/>
    <x v="15"/>
    <x v="1"/>
    <x v="2"/>
    <x v="338"/>
    <x v="15"/>
    <s v="1 ans et 0 mois"/>
    <n v="12"/>
    <x v="2"/>
    <x v="112"/>
    <n v="138"/>
    <n v="17"/>
    <x v="4"/>
    <x v="0"/>
    <x v="84"/>
  </r>
  <r>
    <x v="1"/>
    <x v="11"/>
    <x v="15"/>
    <x v="15"/>
    <x v="15"/>
    <x v="1"/>
    <x v="15"/>
    <x v="15"/>
    <x v="15"/>
    <x v="15"/>
    <x v="1"/>
    <x v="2"/>
    <x v="339"/>
    <x v="15"/>
    <s v="4 ans et 9 mois"/>
    <n v="57"/>
    <x v="0"/>
    <x v="200"/>
    <n v="447"/>
    <n v="23.27"/>
    <x v="5"/>
    <x v="0"/>
    <x v="229"/>
  </r>
  <r>
    <x v="3"/>
    <x v="4"/>
    <x v="16"/>
    <x v="16"/>
    <x v="16"/>
    <x v="2"/>
    <x v="16"/>
    <x v="16"/>
    <x v="16"/>
    <x v="16"/>
    <x v="1"/>
    <x v="2"/>
    <x v="340"/>
    <x v="16"/>
    <s v="6 ans et 9 mois"/>
    <n v="81"/>
    <x v="1"/>
    <x v="150"/>
    <n v="154"/>
    <n v="19.47"/>
    <x v="5"/>
    <x v="1"/>
    <x v="130"/>
  </r>
  <r>
    <x v="3"/>
    <x v="4"/>
    <x v="16"/>
    <x v="16"/>
    <x v="16"/>
    <x v="2"/>
    <x v="16"/>
    <x v="16"/>
    <x v="16"/>
    <x v="16"/>
    <x v="1"/>
    <x v="2"/>
    <x v="341"/>
    <x v="16"/>
    <s v="6 ans et 0 mois"/>
    <n v="72"/>
    <x v="2"/>
    <x v="87"/>
    <n v="51"/>
    <n v="95.09"/>
    <x v="2"/>
    <x v="0"/>
    <x v="44"/>
  </r>
  <r>
    <x v="3"/>
    <x v="4"/>
    <x v="16"/>
    <x v="16"/>
    <x v="16"/>
    <x v="2"/>
    <x v="16"/>
    <x v="16"/>
    <x v="16"/>
    <x v="16"/>
    <x v="1"/>
    <x v="2"/>
    <x v="342"/>
    <x v="16"/>
    <s v="7 ans et 5 mois"/>
    <n v="89"/>
    <x v="1"/>
    <x v="251"/>
    <n v="203"/>
    <n v="80.680000000000007"/>
    <x v="3"/>
    <x v="1"/>
    <x v="230"/>
  </r>
  <r>
    <x v="3"/>
    <x v="4"/>
    <x v="16"/>
    <x v="16"/>
    <x v="16"/>
    <x v="2"/>
    <x v="16"/>
    <x v="16"/>
    <x v="16"/>
    <x v="16"/>
    <x v="1"/>
    <x v="2"/>
    <x v="343"/>
    <x v="16"/>
    <s v="2 ans et 3 mois"/>
    <n v="27"/>
    <x v="3"/>
    <x v="39"/>
    <n v="369"/>
    <n v="19.78"/>
    <x v="1"/>
    <x v="0"/>
    <x v="68"/>
  </r>
  <r>
    <x v="3"/>
    <x v="4"/>
    <x v="16"/>
    <x v="16"/>
    <x v="16"/>
    <x v="2"/>
    <x v="16"/>
    <x v="16"/>
    <x v="16"/>
    <x v="16"/>
    <x v="1"/>
    <x v="2"/>
    <x v="344"/>
    <x v="16"/>
    <s v="9 ans et 0 mois"/>
    <n v="108"/>
    <x v="3"/>
    <x v="252"/>
    <n v="323"/>
    <n v="58.54"/>
    <x v="4"/>
    <x v="0"/>
    <x v="231"/>
  </r>
  <r>
    <x v="3"/>
    <x v="4"/>
    <x v="16"/>
    <x v="16"/>
    <x v="16"/>
    <x v="2"/>
    <x v="16"/>
    <x v="16"/>
    <x v="16"/>
    <x v="16"/>
    <x v="1"/>
    <x v="2"/>
    <x v="345"/>
    <x v="16"/>
    <s v="0 ans et 8 mois"/>
    <n v="8"/>
    <x v="0"/>
    <x v="253"/>
    <n v="120"/>
    <n v="88.29"/>
    <x v="3"/>
    <x v="0"/>
    <x v="111"/>
  </r>
  <r>
    <x v="3"/>
    <x v="4"/>
    <x v="16"/>
    <x v="16"/>
    <x v="16"/>
    <x v="2"/>
    <x v="16"/>
    <x v="16"/>
    <x v="16"/>
    <x v="16"/>
    <x v="1"/>
    <x v="2"/>
    <x v="346"/>
    <x v="16"/>
    <s v="3 ans et 5 mois"/>
    <n v="41"/>
    <x v="1"/>
    <x v="254"/>
    <n v="474"/>
    <n v="54.03"/>
    <x v="0"/>
    <x v="1"/>
    <x v="96"/>
  </r>
  <r>
    <x v="3"/>
    <x v="4"/>
    <x v="16"/>
    <x v="16"/>
    <x v="16"/>
    <x v="2"/>
    <x v="16"/>
    <x v="16"/>
    <x v="16"/>
    <x v="16"/>
    <x v="1"/>
    <x v="2"/>
    <x v="347"/>
    <x v="16"/>
    <s v="1 ans et 5 mois"/>
    <n v="17"/>
    <x v="2"/>
    <x v="179"/>
    <n v="483"/>
    <n v="77.08"/>
    <x v="2"/>
    <x v="0"/>
    <x v="232"/>
  </r>
  <r>
    <x v="3"/>
    <x v="4"/>
    <x v="16"/>
    <x v="16"/>
    <x v="16"/>
    <x v="2"/>
    <x v="16"/>
    <x v="16"/>
    <x v="16"/>
    <x v="16"/>
    <x v="1"/>
    <x v="2"/>
    <x v="348"/>
    <x v="16"/>
    <s v="1 ans et 7 mois"/>
    <n v="19"/>
    <x v="0"/>
    <x v="164"/>
    <n v="305"/>
    <n v="81.11"/>
    <x v="1"/>
    <x v="0"/>
    <x v="233"/>
  </r>
  <r>
    <x v="3"/>
    <x v="4"/>
    <x v="16"/>
    <x v="16"/>
    <x v="16"/>
    <x v="2"/>
    <x v="16"/>
    <x v="16"/>
    <x v="16"/>
    <x v="16"/>
    <x v="1"/>
    <x v="2"/>
    <x v="349"/>
    <x v="16"/>
    <s v="7 ans et 6 mois"/>
    <n v="90"/>
    <x v="2"/>
    <x v="255"/>
    <n v="343"/>
    <n v="82.05"/>
    <x v="1"/>
    <x v="0"/>
    <x v="234"/>
  </r>
  <r>
    <x v="3"/>
    <x v="4"/>
    <x v="16"/>
    <x v="16"/>
    <x v="16"/>
    <x v="2"/>
    <x v="16"/>
    <x v="16"/>
    <x v="16"/>
    <x v="16"/>
    <x v="1"/>
    <x v="2"/>
    <x v="350"/>
    <x v="16"/>
    <s v="7 ans et 6 mois"/>
    <n v="90"/>
    <x v="0"/>
    <x v="143"/>
    <n v="216"/>
    <n v="45.58"/>
    <x v="2"/>
    <x v="0"/>
    <x v="64"/>
  </r>
  <r>
    <x v="3"/>
    <x v="4"/>
    <x v="16"/>
    <x v="16"/>
    <x v="16"/>
    <x v="2"/>
    <x v="16"/>
    <x v="16"/>
    <x v="16"/>
    <x v="16"/>
    <x v="1"/>
    <x v="2"/>
    <x v="351"/>
    <x v="16"/>
    <s v="8 ans et 8 mois"/>
    <n v="104"/>
    <x v="1"/>
    <x v="12"/>
    <n v="60"/>
    <n v="45.51"/>
    <x v="1"/>
    <x v="1"/>
    <x v="91"/>
  </r>
  <r>
    <x v="3"/>
    <x v="4"/>
    <x v="16"/>
    <x v="16"/>
    <x v="16"/>
    <x v="2"/>
    <x v="16"/>
    <x v="16"/>
    <x v="16"/>
    <x v="16"/>
    <x v="1"/>
    <x v="2"/>
    <x v="352"/>
    <x v="16"/>
    <s v="3 ans et 7 mois"/>
    <n v="43"/>
    <x v="2"/>
    <x v="256"/>
    <n v="26"/>
    <n v="25.85"/>
    <x v="1"/>
    <x v="0"/>
    <x v="235"/>
  </r>
  <r>
    <x v="3"/>
    <x v="4"/>
    <x v="16"/>
    <x v="16"/>
    <x v="16"/>
    <x v="2"/>
    <x v="16"/>
    <x v="16"/>
    <x v="16"/>
    <x v="16"/>
    <x v="1"/>
    <x v="2"/>
    <x v="353"/>
    <x v="16"/>
    <s v="7 ans et 9 mois"/>
    <n v="93"/>
    <x v="1"/>
    <x v="257"/>
    <n v="153"/>
    <n v="86.19"/>
    <x v="2"/>
    <x v="1"/>
    <x v="15"/>
  </r>
  <r>
    <x v="3"/>
    <x v="4"/>
    <x v="16"/>
    <x v="16"/>
    <x v="16"/>
    <x v="2"/>
    <x v="16"/>
    <x v="16"/>
    <x v="16"/>
    <x v="16"/>
    <x v="1"/>
    <x v="2"/>
    <x v="354"/>
    <x v="16"/>
    <s v="8 ans et 3 mois"/>
    <n v="99"/>
    <x v="1"/>
    <x v="258"/>
    <n v="42"/>
    <n v="98.77"/>
    <x v="5"/>
    <x v="1"/>
    <x v="17"/>
  </r>
  <r>
    <x v="3"/>
    <x v="4"/>
    <x v="16"/>
    <x v="16"/>
    <x v="16"/>
    <x v="2"/>
    <x v="16"/>
    <x v="16"/>
    <x v="16"/>
    <x v="16"/>
    <x v="1"/>
    <x v="2"/>
    <x v="355"/>
    <x v="16"/>
    <s v="2 ans et 9 mois"/>
    <n v="33"/>
    <x v="1"/>
    <x v="29"/>
    <n v="207"/>
    <n v="38.49"/>
    <x v="0"/>
    <x v="1"/>
    <x v="8"/>
  </r>
  <r>
    <x v="1"/>
    <x v="2"/>
    <x v="17"/>
    <x v="17"/>
    <x v="17"/>
    <x v="0"/>
    <x v="17"/>
    <x v="17"/>
    <x v="17"/>
    <x v="17"/>
    <x v="2"/>
    <x v="1"/>
    <x v="356"/>
    <x v="17"/>
    <s v="2 ans et 11 mois"/>
    <n v="35"/>
    <x v="1"/>
    <x v="259"/>
    <n v="465"/>
    <n v="58.59"/>
    <x v="3"/>
    <x v="1"/>
    <x v="13"/>
  </r>
  <r>
    <x v="1"/>
    <x v="2"/>
    <x v="17"/>
    <x v="17"/>
    <x v="17"/>
    <x v="0"/>
    <x v="17"/>
    <x v="17"/>
    <x v="17"/>
    <x v="17"/>
    <x v="2"/>
    <x v="1"/>
    <x v="357"/>
    <x v="17"/>
    <s v="9 ans et 0 mois"/>
    <n v="108"/>
    <x v="2"/>
    <x v="260"/>
    <n v="278"/>
    <n v="40.51"/>
    <x v="5"/>
    <x v="0"/>
    <x v="236"/>
  </r>
  <r>
    <x v="1"/>
    <x v="2"/>
    <x v="17"/>
    <x v="17"/>
    <x v="17"/>
    <x v="0"/>
    <x v="17"/>
    <x v="17"/>
    <x v="17"/>
    <x v="17"/>
    <x v="2"/>
    <x v="1"/>
    <x v="358"/>
    <x v="17"/>
    <s v="4 ans et 10 mois"/>
    <n v="58"/>
    <x v="0"/>
    <x v="144"/>
    <n v="423"/>
    <n v="80.459999999999994"/>
    <x v="2"/>
    <x v="0"/>
    <x v="237"/>
  </r>
  <r>
    <x v="1"/>
    <x v="2"/>
    <x v="17"/>
    <x v="17"/>
    <x v="17"/>
    <x v="0"/>
    <x v="17"/>
    <x v="17"/>
    <x v="17"/>
    <x v="17"/>
    <x v="2"/>
    <x v="1"/>
    <x v="359"/>
    <x v="17"/>
    <s v="3 ans et 6 mois"/>
    <n v="42"/>
    <x v="2"/>
    <x v="185"/>
    <n v="385"/>
    <n v="96.52"/>
    <x v="1"/>
    <x v="0"/>
    <x v="238"/>
  </r>
  <r>
    <x v="1"/>
    <x v="2"/>
    <x v="17"/>
    <x v="17"/>
    <x v="17"/>
    <x v="0"/>
    <x v="17"/>
    <x v="17"/>
    <x v="17"/>
    <x v="17"/>
    <x v="2"/>
    <x v="1"/>
    <x v="360"/>
    <x v="17"/>
    <s v="8 ans et 7 mois"/>
    <n v="103"/>
    <x v="0"/>
    <x v="88"/>
    <n v="300"/>
    <n v="13.76"/>
    <x v="0"/>
    <x v="0"/>
    <x v="25"/>
  </r>
  <r>
    <x v="1"/>
    <x v="2"/>
    <x v="17"/>
    <x v="17"/>
    <x v="17"/>
    <x v="0"/>
    <x v="17"/>
    <x v="17"/>
    <x v="17"/>
    <x v="17"/>
    <x v="2"/>
    <x v="1"/>
    <x v="361"/>
    <x v="17"/>
    <s v="6 ans et 8 mois"/>
    <n v="80"/>
    <x v="3"/>
    <x v="123"/>
    <n v="121"/>
    <n v="83.14"/>
    <x v="3"/>
    <x v="0"/>
    <x v="124"/>
  </r>
  <r>
    <x v="1"/>
    <x v="2"/>
    <x v="17"/>
    <x v="17"/>
    <x v="17"/>
    <x v="0"/>
    <x v="17"/>
    <x v="17"/>
    <x v="17"/>
    <x v="17"/>
    <x v="2"/>
    <x v="1"/>
    <x v="362"/>
    <x v="17"/>
    <s v="0 ans et 6 mois"/>
    <n v="6"/>
    <x v="3"/>
    <x v="261"/>
    <n v="162"/>
    <n v="99.93"/>
    <x v="2"/>
    <x v="0"/>
    <x v="28"/>
  </r>
  <r>
    <x v="1"/>
    <x v="2"/>
    <x v="17"/>
    <x v="17"/>
    <x v="17"/>
    <x v="0"/>
    <x v="17"/>
    <x v="17"/>
    <x v="17"/>
    <x v="17"/>
    <x v="2"/>
    <x v="1"/>
    <x v="363"/>
    <x v="17"/>
    <s v="7 ans et 2 mois"/>
    <n v="86"/>
    <x v="1"/>
    <x v="121"/>
    <n v="237"/>
    <n v="85.82"/>
    <x v="3"/>
    <x v="1"/>
    <x v="15"/>
  </r>
  <r>
    <x v="1"/>
    <x v="2"/>
    <x v="17"/>
    <x v="17"/>
    <x v="17"/>
    <x v="0"/>
    <x v="17"/>
    <x v="17"/>
    <x v="17"/>
    <x v="17"/>
    <x v="2"/>
    <x v="1"/>
    <x v="364"/>
    <x v="17"/>
    <s v="8 ans et 3 mois"/>
    <n v="99"/>
    <x v="2"/>
    <x v="158"/>
    <n v="493"/>
    <n v="55.43"/>
    <x v="4"/>
    <x v="0"/>
    <x v="217"/>
  </r>
  <r>
    <x v="1"/>
    <x v="2"/>
    <x v="17"/>
    <x v="17"/>
    <x v="17"/>
    <x v="0"/>
    <x v="17"/>
    <x v="17"/>
    <x v="17"/>
    <x v="17"/>
    <x v="2"/>
    <x v="1"/>
    <x v="365"/>
    <x v="17"/>
    <s v="6 ans et 3 mois"/>
    <n v="75"/>
    <x v="0"/>
    <x v="262"/>
    <n v="282"/>
    <n v="45.16"/>
    <x v="3"/>
    <x v="0"/>
    <x v="208"/>
  </r>
  <r>
    <x v="1"/>
    <x v="2"/>
    <x v="17"/>
    <x v="17"/>
    <x v="17"/>
    <x v="0"/>
    <x v="17"/>
    <x v="17"/>
    <x v="17"/>
    <x v="17"/>
    <x v="2"/>
    <x v="1"/>
    <x v="366"/>
    <x v="17"/>
    <s v="2 ans et 3 mois"/>
    <n v="27"/>
    <x v="3"/>
    <x v="263"/>
    <n v="61"/>
    <n v="97.51"/>
    <x v="3"/>
    <x v="0"/>
    <x v="239"/>
  </r>
  <r>
    <x v="1"/>
    <x v="2"/>
    <x v="17"/>
    <x v="17"/>
    <x v="17"/>
    <x v="0"/>
    <x v="17"/>
    <x v="17"/>
    <x v="17"/>
    <x v="17"/>
    <x v="2"/>
    <x v="1"/>
    <x v="367"/>
    <x v="17"/>
    <s v="7 ans et 2 mois"/>
    <n v="86"/>
    <x v="3"/>
    <x v="43"/>
    <n v="111"/>
    <n v="23.65"/>
    <x v="2"/>
    <x v="0"/>
    <x v="240"/>
  </r>
  <r>
    <x v="1"/>
    <x v="2"/>
    <x v="17"/>
    <x v="17"/>
    <x v="17"/>
    <x v="0"/>
    <x v="17"/>
    <x v="17"/>
    <x v="17"/>
    <x v="17"/>
    <x v="2"/>
    <x v="1"/>
    <x v="368"/>
    <x v="17"/>
    <s v="6 ans et 1 mois"/>
    <n v="73"/>
    <x v="2"/>
    <x v="264"/>
    <n v="225"/>
    <n v="45.86"/>
    <x v="2"/>
    <x v="0"/>
    <x v="241"/>
  </r>
  <r>
    <x v="1"/>
    <x v="2"/>
    <x v="17"/>
    <x v="17"/>
    <x v="17"/>
    <x v="0"/>
    <x v="17"/>
    <x v="17"/>
    <x v="17"/>
    <x v="17"/>
    <x v="2"/>
    <x v="1"/>
    <x v="369"/>
    <x v="17"/>
    <s v="3 ans et 9 mois"/>
    <n v="45"/>
    <x v="2"/>
    <x v="26"/>
    <n v="43"/>
    <n v="12.31"/>
    <x v="2"/>
    <x v="0"/>
    <x v="112"/>
  </r>
  <r>
    <x v="1"/>
    <x v="2"/>
    <x v="17"/>
    <x v="17"/>
    <x v="17"/>
    <x v="0"/>
    <x v="17"/>
    <x v="17"/>
    <x v="17"/>
    <x v="17"/>
    <x v="2"/>
    <x v="1"/>
    <x v="370"/>
    <x v="17"/>
    <s v="7 ans et 7 mois"/>
    <n v="91"/>
    <x v="2"/>
    <x v="265"/>
    <n v="63"/>
    <n v="57.76"/>
    <x v="3"/>
    <x v="0"/>
    <x v="242"/>
  </r>
  <r>
    <x v="1"/>
    <x v="2"/>
    <x v="17"/>
    <x v="17"/>
    <x v="17"/>
    <x v="0"/>
    <x v="17"/>
    <x v="17"/>
    <x v="17"/>
    <x v="17"/>
    <x v="2"/>
    <x v="1"/>
    <x v="371"/>
    <x v="17"/>
    <s v="2 ans et 5 mois"/>
    <n v="29"/>
    <x v="1"/>
    <x v="251"/>
    <n v="203"/>
    <n v="53.97"/>
    <x v="3"/>
    <x v="1"/>
    <x v="96"/>
  </r>
  <r>
    <x v="1"/>
    <x v="2"/>
    <x v="17"/>
    <x v="17"/>
    <x v="17"/>
    <x v="0"/>
    <x v="17"/>
    <x v="17"/>
    <x v="17"/>
    <x v="17"/>
    <x v="2"/>
    <x v="1"/>
    <x v="372"/>
    <x v="17"/>
    <s v="5 ans et 5 mois"/>
    <n v="65"/>
    <x v="0"/>
    <x v="187"/>
    <n v="442"/>
    <n v="60.62"/>
    <x v="3"/>
    <x v="0"/>
    <x v="243"/>
  </r>
  <r>
    <x v="1"/>
    <x v="2"/>
    <x v="17"/>
    <x v="17"/>
    <x v="17"/>
    <x v="0"/>
    <x v="17"/>
    <x v="17"/>
    <x v="17"/>
    <x v="17"/>
    <x v="2"/>
    <x v="1"/>
    <x v="373"/>
    <x v="17"/>
    <s v="7 ans et 4 mois"/>
    <n v="88"/>
    <x v="0"/>
    <x v="254"/>
    <n v="474"/>
    <n v="23.35"/>
    <x v="3"/>
    <x v="0"/>
    <x v="229"/>
  </r>
  <r>
    <x v="1"/>
    <x v="2"/>
    <x v="17"/>
    <x v="17"/>
    <x v="17"/>
    <x v="0"/>
    <x v="17"/>
    <x v="17"/>
    <x v="17"/>
    <x v="17"/>
    <x v="2"/>
    <x v="1"/>
    <x v="374"/>
    <x v="17"/>
    <s v="6 ans et 8 mois"/>
    <n v="80"/>
    <x v="1"/>
    <x v="266"/>
    <n v="339"/>
    <n v="59.87"/>
    <x v="2"/>
    <x v="1"/>
    <x v="146"/>
  </r>
  <r>
    <x v="1"/>
    <x v="2"/>
    <x v="17"/>
    <x v="17"/>
    <x v="17"/>
    <x v="0"/>
    <x v="17"/>
    <x v="17"/>
    <x v="17"/>
    <x v="17"/>
    <x v="2"/>
    <x v="1"/>
    <x v="375"/>
    <x v="17"/>
    <s v="9 ans et 9 mois"/>
    <n v="117"/>
    <x v="2"/>
    <x v="267"/>
    <n v="39"/>
    <n v="26.53"/>
    <x v="1"/>
    <x v="0"/>
    <x v="244"/>
  </r>
  <r>
    <x v="1"/>
    <x v="2"/>
    <x v="17"/>
    <x v="17"/>
    <x v="17"/>
    <x v="0"/>
    <x v="17"/>
    <x v="17"/>
    <x v="17"/>
    <x v="17"/>
    <x v="2"/>
    <x v="1"/>
    <x v="376"/>
    <x v="17"/>
    <s v="3 ans et 5 mois"/>
    <n v="41"/>
    <x v="3"/>
    <x v="268"/>
    <n v="383"/>
    <n v="27.53"/>
    <x v="0"/>
    <x v="0"/>
    <x v="245"/>
  </r>
  <r>
    <x v="1"/>
    <x v="2"/>
    <x v="17"/>
    <x v="17"/>
    <x v="17"/>
    <x v="0"/>
    <x v="17"/>
    <x v="17"/>
    <x v="17"/>
    <x v="17"/>
    <x v="2"/>
    <x v="1"/>
    <x v="377"/>
    <x v="17"/>
    <s v="8 ans et 2 mois"/>
    <n v="98"/>
    <x v="1"/>
    <x v="269"/>
    <n v="41"/>
    <n v="23.55"/>
    <x v="1"/>
    <x v="1"/>
    <x v="109"/>
  </r>
  <r>
    <x v="5"/>
    <x v="9"/>
    <x v="18"/>
    <x v="18"/>
    <x v="18"/>
    <x v="2"/>
    <x v="18"/>
    <x v="18"/>
    <x v="18"/>
    <x v="18"/>
    <x v="2"/>
    <x v="1"/>
    <x v="378"/>
    <x v="18"/>
    <s v="1 ans et 2 mois"/>
    <n v="14"/>
    <x v="1"/>
    <x v="270"/>
    <n v="316"/>
    <n v="62.34"/>
    <x v="0"/>
    <x v="1"/>
    <x v="25"/>
  </r>
  <r>
    <x v="5"/>
    <x v="9"/>
    <x v="18"/>
    <x v="18"/>
    <x v="18"/>
    <x v="2"/>
    <x v="18"/>
    <x v="18"/>
    <x v="18"/>
    <x v="18"/>
    <x v="2"/>
    <x v="1"/>
    <x v="379"/>
    <x v="18"/>
    <s v="1 ans et 9 mois"/>
    <n v="21"/>
    <x v="3"/>
    <x v="175"/>
    <n v="371"/>
    <n v="48.31"/>
    <x v="2"/>
    <x v="0"/>
    <x v="126"/>
  </r>
  <r>
    <x v="5"/>
    <x v="9"/>
    <x v="18"/>
    <x v="18"/>
    <x v="18"/>
    <x v="2"/>
    <x v="18"/>
    <x v="18"/>
    <x v="18"/>
    <x v="18"/>
    <x v="2"/>
    <x v="1"/>
    <x v="380"/>
    <x v="18"/>
    <s v="9 ans et 3 mois"/>
    <n v="111"/>
    <x v="2"/>
    <x v="271"/>
    <n v="324"/>
    <n v="18.07"/>
    <x v="4"/>
    <x v="0"/>
    <x v="230"/>
  </r>
  <r>
    <x v="5"/>
    <x v="9"/>
    <x v="18"/>
    <x v="18"/>
    <x v="18"/>
    <x v="2"/>
    <x v="18"/>
    <x v="18"/>
    <x v="18"/>
    <x v="18"/>
    <x v="2"/>
    <x v="1"/>
    <x v="381"/>
    <x v="18"/>
    <s v="5 ans et 0 mois"/>
    <n v="60"/>
    <x v="0"/>
    <x v="272"/>
    <n v="168"/>
    <n v="67.650000000000006"/>
    <x v="1"/>
    <x v="0"/>
    <x v="246"/>
  </r>
  <r>
    <x v="5"/>
    <x v="9"/>
    <x v="18"/>
    <x v="18"/>
    <x v="18"/>
    <x v="2"/>
    <x v="18"/>
    <x v="18"/>
    <x v="18"/>
    <x v="18"/>
    <x v="2"/>
    <x v="1"/>
    <x v="382"/>
    <x v="18"/>
    <s v="3 ans et 6 mois"/>
    <n v="42"/>
    <x v="1"/>
    <x v="92"/>
    <n v="389"/>
    <n v="80.08"/>
    <x v="1"/>
    <x v="1"/>
    <x v="247"/>
  </r>
  <r>
    <x v="5"/>
    <x v="9"/>
    <x v="18"/>
    <x v="18"/>
    <x v="18"/>
    <x v="2"/>
    <x v="18"/>
    <x v="18"/>
    <x v="18"/>
    <x v="18"/>
    <x v="2"/>
    <x v="1"/>
    <x v="383"/>
    <x v="18"/>
    <s v="8 ans et 6 mois"/>
    <n v="102"/>
    <x v="3"/>
    <x v="242"/>
    <n v="402"/>
    <n v="28.38"/>
    <x v="3"/>
    <x v="0"/>
    <x v="76"/>
  </r>
  <r>
    <x v="5"/>
    <x v="9"/>
    <x v="18"/>
    <x v="18"/>
    <x v="18"/>
    <x v="2"/>
    <x v="18"/>
    <x v="18"/>
    <x v="18"/>
    <x v="18"/>
    <x v="2"/>
    <x v="1"/>
    <x v="384"/>
    <x v="18"/>
    <s v="3 ans et 6 mois"/>
    <n v="42"/>
    <x v="2"/>
    <x v="55"/>
    <n v="453"/>
    <n v="36.700000000000003"/>
    <x v="0"/>
    <x v="0"/>
    <x v="248"/>
  </r>
  <r>
    <x v="5"/>
    <x v="9"/>
    <x v="18"/>
    <x v="18"/>
    <x v="18"/>
    <x v="2"/>
    <x v="18"/>
    <x v="18"/>
    <x v="18"/>
    <x v="18"/>
    <x v="2"/>
    <x v="1"/>
    <x v="385"/>
    <x v="18"/>
    <s v="7 ans et 8 mois"/>
    <n v="92"/>
    <x v="0"/>
    <x v="273"/>
    <n v="472"/>
    <n v="78.44"/>
    <x v="1"/>
    <x v="0"/>
    <x v="249"/>
  </r>
  <r>
    <x v="5"/>
    <x v="9"/>
    <x v="18"/>
    <x v="18"/>
    <x v="18"/>
    <x v="2"/>
    <x v="18"/>
    <x v="18"/>
    <x v="18"/>
    <x v="18"/>
    <x v="2"/>
    <x v="1"/>
    <x v="386"/>
    <x v="18"/>
    <s v="2 ans et 1 mois"/>
    <n v="25"/>
    <x v="3"/>
    <x v="145"/>
    <n v="467"/>
    <n v="97.78"/>
    <x v="5"/>
    <x v="0"/>
    <x v="250"/>
  </r>
  <r>
    <x v="5"/>
    <x v="9"/>
    <x v="18"/>
    <x v="18"/>
    <x v="18"/>
    <x v="2"/>
    <x v="18"/>
    <x v="18"/>
    <x v="18"/>
    <x v="18"/>
    <x v="2"/>
    <x v="1"/>
    <x v="387"/>
    <x v="18"/>
    <s v="4 ans et 8 mois"/>
    <n v="56"/>
    <x v="1"/>
    <x v="128"/>
    <n v="55"/>
    <n v="82.56"/>
    <x v="4"/>
    <x v="1"/>
    <x v="120"/>
  </r>
  <r>
    <x v="5"/>
    <x v="9"/>
    <x v="18"/>
    <x v="18"/>
    <x v="18"/>
    <x v="2"/>
    <x v="18"/>
    <x v="18"/>
    <x v="18"/>
    <x v="18"/>
    <x v="2"/>
    <x v="1"/>
    <x v="388"/>
    <x v="18"/>
    <s v="6 ans et 10 mois"/>
    <n v="82"/>
    <x v="3"/>
    <x v="274"/>
    <n v="32"/>
    <n v="77.63"/>
    <x v="1"/>
    <x v="0"/>
    <x v="251"/>
  </r>
  <r>
    <x v="5"/>
    <x v="9"/>
    <x v="18"/>
    <x v="18"/>
    <x v="18"/>
    <x v="2"/>
    <x v="18"/>
    <x v="18"/>
    <x v="18"/>
    <x v="18"/>
    <x v="2"/>
    <x v="1"/>
    <x v="389"/>
    <x v="18"/>
    <s v="9 ans et 2 mois"/>
    <n v="110"/>
    <x v="3"/>
    <x v="275"/>
    <n v="321"/>
    <n v="81.569999999999993"/>
    <x v="4"/>
    <x v="0"/>
    <x v="38"/>
  </r>
  <r>
    <x v="5"/>
    <x v="9"/>
    <x v="18"/>
    <x v="18"/>
    <x v="18"/>
    <x v="2"/>
    <x v="18"/>
    <x v="18"/>
    <x v="18"/>
    <x v="18"/>
    <x v="2"/>
    <x v="1"/>
    <x v="390"/>
    <x v="18"/>
    <s v="1 ans et 1 mois"/>
    <n v="13"/>
    <x v="2"/>
    <x v="276"/>
    <n v="310"/>
    <n v="65.599999999999994"/>
    <x v="3"/>
    <x v="0"/>
    <x v="252"/>
  </r>
  <r>
    <x v="5"/>
    <x v="9"/>
    <x v="18"/>
    <x v="18"/>
    <x v="18"/>
    <x v="2"/>
    <x v="18"/>
    <x v="18"/>
    <x v="18"/>
    <x v="18"/>
    <x v="2"/>
    <x v="1"/>
    <x v="391"/>
    <x v="18"/>
    <s v="1 ans et 10 mois"/>
    <n v="22"/>
    <x v="1"/>
    <x v="209"/>
    <n v="127"/>
    <n v="49.06"/>
    <x v="4"/>
    <x v="1"/>
    <x v="141"/>
  </r>
  <r>
    <x v="5"/>
    <x v="9"/>
    <x v="18"/>
    <x v="18"/>
    <x v="18"/>
    <x v="2"/>
    <x v="18"/>
    <x v="18"/>
    <x v="18"/>
    <x v="18"/>
    <x v="2"/>
    <x v="1"/>
    <x v="392"/>
    <x v="18"/>
    <s v="4 ans et 2 mois"/>
    <n v="50"/>
    <x v="0"/>
    <x v="229"/>
    <n v="435"/>
    <n v="27.86"/>
    <x v="5"/>
    <x v="0"/>
    <x v="253"/>
  </r>
  <r>
    <x v="5"/>
    <x v="9"/>
    <x v="18"/>
    <x v="18"/>
    <x v="18"/>
    <x v="2"/>
    <x v="18"/>
    <x v="18"/>
    <x v="18"/>
    <x v="18"/>
    <x v="2"/>
    <x v="1"/>
    <x v="393"/>
    <x v="18"/>
    <s v="3 ans et 7 mois"/>
    <n v="43"/>
    <x v="3"/>
    <x v="277"/>
    <n v="193"/>
    <n v="35.81"/>
    <x v="2"/>
    <x v="0"/>
    <x v="254"/>
  </r>
  <r>
    <x v="5"/>
    <x v="9"/>
    <x v="18"/>
    <x v="18"/>
    <x v="18"/>
    <x v="2"/>
    <x v="18"/>
    <x v="18"/>
    <x v="18"/>
    <x v="18"/>
    <x v="2"/>
    <x v="1"/>
    <x v="394"/>
    <x v="18"/>
    <s v="4 ans et 7 mois"/>
    <n v="55"/>
    <x v="2"/>
    <x v="278"/>
    <n v="494"/>
    <n v="77.599999999999994"/>
    <x v="0"/>
    <x v="0"/>
    <x v="251"/>
  </r>
  <r>
    <x v="5"/>
    <x v="9"/>
    <x v="18"/>
    <x v="18"/>
    <x v="18"/>
    <x v="2"/>
    <x v="18"/>
    <x v="18"/>
    <x v="18"/>
    <x v="18"/>
    <x v="2"/>
    <x v="1"/>
    <x v="395"/>
    <x v="18"/>
    <s v="3 ans et 3 mois"/>
    <n v="39"/>
    <x v="1"/>
    <x v="193"/>
    <n v="54"/>
    <n v="88.84"/>
    <x v="2"/>
    <x v="1"/>
    <x v="68"/>
  </r>
  <r>
    <x v="6"/>
    <x v="12"/>
    <x v="19"/>
    <x v="19"/>
    <x v="19"/>
    <x v="2"/>
    <x v="19"/>
    <x v="19"/>
    <x v="19"/>
    <x v="19"/>
    <x v="2"/>
    <x v="3"/>
    <x v="396"/>
    <x v="19"/>
    <s v="5 ans et 6 mois"/>
    <n v="66"/>
    <x v="2"/>
    <x v="75"/>
    <n v="270"/>
    <n v="75.88"/>
    <x v="5"/>
    <x v="0"/>
    <x v="46"/>
  </r>
  <r>
    <x v="6"/>
    <x v="12"/>
    <x v="19"/>
    <x v="19"/>
    <x v="19"/>
    <x v="2"/>
    <x v="19"/>
    <x v="19"/>
    <x v="19"/>
    <x v="19"/>
    <x v="2"/>
    <x v="3"/>
    <x v="397"/>
    <x v="19"/>
    <s v="1 ans et 8 mois"/>
    <n v="20"/>
    <x v="0"/>
    <x v="256"/>
    <n v="26"/>
    <n v="25.14"/>
    <x v="2"/>
    <x v="0"/>
    <x v="255"/>
  </r>
  <r>
    <x v="6"/>
    <x v="12"/>
    <x v="19"/>
    <x v="19"/>
    <x v="19"/>
    <x v="2"/>
    <x v="19"/>
    <x v="19"/>
    <x v="19"/>
    <x v="19"/>
    <x v="2"/>
    <x v="3"/>
    <x v="398"/>
    <x v="19"/>
    <s v="4 ans et 2 mois"/>
    <n v="50"/>
    <x v="0"/>
    <x v="279"/>
    <n v="258"/>
    <n v="25.06"/>
    <x v="0"/>
    <x v="0"/>
    <x v="255"/>
  </r>
  <r>
    <x v="6"/>
    <x v="12"/>
    <x v="19"/>
    <x v="19"/>
    <x v="19"/>
    <x v="2"/>
    <x v="19"/>
    <x v="19"/>
    <x v="19"/>
    <x v="19"/>
    <x v="2"/>
    <x v="3"/>
    <x v="399"/>
    <x v="19"/>
    <s v="2 ans et 6 mois"/>
    <n v="30"/>
    <x v="3"/>
    <x v="280"/>
    <n v="197"/>
    <n v="15.42"/>
    <x v="2"/>
    <x v="0"/>
    <x v="180"/>
  </r>
  <r>
    <x v="6"/>
    <x v="12"/>
    <x v="19"/>
    <x v="19"/>
    <x v="19"/>
    <x v="2"/>
    <x v="19"/>
    <x v="19"/>
    <x v="19"/>
    <x v="19"/>
    <x v="2"/>
    <x v="3"/>
    <x v="400"/>
    <x v="19"/>
    <s v="2 ans et 1 mois"/>
    <n v="25"/>
    <x v="3"/>
    <x v="281"/>
    <n v="64"/>
    <n v="38.950000000000003"/>
    <x v="3"/>
    <x v="0"/>
    <x v="256"/>
  </r>
  <r>
    <x v="6"/>
    <x v="12"/>
    <x v="19"/>
    <x v="19"/>
    <x v="19"/>
    <x v="2"/>
    <x v="19"/>
    <x v="19"/>
    <x v="19"/>
    <x v="19"/>
    <x v="2"/>
    <x v="3"/>
    <x v="401"/>
    <x v="19"/>
    <s v="5 ans et 10 mois"/>
    <n v="70"/>
    <x v="1"/>
    <x v="35"/>
    <n v="290"/>
    <n v="96.31"/>
    <x v="1"/>
    <x v="1"/>
    <x v="100"/>
  </r>
  <r>
    <x v="6"/>
    <x v="12"/>
    <x v="19"/>
    <x v="19"/>
    <x v="19"/>
    <x v="2"/>
    <x v="19"/>
    <x v="19"/>
    <x v="19"/>
    <x v="19"/>
    <x v="2"/>
    <x v="3"/>
    <x v="402"/>
    <x v="19"/>
    <s v="4 ans et 6 mois"/>
    <n v="54"/>
    <x v="0"/>
    <x v="282"/>
    <n v="99"/>
    <n v="39.58"/>
    <x v="2"/>
    <x v="0"/>
    <x v="196"/>
  </r>
  <r>
    <x v="6"/>
    <x v="12"/>
    <x v="19"/>
    <x v="19"/>
    <x v="19"/>
    <x v="2"/>
    <x v="19"/>
    <x v="19"/>
    <x v="19"/>
    <x v="19"/>
    <x v="2"/>
    <x v="3"/>
    <x v="403"/>
    <x v="19"/>
    <s v="3 ans et 5 mois"/>
    <n v="41"/>
    <x v="3"/>
    <x v="281"/>
    <n v="64"/>
    <n v="91.95"/>
    <x v="1"/>
    <x v="0"/>
    <x v="257"/>
  </r>
  <r>
    <x v="6"/>
    <x v="12"/>
    <x v="19"/>
    <x v="19"/>
    <x v="19"/>
    <x v="2"/>
    <x v="19"/>
    <x v="19"/>
    <x v="19"/>
    <x v="19"/>
    <x v="2"/>
    <x v="3"/>
    <x v="404"/>
    <x v="19"/>
    <s v="4 ans et 0 mois"/>
    <n v="48"/>
    <x v="0"/>
    <x v="283"/>
    <n v="335"/>
    <n v="85.09"/>
    <x v="5"/>
    <x v="0"/>
    <x v="258"/>
  </r>
  <r>
    <x v="6"/>
    <x v="12"/>
    <x v="19"/>
    <x v="19"/>
    <x v="19"/>
    <x v="2"/>
    <x v="19"/>
    <x v="19"/>
    <x v="19"/>
    <x v="19"/>
    <x v="2"/>
    <x v="3"/>
    <x v="405"/>
    <x v="19"/>
    <s v="5 ans et 4 mois"/>
    <n v="64"/>
    <x v="1"/>
    <x v="69"/>
    <n v="6"/>
    <n v="40.58"/>
    <x v="3"/>
    <x v="1"/>
    <x v="259"/>
  </r>
  <r>
    <x v="6"/>
    <x v="12"/>
    <x v="19"/>
    <x v="19"/>
    <x v="19"/>
    <x v="2"/>
    <x v="19"/>
    <x v="19"/>
    <x v="19"/>
    <x v="19"/>
    <x v="2"/>
    <x v="3"/>
    <x v="406"/>
    <x v="19"/>
    <s v="0 ans et 5 mois"/>
    <n v="5"/>
    <x v="0"/>
    <x v="284"/>
    <n v="239"/>
    <n v="26.95"/>
    <x v="4"/>
    <x v="0"/>
    <x v="93"/>
  </r>
  <r>
    <x v="6"/>
    <x v="12"/>
    <x v="19"/>
    <x v="19"/>
    <x v="19"/>
    <x v="2"/>
    <x v="19"/>
    <x v="19"/>
    <x v="19"/>
    <x v="19"/>
    <x v="2"/>
    <x v="3"/>
    <x v="407"/>
    <x v="19"/>
    <s v="2 ans et 7 mois"/>
    <n v="31"/>
    <x v="0"/>
    <x v="82"/>
    <n v="160"/>
    <n v="59.76"/>
    <x v="0"/>
    <x v="0"/>
    <x v="260"/>
  </r>
  <r>
    <x v="6"/>
    <x v="12"/>
    <x v="19"/>
    <x v="19"/>
    <x v="19"/>
    <x v="2"/>
    <x v="19"/>
    <x v="19"/>
    <x v="19"/>
    <x v="19"/>
    <x v="2"/>
    <x v="3"/>
    <x v="408"/>
    <x v="19"/>
    <s v="6 ans et 4 mois"/>
    <n v="76"/>
    <x v="2"/>
    <x v="268"/>
    <n v="383"/>
    <n v="53.73"/>
    <x v="4"/>
    <x v="0"/>
    <x v="226"/>
  </r>
  <r>
    <x v="6"/>
    <x v="12"/>
    <x v="19"/>
    <x v="19"/>
    <x v="19"/>
    <x v="2"/>
    <x v="19"/>
    <x v="19"/>
    <x v="19"/>
    <x v="19"/>
    <x v="2"/>
    <x v="3"/>
    <x v="409"/>
    <x v="19"/>
    <s v="8 ans et 2 mois"/>
    <n v="98"/>
    <x v="3"/>
    <x v="204"/>
    <n v="319"/>
    <n v="88.58"/>
    <x v="2"/>
    <x v="0"/>
    <x v="123"/>
  </r>
  <r>
    <x v="6"/>
    <x v="12"/>
    <x v="19"/>
    <x v="19"/>
    <x v="19"/>
    <x v="2"/>
    <x v="19"/>
    <x v="19"/>
    <x v="19"/>
    <x v="19"/>
    <x v="2"/>
    <x v="3"/>
    <x v="410"/>
    <x v="19"/>
    <s v="7 ans et 0 mois"/>
    <n v="84"/>
    <x v="0"/>
    <x v="47"/>
    <n v="244"/>
    <n v="56.34"/>
    <x v="3"/>
    <x v="0"/>
    <x v="26"/>
  </r>
  <r>
    <x v="6"/>
    <x v="12"/>
    <x v="19"/>
    <x v="19"/>
    <x v="19"/>
    <x v="2"/>
    <x v="19"/>
    <x v="19"/>
    <x v="19"/>
    <x v="19"/>
    <x v="2"/>
    <x v="3"/>
    <x v="411"/>
    <x v="19"/>
    <s v="7 ans et 11 mois"/>
    <n v="95"/>
    <x v="3"/>
    <x v="87"/>
    <n v="51"/>
    <n v="94.77"/>
    <x v="3"/>
    <x v="0"/>
    <x v="209"/>
  </r>
  <r>
    <x v="6"/>
    <x v="12"/>
    <x v="19"/>
    <x v="19"/>
    <x v="19"/>
    <x v="2"/>
    <x v="19"/>
    <x v="19"/>
    <x v="19"/>
    <x v="19"/>
    <x v="2"/>
    <x v="3"/>
    <x v="412"/>
    <x v="19"/>
    <s v="8 ans et 10 mois"/>
    <n v="106"/>
    <x v="2"/>
    <x v="2"/>
    <n v="407"/>
    <n v="59.92"/>
    <x v="0"/>
    <x v="0"/>
    <x v="261"/>
  </r>
  <r>
    <x v="6"/>
    <x v="12"/>
    <x v="19"/>
    <x v="19"/>
    <x v="19"/>
    <x v="2"/>
    <x v="19"/>
    <x v="19"/>
    <x v="19"/>
    <x v="19"/>
    <x v="2"/>
    <x v="3"/>
    <x v="413"/>
    <x v="19"/>
    <s v="0 ans et 2 mois"/>
    <n v="2"/>
    <x v="3"/>
    <x v="38"/>
    <n v="21"/>
    <n v="51.68"/>
    <x v="5"/>
    <x v="0"/>
    <x v="262"/>
  </r>
  <r>
    <x v="6"/>
    <x v="12"/>
    <x v="19"/>
    <x v="19"/>
    <x v="19"/>
    <x v="2"/>
    <x v="19"/>
    <x v="19"/>
    <x v="19"/>
    <x v="19"/>
    <x v="2"/>
    <x v="3"/>
    <x v="414"/>
    <x v="19"/>
    <s v="3 ans et 9 mois"/>
    <n v="45"/>
    <x v="2"/>
    <x v="256"/>
    <n v="26"/>
    <n v="30.35"/>
    <x v="1"/>
    <x v="0"/>
    <x v="263"/>
  </r>
  <r>
    <x v="6"/>
    <x v="12"/>
    <x v="19"/>
    <x v="19"/>
    <x v="19"/>
    <x v="2"/>
    <x v="19"/>
    <x v="19"/>
    <x v="19"/>
    <x v="19"/>
    <x v="2"/>
    <x v="3"/>
    <x v="415"/>
    <x v="19"/>
    <s v="2 ans et 4 mois"/>
    <n v="28"/>
    <x v="2"/>
    <x v="7"/>
    <n v="112"/>
    <n v="94.51"/>
    <x v="5"/>
    <x v="0"/>
    <x v="117"/>
  </r>
  <r>
    <x v="6"/>
    <x v="12"/>
    <x v="19"/>
    <x v="19"/>
    <x v="19"/>
    <x v="2"/>
    <x v="19"/>
    <x v="19"/>
    <x v="19"/>
    <x v="19"/>
    <x v="2"/>
    <x v="3"/>
    <x v="416"/>
    <x v="19"/>
    <s v="3 ans et 0 mois"/>
    <n v="36"/>
    <x v="3"/>
    <x v="27"/>
    <n v="137"/>
    <n v="71.930000000000007"/>
    <x v="2"/>
    <x v="0"/>
    <x v="264"/>
  </r>
  <r>
    <x v="6"/>
    <x v="12"/>
    <x v="19"/>
    <x v="19"/>
    <x v="19"/>
    <x v="2"/>
    <x v="19"/>
    <x v="19"/>
    <x v="19"/>
    <x v="19"/>
    <x v="2"/>
    <x v="3"/>
    <x v="417"/>
    <x v="19"/>
    <s v="2 ans et 0 mois"/>
    <n v="24"/>
    <x v="1"/>
    <x v="285"/>
    <n v="23"/>
    <n v="28.55"/>
    <x v="1"/>
    <x v="1"/>
    <x v="265"/>
  </r>
  <r>
    <x v="6"/>
    <x v="12"/>
    <x v="19"/>
    <x v="19"/>
    <x v="19"/>
    <x v="2"/>
    <x v="19"/>
    <x v="19"/>
    <x v="19"/>
    <x v="19"/>
    <x v="2"/>
    <x v="3"/>
    <x v="418"/>
    <x v="19"/>
    <s v="9 ans et 5 mois"/>
    <n v="113"/>
    <x v="2"/>
    <x v="286"/>
    <n v="428"/>
    <n v="73.84"/>
    <x v="2"/>
    <x v="0"/>
    <x v="193"/>
  </r>
  <r>
    <x v="6"/>
    <x v="12"/>
    <x v="19"/>
    <x v="19"/>
    <x v="19"/>
    <x v="2"/>
    <x v="19"/>
    <x v="19"/>
    <x v="19"/>
    <x v="19"/>
    <x v="2"/>
    <x v="3"/>
    <x v="419"/>
    <x v="19"/>
    <s v="10 ans et 0 mois"/>
    <n v="120"/>
    <x v="1"/>
    <x v="287"/>
    <n v="72"/>
    <n v="29.07"/>
    <x v="5"/>
    <x v="1"/>
    <x v="265"/>
  </r>
  <r>
    <x v="6"/>
    <x v="12"/>
    <x v="19"/>
    <x v="19"/>
    <x v="19"/>
    <x v="2"/>
    <x v="19"/>
    <x v="19"/>
    <x v="19"/>
    <x v="19"/>
    <x v="2"/>
    <x v="3"/>
    <x v="420"/>
    <x v="19"/>
    <s v="1 ans et 3 mois"/>
    <n v="15"/>
    <x v="0"/>
    <x v="211"/>
    <n v="400"/>
    <n v="78.09"/>
    <x v="2"/>
    <x v="0"/>
    <x v="190"/>
  </r>
  <r>
    <x v="6"/>
    <x v="12"/>
    <x v="19"/>
    <x v="19"/>
    <x v="19"/>
    <x v="2"/>
    <x v="19"/>
    <x v="19"/>
    <x v="19"/>
    <x v="19"/>
    <x v="2"/>
    <x v="3"/>
    <x v="421"/>
    <x v="19"/>
    <s v="3 ans et 2 mois"/>
    <n v="38"/>
    <x v="0"/>
    <x v="73"/>
    <n v="108"/>
    <n v="72.7"/>
    <x v="5"/>
    <x v="0"/>
    <x v="266"/>
  </r>
  <r>
    <x v="6"/>
    <x v="12"/>
    <x v="19"/>
    <x v="19"/>
    <x v="19"/>
    <x v="2"/>
    <x v="19"/>
    <x v="19"/>
    <x v="19"/>
    <x v="19"/>
    <x v="2"/>
    <x v="3"/>
    <x v="422"/>
    <x v="19"/>
    <s v="5 ans et 1 mois"/>
    <n v="61"/>
    <x v="3"/>
    <x v="288"/>
    <n v="140"/>
    <n v="76.3"/>
    <x v="0"/>
    <x v="0"/>
    <x v="134"/>
  </r>
  <r>
    <x v="0"/>
    <x v="13"/>
    <x v="20"/>
    <x v="20"/>
    <x v="20"/>
    <x v="2"/>
    <x v="20"/>
    <x v="20"/>
    <x v="20"/>
    <x v="20"/>
    <x v="2"/>
    <x v="2"/>
    <x v="423"/>
    <x v="20"/>
    <s v="1 ans et 4 mois"/>
    <n v="16"/>
    <x v="0"/>
    <x v="289"/>
    <n v="390"/>
    <n v="98.17"/>
    <x v="3"/>
    <x v="0"/>
    <x v="92"/>
  </r>
  <r>
    <x v="0"/>
    <x v="13"/>
    <x v="20"/>
    <x v="20"/>
    <x v="20"/>
    <x v="2"/>
    <x v="20"/>
    <x v="20"/>
    <x v="20"/>
    <x v="20"/>
    <x v="2"/>
    <x v="2"/>
    <x v="424"/>
    <x v="20"/>
    <s v="4 ans et 8 mois"/>
    <n v="56"/>
    <x v="0"/>
    <x v="51"/>
    <n v="333"/>
    <n v="23.01"/>
    <x v="4"/>
    <x v="0"/>
    <x v="2"/>
  </r>
  <r>
    <x v="0"/>
    <x v="13"/>
    <x v="20"/>
    <x v="20"/>
    <x v="20"/>
    <x v="2"/>
    <x v="20"/>
    <x v="20"/>
    <x v="20"/>
    <x v="20"/>
    <x v="2"/>
    <x v="2"/>
    <x v="425"/>
    <x v="20"/>
    <s v="7 ans et 8 mois"/>
    <n v="92"/>
    <x v="1"/>
    <x v="41"/>
    <n v="487"/>
    <n v="58.38"/>
    <x v="1"/>
    <x v="1"/>
    <x v="113"/>
  </r>
  <r>
    <x v="0"/>
    <x v="13"/>
    <x v="20"/>
    <x v="20"/>
    <x v="20"/>
    <x v="2"/>
    <x v="20"/>
    <x v="20"/>
    <x v="20"/>
    <x v="20"/>
    <x v="2"/>
    <x v="2"/>
    <x v="426"/>
    <x v="20"/>
    <s v="1 ans et 6 mois"/>
    <n v="18"/>
    <x v="1"/>
    <x v="239"/>
    <n v="71"/>
    <n v="46.98"/>
    <x v="4"/>
    <x v="1"/>
    <x v="191"/>
  </r>
  <r>
    <x v="0"/>
    <x v="13"/>
    <x v="20"/>
    <x v="20"/>
    <x v="20"/>
    <x v="2"/>
    <x v="20"/>
    <x v="20"/>
    <x v="20"/>
    <x v="20"/>
    <x v="2"/>
    <x v="2"/>
    <x v="427"/>
    <x v="20"/>
    <s v="5 ans et 5 mois"/>
    <n v="65"/>
    <x v="0"/>
    <x v="290"/>
    <n v="118"/>
    <n v="72.430000000000007"/>
    <x v="1"/>
    <x v="0"/>
    <x v="22"/>
  </r>
  <r>
    <x v="0"/>
    <x v="13"/>
    <x v="20"/>
    <x v="20"/>
    <x v="20"/>
    <x v="2"/>
    <x v="20"/>
    <x v="20"/>
    <x v="20"/>
    <x v="20"/>
    <x v="2"/>
    <x v="2"/>
    <x v="428"/>
    <x v="20"/>
    <s v="3 ans et 8 mois"/>
    <n v="44"/>
    <x v="0"/>
    <x v="224"/>
    <n v="199"/>
    <n v="67.650000000000006"/>
    <x v="2"/>
    <x v="0"/>
    <x v="246"/>
  </r>
  <r>
    <x v="0"/>
    <x v="13"/>
    <x v="20"/>
    <x v="20"/>
    <x v="20"/>
    <x v="2"/>
    <x v="20"/>
    <x v="20"/>
    <x v="20"/>
    <x v="20"/>
    <x v="2"/>
    <x v="2"/>
    <x v="429"/>
    <x v="20"/>
    <s v="0 ans et 5 mois"/>
    <n v="5"/>
    <x v="3"/>
    <x v="291"/>
    <n v="417"/>
    <n v="90.71"/>
    <x v="1"/>
    <x v="0"/>
    <x v="267"/>
  </r>
  <r>
    <x v="0"/>
    <x v="13"/>
    <x v="20"/>
    <x v="20"/>
    <x v="20"/>
    <x v="2"/>
    <x v="20"/>
    <x v="20"/>
    <x v="20"/>
    <x v="20"/>
    <x v="2"/>
    <x v="2"/>
    <x v="430"/>
    <x v="20"/>
    <s v="9 ans et 10 mois"/>
    <n v="118"/>
    <x v="1"/>
    <x v="225"/>
    <n v="132"/>
    <n v="40.880000000000003"/>
    <x v="0"/>
    <x v="1"/>
    <x v="259"/>
  </r>
  <r>
    <x v="0"/>
    <x v="13"/>
    <x v="20"/>
    <x v="20"/>
    <x v="20"/>
    <x v="2"/>
    <x v="20"/>
    <x v="20"/>
    <x v="20"/>
    <x v="20"/>
    <x v="2"/>
    <x v="2"/>
    <x v="431"/>
    <x v="20"/>
    <s v="8 ans et 1 mois"/>
    <n v="97"/>
    <x v="0"/>
    <x v="171"/>
    <n v="40"/>
    <n v="85.19"/>
    <x v="1"/>
    <x v="0"/>
    <x v="258"/>
  </r>
  <r>
    <x v="0"/>
    <x v="13"/>
    <x v="20"/>
    <x v="20"/>
    <x v="20"/>
    <x v="2"/>
    <x v="20"/>
    <x v="20"/>
    <x v="20"/>
    <x v="20"/>
    <x v="2"/>
    <x v="2"/>
    <x v="432"/>
    <x v="20"/>
    <s v="5 ans et 3 mois"/>
    <n v="63"/>
    <x v="1"/>
    <x v="292"/>
    <n v="141"/>
    <n v="95.6"/>
    <x v="0"/>
    <x v="1"/>
    <x v="100"/>
  </r>
  <r>
    <x v="0"/>
    <x v="13"/>
    <x v="20"/>
    <x v="20"/>
    <x v="20"/>
    <x v="2"/>
    <x v="20"/>
    <x v="20"/>
    <x v="20"/>
    <x v="20"/>
    <x v="2"/>
    <x v="2"/>
    <x v="433"/>
    <x v="20"/>
    <s v="7 ans et 7 mois"/>
    <n v="91"/>
    <x v="2"/>
    <x v="233"/>
    <n v="404"/>
    <n v="76.53"/>
    <x v="3"/>
    <x v="0"/>
    <x v="61"/>
  </r>
  <r>
    <x v="0"/>
    <x v="13"/>
    <x v="20"/>
    <x v="20"/>
    <x v="20"/>
    <x v="2"/>
    <x v="20"/>
    <x v="20"/>
    <x v="20"/>
    <x v="20"/>
    <x v="2"/>
    <x v="2"/>
    <x v="434"/>
    <x v="20"/>
    <s v="0 ans et 4 mois"/>
    <n v="4"/>
    <x v="1"/>
    <x v="293"/>
    <n v="49"/>
    <n v="41.35"/>
    <x v="3"/>
    <x v="1"/>
    <x v="259"/>
  </r>
  <r>
    <x v="0"/>
    <x v="13"/>
    <x v="20"/>
    <x v="20"/>
    <x v="20"/>
    <x v="2"/>
    <x v="20"/>
    <x v="20"/>
    <x v="20"/>
    <x v="20"/>
    <x v="2"/>
    <x v="2"/>
    <x v="435"/>
    <x v="20"/>
    <s v="5 ans et 7 mois"/>
    <n v="67"/>
    <x v="1"/>
    <x v="256"/>
    <n v="26"/>
    <n v="81.489999999999995"/>
    <x v="0"/>
    <x v="1"/>
    <x v="230"/>
  </r>
  <r>
    <x v="0"/>
    <x v="13"/>
    <x v="20"/>
    <x v="20"/>
    <x v="20"/>
    <x v="2"/>
    <x v="20"/>
    <x v="20"/>
    <x v="20"/>
    <x v="20"/>
    <x v="2"/>
    <x v="2"/>
    <x v="436"/>
    <x v="20"/>
    <s v="1 ans et 2 mois"/>
    <n v="14"/>
    <x v="1"/>
    <x v="95"/>
    <n v="303"/>
    <n v="61.43"/>
    <x v="1"/>
    <x v="1"/>
    <x v="47"/>
  </r>
  <r>
    <x v="0"/>
    <x v="13"/>
    <x v="20"/>
    <x v="20"/>
    <x v="20"/>
    <x v="2"/>
    <x v="20"/>
    <x v="20"/>
    <x v="20"/>
    <x v="20"/>
    <x v="2"/>
    <x v="2"/>
    <x v="437"/>
    <x v="20"/>
    <s v="0 ans et 5 mois"/>
    <n v="5"/>
    <x v="2"/>
    <x v="294"/>
    <n v="337"/>
    <n v="21.07"/>
    <x v="0"/>
    <x v="0"/>
    <x v="5"/>
  </r>
  <r>
    <x v="0"/>
    <x v="13"/>
    <x v="20"/>
    <x v="20"/>
    <x v="20"/>
    <x v="2"/>
    <x v="20"/>
    <x v="20"/>
    <x v="20"/>
    <x v="20"/>
    <x v="2"/>
    <x v="2"/>
    <x v="438"/>
    <x v="20"/>
    <s v="3 ans et 11 mois"/>
    <n v="47"/>
    <x v="1"/>
    <x v="295"/>
    <n v="378"/>
    <n v="36.42"/>
    <x v="1"/>
    <x v="1"/>
    <x v="268"/>
  </r>
  <r>
    <x v="0"/>
    <x v="13"/>
    <x v="20"/>
    <x v="20"/>
    <x v="20"/>
    <x v="2"/>
    <x v="20"/>
    <x v="20"/>
    <x v="20"/>
    <x v="20"/>
    <x v="2"/>
    <x v="2"/>
    <x v="439"/>
    <x v="20"/>
    <s v="8 ans et 4 mois"/>
    <n v="100"/>
    <x v="0"/>
    <x v="83"/>
    <n v="471"/>
    <n v="61.2"/>
    <x v="5"/>
    <x v="0"/>
    <x v="269"/>
  </r>
  <r>
    <x v="0"/>
    <x v="13"/>
    <x v="20"/>
    <x v="20"/>
    <x v="20"/>
    <x v="2"/>
    <x v="20"/>
    <x v="20"/>
    <x v="20"/>
    <x v="20"/>
    <x v="2"/>
    <x v="2"/>
    <x v="440"/>
    <x v="20"/>
    <s v="3 ans et 1 mois"/>
    <n v="37"/>
    <x v="0"/>
    <x v="151"/>
    <n v="87"/>
    <n v="26.4"/>
    <x v="5"/>
    <x v="0"/>
    <x v="244"/>
  </r>
  <r>
    <x v="0"/>
    <x v="13"/>
    <x v="20"/>
    <x v="20"/>
    <x v="20"/>
    <x v="2"/>
    <x v="20"/>
    <x v="20"/>
    <x v="20"/>
    <x v="20"/>
    <x v="2"/>
    <x v="2"/>
    <x v="441"/>
    <x v="20"/>
    <s v="9 ans et 9 mois"/>
    <n v="117"/>
    <x v="3"/>
    <x v="262"/>
    <n v="282"/>
    <n v="95.11"/>
    <x v="2"/>
    <x v="0"/>
    <x v="44"/>
  </r>
  <r>
    <x v="0"/>
    <x v="13"/>
    <x v="20"/>
    <x v="20"/>
    <x v="20"/>
    <x v="2"/>
    <x v="20"/>
    <x v="20"/>
    <x v="20"/>
    <x v="20"/>
    <x v="2"/>
    <x v="2"/>
    <x v="442"/>
    <x v="20"/>
    <s v="1 ans et 1 mois"/>
    <n v="13"/>
    <x v="2"/>
    <x v="131"/>
    <n v="482"/>
    <n v="50.15"/>
    <x v="2"/>
    <x v="0"/>
    <x v="210"/>
  </r>
  <r>
    <x v="0"/>
    <x v="13"/>
    <x v="20"/>
    <x v="20"/>
    <x v="20"/>
    <x v="2"/>
    <x v="20"/>
    <x v="20"/>
    <x v="20"/>
    <x v="20"/>
    <x v="2"/>
    <x v="2"/>
    <x v="443"/>
    <x v="20"/>
    <s v="4 ans et 0 mois"/>
    <n v="48"/>
    <x v="2"/>
    <x v="76"/>
    <n v="187"/>
    <n v="21.26"/>
    <x v="4"/>
    <x v="0"/>
    <x v="100"/>
  </r>
  <r>
    <x v="0"/>
    <x v="13"/>
    <x v="20"/>
    <x v="20"/>
    <x v="20"/>
    <x v="2"/>
    <x v="20"/>
    <x v="20"/>
    <x v="20"/>
    <x v="20"/>
    <x v="2"/>
    <x v="2"/>
    <x v="444"/>
    <x v="20"/>
    <s v="0 ans et 10 mois"/>
    <n v="10"/>
    <x v="3"/>
    <x v="232"/>
    <n v="425"/>
    <n v="85.75"/>
    <x v="2"/>
    <x v="0"/>
    <x v="199"/>
  </r>
  <r>
    <x v="0"/>
    <x v="13"/>
    <x v="20"/>
    <x v="20"/>
    <x v="20"/>
    <x v="2"/>
    <x v="20"/>
    <x v="20"/>
    <x v="20"/>
    <x v="20"/>
    <x v="2"/>
    <x v="2"/>
    <x v="445"/>
    <x v="20"/>
    <s v="5 ans et 3 mois"/>
    <n v="63"/>
    <x v="2"/>
    <x v="245"/>
    <n v="109"/>
    <n v="10.33"/>
    <x v="5"/>
    <x v="0"/>
    <x v="91"/>
  </r>
  <r>
    <x v="0"/>
    <x v="14"/>
    <x v="21"/>
    <x v="21"/>
    <x v="21"/>
    <x v="2"/>
    <x v="21"/>
    <x v="21"/>
    <x v="21"/>
    <x v="21"/>
    <x v="0"/>
    <x v="0"/>
    <x v="446"/>
    <x v="21"/>
    <s v="0 ans et 6 mois"/>
    <n v="6"/>
    <x v="3"/>
    <x v="29"/>
    <n v="207"/>
    <n v="61.55"/>
    <x v="2"/>
    <x v="0"/>
    <x v="150"/>
  </r>
  <r>
    <x v="0"/>
    <x v="14"/>
    <x v="21"/>
    <x v="21"/>
    <x v="21"/>
    <x v="2"/>
    <x v="21"/>
    <x v="21"/>
    <x v="21"/>
    <x v="21"/>
    <x v="0"/>
    <x v="0"/>
    <x v="447"/>
    <x v="21"/>
    <s v="4 ans et 10 mois"/>
    <n v="58"/>
    <x v="2"/>
    <x v="263"/>
    <n v="61"/>
    <n v="58.64"/>
    <x v="5"/>
    <x v="0"/>
    <x v="127"/>
  </r>
  <r>
    <x v="0"/>
    <x v="14"/>
    <x v="21"/>
    <x v="21"/>
    <x v="21"/>
    <x v="2"/>
    <x v="21"/>
    <x v="21"/>
    <x v="21"/>
    <x v="21"/>
    <x v="0"/>
    <x v="0"/>
    <x v="448"/>
    <x v="21"/>
    <s v="6 ans et 2 mois"/>
    <n v="74"/>
    <x v="3"/>
    <x v="212"/>
    <n v="208"/>
    <n v="39.56"/>
    <x v="2"/>
    <x v="0"/>
    <x v="196"/>
  </r>
  <r>
    <x v="0"/>
    <x v="14"/>
    <x v="21"/>
    <x v="21"/>
    <x v="21"/>
    <x v="2"/>
    <x v="21"/>
    <x v="21"/>
    <x v="21"/>
    <x v="21"/>
    <x v="0"/>
    <x v="0"/>
    <x v="449"/>
    <x v="21"/>
    <s v="1 ans et 4 mois"/>
    <n v="16"/>
    <x v="0"/>
    <x v="182"/>
    <n v="13"/>
    <n v="14.91"/>
    <x v="1"/>
    <x v="0"/>
    <x v="94"/>
  </r>
  <r>
    <x v="0"/>
    <x v="14"/>
    <x v="21"/>
    <x v="21"/>
    <x v="21"/>
    <x v="2"/>
    <x v="21"/>
    <x v="21"/>
    <x v="21"/>
    <x v="21"/>
    <x v="0"/>
    <x v="0"/>
    <x v="450"/>
    <x v="21"/>
    <s v="3 ans et 7 mois"/>
    <n v="43"/>
    <x v="0"/>
    <x v="296"/>
    <n v="181"/>
    <n v="72.39"/>
    <x v="4"/>
    <x v="0"/>
    <x v="22"/>
  </r>
  <r>
    <x v="0"/>
    <x v="14"/>
    <x v="21"/>
    <x v="21"/>
    <x v="21"/>
    <x v="2"/>
    <x v="21"/>
    <x v="21"/>
    <x v="21"/>
    <x v="21"/>
    <x v="0"/>
    <x v="0"/>
    <x v="451"/>
    <x v="21"/>
    <s v="4 ans et 3 mois"/>
    <n v="51"/>
    <x v="2"/>
    <x v="297"/>
    <n v="433"/>
    <n v="12.89"/>
    <x v="1"/>
    <x v="0"/>
    <x v="113"/>
  </r>
  <r>
    <x v="0"/>
    <x v="14"/>
    <x v="21"/>
    <x v="21"/>
    <x v="21"/>
    <x v="2"/>
    <x v="21"/>
    <x v="21"/>
    <x v="21"/>
    <x v="21"/>
    <x v="0"/>
    <x v="0"/>
    <x v="452"/>
    <x v="21"/>
    <s v="0 ans et 11 mois"/>
    <n v="11"/>
    <x v="3"/>
    <x v="122"/>
    <n v="191"/>
    <n v="87.37"/>
    <x v="5"/>
    <x v="0"/>
    <x v="153"/>
  </r>
  <r>
    <x v="0"/>
    <x v="14"/>
    <x v="21"/>
    <x v="21"/>
    <x v="21"/>
    <x v="2"/>
    <x v="21"/>
    <x v="21"/>
    <x v="21"/>
    <x v="21"/>
    <x v="0"/>
    <x v="0"/>
    <x v="453"/>
    <x v="21"/>
    <s v="9 ans et 0 mois"/>
    <n v="108"/>
    <x v="1"/>
    <x v="298"/>
    <n v="48"/>
    <n v="86.22"/>
    <x v="5"/>
    <x v="1"/>
    <x v="15"/>
  </r>
  <r>
    <x v="0"/>
    <x v="14"/>
    <x v="21"/>
    <x v="21"/>
    <x v="21"/>
    <x v="2"/>
    <x v="21"/>
    <x v="21"/>
    <x v="21"/>
    <x v="21"/>
    <x v="0"/>
    <x v="0"/>
    <x v="454"/>
    <x v="21"/>
    <s v="4 ans et 0 mois"/>
    <n v="48"/>
    <x v="3"/>
    <x v="80"/>
    <n v="416"/>
    <n v="81.260000000000005"/>
    <x v="3"/>
    <x v="0"/>
    <x v="270"/>
  </r>
  <r>
    <x v="0"/>
    <x v="14"/>
    <x v="21"/>
    <x v="21"/>
    <x v="21"/>
    <x v="2"/>
    <x v="21"/>
    <x v="21"/>
    <x v="21"/>
    <x v="21"/>
    <x v="0"/>
    <x v="0"/>
    <x v="455"/>
    <x v="21"/>
    <s v="0 ans et 5 mois"/>
    <n v="5"/>
    <x v="3"/>
    <x v="299"/>
    <n v="384"/>
    <n v="97.26"/>
    <x v="5"/>
    <x v="0"/>
    <x v="23"/>
  </r>
  <r>
    <x v="0"/>
    <x v="14"/>
    <x v="21"/>
    <x v="21"/>
    <x v="21"/>
    <x v="2"/>
    <x v="21"/>
    <x v="21"/>
    <x v="21"/>
    <x v="21"/>
    <x v="0"/>
    <x v="0"/>
    <x v="456"/>
    <x v="21"/>
    <s v="8 ans et 8 mois"/>
    <n v="104"/>
    <x v="3"/>
    <x v="19"/>
    <n v="68"/>
    <n v="21.15"/>
    <x v="4"/>
    <x v="0"/>
    <x v="5"/>
  </r>
  <r>
    <x v="0"/>
    <x v="14"/>
    <x v="21"/>
    <x v="21"/>
    <x v="21"/>
    <x v="2"/>
    <x v="21"/>
    <x v="21"/>
    <x v="21"/>
    <x v="21"/>
    <x v="0"/>
    <x v="0"/>
    <x v="457"/>
    <x v="21"/>
    <s v="2 ans et 0 mois"/>
    <n v="24"/>
    <x v="0"/>
    <x v="300"/>
    <n v="257"/>
    <n v="41.99"/>
    <x v="3"/>
    <x v="0"/>
    <x v="271"/>
  </r>
  <r>
    <x v="0"/>
    <x v="14"/>
    <x v="21"/>
    <x v="21"/>
    <x v="21"/>
    <x v="2"/>
    <x v="21"/>
    <x v="21"/>
    <x v="21"/>
    <x v="21"/>
    <x v="0"/>
    <x v="0"/>
    <x v="458"/>
    <x v="21"/>
    <s v="0 ans et 2 mois"/>
    <n v="2"/>
    <x v="0"/>
    <x v="8"/>
    <n v="142"/>
    <n v="49.05"/>
    <x v="0"/>
    <x v="0"/>
    <x v="137"/>
  </r>
  <r>
    <x v="0"/>
    <x v="14"/>
    <x v="21"/>
    <x v="21"/>
    <x v="21"/>
    <x v="2"/>
    <x v="21"/>
    <x v="21"/>
    <x v="21"/>
    <x v="21"/>
    <x v="0"/>
    <x v="0"/>
    <x v="459"/>
    <x v="21"/>
    <s v="3 ans et 11 mois"/>
    <n v="47"/>
    <x v="1"/>
    <x v="57"/>
    <n v="107"/>
    <n v="35.380000000000003"/>
    <x v="1"/>
    <x v="1"/>
    <x v="129"/>
  </r>
  <r>
    <x v="0"/>
    <x v="14"/>
    <x v="21"/>
    <x v="21"/>
    <x v="21"/>
    <x v="2"/>
    <x v="21"/>
    <x v="21"/>
    <x v="21"/>
    <x v="21"/>
    <x v="0"/>
    <x v="0"/>
    <x v="460"/>
    <x v="21"/>
    <s v="3 ans et 1 mois"/>
    <n v="37"/>
    <x v="1"/>
    <x v="301"/>
    <n v="37"/>
    <n v="92.72"/>
    <x v="2"/>
    <x v="1"/>
    <x v="181"/>
  </r>
  <r>
    <x v="0"/>
    <x v="14"/>
    <x v="21"/>
    <x v="21"/>
    <x v="21"/>
    <x v="2"/>
    <x v="21"/>
    <x v="21"/>
    <x v="21"/>
    <x v="21"/>
    <x v="0"/>
    <x v="0"/>
    <x v="461"/>
    <x v="21"/>
    <s v="7 ans et 10 mois"/>
    <n v="94"/>
    <x v="2"/>
    <x v="69"/>
    <n v="6"/>
    <n v="67.459999999999994"/>
    <x v="3"/>
    <x v="0"/>
    <x v="246"/>
  </r>
  <r>
    <x v="0"/>
    <x v="14"/>
    <x v="21"/>
    <x v="21"/>
    <x v="21"/>
    <x v="2"/>
    <x v="21"/>
    <x v="21"/>
    <x v="21"/>
    <x v="21"/>
    <x v="0"/>
    <x v="0"/>
    <x v="462"/>
    <x v="21"/>
    <s v="6 ans et 2 mois"/>
    <n v="74"/>
    <x v="0"/>
    <x v="119"/>
    <n v="388"/>
    <n v="10.89"/>
    <x v="0"/>
    <x v="0"/>
    <x v="141"/>
  </r>
  <r>
    <x v="0"/>
    <x v="14"/>
    <x v="21"/>
    <x v="21"/>
    <x v="21"/>
    <x v="2"/>
    <x v="21"/>
    <x v="21"/>
    <x v="21"/>
    <x v="21"/>
    <x v="0"/>
    <x v="0"/>
    <x v="463"/>
    <x v="21"/>
    <s v="3 ans et 11 mois"/>
    <n v="47"/>
    <x v="3"/>
    <x v="40"/>
    <n v="350"/>
    <n v="80.48"/>
    <x v="5"/>
    <x v="0"/>
    <x v="237"/>
  </r>
  <r>
    <x v="0"/>
    <x v="14"/>
    <x v="21"/>
    <x v="21"/>
    <x v="21"/>
    <x v="2"/>
    <x v="21"/>
    <x v="21"/>
    <x v="21"/>
    <x v="21"/>
    <x v="0"/>
    <x v="0"/>
    <x v="464"/>
    <x v="21"/>
    <s v="1 ans et 11 mois"/>
    <n v="23"/>
    <x v="0"/>
    <x v="218"/>
    <n v="325"/>
    <n v="65.489999999999995"/>
    <x v="1"/>
    <x v="0"/>
    <x v="252"/>
  </r>
  <r>
    <x v="7"/>
    <x v="15"/>
    <x v="22"/>
    <x v="22"/>
    <x v="22"/>
    <x v="0"/>
    <x v="22"/>
    <x v="22"/>
    <x v="22"/>
    <x v="22"/>
    <x v="0"/>
    <x v="2"/>
    <x v="465"/>
    <x v="22"/>
    <s v="8 ans et 1 mois"/>
    <n v="97"/>
    <x v="1"/>
    <x v="204"/>
    <n v="319"/>
    <n v="31.25"/>
    <x v="1"/>
    <x v="1"/>
    <x v="212"/>
  </r>
  <r>
    <x v="7"/>
    <x v="15"/>
    <x v="22"/>
    <x v="22"/>
    <x v="22"/>
    <x v="0"/>
    <x v="22"/>
    <x v="22"/>
    <x v="22"/>
    <x v="22"/>
    <x v="0"/>
    <x v="2"/>
    <x v="466"/>
    <x v="22"/>
    <s v="9 ans et 9 mois"/>
    <n v="117"/>
    <x v="2"/>
    <x v="302"/>
    <n v="171"/>
    <n v="50.89"/>
    <x v="0"/>
    <x v="0"/>
    <x v="272"/>
  </r>
  <r>
    <x v="7"/>
    <x v="15"/>
    <x v="22"/>
    <x v="22"/>
    <x v="22"/>
    <x v="0"/>
    <x v="22"/>
    <x v="22"/>
    <x v="22"/>
    <x v="22"/>
    <x v="0"/>
    <x v="2"/>
    <x v="467"/>
    <x v="22"/>
    <s v="6 ans et 7 mois"/>
    <n v="79"/>
    <x v="2"/>
    <x v="84"/>
    <n v="403"/>
    <n v="21.49"/>
    <x v="2"/>
    <x v="0"/>
    <x v="29"/>
  </r>
  <r>
    <x v="7"/>
    <x v="15"/>
    <x v="22"/>
    <x v="22"/>
    <x v="22"/>
    <x v="0"/>
    <x v="22"/>
    <x v="22"/>
    <x v="22"/>
    <x v="22"/>
    <x v="0"/>
    <x v="2"/>
    <x v="468"/>
    <x v="22"/>
    <s v="2 ans et 9 mois"/>
    <n v="33"/>
    <x v="2"/>
    <x v="294"/>
    <n v="337"/>
    <n v="62.61"/>
    <x v="4"/>
    <x v="0"/>
    <x v="32"/>
  </r>
  <r>
    <x v="7"/>
    <x v="15"/>
    <x v="22"/>
    <x v="22"/>
    <x v="22"/>
    <x v="0"/>
    <x v="22"/>
    <x v="22"/>
    <x v="22"/>
    <x v="22"/>
    <x v="0"/>
    <x v="2"/>
    <x v="469"/>
    <x v="22"/>
    <s v="2 ans et 1 mois"/>
    <n v="25"/>
    <x v="0"/>
    <x v="303"/>
    <n v="131"/>
    <n v="67.489999999999995"/>
    <x v="2"/>
    <x v="0"/>
    <x v="246"/>
  </r>
  <r>
    <x v="7"/>
    <x v="15"/>
    <x v="22"/>
    <x v="22"/>
    <x v="22"/>
    <x v="0"/>
    <x v="22"/>
    <x v="22"/>
    <x v="22"/>
    <x v="22"/>
    <x v="0"/>
    <x v="2"/>
    <x v="470"/>
    <x v="22"/>
    <s v="5 ans et 1 mois"/>
    <n v="61"/>
    <x v="0"/>
    <x v="268"/>
    <n v="383"/>
    <n v="39.72"/>
    <x v="0"/>
    <x v="0"/>
    <x v="273"/>
  </r>
  <r>
    <x v="7"/>
    <x v="15"/>
    <x v="22"/>
    <x v="22"/>
    <x v="22"/>
    <x v="0"/>
    <x v="22"/>
    <x v="22"/>
    <x v="22"/>
    <x v="22"/>
    <x v="0"/>
    <x v="2"/>
    <x v="471"/>
    <x v="22"/>
    <s v="2 ans et 5 mois"/>
    <n v="29"/>
    <x v="2"/>
    <x v="80"/>
    <n v="416"/>
    <n v="61.26"/>
    <x v="2"/>
    <x v="0"/>
    <x v="274"/>
  </r>
  <r>
    <x v="7"/>
    <x v="15"/>
    <x v="22"/>
    <x v="22"/>
    <x v="22"/>
    <x v="0"/>
    <x v="22"/>
    <x v="22"/>
    <x v="22"/>
    <x v="22"/>
    <x v="0"/>
    <x v="2"/>
    <x v="472"/>
    <x v="22"/>
    <s v="6 ans et 10 mois"/>
    <n v="82"/>
    <x v="3"/>
    <x v="304"/>
    <n v="88"/>
    <n v="86.64"/>
    <x v="1"/>
    <x v="0"/>
    <x v="62"/>
  </r>
  <r>
    <x v="7"/>
    <x v="15"/>
    <x v="22"/>
    <x v="22"/>
    <x v="22"/>
    <x v="0"/>
    <x v="22"/>
    <x v="22"/>
    <x v="22"/>
    <x v="22"/>
    <x v="0"/>
    <x v="2"/>
    <x v="473"/>
    <x v="22"/>
    <s v="1 ans et 3 mois"/>
    <n v="15"/>
    <x v="0"/>
    <x v="204"/>
    <n v="319"/>
    <n v="78.150000000000006"/>
    <x v="0"/>
    <x v="0"/>
    <x v="185"/>
  </r>
  <r>
    <x v="7"/>
    <x v="15"/>
    <x v="22"/>
    <x v="22"/>
    <x v="22"/>
    <x v="0"/>
    <x v="22"/>
    <x v="22"/>
    <x v="22"/>
    <x v="22"/>
    <x v="0"/>
    <x v="2"/>
    <x v="474"/>
    <x v="22"/>
    <s v="8 ans et 3 mois"/>
    <n v="99"/>
    <x v="0"/>
    <x v="305"/>
    <n v="28"/>
    <n v="70.19"/>
    <x v="1"/>
    <x v="0"/>
    <x v="275"/>
  </r>
  <r>
    <x v="7"/>
    <x v="15"/>
    <x v="22"/>
    <x v="22"/>
    <x v="22"/>
    <x v="0"/>
    <x v="22"/>
    <x v="22"/>
    <x v="22"/>
    <x v="22"/>
    <x v="0"/>
    <x v="2"/>
    <x v="475"/>
    <x v="22"/>
    <s v="1 ans et 7 mois"/>
    <n v="19"/>
    <x v="0"/>
    <x v="113"/>
    <n v="125"/>
    <n v="11.78"/>
    <x v="0"/>
    <x v="0"/>
    <x v="167"/>
  </r>
  <r>
    <x v="7"/>
    <x v="15"/>
    <x v="22"/>
    <x v="22"/>
    <x v="22"/>
    <x v="0"/>
    <x v="22"/>
    <x v="22"/>
    <x v="22"/>
    <x v="22"/>
    <x v="0"/>
    <x v="2"/>
    <x v="476"/>
    <x v="22"/>
    <s v="8 ans et 9 mois"/>
    <n v="105"/>
    <x v="3"/>
    <x v="306"/>
    <n v="17"/>
    <n v="60.05"/>
    <x v="0"/>
    <x v="0"/>
    <x v="261"/>
  </r>
  <r>
    <x v="7"/>
    <x v="15"/>
    <x v="22"/>
    <x v="22"/>
    <x v="22"/>
    <x v="0"/>
    <x v="22"/>
    <x v="22"/>
    <x v="22"/>
    <x v="22"/>
    <x v="0"/>
    <x v="2"/>
    <x v="477"/>
    <x v="22"/>
    <s v="6 ans et 6 mois"/>
    <n v="78"/>
    <x v="0"/>
    <x v="307"/>
    <n v="57"/>
    <n v="49.47"/>
    <x v="2"/>
    <x v="0"/>
    <x v="276"/>
  </r>
  <r>
    <x v="7"/>
    <x v="15"/>
    <x v="22"/>
    <x v="22"/>
    <x v="22"/>
    <x v="0"/>
    <x v="22"/>
    <x v="22"/>
    <x v="22"/>
    <x v="22"/>
    <x v="0"/>
    <x v="2"/>
    <x v="478"/>
    <x v="22"/>
    <s v="1 ans et 3 mois"/>
    <n v="15"/>
    <x v="2"/>
    <x v="308"/>
    <n v="81"/>
    <n v="97.5"/>
    <x v="0"/>
    <x v="0"/>
    <x v="239"/>
  </r>
  <r>
    <x v="7"/>
    <x v="15"/>
    <x v="22"/>
    <x v="22"/>
    <x v="22"/>
    <x v="0"/>
    <x v="22"/>
    <x v="22"/>
    <x v="22"/>
    <x v="22"/>
    <x v="0"/>
    <x v="2"/>
    <x v="479"/>
    <x v="22"/>
    <s v="3 ans et 1 mois"/>
    <n v="37"/>
    <x v="2"/>
    <x v="309"/>
    <n v="151"/>
    <n v="62.49"/>
    <x v="5"/>
    <x v="0"/>
    <x v="165"/>
  </r>
  <r>
    <x v="7"/>
    <x v="15"/>
    <x v="22"/>
    <x v="22"/>
    <x v="22"/>
    <x v="0"/>
    <x v="22"/>
    <x v="22"/>
    <x v="22"/>
    <x v="22"/>
    <x v="0"/>
    <x v="2"/>
    <x v="480"/>
    <x v="22"/>
    <s v="9 ans et 3 mois"/>
    <n v="111"/>
    <x v="1"/>
    <x v="200"/>
    <n v="447"/>
    <n v="51.35"/>
    <x v="2"/>
    <x v="1"/>
    <x v="164"/>
  </r>
  <r>
    <x v="7"/>
    <x v="15"/>
    <x v="22"/>
    <x v="22"/>
    <x v="22"/>
    <x v="0"/>
    <x v="22"/>
    <x v="22"/>
    <x v="22"/>
    <x v="22"/>
    <x v="0"/>
    <x v="2"/>
    <x v="481"/>
    <x v="22"/>
    <s v="1 ans et 5 mois"/>
    <n v="17"/>
    <x v="0"/>
    <x v="233"/>
    <n v="404"/>
    <n v="83.4"/>
    <x v="1"/>
    <x v="0"/>
    <x v="74"/>
  </r>
  <r>
    <x v="7"/>
    <x v="15"/>
    <x v="22"/>
    <x v="22"/>
    <x v="22"/>
    <x v="0"/>
    <x v="22"/>
    <x v="22"/>
    <x v="22"/>
    <x v="22"/>
    <x v="0"/>
    <x v="2"/>
    <x v="482"/>
    <x v="22"/>
    <s v="2 ans et 11 mois"/>
    <n v="35"/>
    <x v="1"/>
    <x v="310"/>
    <n v="445"/>
    <n v="24.11"/>
    <x v="4"/>
    <x v="1"/>
    <x v="109"/>
  </r>
  <r>
    <x v="7"/>
    <x v="15"/>
    <x v="22"/>
    <x v="22"/>
    <x v="22"/>
    <x v="0"/>
    <x v="22"/>
    <x v="22"/>
    <x v="22"/>
    <x v="22"/>
    <x v="0"/>
    <x v="2"/>
    <x v="483"/>
    <x v="22"/>
    <s v="5 ans et 4 mois"/>
    <n v="64"/>
    <x v="1"/>
    <x v="205"/>
    <n v="15"/>
    <n v="56.94"/>
    <x v="0"/>
    <x v="1"/>
    <x v="82"/>
  </r>
  <r>
    <x v="7"/>
    <x v="15"/>
    <x v="22"/>
    <x v="22"/>
    <x v="22"/>
    <x v="0"/>
    <x v="22"/>
    <x v="22"/>
    <x v="22"/>
    <x v="22"/>
    <x v="0"/>
    <x v="2"/>
    <x v="484"/>
    <x v="22"/>
    <s v="7 ans et 8 mois"/>
    <n v="92"/>
    <x v="0"/>
    <x v="69"/>
    <n v="6"/>
    <n v="77.14"/>
    <x v="3"/>
    <x v="0"/>
    <x v="232"/>
  </r>
  <r>
    <x v="7"/>
    <x v="15"/>
    <x v="22"/>
    <x v="22"/>
    <x v="22"/>
    <x v="0"/>
    <x v="22"/>
    <x v="22"/>
    <x v="22"/>
    <x v="22"/>
    <x v="0"/>
    <x v="2"/>
    <x v="485"/>
    <x v="22"/>
    <s v="7 ans et 0 mois"/>
    <n v="84"/>
    <x v="0"/>
    <x v="240"/>
    <n v="380"/>
    <n v="82.3"/>
    <x v="1"/>
    <x v="0"/>
    <x v="277"/>
  </r>
  <r>
    <x v="0"/>
    <x v="16"/>
    <x v="23"/>
    <x v="23"/>
    <x v="1"/>
    <x v="1"/>
    <x v="23"/>
    <x v="23"/>
    <x v="23"/>
    <x v="23"/>
    <x v="2"/>
    <x v="0"/>
    <x v="486"/>
    <x v="23"/>
    <s v="8 ans et 2 mois"/>
    <n v="98"/>
    <x v="1"/>
    <x v="131"/>
    <n v="482"/>
    <n v="55.04"/>
    <x v="3"/>
    <x v="1"/>
    <x v="112"/>
  </r>
  <r>
    <x v="0"/>
    <x v="16"/>
    <x v="23"/>
    <x v="23"/>
    <x v="1"/>
    <x v="1"/>
    <x v="23"/>
    <x v="23"/>
    <x v="23"/>
    <x v="23"/>
    <x v="2"/>
    <x v="0"/>
    <x v="487"/>
    <x v="23"/>
    <s v="4 ans et 3 mois"/>
    <n v="51"/>
    <x v="2"/>
    <x v="311"/>
    <n v="58"/>
    <n v="34.6"/>
    <x v="3"/>
    <x v="0"/>
    <x v="103"/>
  </r>
  <r>
    <x v="0"/>
    <x v="16"/>
    <x v="23"/>
    <x v="23"/>
    <x v="1"/>
    <x v="1"/>
    <x v="23"/>
    <x v="23"/>
    <x v="23"/>
    <x v="23"/>
    <x v="2"/>
    <x v="0"/>
    <x v="488"/>
    <x v="23"/>
    <s v="8 ans et 6 mois"/>
    <n v="102"/>
    <x v="1"/>
    <x v="85"/>
    <n v="283"/>
    <n v="28.98"/>
    <x v="5"/>
    <x v="1"/>
    <x v="265"/>
  </r>
  <r>
    <x v="0"/>
    <x v="16"/>
    <x v="23"/>
    <x v="23"/>
    <x v="1"/>
    <x v="1"/>
    <x v="23"/>
    <x v="23"/>
    <x v="23"/>
    <x v="23"/>
    <x v="2"/>
    <x v="0"/>
    <x v="489"/>
    <x v="23"/>
    <s v="7 ans et 7 mois"/>
    <n v="91"/>
    <x v="0"/>
    <x v="88"/>
    <n v="300"/>
    <n v="82.19"/>
    <x v="1"/>
    <x v="0"/>
    <x v="277"/>
  </r>
  <r>
    <x v="0"/>
    <x v="16"/>
    <x v="23"/>
    <x v="23"/>
    <x v="1"/>
    <x v="1"/>
    <x v="23"/>
    <x v="23"/>
    <x v="23"/>
    <x v="23"/>
    <x v="2"/>
    <x v="0"/>
    <x v="490"/>
    <x v="23"/>
    <s v="3 ans et 0 mois"/>
    <n v="36"/>
    <x v="3"/>
    <x v="211"/>
    <n v="400"/>
    <n v="60.35"/>
    <x v="1"/>
    <x v="0"/>
    <x v="80"/>
  </r>
  <r>
    <x v="0"/>
    <x v="16"/>
    <x v="23"/>
    <x v="23"/>
    <x v="1"/>
    <x v="1"/>
    <x v="23"/>
    <x v="23"/>
    <x v="23"/>
    <x v="23"/>
    <x v="2"/>
    <x v="0"/>
    <x v="491"/>
    <x v="23"/>
    <s v="8 ans et 2 mois"/>
    <n v="98"/>
    <x v="0"/>
    <x v="91"/>
    <n v="52"/>
    <n v="52.82"/>
    <x v="4"/>
    <x v="0"/>
    <x v="278"/>
  </r>
  <r>
    <x v="0"/>
    <x v="16"/>
    <x v="23"/>
    <x v="23"/>
    <x v="1"/>
    <x v="1"/>
    <x v="23"/>
    <x v="23"/>
    <x v="23"/>
    <x v="23"/>
    <x v="2"/>
    <x v="0"/>
    <x v="492"/>
    <x v="23"/>
    <s v="2 ans et 5 mois"/>
    <n v="29"/>
    <x v="1"/>
    <x v="101"/>
    <n v="34"/>
    <n v="86.68"/>
    <x v="1"/>
    <x v="1"/>
    <x v="168"/>
  </r>
  <r>
    <x v="0"/>
    <x v="16"/>
    <x v="23"/>
    <x v="23"/>
    <x v="1"/>
    <x v="1"/>
    <x v="23"/>
    <x v="23"/>
    <x v="23"/>
    <x v="23"/>
    <x v="2"/>
    <x v="0"/>
    <x v="493"/>
    <x v="23"/>
    <s v="9 ans et 10 mois"/>
    <n v="118"/>
    <x v="2"/>
    <x v="195"/>
    <n v="430"/>
    <n v="36.97"/>
    <x v="4"/>
    <x v="0"/>
    <x v="70"/>
  </r>
  <r>
    <x v="0"/>
    <x v="16"/>
    <x v="23"/>
    <x v="23"/>
    <x v="1"/>
    <x v="1"/>
    <x v="23"/>
    <x v="23"/>
    <x v="23"/>
    <x v="23"/>
    <x v="2"/>
    <x v="0"/>
    <x v="494"/>
    <x v="23"/>
    <s v="4 ans et 3 mois"/>
    <n v="51"/>
    <x v="0"/>
    <x v="116"/>
    <n v="260"/>
    <n v="92.8"/>
    <x v="3"/>
    <x v="0"/>
    <x v="224"/>
  </r>
  <r>
    <x v="0"/>
    <x v="16"/>
    <x v="23"/>
    <x v="23"/>
    <x v="1"/>
    <x v="1"/>
    <x v="23"/>
    <x v="23"/>
    <x v="23"/>
    <x v="23"/>
    <x v="2"/>
    <x v="0"/>
    <x v="495"/>
    <x v="23"/>
    <s v="6 ans et 10 mois"/>
    <n v="82"/>
    <x v="3"/>
    <x v="213"/>
    <n v="264"/>
    <n v="88.03"/>
    <x v="1"/>
    <x v="0"/>
    <x v="279"/>
  </r>
  <r>
    <x v="0"/>
    <x v="16"/>
    <x v="23"/>
    <x v="23"/>
    <x v="1"/>
    <x v="1"/>
    <x v="23"/>
    <x v="23"/>
    <x v="23"/>
    <x v="23"/>
    <x v="2"/>
    <x v="0"/>
    <x v="496"/>
    <x v="23"/>
    <s v="2 ans et 4 mois"/>
    <n v="28"/>
    <x v="3"/>
    <x v="312"/>
    <n v="96"/>
    <n v="72.010000000000005"/>
    <x v="0"/>
    <x v="0"/>
    <x v="264"/>
  </r>
  <r>
    <x v="0"/>
    <x v="16"/>
    <x v="23"/>
    <x v="23"/>
    <x v="1"/>
    <x v="1"/>
    <x v="23"/>
    <x v="23"/>
    <x v="23"/>
    <x v="23"/>
    <x v="2"/>
    <x v="0"/>
    <x v="497"/>
    <x v="23"/>
    <s v="2 ans et 1 mois"/>
    <n v="25"/>
    <x v="0"/>
    <x v="127"/>
    <n v="33"/>
    <n v="30.93"/>
    <x v="1"/>
    <x v="0"/>
    <x v="75"/>
  </r>
  <r>
    <x v="0"/>
    <x v="16"/>
    <x v="23"/>
    <x v="23"/>
    <x v="1"/>
    <x v="1"/>
    <x v="23"/>
    <x v="23"/>
    <x v="23"/>
    <x v="23"/>
    <x v="2"/>
    <x v="0"/>
    <x v="498"/>
    <x v="23"/>
    <s v="3 ans et 11 mois"/>
    <n v="47"/>
    <x v="3"/>
    <x v="293"/>
    <n v="49"/>
    <n v="55.88"/>
    <x v="5"/>
    <x v="0"/>
    <x v="200"/>
  </r>
  <r>
    <x v="0"/>
    <x v="16"/>
    <x v="23"/>
    <x v="23"/>
    <x v="1"/>
    <x v="1"/>
    <x v="23"/>
    <x v="23"/>
    <x v="23"/>
    <x v="23"/>
    <x v="2"/>
    <x v="0"/>
    <x v="499"/>
    <x v="23"/>
    <s v="3 ans et 1 mois"/>
    <n v="37"/>
    <x v="1"/>
    <x v="304"/>
    <n v="88"/>
    <n v="77.77"/>
    <x v="1"/>
    <x v="1"/>
    <x v="11"/>
  </r>
  <r>
    <x v="0"/>
    <x v="16"/>
    <x v="23"/>
    <x v="23"/>
    <x v="1"/>
    <x v="1"/>
    <x v="23"/>
    <x v="23"/>
    <x v="23"/>
    <x v="23"/>
    <x v="2"/>
    <x v="0"/>
    <x v="500"/>
    <x v="23"/>
    <s v="9 ans et 1 mois"/>
    <n v="109"/>
    <x v="1"/>
    <x v="52"/>
    <n v="397"/>
    <n v="63.92"/>
    <x v="1"/>
    <x v="1"/>
    <x v="142"/>
  </r>
  <r>
    <x v="0"/>
    <x v="16"/>
    <x v="23"/>
    <x v="23"/>
    <x v="1"/>
    <x v="1"/>
    <x v="23"/>
    <x v="23"/>
    <x v="23"/>
    <x v="23"/>
    <x v="2"/>
    <x v="0"/>
    <x v="501"/>
    <x v="23"/>
    <s v="6 ans et 5 mois"/>
    <n v="77"/>
    <x v="2"/>
    <x v="313"/>
    <n v="45"/>
    <n v="21.59"/>
    <x v="4"/>
    <x v="0"/>
    <x v="29"/>
  </r>
  <r>
    <x v="0"/>
    <x v="16"/>
    <x v="23"/>
    <x v="23"/>
    <x v="1"/>
    <x v="1"/>
    <x v="23"/>
    <x v="23"/>
    <x v="23"/>
    <x v="23"/>
    <x v="2"/>
    <x v="0"/>
    <x v="502"/>
    <x v="23"/>
    <s v="3 ans et 4 mois"/>
    <n v="40"/>
    <x v="0"/>
    <x v="314"/>
    <n v="38"/>
    <n v="17.63"/>
    <x v="2"/>
    <x v="0"/>
    <x v="89"/>
  </r>
  <r>
    <x v="0"/>
    <x v="16"/>
    <x v="23"/>
    <x v="23"/>
    <x v="1"/>
    <x v="1"/>
    <x v="23"/>
    <x v="23"/>
    <x v="23"/>
    <x v="23"/>
    <x v="2"/>
    <x v="0"/>
    <x v="503"/>
    <x v="23"/>
    <s v="7 ans et 1 mois"/>
    <n v="85"/>
    <x v="2"/>
    <x v="225"/>
    <n v="132"/>
    <n v="11.41"/>
    <x v="2"/>
    <x v="0"/>
    <x v="164"/>
  </r>
  <r>
    <x v="1"/>
    <x v="8"/>
    <x v="24"/>
    <x v="24"/>
    <x v="23"/>
    <x v="1"/>
    <x v="24"/>
    <x v="24"/>
    <x v="24"/>
    <x v="24"/>
    <x v="0"/>
    <x v="3"/>
    <x v="504"/>
    <x v="24"/>
    <s v="6 ans et 8 mois"/>
    <n v="80"/>
    <x v="2"/>
    <x v="110"/>
    <n v="155"/>
    <n v="28.96"/>
    <x v="4"/>
    <x v="0"/>
    <x v="35"/>
  </r>
  <r>
    <x v="1"/>
    <x v="8"/>
    <x v="24"/>
    <x v="24"/>
    <x v="23"/>
    <x v="1"/>
    <x v="24"/>
    <x v="24"/>
    <x v="24"/>
    <x v="24"/>
    <x v="0"/>
    <x v="3"/>
    <x v="505"/>
    <x v="24"/>
    <s v="6 ans et 3 mois"/>
    <n v="75"/>
    <x v="1"/>
    <x v="154"/>
    <n v="242"/>
    <n v="64.27"/>
    <x v="4"/>
    <x v="1"/>
    <x v="142"/>
  </r>
  <r>
    <x v="1"/>
    <x v="8"/>
    <x v="24"/>
    <x v="24"/>
    <x v="23"/>
    <x v="1"/>
    <x v="24"/>
    <x v="24"/>
    <x v="24"/>
    <x v="24"/>
    <x v="0"/>
    <x v="3"/>
    <x v="506"/>
    <x v="24"/>
    <s v="2 ans et 8 mois"/>
    <n v="32"/>
    <x v="2"/>
    <x v="191"/>
    <n v="405"/>
    <n v="67.92"/>
    <x v="5"/>
    <x v="0"/>
    <x v="136"/>
  </r>
  <r>
    <x v="1"/>
    <x v="8"/>
    <x v="24"/>
    <x v="24"/>
    <x v="23"/>
    <x v="1"/>
    <x v="24"/>
    <x v="24"/>
    <x v="24"/>
    <x v="24"/>
    <x v="0"/>
    <x v="3"/>
    <x v="507"/>
    <x v="24"/>
    <s v="8 ans et 10 mois"/>
    <n v="106"/>
    <x v="2"/>
    <x v="315"/>
    <n v="128"/>
    <n v="35.96"/>
    <x v="4"/>
    <x v="0"/>
    <x v="280"/>
  </r>
  <r>
    <x v="1"/>
    <x v="8"/>
    <x v="24"/>
    <x v="24"/>
    <x v="23"/>
    <x v="1"/>
    <x v="24"/>
    <x v="24"/>
    <x v="24"/>
    <x v="24"/>
    <x v="0"/>
    <x v="3"/>
    <x v="508"/>
    <x v="24"/>
    <s v="1 ans et 9 mois"/>
    <n v="21"/>
    <x v="0"/>
    <x v="316"/>
    <n v="307"/>
    <n v="39.81"/>
    <x v="3"/>
    <x v="0"/>
    <x v="273"/>
  </r>
  <r>
    <x v="1"/>
    <x v="8"/>
    <x v="24"/>
    <x v="24"/>
    <x v="23"/>
    <x v="1"/>
    <x v="24"/>
    <x v="24"/>
    <x v="24"/>
    <x v="24"/>
    <x v="0"/>
    <x v="3"/>
    <x v="509"/>
    <x v="24"/>
    <s v="1 ans et 10 mois"/>
    <n v="22"/>
    <x v="3"/>
    <x v="317"/>
    <n v="166"/>
    <n v="31.8"/>
    <x v="1"/>
    <x v="0"/>
    <x v="281"/>
  </r>
  <r>
    <x v="1"/>
    <x v="8"/>
    <x v="24"/>
    <x v="24"/>
    <x v="23"/>
    <x v="1"/>
    <x v="24"/>
    <x v="24"/>
    <x v="24"/>
    <x v="24"/>
    <x v="0"/>
    <x v="3"/>
    <x v="510"/>
    <x v="24"/>
    <s v="6 ans et 11 mois"/>
    <n v="83"/>
    <x v="2"/>
    <x v="318"/>
    <n v="30"/>
    <n v="33.93"/>
    <x v="5"/>
    <x v="0"/>
    <x v="282"/>
  </r>
  <r>
    <x v="1"/>
    <x v="8"/>
    <x v="24"/>
    <x v="24"/>
    <x v="23"/>
    <x v="1"/>
    <x v="24"/>
    <x v="24"/>
    <x v="24"/>
    <x v="24"/>
    <x v="0"/>
    <x v="3"/>
    <x v="511"/>
    <x v="24"/>
    <s v="0 ans et 5 mois"/>
    <n v="5"/>
    <x v="1"/>
    <x v="68"/>
    <n v="98"/>
    <n v="71.37"/>
    <x v="1"/>
    <x v="1"/>
    <x v="66"/>
  </r>
  <r>
    <x v="1"/>
    <x v="8"/>
    <x v="24"/>
    <x v="24"/>
    <x v="23"/>
    <x v="1"/>
    <x v="24"/>
    <x v="24"/>
    <x v="24"/>
    <x v="24"/>
    <x v="0"/>
    <x v="3"/>
    <x v="512"/>
    <x v="24"/>
    <s v="10 ans et 0 mois"/>
    <n v="120"/>
    <x v="1"/>
    <x v="319"/>
    <n v="209"/>
    <n v="42.51"/>
    <x v="0"/>
    <x v="1"/>
    <x v="283"/>
  </r>
  <r>
    <x v="1"/>
    <x v="8"/>
    <x v="24"/>
    <x v="24"/>
    <x v="23"/>
    <x v="1"/>
    <x v="24"/>
    <x v="24"/>
    <x v="24"/>
    <x v="24"/>
    <x v="0"/>
    <x v="3"/>
    <x v="513"/>
    <x v="24"/>
    <s v="8 ans et 7 mois"/>
    <n v="103"/>
    <x v="2"/>
    <x v="214"/>
    <n v="182"/>
    <n v="12.07"/>
    <x v="3"/>
    <x v="0"/>
    <x v="96"/>
  </r>
  <r>
    <x v="1"/>
    <x v="8"/>
    <x v="24"/>
    <x v="24"/>
    <x v="23"/>
    <x v="1"/>
    <x v="24"/>
    <x v="24"/>
    <x v="24"/>
    <x v="24"/>
    <x v="0"/>
    <x v="3"/>
    <x v="514"/>
    <x v="24"/>
    <s v="1 ans et 9 mois"/>
    <n v="21"/>
    <x v="2"/>
    <x v="133"/>
    <n v="444"/>
    <n v="41.92"/>
    <x v="5"/>
    <x v="0"/>
    <x v="271"/>
  </r>
  <r>
    <x v="1"/>
    <x v="8"/>
    <x v="24"/>
    <x v="24"/>
    <x v="23"/>
    <x v="1"/>
    <x v="24"/>
    <x v="24"/>
    <x v="24"/>
    <x v="24"/>
    <x v="0"/>
    <x v="3"/>
    <x v="515"/>
    <x v="24"/>
    <s v="7 ans et 7 mois"/>
    <n v="91"/>
    <x v="2"/>
    <x v="320"/>
    <n v="90"/>
    <n v="39.14"/>
    <x v="5"/>
    <x v="0"/>
    <x v="284"/>
  </r>
  <r>
    <x v="1"/>
    <x v="8"/>
    <x v="24"/>
    <x v="24"/>
    <x v="23"/>
    <x v="1"/>
    <x v="24"/>
    <x v="24"/>
    <x v="24"/>
    <x v="24"/>
    <x v="0"/>
    <x v="3"/>
    <x v="516"/>
    <x v="24"/>
    <s v="1 ans et 4 mois"/>
    <n v="16"/>
    <x v="1"/>
    <x v="24"/>
    <n v="214"/>
    <n v="46.57"/>
    <x v="3"/>
    <x v="1"/>
    <x v="191"/>
  </r>
  <r>
    <x v="2"/>
    <x v="17"/>
    <x v="25"/>
    <x v="25"/>
    <x v="24"/>
    <x v="2"/>
    <x v="25"/>
    <x v="25"/>
    <x v="25"/>
    <x v="25"/>
    <x v="2"/>
    <x v="3"/>
    <x v="517"/>
    <x v="25"/>
    <s v="3 ans et 4 mois"/>
    <n v="40"/>
    <x v="3"/>
    <x v="141"/>
    <n v="345"/>
    <n v="89.55"/>
    <x v="5"/>
    <x v="0"/>
    <x v="98"/>
  </r>
  <r>
    <x v="2"/>
    <x v="17"/>
    <x v="25"/>
    <x v="25"/>
    <x v="24"/>
    <x v="2"/>
    <x v="25"/>
    <x v="25"/>
    <x v="25"/>
    <x v="25"/>
    <x v="2"/>
    <x v="3"/>
    <x v="518"/>
    <x v="25"/>
    <s v="4 ans et 1 mois"/>
    <n v="49"/>
    <x v="2"/>
    <x v="69"/>
    <n v="6"/>
    <n v="44.41"/>
    <x v="5"/>
    <x v="0"/>
    <x v="285"/>
  </r>
  <r>
    <x v="2"/>
    <x v="17"/>
    <x v="25"/>
    <x v="25"/>
    <x v="24"/>
    <x v="2"/>
    <x v="25"/>
    <x v="25"/>
    <x v="25"/>
    <x v="25"/>
    <x v="2"/>
    <x v="3"/>
    <x v="519"/>
    <x v="25"/>
    <s v="6 ans et 6 mois"/>
    <n v="78"/>
    <x v="2"/>
    <x v="321"/>
    <n v="198"/>
    <n v="69.849999999999994"/>
    <x v="2"/>
    <x v="0"/>
    <x v="286"/>
  </r>
  <r>
    <x v="2"/>
    <x v="17"/>
    <x v="25"/>
    <x v="25"/>
    <x v="24"/>
    <x v="2"/>
    <x v="25"/>
    <x v="25"/>
    <x v="25"/>
    <x v="25"/>
    <x v="2"/>
    <x v="3"/>
    <x v="520"/>
    <x v="25"/>
    <s v="7 ans et 9 mois"/>
    <n v="93"/>
    <x v="3"/>
    <x v="322"/>
    <n v="150"/>
    <n v="93.25"/>
    <x v="5"/>
    <x v="0"/>
    <x v="287"/>
  </r>
  <r>
    <x v="2"/>
    <x v="17"/>
    <x v="25"/>
    <x v="25"/>
    <x v="24"/>
    <x v="2"/>
    <x v="25"/>
    <x v="25"/>
    <x v="25"/>
    <x v="25"/>
    <x v="2"/>
    <x v="3"/>
    <x v="521"/>
    <x v="25"/>
    <s v="5 ans et 6 mois"/>
    <n v="66"/>
    <x v="3"/>
    <x v="277"/>
    <n v="193"/>
    <n v="21.06"/>
    <x v="5"/>
    <x v="0"/>
    <x v="5"/>
  </r>
  <r>
    <x v="2"/>
    <x v="17"/>
    <x v="25"/>
    <x v="25"/>
    <x v="24"/>
    <x v="2"/>
    <x v="25"/>
    <x v="25"/>
    <x v="25"/>
    <x v="25"/>
    <x v="2"/>
    <x v="3"/>
    <x v="522"/>
    <x v="25"/>
    <s v="2 ans et 11 mois"/>
    <n v="35"/>
    <x v="2"/>
    <x v="61"/>
    <n v="421"/>
    <n v="29.57"/>
    <x v="3"/>
    <x v="0"/>
    <x v="288"/>
  </r>
  <r>
    <x v="2"/>
    <x v="17"/>
    <x v="25"/>
    <x v="25"/>
    <x v="24"/>
    <x v="2"/>
    <x v="25"/>
    <x v="25"/>
    <x v="25"/>
    <x v="25"/>
    <x v="2"/>
    <x v="3"/>
    <x v="523"/>
    <x v="25"/>
    <s v="4 ans et 11 mois"/>
    <n v="59"/>
    <x v="1"/>
    <x v="287"/>
    <n v="72"/>
    <n v="94.51"/>
    <x v="4"/>
    <x v="1"/>
    <x v="5"/>
  </r>
  <r>
    <x v="7"/>
    <x v="15"/>
    <x v="22"/>
    <x v="22"/>
    <x v="22"/>
    <x v="0"/>
    <x v="22"/>
    <x v="22"/>
    <x v="22"/>
    <x v="22"/>
    <x v="0"/>
    <x v="2"/>
    <x v="524"/>
    <x v="22"/>
    <s v="0 ans et 6 mois"/>
    <n v="6"/>
    <x v="1"/>
    <x v="323"/>
    <n v="342"/>
    <n v="50.55"/>
    <x v="3"/>
    <x v="1"/>
    <x v="164"/>
  </r>
  <r>
    <x v="0"/>
    <x v="3"/>
    <x v="4"/>
    <x v="4"/>
    <x v="4"/>
    <x v="1"/>
    <x v="4"/>
    <x v="4"/>
    <x v="4"/>
    <x v="4"/>
    <x v="1"/>
    <x v="2"/>
    <x v="525"/>
    <x v="4"/>
    <s v="3 ans et 11 mois"/>
    <n v="47"/>
    <x v="3"/>
    <x v="324"/>
    <n v="457"/>
    <n v="84.93"/>
    <x v="4"/>
    <x v="0"/>
    <x v="65"/>
  </r>
  <r>
    <x v="1"/>
    <x v="11"/>
    <x v="15"/>
    <x v="15"/>
    <x v="15"/>
    <x v="1"/>
    <x v="15"/>
    <x v="15"/>
    <x v="15"/>
    <x v="15"/>
    <x v="1"/>
    <x v="2"/>
    <x v="526"/>
    <x v="15"/>
    <s v="9 ans et 2 mois"/>
    <n v="110"/>
    <x v="0"/>
    <x v="225"/>
    <n v="132"/>
    <n v="21.31"/>
    <x v="3"/>
    <x v="0"/>
    <x v="100"/>
  </r>
  <r>
    <x v="1"/>
    <x v="11"/>
    <x v="15"/>
    <x v="15"/>
    <x v="15"/>
    <x v="1"/>
    <x v="15"/>
    <x v="15"/>
    <x v="15"/>
    <x v="15"/>
    <x v="1"/>
    <x v="2"/>
    <x v="527"/>
    <x v="15"/>
    <s v="3 ans et 1 mois"/>
    <n v="37"/>
    <x v="3"/>
    <x v="181"/>
    <n v="94"/>
    <n v="50.44"/>
    <x v="0"/>
    <x v="0"/>
    <x v="178"/>
  </r>
  <r>
    <x v="0"/>
    <x v="2"/>
    <x v="8"/>
    <x v="8"/>
    <x v="8"/>
    <x v="0"/>
    <x v="8"/>
    <x v="8"/>
    <x v="8"/>
    <x v="8"/>
    <x v="1"/>
    <x v="2"/>
    <x v="528"/>
    <x v="8"/>
    <s v="4 ans et 4 mois"/>
    <n v="52"/>
    <x v="3"/>
    <x v="232"/>
    <n v="425"/>
    <n v="97.25"/>
    <x v="2"/>
    <x v="0"/>
    <x v="23"/>
  </r>
  <r>
    <x v="6"/>
    <x v="12"/>
    <x v="19"/>
    <x v="19"/>
    <x v="19"/>
    <x v="2"/>
    <x v="19"/>
    <x v="19"/>
    <x v="19"/>
    <x v="19"/>
    <x v="2"/>
    <x v="3"/>
    <x v="529"/>
    <x v="19"/>
    <s v="4 ans et 5 mois"/>
    <n v="53"/>
    <x v="1"/>
    <x v="62"/>
    <n v="27"/>
    <n v="18.77"/>
    <x v="2"/>
    <x v="1"/>
    <x v="130"/>
  </r>
  <r>
    <x v="0"/>
    <x v="16"/>
    <x v="23"/>
    <x v="23"/>
    <x v="1"/>
    <x v="1"/>
    <x v="23"/>
    <x v="23"/>
    <x v="23"/>
    <x v="23"/>
    <x v="2"/>
    <x v="0"/>
    <x v="530"/>
    <x v="23"/>
    <s v="9 ans et 2 mois"/>
    <n v="110"/>
    <x v="2"/>
    <x v="325"/>
    <n v="47"/>
    <n v="29.68"/>
    <x v="2"/>
    <x v="0"/>
    <x v="289"/>
  </r>
  <r>
    <x v="1"/>
    <x v="4"/>
    <x v="5"/>
    <x v="5"/>
    <x v="5"/>
    <x v="1"/>
    <x v="5"/>
    <x v="5"/>
    <x v="5"/>
    <x v="5"/>
    <x v="1"/>
    <x v="2"/>
    <x v="531"/>
    <x v="5"/>
    <s v="6 ans et 8 mois"/>
    <n v="80"/>
    <x v="1"/>
    <x v="326"/>
    <n v="458"/>
    <n v="98.11"/>
    <x v="2"/>
    <x v="1"/>
    <x v="50"/>
  </r>
  <r>
    <x v="1"/>
    <x v="9"/>
    <x v="12"/>
    <x v="12"/>
    <x v="12"/>
    <x v="1"/>
    <x v="12"/>
    <x v="12"/>
    <x v="12"/>
    <x v="12"/>
    <x v="0"/>
    <x v="3"/>
    <x v="532"/>
    <x v="12"/>
    <s v="9 ans et 10 mois"/>
    <n v="118"/>
    <x v="0"/>
    <x v="37"/>
    <n v="461"/>
    <n v="47.82"/>
    <x v="3"/>
    <x v="0"/>
    <x v="183"/>
  </r>
  <r>
    <x v="2"/>
    <x v="11"/>
    <x v="14"/>
    <x v="14"/>
    <x v="14"/>
    <x v="2"/>
    <x v="14"/>
    <x v="14"/>
    <x v="14"/>
    <x v="14"/>
    <x v="2"/>
    <x v="3"/>
    <x v="533"/>
    <x v="14"/>
    <s v="7 ans et 4 mois"/>
    <n v="88"/>
    <x v="3"/>
    <x v="3"/>
    <n v="219"/>
    <n v="59.15"/>
    <x v="2"/>
    <x v="0"/>
    <x v="290"/>
  </r>
  <r>
    <x v="0"/>
    <x v="8"/>
    <x v="11"/>
    <x v="11"/>
    <x v="11"/>
    <x v="1"/>
    <x v="11"/>
    <x v="11"/>
    <x v="11"/>
    <x v="11"/>
    <x v="0"/>
    <x v="2"/>
    <x v="534"/>
    <x v="11"/>
    <s v="1 ans et 5 mois"/>
    <n v="17"/>
    <x v="1"/>
    <x v="247"/>
    <n v="175"/>
    <n v="24.95"/>
    <x v="0"/>
    <x v="1"/>
    <x v="291"/>
  </r>
  <r>
    <x v="2"/>
    <x v="5"/>
    <x v="6"/>
    <x v="6"/>
    <x v="6"/>
    <x v="1"/>
    <x v="6"/>
    <x v="6"/>
    <x v="6"/>
    <x v="6"/>
    <x v="1"/>
    <x v="0"/>
    <x v="535"/>
    <x v="6"/>
    <s v="4 ans et 9 mois"/>
    <n v="57"/>
    <x v="0"/>
    <x v="158"/>
    <n v="493"/>
    <n v="43.98"/>
    <x v="5"/>
    <x v="0"/>
    <x v="292"/>
  </r>
  <r>
    <x v="6"/>
    <x v="12"/>
    <x v="19"/>
    <x v="19"/>
    <x v="19"/>
    <x v="2"/>
    <x v="19"/>
    <x v="19"/>
    <x v="19"/>
    <x v="19"/>
    <x v="2"/>
    <x v="3"/>
    <x v="536"/>
    <x v="19"/>
    <s v="3 ans et 11 mois"/>
    <n v="47"/>
    <x v="2"/>
    <x v="185"/>
    <n v="385"/>
    <n v="41.33"/>
    <x v="2"/>
    <x v="0"/>
    <x v="293"/>
  </r>
  <r>
    <x v="1"/>
    <x v="8"/>
    <x v="24"/>
    <x v="24"/>
    <x v="23"/>
    <x v="1"/>
    <x v="24"/>
    <x v="24"/>
    <x v="24"/>
    <x v="24"/>
    <x v="0"/>
    <x v="3"/>
    <x v="537"/>
    <x v="24"/>
    <s v="5 ans et 6 mois"/>
    <n v="66"/>
    <x v="1"/>
    <x v="172"/>
    <n v="152"/>
    <n v="95.71"/>
    <x v="5"/>
    <x v="1"/>
    <x v="100"/>
  </r>
  <r>
    <x v="1"/>
    <x v="2"/>
    <x v="17"/>
    <x v="17"/>
    <x v="17"/>
    <x v="0"/>
    <x v="17"/>
    <x v="17"/>
    <x v="17"/>
    <x v="17"/>
    <x v="2"/>
    <x v="1"/>
    <x v="538"/>
    <x v="17"/>
    <s v="9 ans et 1 mois"/>
    <n v="109"/>
    <x v="2"/>
    <x v="327"/>
    <n v="84"/>
    <n v="97.46"/>
    <x v="3"/>
    <x v="0"/>
    <x v="239"/>
  </r>
  <r>
    <x v="5"/>
    <x v="9"/>
    <x v="18"/>
    <x v="18"/>
    <x v="18"/>
    <x v="2"/>
    <x v="18"/>
    <x v="18"/>
    <x v="18"/>
    <x v="18"/>
    <x v="2"/>
    <x v="1"/>
    <x v="539"/>
    <x v="18"/>
    <s v="6 ans et 8 mois"/>
    <n v="80"/>
    <x v="2"/>
    <x v="184"/>
    <n v="101"/>
    <n v="61.92"/>
    <x v="0"/>
    <x v="0"/>
    <x v="223"/>
  </r>
  <r>
    <x v="0"/>
    <x v="8"/>
    <x v="11"/>
    <x v="11"/>
    <x v="11"/>
    <x v="1"/>
    <x v="11"/>
    <x v="11"/>
    <x v="11"/>
    <x v="11"/>
    <x v="0"/>
    <x v="2"/>
    <x v="540"/>
    <x v="11"/>
    <s v="3 ans et 5 mois"/>
    <n v="41"/>
    <x v="3"/>
    <x v="328"/>
    <n v="178"/>
    <n v="11.29"/>
    <x v="0"/>
    <x v="0"/>
    <x v="164"/>
  </r>
  <r>
    <x v="0"/>
    <x v="8"/>
    <x v="11"/>
    <x v="11"/>
    <x v="11"/>
    <x v="1"/>
    <x v="11"/>
    <x v="11"/>
    <x v="11"/>
    <x v="11"/>
    <x v="0"/>
    <x v="2"/>
    <x v="541"/>
    <x v="11"/>
    <s v="4 ans et 0 mois"/>
    <n v="48"/>
    <x v="0"/>
    <x v="131"/>
    <n v="482"/>
    <n v="83.24"/>
    <x v="2"/>
    <x v="0"/>
    <x v="74"/>
  </r>
  <r>
    <x v="0"/>
    <x v="2"/>
    <x v="8"/>
    <x v="8"/>
    <x v="8"/>
    <x v="0"/>
    <x v="8"/>
    <x v="8"/>
    <x v="8"/>
    <x v="8"/>
    <x v="1"/>
    <x v="2"/>
    <x v="542"/>
    <x v="8"/>
    <s v="0 ans et 11 mois"/>
    <n v="11"/>
    <x v="1"/>
    <x v="24"/>
    <n v="214"/>
    <n v="11.46"/>
    <x v="3"/>
    <x v="1"/>
    <x v="125"/>
  </r>
  <r>
    <x v="1"/>
    <x v="9"/>
    <x v="12"/>
    <x v="12"/>
    <x v="12"/>
    <x v="1"/>
    <x v="12"/>
    <x v="12"/>
    <x v="12"/>
    <x v="12"/>
    <x v="0"/>
    <x v="3"/>
    <x v="543"/>
    <x v="12"/>
    <s v="7 ans et 4 mois"/>
    <n v="88"/>
    <x v="0"/>
    <x v="188"/>
    <n v="246"/>
    <n v="90.7"/>
    <x v="5"/>
    <x v="0"/>
    <x v="267"/>
  </r>
  <r>
    <x v="2"/>
    <x v="11"/>
    <x v="14"/>
    <x v="14"/>
    <x v="14"/>
    <x v="2"/>
    <x v="14"/>
    <x v="14"/>
    <x v="14"/>
    <x v="14"/>
    <x v="2"/>
    <x v="3"/>
    <x v="544"/>
    <x v="14"/>
    <s v="4 ans et 5 mois"/>
    <n v="53"/>
    <x v="3"/>
    <x v="329"/>
    <n v="243"/>
    <n v="55.19"/>
    <x v="0"/>
    <x v="0"/>
    <x v="49"/>
  </r>
  <r>
    <x v="2"/>
    <x v="17"/>
    <x v="25"/>
    <x v="25"/>
    <x v="24"/>
    <x v="2"/>
    <x v="25"/>
    <x v="25"/>
    <x v="25"/>
    <x v="25"/>
    <x v="2"/>
    <x v="3"/>
    <x v="545"/>
    <x v="25"/>
    <s v="5 ans et 5 mois"/>
    <n v="65"/>
    <x v="1"/>
    <x v="33"/>
    <n v="274"/>
    <n v="88.1"/>
    <x v="0"/>
    <x v="1"/>
    <x v="79"/>
  </r>
  <r>
    <x v="3"/>
    <x v="4"/>
    <x v="16"/>
    <x v="16"/>
    <x v="16"/>
    <x v="2"/>
    <x v="16"/>
    <x v="16"/>
    <x v="16"/>
    <x v="16"/>
    <x v="1"/>
    <x v="2"/>
    <x v="546"/>
    <x v="16"/>
    <s v="4 ans et 10 mois"/>
    <n v="58"/>
    <x v="1"/>
    <x v="156"/>
    <n v="352"/>
    <n v="72.94"/>
    <x v="2"/>
    <x v="1"/>
    <x v="71"/>
  </r>
  <r>
    <x v="0"/>
    <x v="10"/>
    <x v="13"/>
    <x v="13"/>
    <x v="13"/>
    <x v="0"/>
    <x v="13"/>
    <x v="13"/>
    <x v="13"/>
    <x v="13"/>
    <x v="2"/>
    <x v="3"/>
    <x v="547"/>
    <x v="13"/>
    <s v="2 ans et 10 mois"/>
    <n v="34"/>
    <x v="2"/>
    <x v="330"/>
    <n v="401"/>
    <n v="68.400000000000006"/>
    <x v="3"/>
    <x v="0"/>
    <x v="102"/>
  </r>
  <r>
    <x v="7"/>
    <x v="15"/>
    <x v="22"/>
    <x v="22"/>
    <x v="22"/>
    <x v="0"/>
    <x v="22"/>
    <x v="22"/>
    <x v="22"/>
    <x v="22"/>
    <x v="0"/>
    <x v="2"/>
    <x v="548"/>
    <x v="22"/>
    <s v="4 ans et 3 mois"/>
    <n v="51"/>
    <x v="2"/>
    <x v="172"/>
    <n v="152"/>
    <n v="34.630000000000003"/>
    <x v="4"/>
    <x v="0"/>
    <x v="103"/>
  </r>
  <r>
    <x v="1"/>
    <x v="8"/>
    <x v="24"/>
    <x v="24"/>
    <x v="23"/>
    <x v="1"/>
    <x v="24"/>
    <x v="24"/>
    <x v="24"/>
    <x v="24"/>
    <x v="0"/>
    <x v="3"/>
    <x v="549"/>
    <x v="24"/>
    <s v="2 ans et 1 mois"/>
    <n v="25"/>
    <x v="0"/>
    <x v="166"/>
    <n v="5"/>
    <n v="27.93"/>
    <x v="2"/>
    <x v="0"/>
    <x v="294"/>
  </r>
  <r>
    <x v="2"/>
    <x v="17"/>
    <x v="25"/>
    <x v="25"/>
    <x v="24"/>
    <x v="2"/>
    <x v="25"/>
    <x v="25"/>
    <x v="25"/>
    <x v="25"/>
    <x v="2"/>
    <x v="3"/>
    <x v="550"/>
    <x v="25"/>
    <s v="6 ans et 7 mois"/>
    <n v="79"/>
    <x v="0"/>
    <x v="94"/>
    <n v="462"/>
    <n v="18.28"/>
    <x v="2"/>
    <x v="0"/>
    <x v="295"/>
  </r>
  <r>
    <x v="5"/>
    <x v="9"/>
    <x v="18"/>
    <x v="18"/>
    <x v="18"/>
    <x v="2"/>
    <x v="18"/>
    <x v="18"/>
    <x v="18"/>
    <x v="18"/>
    <x v="2"/>
    <x v="1"/>
    <x v="551"/>
    <x v="18"/>
    <s v="6 ans et 11 mois"/>
    <n v="83"/>
    <x v="1"/>
    <x v="103"/>
    <n v="91"/>
    <n v="73.73"/>
    <x v="4"/>
    <x v="1"/>
    <x v="53"/>
  </r>
  <r>
    <x v="0"/>
    <x v="13"/>
    <x v="20"/>
    <x v="20"/>
    <x v="20"/>
    <x v="2"/>
    <x v="20"/>
    <x v="20"/>
    <x v="20"/>
    <x v="20"/>
    <x v="2"/>
    <x v="2"/>
    <x v="552"/>
    <x v="20"/>
    <s v="4 ans et 3 mois"/>
    <n v="51"/>
    <x v="0"/>
    <x v="294"/>
    <n v="337"/>
    <n v="68.67"/>
    <x v="3"/>
    <x v="0"/>
    <x v="160"/>
  </r>
  <r>
    <x v="2"/>
    <x v="11"/>
    <x v="14"/>
    <x v="14"/>
    <x v="14"/>
    <x v="2"/>
    <x v="14"/>
    <x v="14"/>
    <x v="14"/>
    <x v="14"/>
    <x v="2"/>
    <x v="3"/>
    <x v="553"/>
    <x v="14"/>
    <s v="8 ans et 11 mois"/>
    <n v="107"/>
    <x v="2"/>
    <x v="35"/>
    <n v="290"/>
    <n v="52.03"/>
    <x v="2"/>
    <x v="0"/>
    <x v="73"/>
  </r>
  <r>
    <x v="0"/>
    <x v="3"/>
    <x v="4"/>
    <x v="4"/>
    <x v="4"/>
    <x v="1"/>
    <x v="4"/>
    <x v="4"/>
    <x v="4"/>
    <x v="4"/>
    <x v="1"/>
    <x v="2"/>
    <x v="554"/>
    <x v="4"/>
    <s v="0 ans et 7 mois"/>
    <n v="7"/>
    <x v="1"/>
    <x v="252"/>
    <n v="323"/>
    <n v="82.81"/>
    <x v="3"/>
    <x v="1"/>
    <x v="120"/>
  </r>
  <r>
    <x v="1"/>
    <x v="9"/>
    <x v="12"/>
    <x v="12"/>
    <x v="12"/>
    <x v="1"/>
    <x v="12"/>
    <x v="12"/>
    <x v="12"/>
    <x v="12"/>
    <x v="0"/>
    <x v="3"/>
    <x v="555"/>
    <x v="12"/>
    <s v="8 ans et 7 mois"/>
    <n v="103"/>
    <x v="3"/>
    <x v="276"/>
    <n v="310"/>
    <n v="49.25"/>
    <x v="4"/>
    <x v="0"/>
    <x v="296"/>
  </r>
  <r>
    <x v="2"/>
    <x v="11"/>
    <x v="14"/>
    <x v="14"/>
    <x v="14"/>
    <x v="2"/>
    <x v="14"/>
    <x v="14"/>
    <x v="14"/>
    <x v="14"/>
    <x v="2"/>
    <x v="3"/>
    <x v="556"/>
    <x v="14"/>
    <s v="10 ans et 0 mois"/>
    <n v="120"/>
    <x v="2"/>
    <x v="331"/>
    <n v="437"/>
    <n v="95.17"/>
    <x v="1"/>
    <x v="0"/>
    <x v="44"/>
  </r>
  <r>
    <x v="4"/>
    <x v="4"/>
    <x v="9"/>
    <x v="9"/>
    <x v="9"/>
    <x v="2"/>
    <x v="9"/>
    <x v="9"/>
    <x v="9"/>
    <x v="9"/>
    <x v="2"/>
    <x v="2"/>
    <x v="557"/>
    <x v="9"/>
    <s v="6 ans et 2 mois"/>
    <n v="74"/>
    <x v="2"/>
    <x v="332"/>
    <n v="16"/>
    <n v="93.01"/>
    <x v="5"/>
    <x v="0"/>
    <x v="9"/>
  </r>
  <r>
    <x v="0"/>
    <x v="8"/>
    <x v="11"/>
    <x v="11"/>
    <x v="11"/>
    <x v="1"/>
    <x v="11"/>
    <x v="11"/>
    <x v="11"/>
    <x v="11"/>
    <x v="0"/>
    <x v="2"/>
    <x v="558"/>
    <x v="11"/>
    <s v="4 ans et 7 mois"/>
    <n v="55"/>
    <x v="2"/>
    <x v="12"/>
    <n v="60"/>
    <n v="32.51"/>
    <x v="0"/>
    <x v="0"/>
    <x v="225"/>
  </r>
  <r>
    <x v="2"/>
    <x v="17"/>
    <x v="25"/>
    <x v="25"/>
    <x v="24"/>
    <x v="2"/>
    <x v="25"/>
    <x v="25"/>
    <x v="25"/>
    <x v="25"/>
    <x v="2"/>
    <x v="3"/>
    <x v="559"/>
    <x v="25"/>
    <s v="1 ans et 5 mois"/>
    <n v="17"/>
    <x v="3"/>
    <x v="333"/>
    <n v="499"/>
    <n v="27.81"/>
    <x v="4"/>
    <x v="0"/>
    <x v="253"/>
  </r>
  <r>
    <x v="1"/>
    <x v="1"/>
    <x v="1"/>
    <x v="1"/>
    <x v="1"/>
    <x v="1"/>
    <x v="1"/>
    <x v="1"/>
    <x v="1"/>
    <x v="1"/>
    <x v="0"/>
    <x v="1"/>
    <x v="560"/>
    <x v="1"/>
    <s v="6 ans et 10 mois"/>
    <n v="82"/>
    <x v="2"/>
    <x v="247"/>
    <n v="175"/>
    <n v="86.14"/>
    <x v="1"/>
    <x v="0"/>
    <x v="157"/>
  </r>
  <r>
    <x v="1"/>
    <x v="4"/>
    <x v="5"/>
    <x v="5"/>
    <x v="5"/>
    <x v="1"/>
    <x v="5"/>
    <x v="5"/>
    <x v="5"/>
    <x v="5"/>
    <x v="1"/>
    <x v="2"/>
    <x v="561"/>
    <x v="5"/>
    <s v="4 ans et 2 mois"/>
    <n v="50"/>
    <x v="2"/>
    <x v="334"/>
    <n v="177"/>
    <n v="74.569999999999993"/>
    <x v="0"/>
    <x v="0"/>
    <x v="24"/>
  </r>
  <r>
    <x v="0"/>
    <x v="0"/>
    <x v="0"/>
    <x v="0"/>
    <x v="0"/>
    <x v="0"/>
    <x v="0"/>
    <x v="0"/>
    <x v="0"/>
    <x v="0"/>
    <x v="0"/>
    <x v="0"/>
    <x v="562"/>
    <x v="0"/>
    <s v="7 ans et 10 mois"/>
    <n v="94"/>
    <x v="1"/>
    <x v="202"/>
    <n v="247"/>
    <n v="96.57"/>
    <x v="2"/>
    <x v="1"/>
    <x v="29"/>
  </r>
  <r>
    <x v="0"/>
    <x v="8"/>
    <x v="11"/>
    <x v="11"/>
    <x v="11"/>
    <x v="1"/>
    <x v="11"/>
    <x v="11"/>
    <x v="11"/>
    <x v="11"/>
    <x v="0"/>
    <x v="2"/>
    <x v="563"/>
    <x v="11"/>
    <s v="1 ans et 11 mois"/>
    <n v="23"/>
    <x v="3"/>
    <x v="335"/>
    <n v="314"/>
    <n v="19.260000000000002"/>
    <x v="5"/>
    <x v="0"/>
    <x v="168"/>
  </r>
  <r>
    <x v="3"/>
    <x v="6"/>
    <x v="7"/>
    <x v="7"/>
    <x v="7"/>
    <x v="0"/>
    <x v="7"/>
    <x v="7"/>
    <x v="7"/>
    <x v="7"/>
    <x v="2"/>
    <x v="3"/>
    <x v="564"/>
    <x v="7"/>
    <s v="4 ans et 4 mois"/>
    <n v="52"/>
    <x v="0"/>
    <x v="316"/>
    <n v="307"/>
    <n v="81.38"/>
    <x v="4"/>
    <x v="0"/>
    <x v="270"/>
  </r>
  <r>
    <x v="0"/>
    <x v="13"/>
    <x v="20"/>
    <x v="20"/>
    <x v="20"/>
    <x v="2"/>
    <x v="20"/>
    <x v="20"/>
    <x v="20"/>
    <x v="20"/>
    <x v="2"/>
    <x v="2"/>
    <x v="565"/>
    <x v="20"/>
    <s v="9 ans et 8 mois"/>
    <n v="116"/>
    <x v="3"/>
    <x v="336"/>
    <n v="279"/>
    <n v="62.88"/>
    <x v="0"/>
    <x v="0"/>
    <x v="297"/>
  </r>
  <r>
    <x v="2"/>
    <x v="5"/>
    <x v="6"/>
    <x v="6"/>
    <x v="6"/>
    <x v="1"/>
    <x v="6"/>
    <x v="6"/>
    <x v="6"/>
    <x v="6"/>
    <x v="1"/>
    <x v="0"/>
    <x v="566"/>
    <x v="6"/>
    <s v="3 ans et 5 mois"/>
    <n v="41"/>
    <x v="0"/>
    <x v="337"/>
    <n v="2"/>
    <n v="24.91"/>
    <x v="1"/>
    <x v="0"/>
    <x v="219"/>
  </r>
  <r>
    <x v="4"/>
    <x v="4"/>
    <x v="9"/>
    <x v="9"/>
    <x v="9"/>
    <x v="2"/>
    <x v="9"/>
    <x v="9"/>
    <x v="9"/>
    <x v="9"/>
    <x v="2"/>
    <x v="2"/>
    <x v="567"/>
    <x v="9"/>
    <s v="5 ans et 7 mois"/>
    <n v="67"/>
    <x v="2"/>
    <x v="308"/>
    <n v="81"/>
    <n v="28.52"/>
    <x v="0"/>
    <x v="0"/>
    <x v="76"/>
  </r>
  <r>
    <x v="0"/>
    <x v="8"/>
    <x v="11"/>
    <x v="11"/>
    <x v="11"/>
    <x v="1"/>
    <x v="11"/>
    <x v="11"/>
    <x v="11"/>
    <x v="11"/>
    <x v="0"/>
    <x v="2"/>
    <x v="568"/>
    <x v="11"/>
    <s v="1 ans et 9 mois"/>
    <n v="21"/>
    <x v="0"/>
    <x v="338"/>
    <n v="267"/>
    <n v="74.989999999999995"/>
    <x v="1"/>
    <x v="0"/>
    <x v="298"/>
  </r>
  <r>
    <x v="7"/>
    <x v="15"/>
    <x v="22"/>
    <x v="22"/>
    <x v="22"/>
    <x v="0"/>
    <x v="22"/>
    <x v="22"/>
    <x v="22"/>
    <x v="22"/>
    <x v="0"/>
    <x v="2"/>
    <x v="569"/>
    <x v="22"/>
    <s v="4 ans et 8 mois"/>
    <n v="56"/>
    <x v="0"/>
    <x v="339"/>
    <n v="379"/>
    <n v="49.01"/>
    <x v="2"/>
    <x v="0"/>
    <x v="137"/>
  </r>
  <r>
    <x v="0"/>
    <x v="14"/>
    <x v="21"/>
    <x v="21"/>
    <x v="21"/>
    <x v="2"/>
    <x v="21"/>
    <x v="21"/>
    <x v="21"/>
    <x v="21"/>
    <x v="0"/>
    <x v="0"/>
    <x v="570"/>
    <x v="21"/>
    <s v="2 ans et 6 mois"/>
    <n v="30"/>
    <x v="0"/>
    <x v="340"/>
    <n v="130"/>
    <n v="50.15"/>
    <x v="0"/>
    <x v="0"/>
    <x v="210"/>
  </r>
  <r>
    <x v="1"/>
    <x v="2"/>
    <x v="17"/>
    <x v="17"/>
    <x v="17"/>
    <x v="0"/>
    <x v="17"/>
    <x v="17"/>
    <x v="17"/>
    <x v="17"/>
    <x v="2"/>
    <x v="1"/>
    <x v="571"/>
    <x v="17"/>
    <s v="1 ans et 1 mois"/>
    <n v="13"/>
    <x v="1"/>
    <x v="254"/>
    <n v="474"/>
    <n v="63.67"/>
    <x v="4"/>
    <x v="1"/>
    <x v="142"/>
  </r>
  <r>
    <x v="0"/>
    <x v="7"/>
    <x v="10"/>
    <x v="10"/>
    <x v="10"/>
    <x v="1"/>
    <x v="10"/>
    <x v="10"/>
    <x v="10"/>
    <x v="10"/>
    <x v="2"/>
    <x v="3"/>
    <x v="572"/>
    <x v="10"/>
    <s v="7 ans et 7 mois"/>
    <n v="91"/>
    <x v="0"/>
    <x v="341"/>
    <n v="62"/>
    <n v="34.450000000000003"/>
    <x v="3"/>
    <x v="0"/>
    <x v="299"/>
  </r>
  <r>
    <x v="1"/>
    <x v="2"/>
    <x v="3"/>
    <x v="3"/>
    <x v="3"/>
    <x v="2"/>
    <x v="3"/>
    <x v="3"/>
    <x v="3"/>
    <x v="3"/>
    <x v="1"/>
    <x v="0"/>
    <x v="573"/>
    <x v="3"/>
    <s v="8 ans et 7 mois"/>
    <n v="103"/>
    <x v="0"/>
    <x v="68"/>
    <n v="98"/>
    <n v="38.69"/>
    <x v="0"/>
    <x v="0"/>
    <x v="31"/>
  </r>
  <r>
    <x v="0"/>
    <x v="7"/>
    <x v="10"/>
    <x v="10"/>
    <x v="10"/>
    <x v="1"/>
    <x v="10"/>
    <x v="10"/>
    <x v="10"/>
    <x v="10"/>
    <x v="2"/>
    <x v="3"/>
    <x v="574"/>
    <x v="10"/>
    <s v="1 ans et 5 mois"/>
    <n v="17"/>
    <x v="2"/>
    <x v="276"/>
    <n v="310"/>
    <n v="19.68"/>
    <x v="3"/>
    <x v="0"/>
    <x v="68"/>
  </r>
  <r>
    <x v="1"/>
    <x v="2"/>
    <x v="17"/>
    <x v="17"/>
    <x v="17"/>
    <x v="0"/>
    <x v="17"/>
    <x v="17"/>
    <x v="17"/>
    <x v="17"/>
    <x v="2"/>
    <x v="1"/>
    <x v="575"/>
    <x v="17"/>
    <s v="5 ans et 5 mois"/>
    <n v="65"/>
    <x v="3"/>
    <x v="205"/>
    <n v="15"/>
    <n v="44.47"/>
    <x v="2"/>
    <x v="0"/>
    <x v="285"/>
  </r>
  <r>
    <x v="0"/>
    <x v="8"/>
    <x v="11"/>
    <x v="11"/>
    <x v="11"/>
    <x v="1"/>
    <x v="11"/>
    <x v="11"/>
    <x v="11"/>
    <x v="11"/>
    <x v="0"/>
    <x v="2"/>
    <x v="576"/>
    <x v="11"/>
    <s v="1 ans et 4 mois"/>
    <n v="16"/>
    <x v="3"/>
    <x v="33"/>
    <n v="274"/>
    <n v="27.97"/>
    <x v="0"/>
    <x v="0"/>
    <x v="294"/>
  </r>
  <r>
    <x v="1"/>
    <x v="1"/>
    <x v="1"/>
    <x v="1"/>
    <x v="1"/>
    <x v="1"/>
    <x v="1"/>
    <x v="1"/>
    <x v="1"/>
    <x v="1"/>
    <x v="0"/>
    <x v="1"/>
    <x v="577"/>
    <x v="1"/>
    <s v="6 ans et 9 mois"/>
    <n v="81"/>
    <x v="2"/>
    <x v="22"/>
    <n v="11"/>
    <n v="41.76"/>
    <x v="3"/>
    <x v="0"/>
    <x v="173"/>
  </r>
  <r>
    <x v="1"/>
    <x v="2"/>
    <x v="3"/>
    <x v="3"/>
    <x v="3"/>
    <x v="2"/>
    <x v="3"/>
    <x v="3"/>
    <x v="3"/>
    <x v="3"/>
    <x v="1"/>
    <x v="0"/>
    <x v="578"/>
    <x v="3"/>
    <s v="6 ans et 2 mois"/>
    <n v="74"/>
    <x v="0"/>
    <x v="342"/>
    <n v="265"/>
    <n v="90.81"/>
    <x v="5"/>
    <x v="0"/>
    <x v="138"/>
  </r>
  <r>
    <x v="7"/>
    <x v="15"/>
    <x v="22"/>
    <x v="22"/>
    <x v="22"/>
    <x v="0"/>
    <x v="22"/>
    <x v="22"/>
    <x v="22"/>
    <x v="22"/>
    <x v="0"/>
    <x v="2"/>
    <x v="579"/>
    <x v="22"/>
    <s v="8 ans et 5 mois"/>
    <n v="101"/>
    <x v="0"/>
    <x v="18"/>
    <n v="262"/>
    <n v="83.74"/>
    <x v="3"/>
    <x v="0"/>
    <x v="166"/>
  </r>
  <r>
    <x v="2"/>
    <x v="5"/>
    <x v="6"/>
    <x v="6"/>
    <x v="6"/>
    <x v="1"/>
    <x v="6"/>
    <x v="6"/>
    <x v="6"/>
    <x v="6"/>
    <x v="1"/>
    <x v="0"/>
    <x v="580"/>
    <x v="6"/>
    <s v="4 ans et 3 mois"/>
    <n v="51"/>
    <x v="1"/>
    <x v="92"/>
    <n v="389"/>
    <n v="50.45"/>
    <x v="5"/>
    <x v="1"/>
    <x v="300"/>
  </r>
  <r>
    <x v="1"/>
    <x v="1"/>
    <x v="1"/>
    <x v="1"/>
    <x v="1"/>
    <x v="1"/>
    <x v="1"/>
    <x v="1"/>
    <x v="1"/>
    <x v="1"/>
    <x v="0"/>
    <x v="1"/>
    <x v="581"/>
    <x v="1"/>
    <s v="9 ans et 0 mois"/>
    <n v="108"/>
    <x v="3"/>
    <x v="343"/>
    <n v="78"/>
    <n v="90.05"/>
    <x v="4"/>
    <x v="0"/>
    <x v="301"/>
  </r>
  <r>
    <x v="0"/>
    <x v="2"/>
    <x v="2"/>
    <x v="2"/>
    <x v="2"/>
    <x v="0"/>
    <x v="2"/>
    <x v="2"/>
    <x v="2"/>
    <x v="2"/>
    <x v="1"/>
    <x v="2"/>
    <x v="582"/>
    <x v="2"/>
    <s v="8 ans et 2 mois"/>
    <n v="98"/>
    <x v="2"/>
    <x v="344"/>
    <n v="110"/>
    <n v="96.23"/>
    <x v="4"/>
    <x v="0"/>
    <x v="302"/>
  </r>
  <r>
    <x v="2"/>
    <x v="5"/>
    <x v="6"/>
    <x v="6"/>
    <x v="6"/>
    <x v="1"/>
    <x v="6"/>
    <x v="6"/>
    <x v="6"/>
    <x v="6"/>
    <x v="1"/>
    <x v="0"/>
    <x v="583"/>
    <x v="6"/>
    <s v="6 ans et 9 mois"/>
    <n v="81"/>
    <x v="1"/>
    <x v="167"/>
    <n v="443"/>
    <n v="32.78"/>
    <x v="1"/>
    <x v="1"/>
    <x v="27"/>
  </r>
  <r>
    <x v="2"/>
    <x v="5"/>
    <x v="6"/>
    <x v="6"/>
    <x v="6"/>
    <x v="1"/>
    <x v="6"/>
    <x v="6"/>
    <x v="6"/>
    <x v="6"/>
    <x v="1"/>
    <x v="0"/>
    <x v="584"/>
    <x v="6"/>
    <s v="9 ans et 10 mois"/>
    <n v="118"/>
    <x v="0"/>
    <x v="345"/>
    <n v="186"/>
    <n v="46.88"/>
    <x v="1"/>
    <x v="0"/>
    <x v="303"/>
  </r>
  <r>
    <x v="6"/>
    <x v="12"/>
    <x v="19"/>
    <x v="19"/>
    <x v="19"/>
    <x v="2"/>
    <x v="19"/>
    <x v="19"/>
    <x v="19"/>
    <x v="19"/>
    <x v="2"/>
    <x v="3"/>
    <x v="585"/>
    <x v="19"/>
    <s v="2 ans et 10 mois"/>
    <n v="34"/>
    <x v="1"/>
    <x v="311"/>
    <n v="58"/>
    <n v="64.349999999999994"/>
    <x v="2"/>
    <x v="1"/>
    <x v="142"/>
  </r>
  <r>
    <x v="0"/>
    <x v="8"/>
    <x v="11"/>
    <x v="11"/>
    <x v="11"/>
    <x v="1"/>
    <x v="11"/>
    <x v="11"/>
    <x v="11"/>
    <x v="11"/>
    <x v="0"/>
    <x v="2"/>
    <x v="586"/>
    <x v="11"/>
    <s v="9 ans et 0 mois"/>
    <n v="108"/>
    <x v="0"/>
    <x v="53"/>
    <n v="460"/>
    <n v="88.95"/>
    <x v="5"/>
    <x v="0"/>
    <x v="145"/>
  </r>
  <r>
    <x v="4"/>
    <x v="4"/>
    <x v="9"/>
    <x v="9"/>
    <x v="9"/>
    <x v="2"/>
    <x v="9"/>
    <x v="9"/>
    <x v="9"/>
    <x v="9"/>
    <x v="2"/>
    <x v="2"/>
    <x v="587"/>
    <x v="9"/>
    <s v="5 ans et 11 mois"/>
    <n v="71"/>
    <x v="1"/>
    <x v="43"/>
    <n v="111"/>
    <n v="95.53"/>
    <x v="5"/>
    <x v="1"/>
    <x v="100"/>
  </r>
  <r>
    <x v="0"/>
    <x v="14"/>
    <x v="21"/>
    <x v="21"/>
    <x v="21"/>
    <x v="2"/>
    <x v="21"/>
    <x v="21"/>
    <x v="21"/>
    <x v="21"/>
    <x v="0"/>
    <x v="0"/>
    <x v="588"/>
    <x v="21"/>
    <s v="1 ans et 9 mois"/>
    <n v="21"/>
    <x v="0"/>
    <x v="205"/>
    <n v="15"/>
    <n v="57.74"/>
    <x v="2"/>
    <x v="0"/>
    <x v="242"/>
  </r>
  <r>
    <x v="3"/>
    <x v="6"/>
    <x v="7"/>
    <x v="7"/>
    <x v="7"/>
    <x v="0"/>
    <x v="7"/>
    <x v="7"/>
    <x v="7"/>
    <x v="7"/>
    <x v="2"/>
    <x v="3"/>
    <x v="589"/>
    <x v="7"/>
    <s v="3 ans et 6 mois"/>
    <n v="42"/>
    <x v="1"/>
    <x v="346"/>
    <n v="167"/>
    <n v="45.85"/>
    <x v="4"/>
    <x v="1"/>
    <x v="91"/>
  </r>
  <r>
    <x v="1"/>
    <x v="11"/>
    <x v="15"/>
    <x v="15"/>
    <x v="15"/>
    <x v="1"/>
    <x v="15"/>
    <x v="15"/>
    <x v="15"/>
    <x v="15"/>
    <x v="1"/>
    <x v="2"/>
    <x v="590"/>
    <x v="15"/>
    <s v="2 ans et 3 mois"/>
    <n v="27"/>
    <x v="0"/>
    <x v="347"/>
    <n v="70"/>
    <n v="20.32"/>
    <x v="5"/>
    <x v="0"/>
    <x v="67"/>
  </r>
  <r>
    <x v="3"/>
    <x v="4"/>
    <x v="16"/>
    <x v="16"/>
    <x v="16"/>
    <x v="2"/>
    <x v="16"/>
    <x v="16"/>
    <x v="16"/>
    <x v="16"/>
    <x v="1"/>
    <x v="2"/>
    <x v="591"/>
    <x v="16"/>
    <s v="1 ans et 0 mois"/>
    <n v="12"/>
    <x v="2"/>
    <x v="7"/>
    <n v="112"/>
    <n v="82.81"/>
    <x v="2"/>
    <x v="0"/>
    <x v="213"/>
  </r>
  <r>
    <x v="3"/>
    <x v="4"/>
    <x v="16"/>
    <x v="16"/>
    <x v="16"/>
    <x v="2"/>
    <x v="16"/>
    <x v="16"/>
    <x v="16"/>
    <x v="16"/>
    <x v="1"/>
    <x v="2"/>
    <x v="592"/>
    <x v="16"/>
    <s v="1 ans et 0 mois"/>
    <n v="12"/>
    <x v="1"/>
    <x v="258"/>
    <n v="42"/>
    <n v="48.64"/>
    <x v="2"/>
    <x v="1"/>
    <x v="141"/>
  </r>
  <r>
    <x v="0"/>
    <x v="10"/>
    <x v="13"/>
    <x v="13"/>
    <x v="13"/>
    <x v="0"/>
    <x v="13"/>
    <x v="13"/>
    <x v="13"/>
    <x v="13"/>
    <x v="2"/>
    <x v="3"/>
    <x v="593"/>
    <x v="13"/>
    <s v="0 ans et 4 mois"/>
    <n v="4"/>
    <x v="1"/>
    <x v="348"/>
    <n v="372"/>
    <n v="26.73"/>
    <x v="5"/>
    <x v="1"/>
    <x v="39"/>
  </r>
  <r>
    <x v="0"/>
    <x v="16"/>
    <x v="23"/>
    <x v="23"/>
    <x v="1"/>
    <x v="1"/>
    <x v="23"/>
    <x v="23"/>
    <x v="23"/>
    <x v="23"/>
    <x v="2"/>
    <x v="0"/>
    <x v="594"/>
    <x v="23"/>
    <s v="4 ans et 8 mois"/>
    <n v="56"/>
    <x v="3"/>
    <x v="169"/>
    <n v="354"/>
    <n v="32.08"/>
    <x v="1"/>
    <x v="0"/>
    <x v="211"/>
  </r>
  <r>
    <x v="1"/>
    <x v="1"/>
    <x v="1"/>
    <x v="1"/>
    <x v="1"/>
    <x v="1"/>
    <x v="1"/>
    <x v="1"/>
    <x v="1"/>
    <x v="1"/>
    <x v="0"/>
    <x v="1"/>
    <x v="595"/>
    <x v="1"/>
    <s v="0 ans et 2 mois"/>
    <n v="2"/>
    <x v="1"/>
    <x v="349"/>
    <n v="481"/>
    <n v="29.37"/>
    <x v="0"/>
    <x v="1"/>
    <x v="265"/>
  </r>
  <r>
    <x v="7"/>
    <x v="15"/>
    <x v="22"/>
    <x v="22"/>
    <x v="22"/>
    <x v="0"/>
    <x v="22"/>
    <x v="22"/>
    <x v="22"/>
    <x v="22"/>
    <x v="0"/>
    <x v="2"/>
    <x v="596"/>
    <x v="22"/>
    <s v="6 ans et 9 mois"/>
    <n v="81"/>
    <x v="2"/>
    <x v="281"/>
    <n v="64"/>
    <n v="43.45"/>
    <x v="4"/>
    <x v="0"/>
    <x v="304"/>
  </r>
  <r>
    <x v="5"/>
    <x v="9"/>
    <x v="18"/>
    <x v="18"/>
    <x v="18"/>
    <x v="2"/>
    <x v="18"/>
    <x v="18"/>
    <x v="18"/>
    <x v="18"/>
    <x v="2"/>
    <x v="1"/>
    <x v="597"/>
    <x v="18"/>
    <s v="8 ans et 3 mois"/>
    <n v="99"/>
    <x v="2"/>
    <x v="27"/>
    <n v="137"/>
    <n v="23.05"/>
    <x v="0"/>
    <x v="0"/>
    <x v="2"/>
  </r>
  <r>
    <x v="1"/>
    <x v="2"/>
    <x v="17"/>
    <x v="17"/>
    <x v="17"/>
    <x v="0"/>
    <x v="17"/>
    <x v="17"/>
    <x v="17"/>
    <x v="17"/>
    <x v="2"/>
    <x v="1"/>
    <x v="598"/>
    <x v="17"/>
    <s v="1 ans et 6 mois"/>
    <n v="18"/>
    <x v="1"/>
    <x v="48"/>
    <n v="75"/>
    <n v="57.66"/>
    <x v="1"/>
    <x v="1"/>
    <x v="113"/>
  </r>
  <r>
    <x v="2"/>
    <x v="5"/>
    <x v="6"/>
    <x v="6"/>
    <x v="6"/>
    <x v="1"/>
    <x v="6"/>
    <x v="6"/>
    <x v="6"/>
    <x v="6"/>
    <x v="1"/>
    <x v="0"/>
    <x v="599"/>
    <x v="6"/>
    <s v="1 ans et 2 mois"/>
    <n v="14"/>
    <x v="1"/>
    <x v="58"/>
    <n v="236"/>
    <n v="54.43"/>
    <x v="5"/>
    <x v="1"/>
    <x v="96"/>
  </r>
  <r>
    <x v="1"/>
    <x v="4"/>
    <x v="5"/>
    <x v="5"/>
    <x v="5"/>
    <x v="1"/>
    <x v="5"/>
    <x v="5"/>
    <x v="5"/>
    <x v="5"/>
    <x v="1"/>
    <x v="2"/>
    <x v="600"/>
    <x v="5"/>
    <s v="3 ans et 6 mois"/>
    <n v="42"/>
    <x v="0"/>
    <x v="350"/>
    <n v="448"/>
    <n v="49.02"/>
    <x v="2"/>
    <x v="0"/>
    <x v="137"/>
  </r>
  <r>
    <x v="0"/>
    <x v="8"/>
    <x v="11"/>
    <x v="11"/>
    <x v="11"/>
    <x v="1"/>
    <x v="11"/>
    <x v="11"/>
    <x v="11"/>
    <x v="11"/>
    <x v="0"/>
    <x v="2"/>
    <x v="601"/>
    <x v="11"/>
    <s v="9 ans et 3 mois"/>
    <n v="111"/>
    <x v="2"/>
    <x v="193"/>
    <n v="54"/>
    <n v="71.3"/>
    <x v="2"/>
    <x v="0"/>
    <x v="305"/>
  </r>
  <r>
    <x v="0"/>
    <x v="16"/>
    <x v="23"/>
    <x v="23"/>
    <x v="1"/>
    <x v="1"/>
    <x v="23"/>
    <x v="23"/>
    <x v="23"/>
    <x v="23"/>
    <x v="2"/>
    <x v="0"/>
    <x v="602"/>
    <x v="23"/>
    <s v="7 ans et 5 mois"/>
    <n v="89"/>
    <x v="1"/>
    <x v="139"/>
    <n v="381"/>
    <n v="68.17"/>
    <x v="2"/>
    <x v="1"/>
    <x v="77"/>
  </r>
  <r>
    <x v="2"/>
    <x v="5"/>
    <x v="6"/>
    <x v="6"/>
    <x v="6"/>
    <x v="1"/>
    <x v="6"/>
    <x v="6"/>
    <x v="6"/>
    <x v="6"/>
    <x v="1"/>
    <x v="0"/>
    <x v="603"/>
    <x v="6"/>
    <s v="7 ans et 9 mois"/>
    <n v="93"/>
    <x v="1"/>
    <x v="351"/>
    <n v="56"/>
    <n v="96.31"/>
    <x v="0"/>
    <x v="1"/>
    <x v="100"/>
  </r>
  <r>
    <x v="2"/>
    <x v="17"/>
    <x v="25"/>
    <x v="25"/>
    <x v="24"/>
    <x v="2"/>
    <x v="25"/>
    <x v="25"/>
    <x v="25"/>
    <x v="25"/>
    <x v="2"/>
    <x v="3"/>
    <x v="604"/>
    <x v="25"/>
    <s v="4 ans et 8 mois"/>
    <n v="56"/>
    <x v="3"/>
    <x v="231"/>
    <n v="123"/>
    <n v="29.76"/>
    <x v="3"/>
    <x v="0"/>
    <x v="289"/>
  </r>
  <r>
    <x v="1"/>
    <x v="2"/>
    <x v="17"/>
    <x v="17"/>
    <x v="17"/>
    <x v="0"/>
    <x v="17"/>
    <x v="17"/>
    <x v="17"/>
    <x v="17"/>
    <x v="2"/>
    <x v="1"/>
    <x v="605"/>
    <x v="17"/>
    <s v="2 ans et 5 mois"/>
    <n v="29"/>
    <x v="3"/>
    <x v="352"/>
    <n v="8"/>
    <n v="14.78"/>
    <x v="4"/>
    <x v="0"/>
    <x v="94"/>
  </r>
  <r>
    <x v="6"/>
    <x v="12"/>
    <x v="19"/>
    <x v="19"/>
    <x v="19"/>
    <x v="2"/>
    <x v="19"/>
    <x v="19"/>
    <x v="19"/>
    <x v="19"/>
    <x v="2"/>
    <x v="3"/>
    <x v="606"/>
    <x v="19"/>
    <s v="1 ans et 10 mois"/>
    <n v="22"/>
    <x v="1"/>
    <x v="324"/>
    <n v="457"/>
    <n v="13.21"/>
    <x v="1"/>
    <x v="1"/>
    <x v="306"/>
  </r>
  <r>
    <x v="0"/>
    <x v="13"/>
    <x v="20"/>
    <x v="20"/>
    <x v="20"/>
    <x v="2"/>
    <x v="20"/>
    <x v="20"/>
    <x v="20"/>
    <x v="20"/>
    <x v="2"/>
    <x v="2"/>
    <x v="607"/>
    <x v="20"/>
    <s v="1 ans et 0 mois"/>
    <n v="12"/>
    <x v="2"/>
    <x v="353"/>
    <n v="235"/>
    <n v="33.96"/>
    <x v="0"/>
    <x v="0"/>
    <x v="282"/>
  </r>
  <r>
    <x v="0"/>
    <x v="2"/>
    <x v="2"/>
    <x v="2"/>
    <x v="2"/>
    <x v="0"/>
    <x v="2"/>
    <x v="2"/>
    <x v="2"/>
    <x v="2"/>
    <x v="1"/>
    <x v="2"/>
    <x v="608"/>
    <x v="2"/>
    <s v="2 ans et 1 mois"/>
    <n v="25"/>
    <x v="0"/>
    <x v="118"/>
    <n v="95"/>
    <n v="15.93"/>
    <x v="0"/>
    <x v="0"/>
    <x v="90"/>
  </r>
  <r>
    <x v="5"/>
    <x v="9"/>
    <x v="18"/>
    <x v="18"/>
    <x v="18"/>
    <x v="2"/>
    <x v="18"/>
    <x v="18"/>
    <x v="18"/>
    <x v="18"/>
    <x v="2"/>
    <x v="1"/>
    <x v="609"/>
    <x v="18"/>
    <s v="7 ans et 9 mois"/>
    <n v="93"/>
    <x v="3"/>
    <x v="120"/>
    <n v="136"/>
    <n v="19.09"/>
    <x v="1"/>
    <x v="0"/>
    <x v="15"/>
  </r>
  <r>
    <x v="0"/>
    <x v="14"/>
    <x v="21"/>
    <x v="21"/>
    <x v="21"/>
    <x v="2"/>
    <x v="21"/>
    <x v="21"/>
    <x v="21"/>
    <x v="21"/>
    <x v="0"/>
    <x v="0"/>
    <x v="610"/>
    <x v="21"/>
    <s v="9 ans et 8 mois"/>
    <n v="116"/>
    <x v="3"/>
    <x v="117"/>
    <n v="14"/>
    <n v="30.38"/>
    <x v="1"/>
    <x v="0"/>
    <x v="263"/>
  </r>
  <r>
    <x v="0"/>
    <x v="2"/>
    <x v="2"/>
    <x v="2"/>
    <x v="2"/>
    <x v="0"/>
    <x v="2"/>
    <x v="2"/>
    <x v="2"/>
    <x v="2"/>
    <x v="1"/>
    <x v="2"/>
    <x v="611"/>
    <x v="2"/>
    <s v="8 ans et 8 mois"/>
    <n v="104"/>
    <x v="0"/>
    <x v="329"/>
    <n v="243"/>
    <n v="65.819999999999993"/>
    <x v="2"/>
    <x v="0"/>
    <x v="118"/>
  </r>
  <r>
    <x v="3"/>
    <x v="4"/>
    <x v="16"/>
    <x v="16"/>
    <x v="16"/>
    <x v="2"/>
    <x v="16"/>
    <x v="16"/>
    <x v="16"/>
    <x v="16"/>
    <x v="1"/>
    <x v="2"/>
    <x v="612"/>
    <x v="16"/>
    <s v="4 ans et 0 mois"/>
    <n v="48"/>
    <x v="3"/>
    <x v="106"/>
    <n v="338"/>
    <n v="74.42"/>
    <x v="2"/>
    <x v="0"/>
    <x v="307"/>
  </r>
  <r>
    <x v="1"/>
    <x v="4"/>
    <x v="5"/>
    <x v="5"/>
    <x v="5"/>
    <x v="1"/>
    <x v="5"/>
    <x v="5"/>
    <x v="5"/>
    <x v="5"/>
    <x v="1"/>
    <x v="2"/>
    <x v="613"/>
    <x v="5"/>
    <s v="8 ans et 9 mois"/>
    <n v="105"/>
    <x v="2"/>
    <x v="354"/>
    <n v="271"/>
    <n v="45.27"/>
    <x v="4"/>
    <x v="0"/>
    <x v="308"/>
  </r>
  <r>
    <x v="2"/>
    <x v="5"/>
    <x v="6"/>
    <x v="6"/>
    <x v="6"/>
    <x v="1"/>
    <x v="6"/>
    <x v="6"/>
    <x v="6"/>
    <x v="6"/>
    <x v="1"/>
    <x v="0"/>
    <x v="614"/>
    <x v="6"/>
    <s v="9 ans et 8 mois"/>
    <n v="116"/>
    <x v="2"/>
    <x v="64"/>
    <n v="231"/>
    <n v="19.12"/>
    <x v="3"/>
    <x v="0"/>
    <x v="15"/>
  </r>
  <r>
    <x v="0"/>
    <x v="2"/>
    <x v="8"/>
    <x v="8"/>
    <x v="8"/>
    <x v="0"/>
    <x v="8"/>
    <x v="8"/>
    <x v="8"/>
    <x v="8"/>
    <x v="1"/>
    <x v="2"/>
    <x v="615"/>
    <x v="8"/>
    <s v="5 ans et 9 mois"/>
    <n v="69"/>
    <x v="0"/>
    <x v="219"/>
    <n v="180"/>
    <n v="76.05"/>
    <x v="4"/>
    <x v="0"/>
    <x v="309"/>
  </r>
  <r>
    <x v="1"/>
    <x v="9"/>
    <x v="12"/>
    <x v="12"/>
    <x v="12"/>
    <x v="1"/>
    <x v="12"/>
    <x v="12"/>
    <x v="12"/>
    <x v="12"/>
    <x v="0"/>
    <x v="3"/>
    <x v="616"/>
    <x v="12"/>
    <s v="0 ans et 1 mois"/>
    <n v="1"/>
    <x v="0"/>
    <x v="355"/>
    <n v="135"/>
    <n v="89.16"/>
    <x v="5"/>
    <x v="0"/>
    <x v="192"/>
  </r>
  <r>
    <x v="2"/>
    <x v="11"/>
    <x v="14"/>
    <x v="14"/>
    <x v="14"/>
    <x v="2"/>
    <x v="14"/>
    <x v="14"/>
    <x v="14"/>
    <x v="14"/>
    <x v="2"/>
    <x v="3"/>
    <x v="617"/>
    <x v="14"/>
    <s v="10 ans et 0 mois"/>
    <n v="120"/>
    <x v="1"/>
    <x v="12"/>
    <n v="60"/>
    <n v="34.14"/>
    <x v="5"/>
    <x v="1"/>
    <x v="310"/>
  </r>
  <r>
    <x v="0"/>
    <x v="8"/>
    <x v="11"/>
    <x v="11"/>
    <x v="11"/>
    <x v="1"/>
    <x v="11"/>
    <x v="11"/>
    <x v="11"/>
    <x v="11"/>
    <x v="0"/>
    <x v="2"/>
    <x v="618"/>
    <x v="11"/>
    <s v="7 ans et 5 mois"/>
    <n v="89"/>
    <x v="0"/>
    <x v="254"/>
    <n v="474"/>
    <n v="28.51"/>
    <x v="3"/>
    <x v="0"/>
    <x v="76"/>
  </r>
  <r>
    <x v="1"/>
    <x v="1"/>
    <x v="1"/>
    <x v="1"/>
    <x v="1"/>
    <x v="1"/>
    <x v="1"/>
    <x v="1"/>
    <x v="1"/>
    <x v="1"/>
    <x v="0"/>
    <x v="1"/>
    <x v="619"/>
    <x v="1"/>
    <s v="9 ans et 4 mois"/>
    <n v="112"/>
    <x v="2"/>
    <x v="356"/>
    <n v="281"/>
    <n v="80.72"/>
    <x v="4"/>
    <x v="0"/>
    <x v="311"/>
  </r>
  <r>
    <x v="3"/>
    <x v="6"/>
    <x v="7"/>
    <x v="7"/>
    <x v="7"/>
    <x v="0"/>
    <x v="7"/>
    <x v="7"/>
    <x v="7"/>
    <x v="7"/>
    <x v="2"/>
    <x v="3"/>
    <x v="620"/>
    <x v="7"/>
    <s v="0 ans et 7 mois"/>
    <n v="7"/>
    <x v="0"/>
    <x v="26"/>
    <n v="43"/>
    <n v="41.29"/>
    <x v="0"/>
    <x v="0"/>
    <x v="293"/>
  </r>
  <r>
    <x v="1"/>
    <x v="2"/>
    <x v="17"/>
    <x v="17"/>
    <x v="17"/>
    <x v="0"/>
    <x v="17"/>
    <x v="17"/>
    <x v="17"/>
    <x v="17"/>
    <x v="2"/>
    <x v="1"/>
    <x v="621"/>
    <x v="17"/>
    <s v="2 ans et 10 mois"/>
    <n v="34"/>
    <x v="2"/>
    <x v="296"/>
    <n v="181"/>
    <n v="35.92"/>
    <x v="4"/>
    <x v="0"/>
    <x v="280"/>
  </r>
  <r>
    <x v="0"/>
    <x v="7"/>
    <x v="10"/>
    <x v="10"/>
    <x v="10"/>
    <x v="1"/>
    <x v="10"/>
    <x v="10"/>
    <x v="10"/>
    <x v="10"/>
    <x v="2"/>
    <x v="3"/>
    <x v="622"/>
    <x v="10"/>
    <s v="9 ans et 6 mois"/>
    <n v="114"/>
    <x v="1"/>
    <x v="357"/>
    <n v="220"/>
    <n v="63.67"/>
    <x v="3"/>
    <x v="1"/>
    <x v="142"/>
  </r>
  <r>
    <x v="3"/>
    <x v="4"/>
    <x v="16"/>
    <x v="16"/>
    <x v="16"/>
    <x v="2"/>
    <x v="16"/>
    <x v="16"/>
    <x v="16"/>
    <x v="16"/>
    <x v="1"/>
    <x v="2"/>
    <x v="623"/>
    <x v="16"/>
    <s v="8 ans et 5 mois"/>
    <n v="101"/>
    <x v="1"/>
    <x v="73"/>
    <n v="108"/>
    <n v="76.05"/>
    <x v="5"/>
    <x v="1"/>
    <x v="312"/>
  </r>
  <r>
    <x v="1"/>
    <x v="8"/>
    <x v="24"/>
    <x v="24"/>
    <x v="23"/>
    <x v="1"/>
    <x v="24"/>
    <x v="24"/>
    <x v="24"/>
    <x v="24"/>
    <x v="0"/>
    <x v="3"/>
    <x v="624"/>
    <x v="24"/>
    <s v="0 ans et 6 mois"/>
    <n v="6"/>
    <x v="2"/>
    <x v="358"/>
    <n v="77"/>
    <n v="18.48"/>
    <x v="4"/>
    <x v="0"/>
    <x v="120"/>
  </r>
  <r>
    <x v="4"/>
    <x v="4"/>
    <x v="9"/>
    <x v="9"/>
    <x v="9"/>
    <x v="2"/>
    <x v="9"/>
    <x v="9"/>
    <x v="9"/>
    <x v="9"/>
    <x v="2"/>
    <x v="2"/>
    <x v="625"/>
    <x v="9"/>
    <s v="1 ans et 3 mois"/>
    <n v="15"/>
    <x v="1"/>
    <x v="251"/>
    <n v="203"/>
    <n v="55.29"/>
    <x v="4"/>
    <x v="1"/>
    <x v="112"/>
  </r>
  <r>
    <x v="0"/>
    <x v="13"/>
    <x v="20"/>
    <x v="20"/>
    <x v="20"/>
    <x v="2"/>
    <x v="20"/>
    <x v="20"/>
    <x v="20"/>
    <x v="20"/>
    <x v="2"/>
    <x v="2"/>
    <x v="626"/>
    <x v="20"/>
    <s v="0 ans et 7 mois"/>
    <n v="7"/>
    <x v="0"/>
    <x v="300"/>
    <n v="257"/>
    <n v="73.040000000000006"/>
    <x v="5"/>
    <x v="0"/>
    <x v="313"/>
  </r>
  <r>
    <x v="0"/>
    <x v="2"/>
    <x v="8"/>
    <x v="8"/>
    <x v="8"/>
    <x v="0"/>
    <x v="8"/>
    <x v="8"/>
    <x v="8"/>
    <x v="8"/>
    <x v="1"/>
    <x v="2"/>
    <x v="627"/>
    <x v="8"/>
    <s v="3 ans et 3 mois"/>
    <n v="39"/>
    <x v="3"/>
    <x v="357"/>
    <n v="220"/>
    <n v="52.91"/>
    <x v="2"/>
    <x v="0"/>
    <x v="278"/>
  </r>
  <r>
    <x v="5"/>
    <x v="9"/>
    <x v="18"/>
    <x v="18"/>
    <x v="18"/>
    <x v="2"/>
    <x v="18"/>
    <x v="18"/>
    <x v="18"/>
    <x v="18"/>
    <x v="2"/>
    <x v="1"/>
    <x v="628"/>
    <x v="18"/>
    <s v="0 ans et 10 mois"/>
    <n v="10"/>
    <x v="2"/>
    <x v="116"/>
    <n v="260"/>
    <n v="37.479999999999997"/>
    <x v="4"/>
    <x v="0"/>
    <x v="314"/>
  </r>
  <r>
    <x v="1"/>
    <x v="8"/>
    <x v="24"/>
    <x v="24"/>
    <x v="23"/>
    <x v="1"/>
    <x v="24"/>
    <x v="24"/>
    <x v="24"/>
    <x v="24"/>
    <x v="0"/>
    <x v="3"/>
    <x v="629"/>
    <x v="24"/>
    <s v="2 ans et 10 mois"/>
    <n v="34"/>
    <x v="3"/>
    <x v="359"/>
    <n v="170"/>
    <n v="91.6"/>
    <x v="4"/>
    <x v="0"/>
    <x v="34"/>
  </r>
  <r>
    <x v="3"/>
    <x v="4"/>
    <x v="16"/>
    <x v="16"/>
    <x v="16"/>
    <x v="2"/>
    <x v="16"/>
    <x v="16"/>
    <x v="16"/>
    <x v="16"/>
    <x v="1"/>
    <x v="2"/>
    <x v="630"/>
    <x v="16"/>
    <s v="3 ans et 7 mois"/>
    <n v="43"/>
    <x v="3"/>
    <x v="62"/>
    <n v="27"/>
    <n v="31.48"/>
    <x v="3"/>
    <x v="0"/>
    <x v="148"/>
  </r>
  <r>
    <x v="1"/>
    <x v="9"/>
    <x v="12"/>
    <x v="12"/>
    <x v="12"/>
    <x v="1"/>
    <x v="12"/>
    <x v="12"/>
    <x v="12"/>
    <x v="12"/>
    <x v="0"/>
    <x v="3"/>
    <x v="631"/>
    <x v="12"/>
    <s v="7 ans et 5 mois"/>
    <n v="89"/>
    <x v="1"/>
    <x v="264"/>
    <n v="225"/>
    <n v="38.36"/>
    <x v="4"/>
    <x v="1"/>
    <x v="8"/>
  </r>
  <r>
    <x v="1"/>
    <x v="11"/>
    <x v="15"/>
    <x v="15"/>
    <x v="15"/>
    <x v="1"/>
    <x v="15"/>
    <x v="15"/>
    <x v="15"/>
    <x v="15"/>
    <x v="1"/>
    <x v="2"/>
    <x v="632"/>
    <x v="15"/>
    <s v="6 ans et 7 mois"/>
    <n v="79"/>
    <x v="2"/>
    <x v="360"/>
    <n v="139"/>
    <n v="16.25"/>
    <x v="0"/>
    <x v="0"/>
    <x v="71"/>
  </r>
  <r>
    <x v="0"/>
    <x v="2"/>
    <x v="2"/>
    <x v="2"/>
    <x v="2"/>
    <x v="0"/>
    <x v="2"/>
    <x v="2"/>
    <x v="2"/>
    <x v="2"/>
    <x v="1"/>
    <x v="2"/>
    <x v="633"/>
    <x v="2"/>
    <s v="8 ans et 6 mois"/>
    <n v="102"/>
    <x v="0"/>
    <x v="361"/>
    <n v="189"/>
    <n v="26.86"/>
    <x v="3"/>
    <x v="0"/>
    <x v="93"/>
  </r>
  <r>
    <x v="0"/>
    <x v="13"/>
    <x v="20"/>
    <x v="20"/>
    <x v="20"/>
    <x v="2"/>
    <x v="20"/>
    <x v="20"/>
    <x v="20"/>
    <x v="20"/>
    <x v="2"/>
    <x v="2"/>
    <x v="634"/>
    <x v="20"/>
    <s v="8 ans et 8 mois"/>
    <n v="104"/>
    <x v="2"/>
    <x v="362"/>
    <n v="50"/>
    <n v="90.99"/>
    <x v="0"/>
    <x v="0"/>
    <x v="138"/>
  </r>
  <r>
    <x v="1"/>
    <x v="2"/>
    <x v="17"/>
    <x v="17"/>
    <x v="17"/>
    <x v="0"/>
    <x v="17"/>
    <x v="17"/>
    <x v="17"/>
    <x v="17"/>
    <x v="2"/>
    <x v="1"/>
    <x v="635"/>
    <x v="17"/>
    <s v="4 ans et 1 mois"/>
    <n v="49"/>
    <x v="2"/>
    <x v="363"/>
    <n v="25"/>
    <n v="22.77"/>
    <x v="5"/>
    <x v="0"/>
    <x v="54"/>
  </r>
  <r>
    <x v="0"/>
    <x v="0"/>
    <x v="0"/>
    <x v="0"/>
    <x v="0"/>
    <x v="0"/>
    <x v="0"/>
    <x v="0"/>
    <x v="0"/>
    <x v="0"/>
    <x v="0"/>
    <x v="0"/>
    <x v="636"/>
    <x v="0"/>
    <s v="2 ans et 11 mois"/>
    <n v="35"/>
    <x v="3"/>
    <x v="59"/>
    <n v="332"/>
    <n v="11.15"/>
    <x v="2"/>
    <x v="0"/>
    <x v="300"/>
  </r>
  <r>
    <x v="2"/>
    <x v="17"/>
    <x v="25"/>
    <x v="25"/>
    <x v="24"/>
    <x v="2"/>
    <x v="25"/>
    <x v="25"/>
    <x v="25"/>
    <x v="25"/>
    <x v="2"/>
    <x v="3"/>
    <x v="637"/>
    <x v="25"/>
    <s v="7 ans et 6 mois"/>
    <n v="90"/>
    <x v="1"/>
    <x v="364"/>
    <n v="195"/>
    <n v="52.71"/>
    <x v="4"/>
    <x v="1"/>
    <x v="167"/>
  </r>
  <r>
    <x v="1"/>
    <x v="9"/>
    <x v="12"/>
    <x v="12"/>
    <x v="12"/>
    <x v="1"/>
    <x v="12"/>
    <x v="12"/>
    <x v="12"/>
    <x v="12"/>
    <x v="0"/>
    <x v="3"/>
    <x v="638"/>
    <x v="12"/>
    <s v="1 ans et 10 mois"/>
    <n v="22"/>
    <x v="1"/>
    <x v="365"/>
    <n v="374"/>
    <n v="40.06"/>
    <x v="3"/>
    <x v="1"/>
    <x v="140"/>
  </r>
  <r>
    <x v="1"/>
    <x v="4"/>
    <x v="5"/>
    <x v="5"/>
    <x v="5"/>
    <x v="1"/>
    <x v="5"/>
    <x v="5"/>
    <x v="5"/>
    <x v="5"/>
    <x v="1"/>
    <x v="2"/>
    <x v="639"/>
    <x v="5"/>
    <s v="9 ans et 11 mois"/>
    <n v="119"/>
    <x v="2"/>
    <x v="198"/>
    <n v="475"/>
    <n v="25.98"/>
    <x v="0"/>
    <x v="0"/>
    <x v="315"/>
  </r>
  <r>
    <x v="2"/>
    <x v="11"/>
    <x v="14"/>
    <x v="14"/>
    <x v="14"/>
    <x v="2"/>
    <x v="14"/>
    <x v="14"/>
    <x v="14"/>
    <x v="14"/>
    <x v="2"/>
    <x v="3"/>
    <x v="640"/>
    <x v="14"/>
    <s v="1 ans et 6 mois"/>
    <n v="18"/>
    <x v="1"/>
    <x v="143"/>
    <n v="216"/>
    <n v="33.74"/>
    <x v="3"/>
    <x v="1"/>
    <x v="310"/>
  </r>
  <r>
    <x v="4"/>
    <x v="4"/>
    <x v="9"/>
    <x v="9"/>
    <x v="9"/>
    <x v="2"/>
    <x v="9"/>
    <x v="9"/>
    <x v="9"/>
    <x v="9"/>
    <x v="2"/>
    <x v="2"/>
    <x v="641"/>
    <x v="9"/>
    <s v="6 ans et 3 mois"/>
    <n v="75"/>
    <x v="2"/>
    <x v="282"/>
    <n v="99"/>
    <n v="16.93"/>
    <x v="3"/>
    <x v="0"/>
    <x v="312"/>
  </r>
  <r>
    <x v="1"/>
    <x v="11"/>
    <x v="15"/>
    <x v="15"/>
    <x v="15"/>
    <x v="1"/>
    <x v="15"/>
    <x v="15"/>
    <x v="15"/>
    <x v="15"/>
    <x v="1"/>
    <x v="2"/>
    <x v="642"/>
    <x v="15"/>
    <s v="4 ans et 11 mois"/>
    <n v="59"/>
    <x v="0"/>
    <x v="322"/>
    <n v="150"/>
    <n v="71.13"/>
    <x v="2"/>
    <x v="0"/>
    <x v="56"/>
  </r>
  <r>
    <x v="2"/>
    <x v="11"/>
    <x v="14"/>
    <x v="14"/>
    <x v="14"/>
    <x v="2"/>
    <x v="14"/>
    <x v="14"/>
    <x v="14"/>
    <x v="14"/>
    <x v="2"/>
    <x v="3"/>
    <x v="643"/>
    <x v="14"/>
    <s v="1 ans et 4 mois"/>
    <n v="16"/>
    <x v="3"/>
    <x v="312"/>
    <n v="96"/>
    <n v="86.78"/>
    <x v="1"/>
    <x v="0"/>
    <x v="316"/>
  </r>
  <r>
    <x v="2"/>
    <x v="5"/>
    <x v="6"/>
    <x v="6"/>
    <x v="6"/>
    <x v="1"/>
    <x v="6"/>
    <x v="6"/>
    <x v="6"/>
    <x v="6"/>
    <x v="1"/>
    <x v="0"/>
    <x v="644"/>
    <x v="6"/>
    <s v="1 ans et 5 mois"/>
    <n v="17"/>
    <x v="1"/>
    <x v="196"/>
    <n v="206"/>
    <n v="63.46"/>
    <x v="5"/>
    <x v="1"/>
    <x v="1"/>
  </r>
  <r>
    <x v="7"/>
    <x v="15"/>
    <x v="22"/>
    <x v="22"/>
    <x v="22"/>
    <x v="0"/>
    <x v="22"/>
    <x v="22"/>
    <x v="22"/>
    <x v="22"/>
    <x v="0"/>
    <x v="2"/>
    <x v="645"/>
    <x v="22"/>
    <s v="3 ans et 5 mois"/>
    <n v="41"/>
    <x v="2"/>
    <x v="320"/>
    <n v="90"/>
    <n v="97.26"/>
    <x v="1"/>
    <x v="0"/>
    <x v="23"/>
  </r>
  <r>
    <x v="0"/>
    <x v="2"/>
    <x v="2"/>
    <x v="2"/>
    <x v="2"/>
    <x v="0"/>
    <x v="2"/>
    <x v="2"/>
    <x v="2"/>
    <x v="2"/>
    <x v="1"/>
    <x v="2"/>
    <x v="646"/>
    <x v="2"/>
    <s v="9 ans et 3 mois"/>
    <n v="111"/>
    <x v="3"/>
    <x v="70"/>
    <n v="304"/>
    <n v="62.48"/>
    <x v="3"/>
    <x v="0"/>
    <x v="165"/>
  </r>
  <r>
    <x v="2"/>
    <x v="5"/>
    <x v="6"/>
    <x v="6"/>
    <x v="6"/>
    <x v="1"/>
    <x v="6"/>
    <x v="6"/>
    <x v="6"/>
    <x v="6"/>
    <x v="1"/>
    <x v="0"/>
    <x v="647"/>
    <x v="6"/>
    <s v="1 ans et 7 mois"/>
    <n v="19"/>
    <x v="0"/>
    <x v="292"/>
    <n v="141"/>
    <n v="53.95"/>
    <x v="1"/>
    <x v="0"/>
    <x v="195"/>
  </r>
  <r>
    <x v="3"/>
    <x v="6"/>
    <x v="7"/>
    <x v="7"/>
    <x v="7"/>
    <x v="0"/>
    <x v="7"/>
    <x v="7"/>
    <x v="7"/>
    <x v="7"/>
    <x v="2"/>
    <x v="3"/>
    <x v="648"/>
    <x v="7"/>
    <s v="1 ans et 8 mois"/>
    <n v="20"/>
    <x v="0"/>
    <x v="237"/>
    <n v="297"/>
    <n v="14.77"/>
    <x v="2"/>
    <x v="0"/>
    <x v="18"/>
  </r>
  <r>
    <x v="0"/>
    <x v="0"/>
    <x v="0"/>
    <x v="0"/>
    <x v="0"/>
    <x v="0"/>
    <x v="0"/>
    <x v="0"/>
    <x v="0"/>
    <x v="0"/>
    <x v="0"/>
    <x v="0"/>
    <x v="649"/>
    <x v="0"/>
    <s v="5 ans et 7 mois"/>
    <n v="67"/>
    <x v="3"/>
    <x v="18"/>
    <n v="262"/>
    <n v="28.46"/>
    <x v="5"/>
    <x v="0"/>
    <x v="76"/>
  </r>
  <r>
    <x v="1"/>
    <x v="1"/>
    <x v="1"/>
    <x v="1"/>
    <x v="1"/>
    <x v="1"/>
    <x v="1"/>
    <x v="1"/>
    <x v="1"/>
    <x v="1"/>
    <x v="0"/>
    <x v="1"/>
    <x v="650"/>
    <x v="1"/>
    <s v="3 ans et 2 mois"/>
    <n v="38"/>
    <x v="2"/>
    <x v="122"/>
    <n v="191"/>
    <n v="22.97"/>
    <x v="5"/>
    <x v="0"/>
    <x v="55"/>
  </r>
  <r>
    <x v="4"/>
    <x v="4"/>
    <x v="9"/>
    <x v="9"/>
    <x v="9"/>
    <x v="2"/>
    <x v="9"/>
    <x v="9"/>
    <x v="9"/>
    <x v="9"/>
    <x v="2"/>
    <x v="2"/>
    <x v="651"/>
    <x v="9"/>
    <s v="6 ans et 8 mois"/>
    <n v="80"/>
    <x v="0"/>
    <x v="366"/>
    <n v="65"/>
    <n v="76.64"/>
    <x v="5"/>
    <x v="0"/>
    <x v="317"/>
  </r>
  <r>
    <x v="0"/>
    <x v="3"/>
    <x v="4"/>
    <x v="4"/>
    <x v="4"/>
    <x v="1"/>
    <x v="4"/>
    <x v="4"/>
    <x v="4"/>
    <x v="4"/>
    <x v="1"/>
    <x v="2"/>
    <x v="652"/>
    <x v="4"/>
    <s v="6 ans et 0 mois"/>
    <n v="72"/>
    <x v="1"/>
    <x v="86"/>
    <n v="317"/>
    <n v="54.58"/>
    <x v="1"/>
    <x v="1"/>
    <x v="112"/>
  </r>
  <r>
    <x v="3"/>
    <x v="6"/>
    <x v="7"/>
    <x v="7"/>
    <x v="7"/>
    <x v="0"/>
    <x v="7"/>
    <x v="7"/>
    <x v="7"/>
    <x v="7"/>
    <x v="2"/>
    <x v="3"/>
    <x v="653"/>
    <x v="7"/>
    <s v="7 ans et 2 mois"/>
    <n v="86"/>
    <x v="3"/>
    <x v="260"/>
    <n v="278"/>
    <n v="30.12"/>
    <x v="2"/>
    <x v="0"/>
    <x v="318"/>
  </r>
  <r>
    <x v="0"/>
    <x v="2"/>
    <x v="8"/>
    <x v="8"/>
    <x v="8"/>
    <x v="0"/>
    <x v="8"/>
    <x v="8"/>
    <x v="8"/>
    <x v="8"/>
    <x v="1"/>
    <x v="2"/>
    <x v="654"/>
    <x v="8"/>
    <s v="1 ans et 9 mois"/>
    <n v="21"/>
    <x v="2"/>
    <x v="53"/>
    <n v="460"/>
    <n v="70.81"/>
    <x v="4"/>
    <x v="0"/>
    <x v="319"/>
  </r>
  <r>
    <x v="0"/>
    <x v="3"/>
    <x v="4"/>
    <x v="4"/>
    <x v="4"/>
    <x v="1"/>
    <x v="4"/>
    <x v="4"/>
    <x v="4"/>
    <x v="4"/>
    <x v="1"/>
    <x v="2"/>
    <x v="655"/>
    <x v="4"/>
    <s v="3 ans et 3 mois"/>
    <n v="39"/>
    <x v="1"/>
    <x v="367"/>
    <n v="289"/>
    <n v="86.7"/>
    <x v="5"/>
    <x v="1"/>
    <x v="168"/>
  </r>
  <r>
    <x v="0"/>
    <x v="13"/>
    <x v="20"/>
    <x v="20"/>
    <x v="20"/>
    <x v="2"/>
    <x v="20"/>
    <x v="20"/>
    <x v="20"/>
    <x v="20"/>
    <x v="2"/>
    <x v="2"/>
    <x v="656"/>
    <x v="20"/>
    <s v="5 ans et 3 mois"/>
    <n v="63"/>
    <x v="1"/>
    <x v="368"/>
    <n v="449"/>
    <n v="37.08"/>
    <x v="2"/>
    <x v="1"/>
    <x v="143"/>
  </r>
  <r>
    <x v="1"/>
    <x v="4"/>
    <x v="5"/>
    <x v="5"/>
    <x v="5"/>
    <x v="1"/>
    <x v="5"/>
    <x v="5"/>
    <x v="5"/>
    <x v="5"/>
    <x v="1"/>
    <x v="2"/>
    <x v="657"/>
    <x v="5"/>
    <s v="3 ans et 1 mois"/>
    <n v="37"/>
    <x v="1"/>
    <x v="322"/>
    <n v="150"/>
    <n v="37.979999999999997"/>
    <x v="0"/>
    <x v="1"/>
    <x v="8"/>
  </r>
  <r>
    <x v="2"/>
    <x v="11"/>
    <x v="14"/>
    <x v="14"/>
    <x v="14"/>
    <x v="2"/>
    <x v="14"/>
    <x v="14"/>
    <x v="14"/>
    <x v="14"/>
    <x v="2"/>
    <x v="3"/>
    <x v="658"/>
    <x v="14"/>
    <s v="0 ans et 9 mois"/>
    <n v="9"/>
    <x v="0"/>
    <x v="62"/>
    <n v="27"/>
    <n v="99.02"/>
    <x v="5"/>
    <x v="0"/>
    <x v="320"/>
  </r>
  <r>
    <x v="0"/>
    <x v="7"/>
    <x v="10"/>
    <x v="10"/>
    <x v="10"/>
    <x v="1"/>
    <x v="10"/>
    <x v="10"/>
    <x v="10"/>
    <x v="10"/>
    <x v="2"/>
    <x v="3"/>
    <x v="659"/>
    <x v="10"/>
    <s v="8 ans et 7 mois"/>
    <n v="103"/>
    <x v="3"/>
    <x v="369"/>
    <n v="386"/>
    <n v="10.58"/>
    <x v="2"/>
    <x v="0"/>
    <x v="321"/>
  </r>
  <r>
    <x v="1"/>
    <x v="4"/>
    <x v="5"/>
    <x v="5"/>
    <x v="5"/>
    <x v="1"/>
    <x v="5"/>
    <x v="5"/>
    <x v="5"/>
    <x v="5"/>
    <x v="1"/>
    <x v="2"/>
    <x v="660"/>
    <x v="5"/>
    <s v="3 ans et 2 mois"/>
    <n v="38"/>
    <x v="3"/>
    <x v="370"/>
    <n v="432"/>
    <n v="53.65"/>
    <x v="0"/>
    <x v="0"/>
    <x v="135"/>
  </r>
  <r>
    <x v="1"/>
    <x v="2"/>
    <x v="3"/>
    <x v="3"/>
    <x v="3"/>
    <x v="2"/>
    <x v="3"/>
    <x v="3"/>
    <x v="3"/>
    <x v="3"/>
    <x v="1"/>
    <x v="0"/>
    <x v="661"/>
    <x v="3"/>
    <s v="0 ans et 2 mois"/>
    <n v="2"/>
    <x v="3"/>
    <x v="371"/>
    <n v="201"/>
    <n v="71.900000000000006"/>
    <x v="4"/>
    <x v="0"/>
    <x v="264"/>
  </r>
  <r>
    <x v="5"/>
    <x v="9"/>
    <x v="18"/>
    <x v="18"/>
    <x v="18"/>
    <x v="2"/>
    <x v="18"/>
    <x v="18"/>
    <x v="18"/>
    <x v="18"/>
    <x v="2"/>
    <x v="1"/>
    <x v="662"/>
    <x v="18"/>
    <s v="4 ans et 11 mois"/>
    <n v="59"/>
    <x v="2"/>
    <x v="281"/>
    <n v="64"/>
    <n v="20.32"/>
    <x v="2"/>
    <x v="0"/>
    <x v="67"/>
  </r>
  <r>
    <x v="2"/>
    <x v="17"/>
    <x v="25"/>
    <x v="25"/>
    <x v="24"/>
    <x v="2"/>
    <x v="25"/>
    <x v="25"/>
    <x v="25"/>
    <x v="25"/>
    <x v="2"/>
    <x v="3"/>
    <x v="663"/>
    <x v="25"/>
    <s v="0 ans et 6 mois"/>
    <n v="6"/>
    <x v="1"/>
    <x v="196"/>
    <n v="206"/>
    <n v="10"/>
    <x v="3"/>
    <x v="1"/>
    <x v="107"/>
  </r>
  <r>
    <x v="0"/>
    <x v="14"/>
    <x v="21"/>
    <x v="21"/>
    <x v="21"/>
    <x v="2"/>
    <x v="21"/>
    <x v="21"/>
    <x v="21"/>
    <x v="21"/>
    <x v="0"/>
    <x v="0"/>
    <x v="664"/>
    <x v="21"/>
    <s v="2 ans et 4 mois"/>
    <n v="28"/>
    <x v="3"/>
    <x v="255"/>
    <n v="343"/>
    <n v="64.34"/>
    <x v="3"/>
    <x v="0"/>
    <x v="99"/>
  </r>
  <r>
    <x v="0"/>
    <x v="10"/>
    <x v="13"/>
    <x v="13"/>
    <x v="13"/>
    <x v="0"/>
    <x v="13"/>
    <x v="13"/>
    <x v="13"/>
    <x v="13"/>
    <x v="2"/>
    <x v="3"/>
    <x v="665"/>
    <x v="13"/>
    <s v="3 ans et 1 mois"/>
    <n v="37"/>
    <x v="2"/>
    <x v="135"/>
    <n v="3"/>
    <n v="20.89"/>
    <x v="3"/>
    <x v="0"/>
    <x v="322"/>
  </r>
  <r>
    <x v="0"/>
    <x v="7"/>
    <x v="10"/>
    <x v="10"/>
    <x v="10"/>
    <x v="1"/>
    <x v="10"/>
    <x v="10"/>
    <x v="10"/>
    <x v="10"/>
    <x v="2"/>
    <x v="3"/>
    <x v="666"/>
    <x v="10"/>
    <s v="8 ans et 10 mois"/>
    <n v="106"/>
    <x v="2"/>
    <x v="58"/>
    <n v="236"/>
    <n v="18.72"/>
    <x v="0"/>
    <x v="0"/>
    <x v="206"/>
  </r>
  <r>
    <x v="1"/>
    <x v="2"/>
    <x v="3"/>
    <x v="3"/>
    <x v="3"/>
    <x v="2"/>
    <x v="3"/>
    <x v="3"/>
    <x v="3"/>
    <x v="3"/>
    <x v="1"/>
    <x v="0"/>
    <x v="667"/>
    <x v="3"/>
    <s v="6 ans et 4 mois"/>
    <n v="76"/>
    <x v="3"/>
    <x v="372"/>
    <n v="413"/>
    <n v="28.39"/>
    <x v="5"/>
    <x v="0"/>
    <x v="76"/>
  </r>
  <r>
    <x v="4"/>
    <x v="4"/>
    <x v="9"/>
    <x v="9"/>
    <x v="9"/>
    <x v="2"/>
    <x v="9"/>
    <x v="9"/>
    <x v="9"/>
    <x v="9"/>
    <x v="2"/>
    <x v="2"/>
    <x v="668"/>
    <x v="9"/>
    <s v="1 ans et 4 mois"/>
    <n v="16"/>
    <x v="2"/>
    <x v="289"/>
    <n v="390"/>
    <n v="52.64"/>
    <x v="2"/>
    <x v="0"/>
    <x v="323"/>
  </r>
  <r>
    <x v="3"/>
    <x v="4"/>
    <x v="16"/>
    <x v="16"/>
    <x v="16"/>
    <x v="2"/>
    <x v="16"/>
    <x v="16"/>
    <x v="16"/>
    <x v="16"/>
    <x v="1"/>
    <x v="2"/>
    <x v="669"/>
    <x v="16"/>
    <s v="0 ans et 7 mois"/>
    <n v="7"/>
    <x v="1"/>
    <x v="200"/>
    <n v="447"/>
    <n v="84.95"/>
    <x v="4"/>
    <x v="1"/>
    <x v="104"/>
  </r>
  <r>
    <x v="0"/>
    <x v="13"/>
    <x v="20"/>
    <x v="20"/>
    <x v="20"/>
    <x v="2"/>
    <x v="20"/>
    <x v="20"/>
    <x v="20"/>
    <x v="20"/>
    <x v="2"/>
    <x v="2"/>
    <x v="670"/>
    <x v="20"/>
    <s v="5 ans et 3 mois"/>
    <n v="63"/>
    <x v="2"/>
    <x v="342"/>
    <n v="265"/>
    <n v="49.94"/>
    <x v="1"/>
    <x v="0"/>
    <x v="324"/>
  </r>
  <r>
    <x v="0"/>
    <x v="16"/>
    <x v="23"/>
    <x v="23"/>
    <x v="1"/>
    <x v="1"/>
    <x v="23"/>
    <x v="23"/>
    <x v="23"/>
    <x v="23"/>
    <x v="2"/>
    <x v="0"/>
    <x v="671"/>
    <x v="23"/>
    <s v="3 ans et 4 mois"/>
    <n v="40"/>
    <x v="3"/>
    <x v="353"/>
    <n v="235"/>
    <n v="15.01"/>
    <x v="5"/>
    <x v="0"/>
    <x v="77"/>
  </r>
  <r>
    <x v="1"/>
    <x v="1"/>
    <x v="1"/>
    <x v="1"/>
    <x v="1"/>
    <x v="1"/>
    <x v="1"/>
    <x v="1"/>
    <x v="1"/>
    <x v="1"/>
    <x v="0"/>
    <x v="1"/>
    <x v="672"/>
    <x v="1"/>
    <s v="0 ans et 1 mois"/>
    <n v="1"/>
    <x v="3"/>
    <x v="108"/>
    <n v="429"/>
    <n v="20.96"/>
    <x v="3"/>
    <x v="0"/>
    <x v="322"/>
  </r>
  <r>
    <x v="0"/>
    <x v="7"/>
    <x v="10"/>
    <x v="10"/>
    <x v="10"/>
    <x v="1"/>
    <x v="10"/>
    <x v="10"/>
    <x v="10"/>
    <x v="10"/>
    <x v="2"/>
    <x v="3"/>
    <x v="673"/>
    <x v="10"/>
    <s v="4 ans et 8 mois"/>
    <n v="56"/>
    <x v="0"/>
    <x v="62"/>
    <n v="27"/>
    <n v="46.41"/>
    <x v="5"/>
    <x v="0"/>
    <x v="325"/>
  </r>
  <r>
    <x v="1"/>
    <x v="2"/>
    <x v="17"/>
    <x v="17"/>
    <x v="17"/>
    <x v="0"/>
    <x v="17"/>
    <x v="17"/>
    <x v="17"/>
    <x v="17"/>
    <x v="2"/>
    <x v="1"/>
    <x v="674"/>
    <x v="17"/>
    <s v="3 ans et 10 mois"/>
    <n v="46"/>
    <x v="3"/>
    <x v="26"/>
    <n v="43"/>
    <n v="98.44"/>
    <x v="4"/>
    <x v="0"/>
    <x v="326"/>
  </r>
  <r>
    <x v="0"/>
    <x v="3"/>
    <x v="4"/>
    <x v="4"/>
    <x v="4"/>
    <x v="1"/>
    <x v="4"/>
    <x v="4"/>
    <x v="4"/>
    <x v="4"/>
    <x v="1"/>
    <x v="2"/>
    <x v="675"/>
    <x v="4"/>
    <s v="7 ans et 1 mois"/>
    <n v="85"/>
    <x v="1"/>
    <x v="305"/>
    <n v="28"/>
    <n v="83.82"/>
    <x v="2"/>
    <x v="1"/>
    <x v="206"/>
  </r>
  <r>
    <x v="0"/>
    <x v="2"/>
    <x v="2"/>
    <x v="2"/>
    <x v="2"/>
    <x v="0"/>
    <x v="2"/>
    <x v="2"/>
    <x v="2"/>
    <x v="2"/>
    <x v="1"/>
    <x v="2"/>
    <x v="676"/>
    <x v="2"/>
    <s v="8 ans et 11 mois"/>
    <n v="107"/>
    <x v="2"/>
    <x v="112"/>
    <n v="138"/>
    <n v="85.75"/>
    <x v="1"/>
    <x v="0"/>
    <x v="199"/>
  </r>
  <r>
    <x v="0"/>
    <x v="16"/>
    <x v="23"/>
    <x v="23"/>
    <x v="1"/>
    <x v="1"/>
    <x v="23"/>
    <x v="23"/>
    <x v="23"/>
    <x v="23"/>
    <x v="2"/>
    <x v="0"/>
    <x v="677"/>
    <x v="23"/>
    <s v="0 ans et 1 mois"/>
    <n v="1"/>
    <x v="1"/>
    <x v="373"/>
    <n v="424"/>
    <n v="59.2"/>
    <x v="4"/>
    <x v="1"/>
    <x v="13"/>
  </r>
  <r>
    <x v="0"/>
    <x v="14"/>
    <x v="21"/>
    <x v="21"/>
    <x v="21"/>
    <x v="2"/>
    <x v="21"/>
    <x v="21"/>
    <x v="21"/>
    <x v="21"/>
    <x v="0"/>
    <x v="0"/>
    <x v="678"/>
    <x v="21"/>
    <s v="0 ans et 7 mois"/>
    <n v="7"/>
    <x v="1"/>
    <x v="59"/>
    <n v="332"/>
    <n v="83.95"/>
    <x v="0"/>
    <x v="1"/>
    <x v="206"/>
  </r>
  <r>
    <x v="0"/>
    <x v="0"/>
    <x v="0"/>
    <x v="0"/>
    <x v="0"/>
    <x v="0"/>
    <x v="0"/>
    <x v="0"/>
    <x v="0"/>
    <x v="0"/>
    <x v="0"/>
    <x v="0"/>
    <x v="679"/>
    <x v="0"/>
    <s v="2 ans et 9 mois"/>
    <n v="33"/>
    <x v="0"/>
    <x v="193"/>
    <n v="54"/>
    <n v="71.319999999999993"/>
    <x v="0"/>
    <x v="0"/>
    <x v="305"/>
  </r>
  <r>
    <x v="3"/>
    <x v="4"/>
    <x v="16"/>
    <x v="16"/>
    <x v="16"/>
    <x v="2"/>
    <x v="16"/>
    <x v="16"/>
    <x v="16"/>
    <x v="16"/>
    <x v="1"/>
    <x v="2"/>
    <x v="680"/>
    <x v="16"/>
    <s v="1 ans et 6 mois"/>
    <n v="18"/>
    <x v="2"/>
    <x v="359"/>
    <n v="170"/>
    <n v="87.34"/>
    <x v="1"/>
    <x v="0"/>
    <x v="153"/>
  </r>
  <r>
    <x v="1"/>
    <x v="11"/>
    <x v="15"/>
    <x v="15"/>
    <x v="15"/>
    <x v="1"/>
    <x v="15"/>
    <x v="15"/>
    <x v="15"/>
    <x v="15"/>
    <x v="1"/>
    <x v="2"/>
    <x v="681"/>
    <x v="15"/>
    <s v="3 ans et 9 mois"/>
    <n v="45"/>
    <x v="1"/>
    <x v="70"/>
    <n v="304"/>
    <n v="65.540000000000006"/>
    <x v="4"/>
    <x v="1"/>
    <x v="18"/>
  </r>
  <r>
    <x v="2"/>
    <x v="11"/>
    <x v="14"/>
    <x v="14"/>
    <x v="14"/>
    <x v="2"/>
    <x v="14"/>
    <x v="14"/>
    <x v="14"/>
    <x v="14"/>
    <x v="2"/>
    <x v="3"/>
    <x v="682"/>
    <x v="14"/>
    <s v="9 ans et 5 mois"/>
    <n v="113"/>
    <x v="3"/>
    <x v="293"/>
    <n v="49"/>
    <n v="48.91"/>
    <x v="3"/>
    <x v="0"/>
    <x v="327"/>
  </r>
  <r>
    <x v="1"/>
    <x v="1"/>
    <x v="1"/>
    <x v="1"/>
    <x v="1"/>
    <x v="1"/>
    <x v="1"/>
    <x v="1"/>
    <x v="1"/>
    <x v="1"/>
    <x v="0"/>
    <x v="1"/>
    <x v="683"/>
    <x v="1"/>
    <s v="3 ans et 1 mois"/>
    <n v="37"/>
    <x v="3"/>
    <x v="5"/>
    <n v="420"/>
    <n v="67.260000000000005"/>
    <x v="0"/>
    <x v="0"/>
    <x v="328"/>
  </r>
  <r>
    <x v="0"/>
    <x v="8"/>
    <x v="11"/>
    <x v="11"/>
    <x v="11"/>
    <x v="1"/>
    <x v="11"/>
    <x v="11"/>
    <x v="11"/>
    <x v="11"/>
    <x v="0"/>
    <x v="2"/>
    <x v="684"/>
    <x v="11"/>
    <s v="8 ans et 5 mois"/>
    <n v="101"/>
    <x v="1"/>
    <x v="109"/>
    <n v="148"/>
    <n v="26.63"/>
    <x v="5"/>
    <x v="1"/>
    <x v="39"/>
  </r>
  <r>
    <x v="2"/>
    <x v="17"/>
    <x v="25"/>
    <x v="25"/>
    <x v="24"/>
    <x v="2"/>
    <x v="25"/>
    <x v="25"/>
    <x v="25"/>
    <x v="25"/>
    <x v="2"/>
    <x v="3"/>
    <x v="685"/>
    <x v="25"/>
    <s v="9 ans et 2 mois"/>
    <n v="110"/>
    <x v="3"/>
    <x v="367"/>
    <n v="289"/>
    <n v="83.67"/>
    <x v="0"/>
    <x v="0"/>
    <x v="166"/>
  </r>
  <r>
    <x v="0"/>
    <x v="16"/>
    <x v="23"/>
    <x v="23"/>
    <x v="1"/>
    <x v="1"/>
    <x v="23"/>
    <x v="23"/>
    <x v="23"/>
    <x v="23"/>
    <x v="2"/>
    <x v="0"/>
    <x v="686"/>
    <x v="23"/>
    <s v="5 ans et 5 mois"/>
    <n v="65"/>
    <x v="1"/>
    <x v="188"/>
    <n v="246"/>
    <n v="69.17"/>
    <x v="2"/>
    <x v="1"/>
    <x v="180"/>
  </r>
  <r>
    <x v="0"/>
    <x v="8"/>
    <x v="11"/>
    <x v="11"/>
    <x v="11"/>
    <x v="1"/>
    <x v="11"/>
    <x v="11"/>
    <x v="11"/>
    <x v="11"/>
    <x v="0"/>
    <x v="2"/>
    <x v="687"/>
    <x v="11"/>
    <s v="7 ans et 2 mois"/>
    <n v="86"/>
    <x v="1"/>
    <x v="374"/>
    <n v="353"/>
    <n v="25.37"/>
    <x v="1"/>
    <x v="1"/>
    <x v="291"/>
  </r>
  <r>
    <x v="0"/>
    <x v="8"/>
    <x v="11"/>
    <x v="11"/>
    <x v="11"/>
    <x v="1"/>
    <x v="11"/>
    <x v="11"/>
    <x v="11"/>
    <x v="11"/>
    <x v="0"/>
    <x v="2"/>
    <x v="688"/>
    <x v="11"/>
    <s v="8 ans et 3 mois"/>
    <n v="99"/>
    <x v="1"/>
    <x v="375"/>
    <n v="169"/>
    <n v="76.75"/>
    <x v="3"/>
    <x v="1"/>
    <x v="84"/>
  </r>
  <r>
    <x v="4"/>
    <x v="4"/>
    <x v="9"/>
    <x v="9"/>
    <x v="9"/>
    <x v="2"/>
    <x v="9"/>
    <x v="9"/>
    <x v="9"/>
    <x v="9"/>
    <x v="2"/>
    <x v="2"/>
    <x v="689"/>
    <x v="9"/>
    <s v="6 ans et 0 mois"/>
    <n v="72"/>
    <x v="1"/>
    <x v="187"/>
    <n v="442"/>
    <n v="59.2"/>
    <x v="1"/>
    <x v="1"/>
    <x v="13"/>
  </r>
  <r>
    <x v="1"/>
    <x v="2"/>
    <x v="17"/>
    <x v="17"/>
    <x v="17"/>
    <x v="0"/>
    <x v="17"/>
    <x v="17"/>
    <x v="17"/>
    <x v="17"/>
    <x v="2"/>
    <x v="1"/>
    <x v="690"/>
    <x v="17"/>
    <s v="1 ans et 8 mois"/>
    <n v="20"/>
    <x v="1"/>
    <x v="54"/>
    <n v="31"/>
    <n v="52.85"/>
    <x v="4"/>
    <x v="1"/>
    <x v="167"/>
  </r>
  <r>
    <x v="2"/>
    <x v="11"/>
    <x v="14"/>
    <x v="14"/>
    <x v="14"/>
    <x v="2"/>
    <x v="14"/>
    <x v="14"/>
    <x v="14"/>
    <x v="14"/>
    <x v="2"/>
    <x v="3"/>
    <x v="691"/>
    <x v="14"/>
    <s v="1 ans et 0 mois"/>
    <n v="12"/>
    <x v="0"/>
    <x v="341"/>
    <n v="62"/>
    <n v="36.1"/>
    <x v="3"/>
    <x v="0"/>
    <x v="280"/>
  </r>
  <r>
    <x v="2"/>
    <x v="5"/>
    <x v="6"/>
    <x v="6"/>
    <x v="6"/>
    <x v="1"/>
    <x v="6"/>
    <x v="6"/>
    <x v="6"/>
    <x v="6"/>
    <x v="1"/>
    <x v="0"/>
    <x v="692"/>
    <x v="6"/>
    <s v="7 ans et 8 mois"/>
    <n v="92"/>
    <x v="0"/>
    <x v="339"/>
    <n v="379"/>
    <n v="70.08"/>
    <x v="3"/>
    <x v="0"/>
    <x v="155"/>
  </r>
  <r>
    <x v="1"/>
    <x v="9"/>
    <x v="12"/>
    <x v="12"/>
    <x v="12"/>
    <x v="1"/>
    <x v="12"/>
    <x v="12"/>
    <x v="12"/>
    <x v="12"/>
    <x v="0"/>
    <x v="3"/>
    <x v="693"/>
    <x v="12"/>
    <s v="2 ans et 11 mois"/>
    <n v="35"/>
    <x v="1"/>
    <x v="152"/>
    <n v="299"/>
    <n v="96.32"/>
    <x v="0"/>
    <x v="1"/>
    <x v="100"/>
  </r>
  <r>
    <x v="1"/>
    <x v="2"/>
    <x v="3"/>
    <x v="3"/>
    <x v="3"/>
    <x v="2"/>
    <x v="3"/>
    <x v="3"/>
    <x v="3"/>
    <x v="3"/>
    <x v="1"/>
    <x v="0"/>
    <x v="694"/>
    <x v="3"/>
    <s v="1 ans et 7 mois"/>
    <n v="19"/>
    <x v="0"/>
    <x v="141"/>
    <n v="345"/>
    <n v="54.37"/>
    <x v="4"/>
    <x v="0"/>
    <x v="329"/>
  </r>
  <r>
    <x v="6"/>
    <x v="12"/>
    <x v="19"/>
    <x v="19"/>
    <x v="19"/>
    <x v="2"/>
    <x v="19"/>
    <x v="19"/>
    <x v="19"/>
    <x v="19"/>
    <x v="2"/>
    <x v="3"/>
    <x v="695"/>
    <x v="19"/>
    <s v="7 ans et 10 mois"/>
    <n v="94"/>
    <x v="2"/>
    <x v="376"/>
    <n v="261"/>
    <n v="70.09"/>
    <x v="5"/>
    <x v="0"/>
    <x v="155"/>
  </r>
  <r>
    <x v="2"/>
    <x v="17"/>
    <x v="25"/>
    <x v="25"/>
    <x v="24"/>
    <x v="2"/>
    <x v="25"/>
    <x v="25"/>
    <x v="25"/>
    <x v="25"/>
    <x v="2"/>
    <x v="3"/>
    <x v="696"/>
    <x v="25"/>
    <s v="2 ans et 2 mois"/>
    <n v="26"/>
    <x v="3"/>
    <x v="295"/>
    <n v="378"/>
    <n v="45.21"/>
    <x v="3"/>
    <x v="0"/>
    <x v="208"/>
  </r>
  <r>
    <x v="1"/>
    <x v="2"/>
    <x v="3"/>
    <x v="3"/>
    <x v="3"/>
    <x v="2"/>
    <x v="3"/>
    <x v="3"/>
    <x v="3"/>
    <x v="3"/>
    <x v="1"/>
    <x v="0"/>
    <x v="697"/>
    <x v="3"/>
    <s v="4 ans et 8 mois"/>
    <n v="56"/>
    <x v="2"/>
    <x v="377"/>
    <n v="367"/>
    <n v="72.790000000000006"/>
    <x v="1"/>
    <x v="0"/>
    <x v="159"/>
  </r>
  <r>
    <x v="1"/>
    <x v="2"/>
    <x v="17"/>
    <x v="17"/>
    <x v="17"/>
    <x v="0"/>
    <x v="17"/>
    <x v="17"/>
    <x v="17"/>
    <x v="17"/>
    <x v="2"/>
    <x v="1"/>
    <x v="698"/>
    <x v="17"/>
    <s v="8 ans et 1 mois"/>
    <n v="97"/>
    <x v="0"/>
    <x v="98"/>
    <n v="173"/>
    <n v="19.37"/>
    <x v="3"/>
    <x v="0"/>
    <x v="168"/>
  </r>
  <r>
    <x v="0"/>
    <x v="13"/>
    <x v="20"/>
    <x v="20"/>
    <x v="20"/>
    <x v="2"/>
    <x v="20"/>
    <x v="20"/>
    <x v="20"/>
    <x v="20"/>
    <x v="2"/>
    <x v="2"/>
    <x v="699"/>
    <x v="20"/>
    <s v="4 ans et 6 mois"/>
    <n v="54"/>
    <x v="2"/>
    <x v="130"/>
    <n v="215"/>
    <n v="54.69"/>
    <x v="2"/>
    <x v="0"/>
    <x v="330"/>
  </r>
  <r>
    <x v="0"/>
    <x v="2"/>
    <x v="8"/>
    <x v="8"/>
    <x v="8"/>
    <x v="0"/>
    <x v="8"/>
    <x v="8"/>
    <x v="8"/>
    <x v="8"/>
    <x v="1"/>
    <x v="2"/>
    <x v="700"/>
    <x v="8"/>
    <s v="9 ans et 11 mois"/>
    <n v="119"/>
    <x v="0"/>
    <x v="378"/>
    <n v="133"/>
    <n v="30.27"/>
    <x v="3"/>
    <x v="0"/>
    <x v="318"/>
  </r>
  <r>
    <x v="1"/>
    <x v="4"/>
    <x v="5"/>
    <x v="5"/>
    <x v="5"/>
    <x v="1"/>
    <x v="5"/>
    <x v="5"/>
    <x v="5"/>
    <x v="5"/>
    <x v="1"/>
    <x v="2"/>
    <x v="701"/>
    <x v="5"/>
    <s v="0 ans et 9 mois"/>
    <n v="9"/>
    <x v="2"/>
    <x v="36"/>
    <n v="102"/>
    <n v="41.52"/>
    <x v="2"/>
    <x v="0"/>
    <x v="331"/>
  </r>
  <r>
    <x v="1"/>
    <x v="9"/>
    <x v="12"/>
    <x v="12"/>
    <x v="12"/>
    <x v="1"/>
    <x v="12"/>
    <x v="12"/>
    <x v="12"/>
    <x v="12"/>
    <x v="0"/>
    <x v="3"/>
    <x v="702"/>
    <x v="12"/>
    <s v="0 ans et 8 mois"/>
    <n v="8"/>
    <x v="0"/>
    <x v="302"/>
    <n v="171"/>
    <n v="52.98"/>
    <x v="2"/>
    <x v="0"/>
    <x v="278"/>
  </r>
  <r>
    <x v="0"/>
    <x v="13"/>
    <x v="20"/>
    <x v="20"/>
    <x v="20"/>
    <x v="2"/>
    <x v="20"/>
    <x v="20"/>
    <x v="20"/>
    <x v="20"/>
    <x v="2"/>
    <x v="2"/>
    <x v="703"/>
    <x v="20"/>
    <s v="6 ans et 7 mois"/>
    <n v="79"/>
    <x v="3"/>
    <x v="162"/>
    <n v="454"/>
    <n v="80.34"/>
    <x v="4"/>
    <x v="0"/>
    <x v="237"/>
  </r>
  <r>
    <x v="1"/>
    <x v="9"/>
    <x v="12"/>
    <x v="12"/>
    <x v="12"/>
    <x v="1"/>
    <x v="12"/>
    <x v="12"/>
    <x v="12"/>
    <x v="12"/>
    <x v="0"/>
    <x v="3"/>
    <x v="704"/>
    <x v="12"/>
    <s v="2 ans et 9 mois"/>
    <n v="33"/>
    <x v="1"/>
    <x v="14"/>
    <n v="391"/>
    <n v="88.88"/>
    <x v="0"/>
    <x v="1"/>
    <x v="68"/>
  </r>
  <r>
    <x v="1"/>
    <x v="11"/>
    <x v="15"/>
    <x v="15"/>
    <x v="15"/>
    <x v="1"/>
    <x v="15"/>
    <x v="15"/>
    <x v="15"/>
    <x v="15"/>
    <x v="1"/>
    <x v="2"/>
    <x v="705"/>
    <x v="15"/>
    <s v="1 ans et 3 mois"/>
    <n v="15"/>
    <x v="0"/>
    <x v="318"/>
    <n v="30"/>
    <n v="30.5"/>
    <x v="1"/>
    <x v="0"/>
    <x v="263"/>
  </r>
  <r>
    <x v="1"/>
    <x v="2"/>
    <x v="3"/>
    <x v="3"/>
    <x v="3"/>
    <x v="2"/>
    <x v="3"/>
    <x v="3"/>
    <x v="3"/>
    <x v="3"/>
    <x v="1"/>
    <x v="0"/>
    <x v="706"/>
    <x v="3"/>
    <s v="0 ans et 5 mois"/>
    <n v="5"/>
    <x v="3"/>
    <x v="239"/>
    <n v="71"/>
    <n v="93.81"/>
    <x v="5"/>
    <x v="0"/>
    <x v="332"/>
  </r>
  <r>
    <x v="0"/>
    <x v="10"/>
    <x v="13"/>
    <x v="13"/>
    <x v="13"/>
    <x v="0"/>
    <x v="13"/>
    <x v="13"/>
    <x v="13"/>
    <x v="13"/>
    <x v="2"/>
    <x v="3"/>
    <x v="707"/>
    <x v="13"/>
    <s v="9 ans et 1 mois"/>
    <n v="109"/>
    <x v="2"/>
    <x v="379"/>
    <n v="104"/>
    <n v="12.37"/>
    <x v="3"/>
    <x v="0"/>
    <x v="220"/>
  </r>
  <r>
    <x v="0"/>
    <x v="16"/>
    <x v="23"/>
    <x v="23"/>
    <x v="1"/>
    <x v="1"/>
    <x v="23"/>
    <x v="23"/>
    <x v="23"/>
    <x v="23"/>
    <x v="2"/>
    <x v="0"/>
    <x v="708"/>
    <x v="23"/>
    <s v="8 ans et 0 mois"/>
    <n v="96"/>
    <x v="1"/>
    <x v="380"/>
    <n v="280"/>
    <n v="80.36"/>
    <x v="3"/>
    <x v="1"/>
    <x v="247"/>
  </r>
  <r>
    <x v="0"/>
    <x v="0"/>
    <x v="0"/>
    <x v="0"/>
    <x v="0"/>
    <x v="0"/>
    <x v="0"/>
    <x v="0"/>
    <x v="0"/>
    <x v="0"/>
    <x v="0"/>
    <x v="0"/>
    <x v="709"/>
    <x v="0"/>
    <s v="0 ans et 10 mois"/>
    <n v="10"/>
    <x v="2"/>
    <x v="60"/>
    <n v="418"/>
    <n v="27.66"/>
    <x v="4"/>
    <x v="0"/>
    <x v="245"/>
  </r>
  <r>
    <x v="0"/>
    <x v="14"/>
    <x v="21"/>
    <x v="21"/>
    <x v="21"/>
    <x v="2"/>
    <x v="21"/>
    <x v="21"/>
    <x v="21"/>
    <x v="21"/>
    <x v="0"/>
    <x v="0"/>
    <x v="710"/>
    <x v="21"/>
    <s v="4 ans et 9 mois"/>
    <n v="57"/>
    <x v="2"/>
    <x v="20"/>
    <n v="375"/>
    <n v="64.73"/>
    <x v="1"/>
    <x v="0"/>
    <x v="131"/>
  </r>
  <r>
    <x v="1"/>
    <x v="8"/>
    <x v="24"/>
    <x v="24"/>
    <x v="23"/>
    <x v="1"/>
    <x v="24"/>
    <x v="24"/>
    <x v="24"/>
    <x v="24"/>
    <x v="0"/>
    <x v="3"/>
    <x v="711"/>
    <x v="24"/>
    <s v="8 ans et 2 mois"/>
    <n v="98"/>
    <x v="1"/>
    <x v="272"/>
    <n v="168"/>
    <n v="44.14"/>
    <x v="5"/>
    <x v="1"/>
    <x v="179"/>
  </r>
  <r>
    <x v="1"/>
    <x v="2"/>
    <x v="3"/>
    <x v="3"/>
    <x v="3"/>
    <x v="2"/>
    <x v="3"/>
    <x v="3"/>
    <x v="3"/>
    <x v="3"/>
    <x v="1"/>
    <x v="0"/>
    <x v="712"/>
    <x v="3"/>
    <s v="4 ans et 0 mois"/>
    <n v="48"/>
    <x v="3"/>
    <x v="177"/>
    <n v="473"/>
    <n v="71.52"/>
    <x v="3"/>
    <x v="0"/>
    <x v="333"/>
  </r>
  <r>
    <x v="0"/>
    <x v="14"/>
    <x v="21"/>
    <x v="21"/>
    <x v="21"/>
    <x v="2"/>
    <x v="21"/>
    <x v="21"/>
    <x v="21"/>
    <x v="21"/>
    <x v="0"/>
    <x v="0"/>
    <x v="713"/>
    <x v="21"/>
    <s v="6 ans et 6 mois"/>
    <n v="78"/>
    <x v="3"/>
    <x v="190"/>
    <n v="387"/>
    <n v="11.63"/>
    <x v="4"/>
    <x v="0"/>
    <x v="3"/>
  </r>
  <r>
    <x v="0"/>
    <x v="7"/>
    <x v="10"/>
    <x v="10"/>
    <x v="10"/>
    <x v="1"/>
    <x v="10"/>
    <x v="10"/>
    <x v="10"/>
    <x v="10"/>
    <x v="2"/>
    <x v="3"/>
    <x v="714"/>
    <x v="10"/>
    <s v="6 ans et 9 mois"/>
    <n v="81"/>
    <x v="2"/>
    <x v="266"/>
    <n v="339"/>
    <n v="53.4"/>
    <x v="4"/>
    <x v="0"/>
    <x v="204"/>
  </r>
  <r>
    <x v="6"/>
    <x v="12"/>
    <x v="19"/>
    <x v="19"/>
    <x v="19"/>
    <x v="2"/>
    <x v="19"/>
    <x v="19"/>
    <x v="19"/>
    <x v="19"/>
    <x v="2"/>
    <x v="3"/>
    <x v="715"/>
    <x v="19"/>
    <s v="9 ans et 0 mois"/>
    <n v="108"/>
    <x v="0"/>
    <x v="145"/>
    <n v="467"/>
    <n v="44.84"/>
    <x v="0"/>
    <x v="0"/>
    <x v="334"/>
  </r>
  <r>
    <x v="0"/>
    <x v="0"/>
    <x v="0"/>
    <x v="0"/>
    <x v="0"/>
    <x v="0"/>
    <x v="0"/>
    <x v="0"/>
    <x v="0"/>
    <x v="0"/>
    <x v="0"/>
    <x v="0"/>
    <x v="716"/>
    <x v="0"/>
    <s v="0 ans et 4 mois"/>
    <n v="4"/>
    <x v="1"/>
    <x v="368"/>
    <n v="449"/>
    <n v="43.95"/>
    <x v="4"/>
    <x v="1"/>
    <x v="179"/>
  </r>
  <r>
    <x v="3"/>
    <x v="4"/>
    <x v="16"/>
    <x v="16"/>
    <x v="16"/>
    <x v="2"/>
    <x v="16"/>
    <x v="16"/>
    <x v="16"/>
    <x v="16"/>
    <x v="1"/>
    <x v="2"/>
    <x v="717"/>
    <x v="16"/>
    <s v="9 ans et 11 mois"/>
    <n v="119"/>
    <x v="1"/>
    <x v="54"/>
    <n v="31"/>
    <n v="21.27"/>
    <x v="3"/>
    <x v="1"/>
    <x v="186"/>
  </r>
  <r>
    <x v="0"/>
    <x v="16"/>
    <x v="23"/>
    <x v="23"/>
    <x v="1"/>
    <x v="1"/>
    <x v="23"/>
    <x v="23"/>
    <x v="23"/>
    <x v="23"/>
    <x v="2"/>
    <x v="0"/>
    <x v="718"/>
    <x v="23"/>
    <s v="1 ans et 11 mois"/>
    <n v="23"/>
    <x v="1"/>
    <x v="253"/>
    <n v="120"/>
    <n v="73.12"/>
    <x v="1"/>
    <x v="1"/>
    <x v="71"/>
  </r>
  <r>
    <x v="0"/>
    <x v="16"/>
    <x v="23"/>
    <x v="23"/>
    <x v="1"/>
    <x v="1"/>
    <x v="23"/>
    <x v="23"/>
    <x v="23"/>
    <x v="23"/>
    <x v="2"/>
    <x v="0"/>
    <x v="719"/>
    <x v="23"/>
    <s v="3 ans et 6 mois"/>
    <n v="42"/>
    <x v="0"/>
    <x v="201"/>
    <n v="252"/>
    <n v="59.46"/>
    <x v="0"/>
    <x v="0"/>
    <x v="51"/>
  </r>
  <r>
    <x v="4"/>
    <x v="4"/>
    <x v="9"/>
    <x v="9"/>
    <x v="9"/>
    <x v="2"/>
    <x v="9"/>
    <x v="9"/>
    <x v="9"/>
    <x v="9"/>
    <x v="2"/>
    <x v="2"/>
    <x v="720"/>
    <x v="9"/>
    <s v="1 ans et 2 mois"/>
    <n v="14"/>
    <x v="0"/>
    <x v="301"/>
    <n v="37"/>
    <n v="20.399999999999999"/>
    <x v="4"/>
    <x v="0"/>
    <x v="187"/>
  </r>
  <r>
    <x v="0"/>
    <x v="16"/>
    <x v="23"/>
    <x v="23"/>
    <x v="1"/>
    <x v="1"/>
    <x v="23"/>
    <x v="23"/>
    <x v="23"/>
    <x v="23"/>
    <x v="2"/>
    <x v="0"/>
    <x v="721"/>
    <x v="23"/>
    <s v="7 ans et 6 mois"/>
    <n v="90"/>
    <x v="2"/>
    <x v="381"/>
    <n v="412"/>
    <n v="20.62"/>
    <x v="4"/>
    <x v="0"/>
    <x v="181"/>
  </r>
  <r>
    <x v="1"/>
    <x v="11"/>
    <x v="15"/>
    <x v="15"/>
    <x v="15"/>
    <x v="1"/>
    <x v="15"/>
    <x v="15"/>
    <x v="15"/>
    <x v="15"/>
    <x v="1"/>
    <x v="2"/>
    <x v="722"/>
    <x v="15"/>
    <s v="4 ans et 10 mois"/>
    <n v="58"/>
    <x v="3"/>
    <x v="250"/>
    <n v="485"/>
    <n v="65.41"/>
    <x v="3"/>
    <x v="0"/>
    <x v="106"/>
  </r>
  <r>
    <x v="0"/>
    <x v="13"/>
    <x v="20"/>
    <x v="20"/>
    <x v="20"/>
    <x v="2"/>
    <x v="20"/>
    <x v="20"/>
    <x v="20"/>
    <x v="20"/>
    <x v="2"/>
    <x v="2"/>
    <x v="723"/>
    <x v="20"/>
    <s v="4 ans et 1 mois"/>
    <n v="49"/>
    <x v="0"/>
    <x v="382"/>
    <n v="288"/>
    <n v="91.32"/>
    <x v="0"/>
    <x v="0"/>
    <x v="335"/>
  </r>
  <r>
    <x v="0"/>
    <x v="2"/>
    <x v="8"/>
    <x v="8"/>
    <x v="8"/>
    <x v="0"/>
    <x v="8"/>
    <x v="8"/>
    <x v="8"/>
    <x v="8"/>
    <x v="1"/>
    <x v="2"/>
    <x v="724"/>
    <x v="8"/>
    <s v="1 ans et 6 mois"/>
    <n v="18"/>
    <x v="0"/>
    <x v="129"/>
    <n v="463"/>
    <n v="41.66"/>
    <x v="0"/>
    <x v="0"/>
    <x v="331"/>
  </r>
  <r>
    <x v="0"/>
    <x v="2"/>
    <x v="2"/>
    <x v="2"/>
    <x v="2"/>
    <x v="0"/>
    <x v="2"/>
    <x v="2"/>
    <x v="2"/>
    <x v="2"/>
    <x v="1"/>
    <x v="2"/>
    <x v="725"/>
    <x v="2"/>
    <s v="6 ans et 10 mois"/>
    <n v="82"/>
    <x v="1"/>
    <x v="210"/>
    <n v="312"/>
    <n v="40.880000000000003"/>
    <x v="2"/>
    <x v="1"/>
    <x v="259"/>
  </r>
  <r>
    <x v="2"/>
    <x v="5"/>
    <x v="6"/>
    <x v="6"/>
    <x v="6"/>
    <x v="1"/>
    <x v="6"/>
    <x v="6"/>
    <x v="6"/>
    <x v="6"/>
    <x v="1"/>
    <x v="0"/>
    <x v="726"/>
    <x v="6"/>
    <s v="6 ans et 2 mois"/>
    <n v="74"/>
    <x v="2"/>
    <x v="236"/>
    <n v="359"/>
    <n v="92.63"/>
    <x v="2"/>
    <x v="0"/>
    <x v="336"/>
  </r>
  <r>
    <x v="3"/>
    <x v="6"/>
    <x v="7"/>
    <x v="7"/>
    <x v="7"/>
    <x v="0"/>
    <x v="7"/>
    <x v="7"/>
    <x v="7"/>
    <x v="7"/>
    <x v="2"/>
    <x v="3"/>
    <x v="727"/>
    <x v="7"/>
    <s v="6 ans et 0 mois"/>
    <n v="72"/>
    <x v="0"/>
    <x v="383"/>
    <n v="427"/>
    <n v="31.44"/>
    <x v="4"/>
    <x v="0"/>
    <x v="337"/>
  </r>
  <r>
    <x v="0"/>
    <x v="10"/>
    <x v="13"/>
    <x v="13"/>
    <x v="13"/>
    <x v="0"/>
    <x v="13"/>
    <x v="13"/>
    <x v="13"/>
    <x v="13"/>
    <x v="2"/>
    <x v="3"/>
    <x v="728"/>
    <x v="13"/>
    <s v="2 ans et 2 mois"/>
    <n v="26"/>
    <x v="3"/>
    <x v="14"/>
    <n v="391"/>
    <n v="18.28"/>
    <x v="5"/>
    <x v="0"/>
    <x v="295"/>
  </r>
  <r>
    <x v="7"/>
    <x v="15"/>
    <x v="22"/>
    <x v="22"/>
    <x v="22"/>
    <x v="0"/>
    <x v="22"/>
    <x v="22"/>
    <x v="22"/>
    <x v="22"/>
    <x v="0"/>
    <x v="2"/>
    <x v="729"/>
    <x v="22"/>
    <s v="2 ans et 2 mois"/>
    <n v="26"/>
    <x v="0"/>
    <x v="372"/>
    <n v="413"/>
    <n v="10.9"/>
    <x v="3"/>
    <x v="0"/>
    <x v="141"/>
  </r>
  <r>
    <x v="2"/>
    <x v="11"/>
    <x v="14"/>
    <x v="14"/>
    <x v="14"/>
    <x v="2"/>
    <x v="14"/>
    <x v="14"/>
    <x v="14"/>
    <x v="14"/>
    <x v="2"/>
    <x v="3"/>
    <x v="730"/>
    <x v="14"/>
    <s v="2 ans et 9 mois"/>
    <n v="33"/>
    <x v="2"/>
    <x v="223"/>
    <n v="18"/>
    <n v="47.18"/>
    <x v="0"/>
    <x v="0"/>
    <x v="338"/>
  </r>
  <r>
    <x v="1"/>
    <x v="2"/>
    <x v="3"/>
    <x v="3"/>
    <x v="3"/>
    <x v="2"/>
    <x v="3"/>
    <x v="3"/>
    <x v="3"/>
    <x v="3"/>
    <x v="1"/>
    <x v="0"/>
    <x v="731"/>
    <x v="3"/>
    <s v="5 ans et 3 mois"/>
    <n v="63"/>
    <x v="3"/>
    <x v="334"/>
    <n v="177"/>
    <n v="77.73"/>
    <x v="5"/>
    <x v="0"/>
    <x v="339"/>
  </r>
  <r>
    <x v="2"/>
    <x v="11"/>
    <x v="14"/>
    <x v="14"/>
    <x v="14"/>
    <x v="2"/>
    <x v="14"/>
    <x v="14"/>
    <x v="14"/>
    <x v="14"/>
    <x v="2"/>
    <x v="3"/>
    <x v="732"/>
    <x v="14"/>
    <s v="4 ans et 9 mois"/>
    <n v="57"/>
    <x v="3"/>
    <x v="384"/>
    <n v="36"/>
    <n v="82.7"/>
    <x v="4"/>
    <x v="0"/>
    <x v="340"/>
  </r>
  <r>
    <x v="1"/>
    <x v="9"/>
    <x v="12"/>
    <x v="12"/>
    <x v="12"/>
    <x v="1"/>
    <x v="12"/>
    <x v="12"/>
    <x v="12"/>
    <x v="12"/>
    <x v="0"/>
    <x v="3"/>
    <x v="733"/>
    <x v="12"/>
    <s v="7 ans et 3 mois"/>
    <n v="87"/>
    <x v="1"/>
    <x v="136"/>
    <n v="486"/>
    <n v="58.26"/>
    <x v="2"/>
    <x v="1"/>
    <x v="113"/>
  </r>
  <r>
    <x v="1"/>
    <x v="2"/>
    <x v="3"/>
    <x v="3"/>
    <x v="3"/>
    <x v="2"/>
    <x v="3"/>
    <x v="3"/>
    <x v="3"/>
    <x v="3"/>
    <x v="1"/>
    <x v="0"/>
    <x v="734"/>
    <x v="3"/>
    <s v="3 ans et 1 mois"/>
    <n v="37"/>
    <x v="3"/>
    <x v="21"/>
    <n v="213"/>
    <n v="14.12"/>
    <x v="1"/>
    <x v="0"/>
    <x v="142"/>
  </r>
  <r>
    <x v="1"/>
    <x v="9"/>
    <x v="12"/>
    <x v="12"/>
    <x v="12"/>
    <x v="1"/>
    <x v="12"/>
    <x v="12"/>
    <x v="12"/>
    <x v="12"/>
    <x v="0"/>
    <x v="3"/>
    <x v="735"/>
    <x v="12"/>
    <s v="2 ans et 5 mois"/>
    <n v="29"/>
    <x v="0"/>
    <x v="1"/>
    <n v="306"/>
    <n v="82.16"/>
    <x v="1"/>
    <x v="0"/>
    <x v="277"/>
  </r>
  <r>
    <x v="3"/>
    <x v="4"/>
    <x v="16"/>
    <x v="16"/>
    <x v="16"/>
    <x v="2"/>
    <x v="16"/>
    <x v="16"/>
    <x v="16"/>
    <x v="16"/>
    <x v="1"/>
    <x v="2"/>
    <x v="736"/>
    <x v="16"/>
    <s v="2 ans et 2 mois"/>
    <n v="26"/>
    <x v="2"/>
    <x v="295"/>
    <n v="378"/>
    <n v="88.59"/>
    <x v="0"/>
    <x v="0"/>
    <x v="123"/>
  </r>
  <r>
    <x v="1"/>
    <x v="8"/>
    <x v="24"/>
    <x v="24"/>
    <x v="23"/>
    <x v="1"/>
    <x v="24"/>
    <x v="24"/>
    <x v="24"/>
    <x v="24"/>
    <x v="0"/>
    <x v="3"/>
    <x v="737"/>
    <x v="24"/>
    <s v="7 ans et 11 mois"/>
    <n v="95"/>
    <x v="3"/>
    <x v="385"/>
    <n v="313"/>
    <n v="32.49"/>
    <x v="1"/>
    <x v="0"/>
    <x v="225"/>
  </r>
  <r>
    <x v="7"/>
    <x v="15"/>
    <x v="22"/>
    <x v="22"/>
    <x v="22"/>
    <x v="0"/>
    <x v="22"/>
    <x v="22"/>
    <x v="22"/>
    <x v="22"/>
    <x v="0"/>
    <x v="2"/>
    <x v="738"/>
    <x v="22"/>
    <s v="1 ans et 9 mois"/>
    <n v="21"/>
    <x v="0"/>
    <x v="198"/>
    <n v="475"/>
    <n v="15.12"/>
    <x v="4"/>
    <x v="0"/>
    <x v="77"/>
  </r>
  <r>
    <x v="1"/>
    <x v="8"/>
    <x v="24"/>
    <x v="24"/>
    <x v="23"/>
    <x v="1"/>
    <x v="24"/>
    <x v="24"/>
    <x v="24"/>
    <x v="24"/>
    <x v="0"/>
    <x v="3"/>
    <x v="739"/>
    <x v="24"/>
    <s v="4 ans et 8 mois"/>
    <n v="56"/>
    <x v="2"/>
    <x v="269"/>
    <n v="41"/>
    <n v="15.1"/>
    <x v="3"/>
    <x v="0"/>
    <x v="77"/>
  </r>
  <r>
    <x v="0"/>
    <x v="8"/>
    <x v="11"/>
    <x v="11"/>
    <x v="11"/>
    <x v="1"/>
    <x v="11"/>
    <x v="11"/>
    <x v="11"/>
    <x v="11"/>
    <x v="0"/>
    <x v="2"/>
    <x v="740"/>
    <x v="11"/>
    <s v="8 ans et 9 mois"/>
    <n v="105"/>
    <x v="3"/>
    <x v="162"/>
    <n v="454"/>
    <n v="49.47"/>
    <x v="0"/>
    <x v="0"/>
    <x v="276"/>
  </r>
  <r>
    <x v="3"/>
    <x v="6"/>
    <x v="7"/>
    <x v="7"/>
    <x v="7"/>
    <x v="0"/>
    <x v="7"/>
    <x v="7"/>
    <x v="7"/>
    <x v="7"/>
    <x v="2"/>
    <x v="3"/>
    <x v="741"/>
    <x v="7"/>
    <s v="5 ans et 8 mois"/>
    <n v="68"/>
    <x v="1"/>
    <x v="262"/>
    <n v="282"/>
    <n v="35.43"/>
    <x v="1"/>
    <x v="1"/>
    <x v="129"/>
  </r>
  <r>
    <x v="0"/>
    <x v="8"/>
    <x v="11"/>
    <x v="11"/>
    <x v="11"/>
    <x v="1"/>
    <x v="11"/>
    <x v="11"/>
    <x v="11"/>
    <x v="11"/>
    <x v="0"/>
    <x v="2"/>
    <x v="742"/>
    <x v="11"/>
    <s v="8 ans et 8 mois"/>
    <n v="104"/>
    <x v="0"/>
    <x v="386"/>
    <n v="245"/>
    <n v="38.270000000000003"/>
    <x v="2"/>
    <x v="0"/>
    <x v="218"/>
  </r>
  <r>
    <x v="7"/>
    <x v="15"/>
    <x v="22"/>
    <x v="22"/>
    <x v="22"/>
    <x v="0"/>
    <x v="22"/>
    <x v="22"/>
    <x v="22"/>
    <x v="22"/>
    <x v="0"/>
    <x v="2"/>
    <x v="743"/>
    <x v="22"/>
    <s v="8 ans et 6 mois"/>
    <n v="102"/>
    <x v="0"/>
    <x v="244"/>
    <n v="484"/>
    <n v="64.22"/>
    <x v="4"/>
    <x v="0"/>
    <x v="228"/>
  </r>
  <r>
    <x v="2"/>
    <x v="11"/>
    <x v="14"/>
    <x v="14"/>
    <x v="14"/>
    <x v="2"/>
    <x v="14"/>
    <x v="14"/>
    <x v="14"/>
    <x v="14"/>
    <x v="2"/>
    <x v="3"/>
    <x v="744"/>
    <x v="14"/>
    <s v="2 ans et 1 mois"/>
    <n v="25"/>
    <x v="1"/>
    <x v="387"/>
    <n v="66"/>
    <n v="90.14"/>
    <x v="3"/>
    <x v="1"/>
    <x v="83"/>
  </r>
  <r>
    <x v="0"/>
    <x v="10"/>
    <x v="13"/>
    <x v="13"/>
    <x v="13"/>
    <x v="0"/>
    <x v="13"/>
    <x v="13"/>
    <x v="13"/>
    <x v="13"/>
    <x v="2"/>
    <x v="3"/>
    <x v="745"/>
    <x v="13"/>
    <s v="1 ans et 0 mois"/>
    <n v="12"/>
    <x v="3"/>
    <x v="112"/>
    <n v="138"/>
    <n v="99.83"/>
    <x v="1"/>
    <x v="0"/>
    <x v="341"/>
  </r>
  <r>
    <x v="3"/>
    <x v="6"/>
    <x v="7"/>
    <x v="7"/>
    <x v="7"/>
    <x v="0"/>
    <x v="7"/>
    <x v="7"/>
    <x v="7"/>
    <x v="7"/>
    <x v="2"/>
    <x v="3"/>
    <x v="746"/>
    <x v="7"/>
    <s v="6 ans et 3 mois"/>
    <n v="75"/>
    <x v="0"/>
    <x v="99"/>
    <n v="370"/>
    <n v="21.67"/>
    <x v="2"/>
    <x v="0"/>
    <x v="50"/>
  </r>
  <r>
    <x v="0"/>
    <x v="13"/>
    <x v="20"/>
    <x v="20"/>
    <x v="20"/>
    <x v="2"/>
    <x v="20"/>
    <x v="20"/>
    <x v="20"/>
    <x v="20"/>
    <x v="2"/>
    <x v="2"/>
    <x v="747"/>
    <x v="20"/>
    <s v="0 ans et 4 mois"/>
    <n v="4"/>
    <x v="0"/>
    <x v="38"/>
    <n v="21"/>
    <n v="45.8"/>
    <x v="1"/>
    <x v="0"/>
    <x v="2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9395C-A18D-4D6B-87FB-FCC0D02E41E1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fieldListSortAscending="1">
  <location ref="A3:M136" firstHeaderRow="1" firstDataRow="3" firstDataCol="1"/>
  <pivotFields count="25"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12"/>
        <item x="18"/>
        <item x="11"/>
        <item x="7"/>
        <item x="25"/>
        <item x="1"/>
        <item x="13"/>
        <item x="4"/>
        <item x="22"/>
        <item x="6"/>
        <item x="2"/>
        <item x="8"/>
        <item x="14"/>
        <item x="10"/>
        <item x="24"/>
        <item x="19"/>
        <item x="16"/>
        <item x="5"/>
        <item x="20"/>
        <item x="23"/>
        <item x="17"/>
        <item x="9"/>
        <item x="15"/>
        <item x="0"/>
        <item x="21"/>
        <item x="3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>
      <items count="749">
        <item x="7"/>
        <item x="311"/>
        <item x="118"/>
        <item x="67"/>
        <item x="4"/>
        <item x="163"/>
        <item x="640"/>
        <item x="263"/>
        <item x="661"/>
        <item x="608"/>
        <item x="636"/>
        <item x="717"/>
        <item x="25"/>
        <item x="430"/>
        <item x="210"/>
        <item x="679"/>
        <item x="37"/>
        <item x="204"/>
        <item x="663"/>
        <item x="278"/>
        <item x="242"/>
        <item x="86"/>
        <item x="324"/>
        <item x="275"/>
        <item x="63"/>
        <item x="225"/>
        <item x="559"/>
        <item x="64"/>
        <item x="121"/>
        <item x="271"/>
        <item x="420"/>
        <item x="392"/>
        <item x="592"/>
        <item x="185"/>
        <item x="589"/>
        <item x="462"/>
        <item x="520"/>
        <item x="694"/>
        <item x="472"/>
        <item x="124"/>
        <item x="491"/>
        <item x="251"/>
        <item x="400"/>
        <item x="284"/>
        <item x="715"/>
        <item x="208"/>
        <item x="238"/>
        <item x="464"/>
        <item x="218"/>
        <item x="591"/>
        <item x="482"/>
        <item x="630"/>
        <item x="577"/>
        <item x="383"/>
        <item x="485"/>
        <item x="606"/>
        <item x="281"/>
        <item x="616"/>
        <item x="88"/>
        <item x="328"/>
        <item x="348"/>
        <item x="673"/>
        <item x="655"/>
        <item x="409"/>
        <item x="139"/>
        <item x="340"/>
        <item x="247"/>
        <item x="558"/>
        <item x="459"/>
        <item x="443"/>
        <item x="438"/>
        <item x="538"/>
        <item x="259"/>
        <item x="697"/>
        <item x="312"/>
        <item x="364"/>
        <item x="594"/>
        <item x="214"/>
        <item x="194"/>
        <item x="481"/>
        <item x="1"/>
        <item x="609"/>
        <item x="107"/>
        <item x="639"/>
        <item x="305"/>
        <item x="10"/>
        <item x="201"/>
        <item x="528"/>
        <item x="397"/>
        <item x="450"/>
        <item x="27"/>
        <item x="267"/>
        <item x="656"/>
        <item x="43"/>
        <item x="22"/>
        <item x="98"/>
        <item x="535"/>
        <item x="502"/>
        <item x="101"/>
        <item x="453"/>
        <item x="657"/>
        <item x="280"/>
        <item x="316"/>
        <item x="379"/>
        <item x="304"/>
        <item x="488"/>
        <item x="320"/>
        <item x="667"/>
        <item x="116"/>
        <item x="47"/>
        <item x="479"/>
        <item x="330"/>
        <item x="334"/>
        <item x="682"/>
        <item x="287"/>
        <item x="527"/>
        <item x="567"/>
        <item x="112"/>
        <item x="226"/>
        <item x="425"/>
        <item x="732"/>
        <item x="516"/>
        <item x="417"/>
        <item x="246"/>
        <item x="681"/>
        <item x="224"/>
        <item x="431"/>
        <item x="41"/>
        <item x="345"/>
        <item x="641"/>
        <item x="509"/>
        <item x="489"/>
        <item x="396"/>
        <item x="377"/>
        <item x="332"/>
        <item x="162"/>
        <item x="510"/>
        <item x="613"/>
        <item x="441"/>
        <item x="152"/>
        <item x="629"/>
        <item x="554"/>
        <item x="627"/>
        <item x="662"/>
        <item x="415"/>
        <item x="160"/>
        <item x="434"/>
        <item x="734"/>
        <item x="454"/>
        <item x="298"/>
        <item x="690"/>
        <item x="248"/>
        <item x="38"/>
        <item x="48"/>
        <item x="513"/>
        <item x="23"/>
        <item x="664"/>
        <item x="94"/>
        <item x="289"/>
        <item x="412"/>
        <item x="517"/>
        <item x="181"/>
        <item x="254"/>
        <item x="740"/>
        <item x="511"/>
        <item x="386"/>
        <item x="416"/>
        <item x="714"/>
        <item x="738"/>
        <item x="184"/>
        <item x="405"/>
        <item x="293"/>
        <item x="212"/>
        <item x="230"/>
        <item x="492"/>
        <item x="207"/>
        <item x="668"/>
        <item x="689"/>
        <item x="209"/>
        <item x="217"/>
        <item x="584"/>
        <item x="384"/>
        <item x="131"/>
        <item x="276"/>
        <item x="166"/>
        <item x="255"/>
        <item x="604"/>
        <item x="355"/>
        <item x="29"/>
        <item x="62"/>
        <item x="356"/>
        <item x="632"/>
        <item x="388"/>
        <item x="508"/>
        <item x="237"/>
        <item x="283"/>
        <item x="478"/>
        <item x="104"/>
        <item x="625"/>
        <item x="265"/>
        <item x="723"/>
        <item x="546"/>
        <item x="315"/>
        <item x="269"/>
        <item x="495"/>
        <item x="341"/>
        <item x="169"/>
        <item x="351"/>
        <item x="35"/>
        <item x="347"/>
        <item x="393"/>
        <item x="127"/>
        <item x="524"/>
        <item x="180"/>
        <item x="389"/>
        <item x="574"/>
        <item x="746"/>
        <item x="691"/>
        <item x="587"/>
        <item x="234"/>
        <item x="130"/>
        <item x="529"/>
        <item x="579"/>
        <item x="5"/>
        <item x="120"/>
        <item x="649"/>
        <item x="8"/>
        <item x="296"/>
        <item x="402"/>
        <item x="532"/>
        <item x="363"/>
        <item x="378"/>
        <item x="307"/>
        <item x="467"/>
        <item x="342"/>
        <item x="200"/>
        <item x="338"/>
        <item x="164"/>
        <item x="128"/>
        <item x="427"/>
        <item x="282"/>
        <item x="419"/>
        <item x="89"/>
        <item x="236"/>
        <item x="695"/>
        <item x="244"/>
        <item x="561"/>
        <item x="736"/>
        <item x="728"/>
        <item x="65"/>
        <item x="76"/>
        <item x="79"/>
        <item x="603"/>
        <item x="46"/>
        <item x="536"/>
        <item x="306"/>
        <item x="90"/>
        <item x="446"/>
        <item x="36"/>
        <item x="109"/>
        <item x="552"/>
        <item x="301"/>
        <item x="203"/>
        <item x="84"/>
        <item x="448"/>
        <item x="240"/>
        <item x="14"/>
        <item x="523"/>
        <item x="346"/>
        <item x="437"/>
        <item x="493"/>
        <item x="544"/>
        <item x="134"/>
        <item x="132"/>
        <item x="747"/>
        <item x="693"/>
        <item x="322"/>
        <item x="408"/>
        <item x="444"/>
        <item x="103"/>
        <item x="26"/>
        <item x="500"/>
        <item x="422"/>
        <item x="708"/>
        <item x="497"/>
        <item x="369"/>
        <item x="445"/>
        <item x="645"/>
        <item x="59"/>
        <item x="272"/>
        <item x="423"/>
        <item x="385"/>
        <item x="60"/>
        <item x="155"/>
        <item x="700"/>
        <item x="142"/>
        <item x="724"/>
        <item x="161"/>
        <item x="325"/>
        <item x="108"/>
        <item x="407"/>
        <item x="28"/>
        <item x="256"/>
        <item x="596"/>
        <item x="557"/>
        <item x="586"/>
        <item x="370"/>
        <item x="222"/>
        <item x="498"/>
        <item x="699"/>
        <item x="531"/>
        <item x="221"/>
        <item x="634"/>
        <item x="555"/>
        <item x="100"/>
        <item x="245"/>
        <item x="69"/>
        <item x="576"/>
        <item x="737"/>
        <item x="6"/>
        <item x="231"/>
        <item x="123"/>
        <item x="442"/>
        <item x="75"/>
        <item x="518"/>
        <item x="683"/>
        <item x="543"/>
        <item x="729"/>
        <item x="687"/>
        <item x="623"/>
        <item x="476"/>
        <item x="177"/>
        <item x="461"/>
        <item x="326"/>
        <item x="137"/>
        <item x="621"/>
        <item x="125"/>
        <item x="183"/>
        <item x="314"/>
        <item x="387"/>
        <item x="562"/>
        <item x="599"/>
        <item x="140"/>
        <item x="42"/>
        <item x="744"/>
        <item x="499"/>
        <item x="735"/>
        <item x="223"/>
        <item x="343"/>
        <item x="685"/>
        <item x="725"/>
        <item x="677"/>
        <item x="198"/>
        <item x="133"/>
        <item x="545"/>
        <item x="643"/>
        <item x="578"/>
        <item x="507"/>
        <item x="189"/>
        <item x="665"/>
        <item x="19"/>
        <item x="290"/>
        <item x="648"/>
        <item x="707"/>
        <item x="713"/>
        <item x="542"/>
        <item x="504"/>
        <item x="530"/>
        <item x="406"/>
        <item x="350"/>
        <item x="158"/>
        <item x="188"/>
        <item x="568"/>
        <item x="701"/>
        <item x="229"/>
        <item x="483"/>
        <item x="187"/>
        <item x="55"/>
        <item x="414"/>
        <item x="220"/>
        <item x="260"/>
        <item x="739"/>
        <item x="394"/>
        <item x="595"/>
        <item x="540"/>
        <item x="560"/>
        <item x="367"/>
        <item x="266"/>
        <item x="294"/>
        <item x="585"/>
        <item x="572"/>
        <item x="252"/>
        <item x="411"/>
        <item x="460"/>
        <item x="569"/>
        <item x="716"/>
        <item x="186"/>
        <item x="401"/>
        <item x="635"/>
        <item x="150"/>
        <item x="671"/>
        <item x="468"/>
        <item x="515"/>
        <item x="426"/>
        <item x="249"/>
        <item x="590"/>
        <item x="721"/>
        <item x="704"/>
        <item x="286"/>
        <item x="117"/>
        <item x="178"/>
        <item x="80"/>
        <item x="24"/>
        <item x="373"/>
        <item x="141"/>
        <item x="410"/>
        <item x="588"/>
        <item x="514"/>
        <item x="692"/>
        <item x="135"/>
        <item x="486"/>
        <item x="473"/>
        <item x="719"/>
        <item x="702"/>
        <item x="196"/>
        <item x="371"/>
        <item x="374"/>
        <item x="146"/>
        <item x="688"/>
        <item x="310"/>
        <item x="620"/>
        <item x="741"/>
        <item x="319"/>
        <item x="21"/>
        <item x="711"/>
        <item x="34"/>
        <item x="33"/>
        <item x="703"/>
        <item x="372"/>
        <item x="413"/>
        <item x="487"/>
        <item x="432"/>
        <item x="53"/>
        <item x="175"/>
        <item x="534"/>
        <item x="631"/>
        <item x="258"/>
        <item x="40"/>
        <item x="712"/>
        <item x="368"/>
        <item x="82"/>
        <item x="553"/>
        <item x="651"/>
        <item x="521"/>
        <item x="650"/>
        <item x="119"/>
        <item x="51"/>
        <item x="624"/>
        <item x="670"/>
        <item x="329"/>
        <item x="429"/>
        <item x="570"/>
        <item x="32"/>
        <item x="556"/>
        <item x="199"/>
        <item x="503"/>
        <item x="149"/>
        <item x="77"/>
        <item x="279"/>
        <item x="463"/>
        <item x="270"/>
        <item x="490"/>
        <item x="144"/>
        <item x="512"/>
        <item x="565"/>
        <item x="666"/>
        <item x="153"/>
        <item x="672"/>
        <item x="526"/>
        <item x="288"/>
        <item x="228"/>
        <item x="190"/>
        <item x="70"/>
        <item x="205"/>
        <item x="600"/>
        <item x="610"/>
        <item x="72"/>
        <item x="66"/>
        <item x="653"/>
        <item x="195"/>
        <item x="537"/>
        <item x="622"/>
        <item x="13"/>
        <item x="15"/>
        <item x="54"/>
        <item x="157"/>
        <item x="563"/>
        <item x="12"/>
        <item x="484"/>
        <item x="375"/>
        <item x="58"/>
        <item x="182"/>
        <item x="533"/>
        <item x="469"/>
        <item x="506"/>
        <item x="566"/>
        <item x="202"/>
        <item x="344"/>
        <item x="601"/>
        <item x="73"/>
        <item x="583"/>
        <item x="303"/>
        <item x="239"/>
        <item x="174"/>
        <item x="615"/>
        <item x="232"/>
        <item x="172"/>
        <item x="675"/>
        <item x="216"/>
        <item x="593"/>
        <item x="698"/>
        <item x="45"/>
        <item x="376"/>
        <item x="501"/>
        <item x="458"/>
        <item x="390"/>
        <item x="477"/>
        <item x="349"/>
        <item x="78"/>
        <item x="745"/>
        <item x="91"/>
        <item x="213"/>
        <item x="99"/>
        <item x="571"/>
        <item x="352"/>
        <item x="731"/>
        <item x="250"/>
        <item x="466"/>
        <item x="339"/>
        <item x="743"/>
        <item x="435"/>
        <item x="277"/>
        <item x="628"/>
        <item x="421"/>
        <item x="642"/>
        <item x="358"/>
        <item x="300"/>
        <item x="646"/>
        <item x="138"/>
        <item x="253"/>
        <item x="366"/>
        <item x="92"/>
        <item x="633"/>
        <item x="197"/>
        <item x="241"/>
        <item x="598"/>
        <item x="122"/>
        <item x="380"/>
        <item x="617"/>
        <item x="126"/>
        <item x="605"/>
        <item x="680"/>
        <item x="547"/>
        <item x="418"/>
        <item x="404"/>
        <item x="676"/>
        <item x="44"/>
        <item x="31"/>
        <item x="154"/>
        <item x="457"/>
        <item x="727"/>
        <item x="730"/>
        <item x="110"/>
        <item x="176"/>
        <item x="580"/>
        <item x="56"/>
        <item x="360"/>
        <item x="720"/>
        <item x="669"/>
        <item x="684"/>
        <item x="235"/>
        <item x="168"/>
        <item x="652"/>
        <item x="159"/>
        <item x="227"/>
        <item x="581"/>
        <item x="17"/>
        <item x="3"/>
        <item x="74"/>
        <item x="505"/>
        <item x="0"/>
        <item x="607"/>
        <item x="428"/>
        <item x="612"/>
        <item x="115"/>
        <item x="299"/>
        <item x="440"/>
        <item x="638"/>
        <item x="654"/>
        <item x="148"/>
        <item x="215"/>
        <item x="145"/>
        <item x="295"/>
        <item x="362"/>
        <item x="549"/>
        <item x="395"/>
        <item x="268"/>
        <item x="494"/>
        <item x="452"/>
        <item x="525"/>
        <item x="582"/>
        <item x="496"/>
        <item x="20"/>
        <item x="424"/>
        <item x="297"/>
        <item x="365"/>
        <item x="16"/>
        <item x="114"/>
        <item x="97"/>
        <item x="519"/>
        <item x="455"/>
        <item x="733"/>
        <item x="359"/>
        <item x="659"/>
        <item x="9"/>
        <item x="564"/>
        <item x="274"/>
        <item x="11"/>
        <item x="336"/>
        <item x="658"/>
        <item x="52"/>
        <item x="318"/>
        <item x="106"/>
        <item x="548"/>
        <item x="111"/>
        <item x="381"/>
        <item x="292"/>
        <item x="626"/>
        <item x="39"/>
        <item x="611"/>
        <item x="262"/>
        <item x="261"/>
        <item x="302"/>
        <item x="68"/>
        <item x="264"/>
        <item x="49"/>
        <item x="87"/>
        <item x="156"/>
        <item x="93"/>
        <item x="637"/>
        <item x="357"/>
        <item x="710"/>
        <item x="206"/>
        <item x="147"/>
        <item x="433"/>
        <item x="96"/>
        <item x="192"/>
        <item x="619"/>
        <item x="353"/>
        <item x="541"/>
        <item x="391"/>
        <item x="327"/>
        <item x="439"/>
        <item x="451"/>
        <item x="705"/>
        <item x="2"/>
        <item x="354"/>
        <item x="398"/>
        <item x="170"/>
        <item x="551"/>
        <item x="522"/>
        <item x="597"/>
        <item x="18"/>
        <item x="219"/>
        <item x="167"/>
        <item x="382"/>
        <item x="742"/>
        <item x="718"/>
        <item x="113"/>
        <item x="333"/>
        <item x="465"/>
        <item x="151"/>
        <item x="618"/>
        <item x="243"/>
        <item x="193"/>
        <item x="50"/>
        <item x="550"/>
        <item x="674"/>
        <item x="211"/>
        <item x="696"/>
        <item x="85"/>
        <item x="449"/>
        <item x="191"/>
        <item x="83"/>
        <item x="30"/>
        <item x="614"/>
        <item x="602"/>
        <item x="575"/>
        <item x="308"/>
        <item x="644"/>
        <item x="475"/>
        <item x="285"/>
        <item x="179"/>
        <item x="403"/>
        <item x="726"/>
        <item x="323"/>
        <item x="143"/>
        <item x="474"/>
        <item x="361"/>
        <item x="447"/>
        <item x="57"/>
        <item x="165"/>
        <item x="102"/>
        <item x="471"/>
        <item x="337"/>
        <item x="81"/>
        <item x="136"/>
        <item x="331"/>
        <item x="291"/>
        <item x="173"/>
        <item x="436"/>
        <item x="456"/>
        <item x="660"/>
        <item x="171"/>
        <item x="71"/>
        <item x="105"/>
        <item x="321"/>
        <item x="399"/>
        <item x="722"/>
        <item x="233"/>
        <item x="647"/>
        <item x="61"/>
        <item x="573"/>
        <item x="273"/>
        <item x="95"/>
        <item x="317"/>
        <item x="686"/>
        <item x="709"/>
        <item x="129"/>
        <item x="539"/>
        <item x="470"/>
        <item x="257"/>
        <item x="480"/>
        <item x="313"/>
        <item x="309"/>
        <item x="706"/>
        <item x="678"/>
        <item x="335"/>
        <item t="default"/>
      </items>
    </pivotField>
    <pivotField showAll="0">
      <items count="27">
        <item x="12"/>
        <item x="18"/>
        <item x="11"/>
        <item x="7"/>
        <item x="25"/>
        <item x="1"/>
        <item x="13"/>
        <item x="4"/>
        <item x="22"/>
        <item x="6"/>
        <item x="2"/>
        <item x="8"/>
        <item x="14"/>
        <item x="10"/>
        <item x="24"/>
        <item x="19"/>
        <item x="16"/>
        <item x="5"/>
        <item x="20"/>
        <item x="23"/>
        <item x="17"/>
        <item x="9"/>
        <item x="15"/>
        <item x="0"/>
        <item x="21"/>
        <item x="3"/>
        <item t="default"/>
      </items>
    </pivotField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>
      <items count="389">
        <item x="16"/>
        <item x="337"/>
        <item x="135"/>
        <item x="17"/>
        <item x="166"/>
        <item x="69"/>
        <item x="215"/>
        <item x="352"/>
        <item x="28"/>
        <item x="22"/>
        <item x="182"/>
        <item x="117"/>
        <item x="205"/>
        <item x="332"/>
        <item x="306"/>
        <item x="223"/>
        <item x="97"/>
        <item x="38"/>
        <item x="176"/>
        <item x="285"/>
        <item x="363"/>
        <item x="256"/>
        <item x="62"/>
        <item x="305"/>
        <item x="318"/>
        <item x="54"/>
        <item x="274"/>
        <item x="127"/>
        <item x="101"/>
        <item x="199"/>
        <item x="384"/>
        <item x="301"/>
        <item x="314"/>
        <item x="267"/>
        <item x="171"/>
        <item x="269"/>
        <item x="258"/>
        <item x="26"/>
        <item x="313"/>
        <item x="325"/>
        <item x="298"/>
        <item x="293"/>
        <item x="362"/>
        <item x="87"/>
        <item x="91"/>
        <item x="193"/>
        <item x="128"/>
        <item x="351"/>
        <item x="307"/>
        <item x="311"/>
        <item x="12"/>
        <item x="263"/>
        <item x="341"/>
        <item x="265"/>
        <item x="281"/>
        <item x="366"/>
        <item x="387"/>
        <item x="19"/>
        <item x="347"/>
        <item x="239"/>
        <item x="287"/>
        <item x="48"/>
        <item x="6"/>
        <item x="358"/>
        <item x="343"/>
        <item x="125"/>
        <item x="308"/>
        <item x="327"/>
        <item x="178"/>
        <item x="11"/>
        <item x="151"/>
        <item x="304"/>
        <item x="170"/>
        <item x="320"/>
        <item x="103"/>
        <item x="194"/>
        <item x="181"/>
        <item x="118"/>
        <item x="312"/>
        <item x="68"/>
        <item x="282"/>
        <item x="184"/>
        <item x="36"/>
        <item x="226"/>
        <item x="379"/>
        <item x="25"/>
        <item x="57"/>
        <item x="73"/>
        <item x="245"/>
        <item x="344"/>
        <item x="43"/>
        <item x="7"/>
        <item x="96"/>
        <item x="15"/>
        <item x="30"/>
        <item x="290"/>
        <item x="165"/>
        <item x="253"/>
        <item x="123"/>
        <item x="163"/>
        <item x="231"/>
        <item x="4"/>
        <item x="113"/>
        <item x="186"/>
        <item x="209"/>
        <item x="315"/>
        <item x="114"/>
        <item x="340"/>
        <item x="303"/>
        <item x="225"/>
        <item x="378"/>
        <item x="355"/>
        <item x="120"/>
        <item x="27"/>
        <item x="112"/>
        <item x="360"/>
        <item x="288"/>
        <item x="292"/>
        <item x="8"/>
        <item x="66"/>
        <item x="109"/>
        <item x="249"/>
        <item x="322"/>
        <item x="309"/>
        <item x="172"/>
        <item x="257"/>
        <item x="150"/>
        <item x="110"/>
        <item x="82"/>
        <item x="32"/>
        <item x="261"/>
        <item x="31"/>
        <item x="317"/>
        <item x="346"/>
        <item x="272"/>
        <item x="375"/>
        <item x="359"/>
        <item x="302"/>
        <item x="63"/>
        <item x="98"/>
        <item x="100"/>
        <item x="247"/>
        <item x="0"/>
        <item x="334"/>
        <item x="328"/>
        <item x="219"/>
        <item x="296"/>
        <item x="214"/>
        <item x="345"/>
        <item x="76"/>
        <item x="217"/>
        <item x="361"/>
        <item x="124"/>
        <item x="122"/>
        <item x="102"/>
        <item x="277"/>
        <item x="42"/>
        <item x="364"/>
        <item x="173"/>
        <item x="280"/>
        <item x="321"/>
        <item x="224"/>
        <item x="371"/>
        <item x="251"/>
        <item x="65"/>
        <item x="196"/>
        <item x="29"/>
        <item x="212"/>
        <item x="319"/>
        <item x="74"/>
        <item x="21"/>
        <item x="24"/>
        <item x="130"/>
        <item x="143"/>
        <item x="235"/>
        <item x="208"/>
        <item x="3"/>
        <item x="357"/>
        <item x="104"/>
        <item x="192"/>
        <item x="264"/>
        <item x="115"/>
        <item x="71"/>
        <item x="222"/>
        <item x="93"/>
        <item x="72"/>
        <item x="64"/>
        <item x="56"/>
        <item x="142"/>
        <item x="216"/>
        <item x="353"/>
        <item x="58"/>
        <item x="121"/>
        <item x="284"/>
        <item x="238"/>
        <item x="189"/>
        <item x="154"/>
        <item x="329"/>
        <item x="47"/>
        <item x="386"/>
        <item x="188"/>
        <item x="202"/>
        <item x="10"/>
        <item x="155"/>
        <item x="201"/>
        <item x="197"/>
        <item x="132"/>
        <item x="300"/>
        <item x="279"/>
        <item x="116"/>
        <item x="376"/>
        <item x="18"/>
        <item x="137"/>
        <item x="213"/>
        <item x="342"/>
        <item x="338"/>
        <item x="81"/>
        <item x="75"/>
        <item x="354"/>
        <item x="44"/>
        <item x="33"/>
        <item x="241"/>
        <item x="77"/>
        <item x="260"/>
        <item x="336"/>
        <item x="380"/>
        <item x="356"/>
        <item x="262"/>
        <item x="85"/>
        <item x="203"/>
        <item x="149"/>
        <item x="382"/>
        <item x="367"/>
        <item x="35"/>
        <item x="79"/>
        <item x="78"/>
        <item x="146"/>
        <item x="147"/>
        <item x="237"/>
        <item x="207"/>
        <item x="152"/>
        <item x="88"/>
        <item x="95"/>
        <item x="70"/>
        <item x="164"/>
        <item x="1"/>
        <item x="316"/>
        <item x="276"/>
        <item x="13"/>
        <item x="210"/>
        <item x="385"/>
        <item x="335"/>
        <item x="270"/>
        <item x="86"/>
        <item x="204"/>
        <item x="246"/>
        <item x="275"/>
        <item x="252"/>
        <item x="271"/>
        <item x="218"/>
        <item x="174"/>
        <item x="160"/>
        <item x="46"/>
        <item x="183"/>
        <item x="221"/>
        <item x="59"/>
        <item x="51"/>
        <item x="89"/>
        <item x="283"/>
        <item x="228"/>
        <item x="294"/>
        <item x="106"/>
        <item x="266"/>
        <item x="168"/>
        <item x="323"/>
        <item x="255"/>
        <item x="206"/>
        <item x="141"/>
        <item x="153"/>
        <item x="126"/>
        <item x="40"/>
        <item x="156"/>
        <item x="374"/>
        <item x="169"/>
        <item x="49"/>
        <item x="34"/>
        <item x="148"/>
        <item x="161"/>
        <item x="236"/>
        <item x="234"/>
        <item x="50"/>
        <item x="243"/>
        <item x="377"/>
        <item x="220"/>
        <item x="39"/>
        <item x="99"/>
        <item x="175"/>
        <item x="348"/>
        <item x="365"/>
        <item x="20"/>
        <item x="295"/>
        <item x="339"/>
        <item x="240"/>
        <item x="139"/>
        <item x="268"/>
        <item x="299"/>
        <item x="185"/>
        <item x="369"/>
        <item x="190"/>
        <item x="119"/>
        <item x="92"/>
        <item x="289"/>
        <item x="14"/>
        <item x="9"/>
        <item x="90"/>
        <item x="52"/>
        <item x="140"/>
        <item x="211"/>
        <item x="330"/>
        <item x="242"/>
        <item x="84"/>
        <item x="233"/>
        <item x="191"/>
        <item x="2"/>
        <item x="381"/>
        <item x="372"/>
        <item x="67"/>
        <item x="80"/>
        <item x="291"/>
        <item x="60"/>
        <item x="5"/>
        <item x="61"/>
        <item x="144"/>
        <item x="373"/>
        <item x="232"/>
        <item x="383"/>
        <item x="286"/>
        <item x="108"/>
        <item x="195"/>
        <item x="370"/>
        <item x="297"/>
        <item x="229"/>
        <item x="111"/>
        <item x="331"/>
        <item x="159"/>
        <item x="187"/>
        <item x="167"/>
        <item x="133"/>
        <item x="310"/>
        <item x="23"/>
        <item x="200"/>
        <item x="350"/>
        <item x="368"/>
        <item x="157"/>
        <item x="107"/>
        <item x="45"/>
        <item x="55"/>
        <item x="162"/>
        <item x="324"/>
        <item x="326"/>
        <item x="53"/>
        <item x="37"/>
        <item x="94"/>
        <item x="129"/>
        <item x="259"/>
        <item x="145"/>
        <item x="83"/>
        <item x="273"/>
        <item x="177"/>
        <item x="254"/>
        <item x="198"/>
        <item x="180"/>
        <item x="227"/>
        <item x="349"/>
        <item x="131"/>
        <item x="179"/>
        <item x="244"/>
        <item x="250"/>
        <item x="136"/>
        <item x="41"/>
        <item x="138"/>
        <item x="134"/>
        <item x="230"/>
        <item x="158"/>
        <item x="278"/>
        <item x="105"/>
        <item x="248"/>
        <item x="333"/>
        <item t="default"/>
      </items>
    </pivotField>
    <pivotField showAll="0"/>
    <pivotField showAll="0"/>
    <pivotField showAll="0"/>
    <pivotField showAll="0"/>
    <pivotField dataField="1" showAll="0">
      <items count="343">
        <item x="107"/>
        <item x="125"/>
        <item x="306"/>
        <item x="169"/>
        <item x="105"/>
        <item x="130"/>
        <item x="227"/>
        <item x="186"/>
        <item x="182"/>
        <item x="109"/>
        <item x="291"/>
        <item x="12"/>
        <item x="39"/>
        <item x="88"/>
        <item x="265"/>
        <item x="114"/>
        <item x="212"/>
        <item x="205"/>
        <item x="27"/>
        <item x="310"/>
        <item x="129"/>
        <item x="268"/>
        <item x="143"/>
        <item x="8"/>
        <item x="6"/>
        <item x="140"/>
        <item x="259"/>
        <item x="97"/>
        <item x="283"/>
        <item x="179"/>
        <item x="91"/>
        <item x="191"/>
        <item x="321"/>
        <item x="141"/>
        <item x="300"/>
        <item x="164"/>
        <item x="3"/>
        <item x="167"/>
        <item x="96"/>
        <item x="112"/>
        <item x="220"/>
        <item x="82"/>
        <item x="113"/>
        <item x="13"/>
        <item x="146"/>
        <item x="47"/>
        <item x="25"/>
        <item x="1"/>
        <item x="142"/>
        <item x="214"/>
        <item x="18"/>
        <item x="94"/>
        <item x="77"/>
        <item x="180"/>
        <item x="116"/>
        <item x="66"/>
        <item x="90"/>
        <item x="71"/>
        <item x="53"/>
        <item x="216"/>
        <item x="312"/>
        <item x="84"/>
        <item x="11"/>
        <item x="89"/>
        <item x="247"/>
        <item x="230"/>
        <item x="295"/>
        <item x="120"/>
        <item x="206"/>
        <item x="104"/>
        <item x="15"/>
        <item x="168"/>
        <item x="79"/>
        <item x="68"/>
        <item x="83"/>
        <item x="67"/>
        <item x="187"/>
        <item x="181"/>
        <item x="322"/>
        <item x="5"/>
        <item x="100"/>
        <item x="29"/>
        <item x="50"/>
        <item x="17"/>
        <item x="54"/>
        <item x="55"/>
        <item x="2"/>
        <item x="229"/>
        <item x="240"/>
        <item x="30"/>
        <item x="20"/>
        <item x="115"/>
        <item x="174"/>
        <item x="219"/>
        <item x="255"/>
        <item x="203"/>
        <item x="235"/>
        <item x="315"/>
        <item x="162"/>
        <item x="244"/>
        <item x="108"/>
        <item x="93"/>
        <item x="43"/>
        <item x="245"/>
        <item x="253"/>
        <item x="294"/>
        <item x="76"/>
        <item x="139"/>
        <item x="35"/>
        <item x="85"/>
        <item x="154"/>
        <item x="288"/>
        <item x="289"/>
        <item x="318"/>
        <item x="263"/>
        <item x="75"/>
        <item x="156"/>
        <item x="337"/>
        <item x="148"/>
        <item x="281"/>
        <item x="211"/>
        <item x="225"/>
        <item x="63"/>
        <item x="0"/>
        <item x="197"/>
        <item x="282"/>
        <item x="299"/>
        <item x="103"/>
        <item x="33"/>
        <item x="128"/>
        <item x="184"/>
        <item x="254"/>
        <item x="280"/>
        <item x="86"/>
        <item x="188"/>
        <item x="248"/>
        <item x="70"/>
        <item x="152"/>
        <item x="314"/>
        <item x="207"/>
        <item x="48"/>
        <item x="218"/>
        <item x="37"/>
        <item x="31"/>
        <item x="256"/>
        <item x="284"/>
        <item x="196"/>
        <item x="273"/>
        <item x="121"/>
        <item x="236"/>
        <item x="177"/>
        <item x="194"/>
        <item x="293"/>
        <item x="331"/>
        <item x="173"/>
        <item x="271"/>
        <item x="58"/>
        <item x="149"/>
        <item x="304"/>
        <item x="4"/>
        <item x="292"/>
        <item x="285"/>
        <item x="334"/>
        <item x="208"/>
        <item x="308"/>
        <item x="64"/>
        <item x="241"/>
        <item x="170"/>
        <item x="325"/>
        <item x="303"/>
        <item x="338"/>
        <item x="183"/>
        <item x="69"/>
        <item x="126"/>
        <item x="42"/>
        <item x="327"/>
        <item x="137"/>
        <item x="296"/>
        <item x="276"/>
        <item x="45"/>
        <item x="324"/>
        <item x="210"/>
        <item x="178"/>
        <item x="60"/>
        <item x="272"/>
        <item x="262"/>
        <item x="73"/>
        <item x="21"/>
        <item x="323"/>
        <item x="278"/>
        <item x="19"/>
        <item x="204"/>
        <item x="135"/>
        <item x="226"/>
        <item x="195"/>
        <item x="163"/>
        <item x="329"/>
        <item x="330"/>
        <item x="49"/>
        <item x="217"/>
        <item x="189"/>
        <item x="200"/>
        <item x="176"/>
        <item x="78"/>
        <item x="26"/>
        <item x="87"/>
        <item x="133"/>
        <item x="242"/>
        <item x="119"/>
        <item x="171"/>
        <item x="231"/>
        <item x="127"/>
        <item x="290"/>
        <item x="51"/>
        <item x="260"/>
        <item x="261"/>
        <item x="80"/>
        <item x="243"/>
        <item x="202"/>
        <item x="269"/>
        <item x="274"/>
        <item x="150"/>
        <item x="223"/>
        <item x="165"/>
        <item x="32"/>
        <item x="297"/>
        <item x="132"/>
        <item x="228"/>
        <item x="99"/>
        <item x="131"/>
        <item x="106"/>
        <item x="252"/>
        <item x="118"/>
        <item x="59"/>
        <item x="16"/>
        <item x="122"/>
        <item x="328"/>
        <item x="246"/>
        <item x="198"/>
        <item x="136"/>
        <item x="147"/>
        <item x="102"/>
        <item x="160"/>
        <item x="41"/>
        <item x="10"/>
        <item x="222"/>
        <item x="286"/>
        <item x="155"/>
        <item x="275"/>
        <item x="319"/>
        <item x="56"/>
        <item x="305"/>
        <item x="333"/>
        <item x="264"/>
        <item x="72"/>
        <item x="22"/>
        <item x="266"/>
        <item x="159"/>
        <item x="313"/>
        <item x="193"/>
        <item x="151"/>
        <item x="307"/>
        <item x="24"/>
        <item x="298"/>
        <item x="57"/>
        <item x="46"/>
        <item x="309"/>
        <item x="134"/>
        <item x="61"/>
        <item x="317"/>
        <item x="110"/>
        <item x="232"/>
        <item x="251"/>
        <item x="339"/>
        <item x="190"/>
        <item x="185"/>
        <item x="249"/>
        <item x="221"/>
        <item x="237"/>
        <item x="311"/>
        <item x="233"/>
        <item x="270"/>
        <item x="38"/>
        <item x="234"/>
        <item x="277"/>
        <item x="340"/>
        <item x="213"/>
        <item x="124"/>
        <item x="74"/>
        <item x="81"/>
        <item x="166"/>
        <item x="40"/>
        <item x="144"/>
        <item x="65"/>
        <item x="258"/>
        <item x="201"/>
        <item x="199"/>
        <item x="157"/>
        <item x="62"/>
        <item x="316"/>
        <item x="153"/>
        <item x="52"/>
        <item x="279"/>
        <item x="111"/>
        <item x="123"/>
        <item x="145"/>
        <item x="192"/>
        <item x="175"/>
        <item x="98"/>
        <item x="301"/>
        <item x="14"/>
        <item x="101"/>
        <item x="267"/>
        <item x="138"/>
        <item x="335"/>
        <item x="34"/>
        <item x="257"/>
        <item x="336"/>
        <item x="224"/>
        <item x="9"/>
        <item x="287"/>
        <item x="332"/>
        <item x="172"/>
        <item x="117"/>
        <item x="209"/>
        <item x="44"/>
        <item x="158"/>
        <item x="302"/>
        <item x="238"/>
        <item x="36"/>
        <item x="95"/>
        <item x="23"/>
        <item x="239"/>
        <item x="250"/>
        <item x="161"/>
        <item x="92"/>
        <item x="326"/>
        <item x="215"/>
        <item x="7"/>
        <item x="320"/>
        <item x="341"/>
        <item x="28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7"/>
    <field x="16"/>
  </rowFields>
  <rowItems count="1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 r="1">
      <x v="3"/>
    </i>
    <i>
      <x v="19"/>
    </i>
    <i r="1">
      <x/>
    </i>
    <i r="1">
      <x v="1"/>
    </i>
    <i r="1">
      <x v="2"/>
    </i>
    <i r="1">
      <x v="3"/>
    </i>
    <i>
      <x v="20"/>
    </i>
    <i r="1">
      <x/>
    </i>
    <i r="1">
      <x v="1"/>
    </i>
    <i r="1">
      <x v="2"/>
    </i>
    <i r="1">
      <x v="3"/>
    </i>
    <i>
      <x v="21"/>
    </i>
    <i r="1">
      <x/>
    </i>
    <i r="1">
      <x v="1"/>
    </i>
    <i r="1">
      <x v="2"/>
    </i>
    <i r="1">
      <x v="3"/>
    </i>
    <i>
      <x v="22"/>
    </i>
    <i r="1">
      <x/>
    </i>
    <i r="1">
      <x v="1"/>
    </i>
    <i r="1">
      <x v="2"/>
    </i>
    <i r="1">
      <x v="3"/>
    </i>
    <i>
      <x v="23"/>
    </i>
    <i r="1">
      <x/>
    </i>
    <i r="1">
      <x v="1"/>
    </i>
    <i r="1">
      <x v="2"/>
    </i>
    <i r="1">
      <x v="3"/>
    </i>
    <i>
      <x v="24"/>
    </i>
    <i r="1">
      <x/>
    </i>
    <i r="1">
      <x v="1"/>
    </i>
    <i r="1">
      <x v="2"/>
    </i>
    <i r="1">
      <x v="3"/>
    </i>
    <i>
      <x v="25"/>
    </i>
    <i r="1">
      <x/>
    </i>
    <i r="1">
      <x v="1"/>
    </i>
    <i r="1">
      <x v="2"/>
    </i>
    <i r="1">
      <x v="3"/>
    </i>
    <i t="grand">
      <x/>
    </i>
  </rowItems>
  <colFields count="2">
    <field x="10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Nombre de Client.ID_Client" fld="12" subtotal="count" baseField="0" baseItem="0"/>
    <dataField name="Somme de Duree_Cumulee_Panne" fld="17" baseField="16" baseItem="0" numFmtId="20"/>
    <dataField name="Somme de Montant_Remise" fld="22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52A0DEE-1616-45B4-AE8C-CA2AC0DA22AA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Source.Name" tableColumnId="1"/>
      <queryTableField id="2" name="ID_Client" tableColumnId="2"/>
      <queryTableField id="3" name="Province_Client" tableColumnId="3"/>
      <queryTableField id="10" dataBound="0" tableColumnId="10"/>
      <queryTableField id="4" name="Anciennete_Mois" tableColumnId="4"/>
      <queryTableField id="5" name="Type_Forfait" tableColumnId="5"/>
      <queryTableField id="9" dataBound="0" tableColumnId="9"/>
      <queryTableField id="6" name="Duree_Cumulee_Panne_Min" tableColumnId="6"/>
      <queryTableField id="7" name="Facture_Mensuelle" tableColumnId="7"/>
      <queryTableField id="8" name="Plaintes_Service_Client" tableColumnId="8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ACD59BCE-7EF9-4CAC-AE7E-0C8C59A79765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name="Date_Heure_Panne - Copi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7AB2FB99-91FF-4895-B06B-8411DF27A2F8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0" xr16:uid="{2ED3133A-F724-4F28-8768-AA23BAAA1C00}" autoFormatId="16" applyNumberFormats="0" applyBorderFormats="0" applyFontFormats="0" applyPatternFormats="0" applyAlignmentFormats="0" applyWidthHeightFormats="0">
  <queryTableRefresh nextId="39">
    <queryTableFields count="23">
      <queryTableField id="1" name="Source.Name" tableColumnId="1"/>
      <queryTableField id="26" name="Date_Panne" tableColumnId="25"/>
      <queryTableField id="24" name="Heure_Panne - Copier" tableColumnId="24"/>
      <queryTableField id="4" name="Cell_ID" tableColumnId="4"/>
      <queryTableField id="5" name="Duree_Panne_Min" tableColumnId="5"/>
      <queryTableField id="6" name="Statut_Resolution" tableColumnId="6"/>
      <queryTableField id="27" name="Maint_Rx.ID_Antenne" tableColumnId="26"/>
      <queryTableField id="28" name="Maint_Rx.Province_RDC" tableColumnId="27"/>
      <queryTableField id="9" name="Maintenance_Rx.Latitude" tableColumnId="9"/>
      <queryTableField id="10" name="Maintenance_Rx.Longitude" tableColumnId="10"/>
      <queryTableField id="29" name="Maint_Rx.Technologie" tableColumnId="28"/>
      <queryTableField id="30" name="Maint_Rx.Equipementier" tableColumnId="29"/>
      <queryTableField id="13" name="Client.ID_Client" tableColumnId="13"/>
      <queryTableField id="14" name="Client.Province_Client" tableColumnId="14"/>
      <queryTableField id="15" name="Anciennete_Mois" tableColumnId="15"/>
      <queryTableField id="16" name="Client.Anciennete_Mois2" tableColumnId="16"/>
      <queryTableField id="17" name="Client.Type_Forfait" tableColumnId="17"/>
      <queryTableField id="31" name="Duree_Cumulee_Panne" tableColumnId="30"/>
      <queryTableField id="19" name="Client.Duree_Cumulee_Panne_Min" tableColumnId="19"/>
      <queryTableField id="20" name="Client.Facture_Mensuelle" tableColumnId="20"/>
      <queryTableField id="21" name="Client.Plaintes_Service_Client" tableColumnId="21"/>
      <queryTableField id="22" name="Remise" tableColumnId="22"/>
      <queryTableField id="32" name="Montant_Remise" tableColumnId="3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int_Rx.Technologie" xr10:uid="{EA6FF347-719B-485C-AA0F-F03FBADF7836}" sourceName="Maint_Rx.Technologie">
  <pivotTables>
    <pivotTable tabId="11" name="Tableau croisé dynamique2"/>
  </pivotTables>
  <data>
    <tabular pivotCacheId="1436133459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int_Rx.Technologie" xr10:uid="{2409404B-7083-41A5-AEA2-7BECA5B82D2E}" cache="Segment_Maint_Rx.Technologie" caption="Maint_Rx.Technologie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D781A-C00D-4C23-96F1-60A6BC25F7D7}" name="Client" displayName="Client" ref="A1:L749" tableType="queryTable" totalsRowShown="0">
  <autoFilter ref="A1:L749" xr:uid="{2EDD781A-C00D-4C23-96F1-60A6BC25F7D7}"/>
  <tableColumns count="12">
    <tableColumn id="1" xr3:uid="{D6B09982-A14E-4DEC-9CA1-B3BD9A90FEE9}" uniqueName="1" name="Source.Name" queryTableFieldId="1" dataDxfId="30"/>
    <tableColumn id="2" xr3:uid="{37916EE7-1421-4FD5-9F49-B11EF5DAD4A5}" uniqueName="2" name="ID_Client" queryTableFieldId="2" dataDxfId="29"/>
    <tableColumn id="3" xr3:uid="{A3973B93-C4D4-4B34-8193-07A427A895E3}" uniqueName="3" name="Province_Client" queryTableFieldId="3" dataDxfId="28"/>
    <tableColumn id="10" xr3:uid="{314738D5-565C-47D1-ABF0-033E403D6853}" uniqueName="10" name="Anciennete_Clie" queryTableFieldId="10" dataDxfId="1">
      <calculatedColumnFormula>INT('Client'!$E2/12) &amp; " ans et " &amp; MOD('Client'!$E2,12) &amp; " mois"</calculatedColumnFormula>
    </tableColumn>
    <tableColumn id="4" xr3:uid="{BAE23F77-0CD4-4AF1-A88C-A0D087BD935C}" uniqueName="4" name="Anciennete_Mois" queryTableFieldId="4"/>
    <tableColumn id="5" xr3:uid="{308EA071-FDDE-443F-8D8B-A15CF59A23A6}" uniqueName="5" name="Type_Forfait" queryTableFieldId="5" dataDxfId="27"/>
    <tableColumn id="9" xr3:uid="{12C286B6-9D68-4E04-90AA-E611A62931A6}" uniqueName="9" name="Duree_Cumulee_Panne" queryTableFieldId="9" dataDxfId="2">
      <calculatedColumnFormula>Client[[#This Row],[Duree_Cumulee_Panne_Min]]/1440</calculatedColumnFormula>
    </tableColumn>
    <tableColumn id="6" xr3:uid="{B5CC1560-7A59-469D-826D-139BD5DCF39D}" uniqueName="6" name="Duree_Cumulee_Panne_Min" queryTableFieldId="6"/>
    <tableColumn id="7" xr3:uid="{DAAB7DCD-091C-4092-B3A5-EF993B969133}" uniqueName="7" name="Facture_Mensuelle" queryTableFieldId="7"/>
    <tableColumn id="8" xr3:uid="{40883B13-AC54-4928-966F-5326C3DD7D9E}" uniqueName="8" name="Plaintes_Service_Client" queryTableFieldId="8"/>
    <tableColumn id="11" xr3:uid="{665D79F2-92DA-4407-A9FF-592FD51EADC1}" uniqueName="11" name="Remises" queryTableFieldId="11" dataCellStyle="Pourcentage">
      <calculatedColumnFormula>IF('Client'!$F2="Pro Monde",10%,IF(AND('Client'!$G2&gt;12,'Client'!$D2&gt;5),70%,IF(AND(OR('Client'!$G2&gt;=4,'Client'!$G2&lt;=12,'Client'!$D2&lt;5,(OR('Client'!$F2="Premium ")))),45%,0%)))</calculatedColumnFormula>
    </tableColumn>
    <tableColumn id="12" xr3:uid="{AE6D122A-9C97-49C8-AD88-40D171BCB0A5}" uniqueName="12" name="Mont_Remise" queryTableFieldId="12" dataDxfId="0">
      <calculatedColumnFormula>'Client'!$I2* ('Client'!$K2/100)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DED77-FD03-411B-B51C-67B0E394EE44}" name="Logs_Reseau2" displayName="Logs_Reseau2" ref="A1:F1034" tableType="queryTable" totalsRowShown="0">
  <autoFilter ref="A1:F1034" xr:uid="{91FDED77-FD03-411B-B51C-67B0E394EE44}"/>
  <tableColumns count="6">
    <tableColumn id="1" xr3:uid="{6B5BB9CB-16EA-4F3C-B2F7-B57FB9D97F68}" uniqueName="1" name="Source.Name" queryTableFieldId="1" dataDxfId="26"/>
    <tableColumn id="2" xr3:uid="{3D321B87-6B0D-43B6-BAA7-215A9E19BCC6}" uniqueName="2" name="Date_Heure_Panne" queryTableFieldId="2" dataDxfId="25"/>
    <tableColumn id="3" xr3:uid="{983E9EDA-0C4C-4BEE-965A-9ABBD83A12C1}" uniqueName="3" name="Cell_ID" queryTableFieldId="3" dataDxfId="24"/>
    <tableColumn id="4" xr3:uid="{084E31BD-3BA9-4FFB-A9C0-00E556E6C691}" uniqueName="4" name="Duree_Panne_Min" queryTableFieldId="4"/>
    <tableColumn id="5" xr3:uid="{185185FF-307D-45FC-9BAD-A47E1D2BDBCC}" uniqueName="5" name="Statut_Resolution" queryTableFieldId="5" dataDxfId="23"/>
    <tableColumn id="6" xr3:uid="{65631FFA-E29A-4C3B-BFAE-5B673E406905}" uniqueName="6" name="Date_Heure_Panne - Copier" queryTableFieldId="6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30B11-D859-42A8-B36F-B8DFA228CF30}" name="Maintenance_Rx" displayName="Maintenance_Rx" ref="A1:G499" tableType="queryTable" totalsRowShown="0">
  <autoFilter ref="A1:G499" xr:uid="{C5D30B11-D859-42A8-B36F-B8DFA228CF30}"/>
  <tableColumns count="7">
    <tableColumn id="1" xr3:uid="{090504B8-98D8-4D9E-AA66-8E87F4C72E9D}" uniqueName="1" name="Source.Name" queryTableFieldId="1" dataDxfId="21"/>
    <tableColumn id="2" xr3:uid="{6B47171D-D3A6-4F0E-B7C2-FE5BFFBFF215}" uniqueName="2" name="ID_Antenne" queryTableFieldId="2" dataDxfId="20"/>
    <tableColumn id="3" xr3:uid="{79886F6F-4BF9-429A-A6AF-BE9A6F98900F}" uniqueName="3" name="Province_RDC" queryTableFieldId="3" dataDxfId="19"/>
    <tableColumn id="4" xr3:uid="{19D11AD7-69AE-4F7F-A068-5CA0E31571BB}" uniqueName="4" name="Latitude" queryTableFieldId="4"/>
    <tableColumn id="5" xr3:uid="{CD53A316-F7EC-4F79-AA4F-242072E94245}" uniqueName="5" name="Longitude" queryTableFieldId="5"/>
    <tableColumn id="6" xr3:uid="{4AA45714-741D-4E5F-8DFE-69A501AC2D24}" uniqueName="6" name="Technologie" queryTableFieldId="6" dataDxfId="18"/>
    <tableColumn id="7" xr3:uid="{A40B4F64-41BD-49D7-81B7-98CFEA0B4098}" uniqueName="7" name="Equipementier" queryTableFieldId="7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E5104B-4DBF-4543-A0A4-A7F68222B672}" name="Matrice2" displayName="Matrice2" ref="A1:W749" tableType="queryTable" totalsRowShown="0">
  <autoFilter ref="A1:W749" xr:uid="{9EE5104B-4DBF-4543-A0A4-A7F68222B6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456CEB45-A5BC-4F38-BBE4-3BACD76D8ADE}" uniqueName="1" name="Source.Name" queryTableFieldId="1" dataDxfId="16"/>
    <tableColumn id="25" xr3:uid="{C27ACAD9-D3B2-4CBD-BB9F-38235B6CB600}" uniqueName="25" name="Date_Panne" queryTableFieldId="26" dataDxfId="15"/>
    <tableColumn id="24" xr3:uid="{43629715-4F10-402C-ABC7-2E58ECE7CE48}" uniqueName="24" name="Heure_Panne - Copier" queryTableFieldId="24" dataDxfId="14"/>
    <tableColumn id="4" xr3:uid="{9D05159C-2FFD-4F6E-86BA-265B6075042D}" uniqueName="4" name="Cell_ID" queryTableFieldId="4" dataDxfId="13"/>
    <tableColumn id="5" xr3:uid="{73C895CC-A779-4022-A7E3-57B3FF12307E}" uniqueName="5" name="Duree_Panne_Min" queryTableFieldId="5"/>
    <tableColumn id="6" xr3:uid="{8C98B4EE-410A-437B-8AE4-F104169A016D}" uniqueName="6" name="Statut_Resolution" queryTableFieldId="6" dataDxfId="12"/>
    <tableColumn id="26" xr3:uid="{FBF7D133-BD48-45E8-8848-DCEACED0461C}" uniqueName="26" name="Maint_Rx.ID_Antenne" queryTableFieldId="27" dataDxfId="11"/>
    <tableColumn id="27" xr3:uid="{5A38551F-56BD-46C6-BD86-674B5F2E1216}" uniqueName="27" name="Maint_Rx.Province_RDC" queryTableFieldId="28" dataDxfId="10"/>
    <tableColumn id="9" xr3:uid="{D245DF20-5B71-4D16-AD32-C19E5C65A23C}" uniqueName="9" name="Maintenance_Rx.Latitude" queryTableFieldId="9"/>
    <tableColumn id="10" xr3:uid="{343AFC5A-7A71-4220-AA08-5BDBE4C456D6}" uniqueName="10" name="Maintenance_Rx.Longitude" queryTableFieldId="10"/>
    <tableColumn id="28" xr3:uid="{CB7E1B10-A49C-4908-8F2F-11BA385B9118}" uniqueName="28" name="Maint_Rx.Technologie" queryTableFieldId="29" dataDxfId="9"/>
    <tableColumn id="29" xr3:uid="{9CC62A47-8B95-43E6-B1D6-65039DDD6C48}" uniqueName="29" name="Maint_Rx.Equipementier" queryTableFieldId="30" dataDxfId="8"/>
    <tableColumn id="13" xr3:uid="{022E9D0D-4E8D-4AFC-B6A3-680956E366AB}" uniqueName="13" name="Client.ID_Client" queryTableFieldId="13" dataDxfId="7"/>
    <tableColumn id="14" xr3:uid="{98178AFB-72BC-4CB6-8A59-0ACC0360DD7D}" uniqueName="14" name="Client.Province_Client" queryTableFieldId="14" dataDxfId="6"/>
    <tableColumn id="15" xr3:uid="{412F5DEF-4500-4792-8DEC-0DF889FF1C5C}" uniqueName="15" name="Anciennete_Mois" queryTableFieldId="15" dataDxfId="5"/>
    <tableColumn id="16" xr3:uid="{E65D5B42-85D9-4742-9F75-538B21F3B6D6}" uniqueName="16" name="Client.Anciennete_Mois2" queryTableFieldId="16"/>
    <tableColumn id="17" xr3:uid="{F9FE5EF9-E5A7-453D-B0C9-0B08B01D8DBE}" uniqueName="17" name="Client.Type_Forfait" queryTableFieldId="17" dataDxfId="4"/>
    <tableColumn id="30" xr3:uid="{A3CB61E9-8161-47ED-A70A-724E743DE4C9}" uniqueName="30" name="Duree_Cumulee_Panne" queryTableFieldId="31" dataDxfId="3"/>
    <tableColumn id="19" xr3:uid="{A37EEC87-2C31-42AA-9F2A-F8F486538165}" uniqueName="19" name="Client.Duree_Cumulee_Panne_Min" queryTableFieldId="19"/>
    <tableColumn id="20" xr3:uid="{72BA1571-DCEA-417A-BCAD-641EF423E6AA}" uniqueName="20" name="Client.Facture_Mensuelle" queryTableFieldId="20"/>
    <tableColumn id="21" xr3:uid="{4D0195F3-38A9-4A41-8817-95AF88969061}" uniqueName="21" name="Client.Plaintes_Service_Client" queryTableFieldId="21"/>
    <tableColumn id="22" xr3:uid="{5DCA4A3A-8B81-4AAE-A18A-D442E4EB566B}" uniqueName="22" name="Remise" queryTableFieldId="22"/>
    <tableColumn id="31" xr3:uid="{CE3E112E-12D7-464B-89FA-5D0F8FDE8E0A}" uniqueName="31" name="Montant_Remise" queryTableFieldId="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6643-FB82-4243-A82F-BD47ED503406}">
  <dimension ref="A1:L749"/>
  <sheetViews>
    <sheetView workbookViewId="0">
      <selection activeCell="L1" sqref="L1:L1048576"/>
    </sheetView>
  </sheetViews>
  <sheetFormatPr baseColWidth="10" defaultRowHeight="14.4" x14ac:dyDescent="0.3"/>
  <cols>
    <col min="1" max="1" width="22.77734375" bestFit="1" customWidth="1"/>
    <col min="2" max="2" width="10.33203125" bestFit="1" customWidth="1"/>
    <col min="3" max="3" width="15.6640625" bestFit="1" customWidth="1"/>
    <col min="4" max="4" width="16.88671875" bestFit="1" customWidth="1"/>
    <col min="5" max="5" width="16.77734375" bestFit="1" customWidth="1"/>
    <col min="6" max="6" width="25.88671875" bestFit="1" customWidth="1"/>
    <col min="7" max="7" width="18.5546875" bestFit="1" customWidth="1"/>
    <col min="8" max="8" width="21.88671875" bestFit="1" customWidth="1"/>
    <col min="10" max="10" width="21.88671875" bestFit="1" customWidth="1"/>
    <col min="11" max="11" width="11.5546875" style="8"/>
    <col min="12" max="12" width="14" style="4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1838</v>
      </c>
      <c r="E1" t="s">
        <v>3</v>
      </c>
      <c r="F1" t="s">
        <v>4</v>
      </c>
      <c r="G1" t="s">
        <v>1705</v>
      </c>
      <c r="H1" t="s">
        <v>5</v>
      </c>
      <c r="I1" t="s">
        <v>6</v>
      </c>
      <c r="J1" t="s">
        <v>7</v>
      </c>
      <c r="K1" s="8" t="s">
        <v>1839</v>
      </c>
      <c r="L1" s="4" t="s">
        <v>1840</v>
      </c>
    </row>
    <row r="2" spans="1:12" x14ac:dyDescent="0.3">
      <c r="A2" t="s">
        <v>8</v>
      </c>
      <c r="B2" t="s">
        <v>9</v>
      </c>
      <c r="C2" t="s">
        <v>10</v>
      </c>
      <c r="D2" t="str">
        <f>INT('Client'!$E2/12) &amp; " ans et " &amp; MOD('Client'!$E2,12) &amp; " mois"</f>
        <v>2 ans et 5 mois</v>
      </c>
      <c r="E2">
        <v>29</v>
      </c>
      <c r="F2" t="s">
        <v>11</v>
      </c>
      <c r="G2" s="7">
        <f>Client[[#This Row],[Duree_Cumulee_Panne_Min]]/1440</f>
        <v>0.14861111111111111</v>
      </c>
      <c r="H2">
        <v>214</v>
      </c>
      <c r="I2">
        <v>74.7</v>
      </c>
      <c r="J2">
        <v>3</v>
      </c>
      <c r="K2" s="8">
        <f>IF('Client'!$F2="Pro Monde",10%,IF(AND('Client'!$G2&gt;12,'Client'!$D2&gt;5),70%,IF(AND(OR('Client'!$G2&gt;=4,'Client'!$G2&lt;=12,'Client'!$D2&lt;5,(OR('Client'!$F2="Premium ")))),45%,0%)))</f>
        <v>0.45</v>
      </c>
      <c r="L2" s="4">
        <f>'Client'!$I2* ('Client'!$K2/100)</f>
        <v>0.33615000000000006</v>
      </c>
    </row>
    <row r="3" spans="1:12" x14ac:dyDescent="0.3">
      <c r="A3" t="s">
        <v>8</v>
      </c>
      <c r="B3" t="s">
        <v>12</v>
      </c>
      <c r="C3" t="s">
        <v>13</v>
      </c>
      <c r="D3" t="str">
        <f>INT('Client'!$E3/12) &amp; " ans et " &amp; MOD('Client'!$E3,12) &amp; " mois"</f>
        <v>5 ans et 3 mois</v>
      </c>
      <c r="E3">
        <v>63</v>
      </c>
      <c r="F3" t="s">
        <v>14</v>
      </c>
      <c r="G3" s="7">
        <f>Client[[#This Row],[Duree_Cumulee_Panne_Min]]/1440</f>
        <v>0.1423611111111111</v>
      </c>
      <c r="H3">
        <v>205</v>
      </c>
      <c r="I3">
        <v>89.19</v>
      </c>
      <c r="J3">
        <v>0</v>
      </c>
      <c r="K3" s="8">
        <f>IF('Client'!$F3="Pro Monde",10%,IF(AND('Client'!$G3&gt;12,'Client'!$D3&gt;5),70%,IF(AND(OR('Client'!$G3&gt;=4,'Client'!$G3&lt;=12,'Client'!$D3&lt;5,(OR('Client'!$F3="Premium ")))),45%,0%)))</f>
        <v>0.1</v>
      </c>
      <c r="L3" s="4">
        <f>'Client'!$I3* ('Client'!$K3/100)</f>
        <v>8.9190000000000005E-2</v>
      </c>
    </row>
    <row r="4" spans="1:12" x14ac:dyDescent="0.3">
      <c r="A4" t="s">
        <v>8</v>
      </c>
      <c r="B4" t="s">
        <v>15</v>
      </c>
      <c r="C4" t="s">
        <v>16</v>
      </c>
      <c r="D4" t="str">
        <f>INT('Client'!$E4/12) &amp; " ans et " &amp; MOD('Client'!$E4,12) &amp; " mois"</f>
        <v>2 ans et 10 mois</v>
      </c>
      <c r="E4">
        <v>34</v>
      </c>
      <c r="F4" t="s">
        <v>14</v>
      </c>
      <c r="G4" s="7">
        <f>Client[[#This Row],[Duree_Cumulee_Panne_Min]]/1440</f>
        <v>0.31458333333333333</v>
      </c>
      <c r="H4">
        <v>453</v>
      </c>
      <c r="I4">
        <v>56.84</v>
      </c>
      <c r="J4">
        <v>0</v>
      </c>
      <c r="K4" s="8">
        <f>IF('Client'!$F4="Pro Monde",10%,IF(AND('Client'!$G4&gt;12,'Client'!$D4&gt;5),70%,IF(AND(OR('Client'!$G4&gt;=4,'Client'!$G4&lt;=12,'Client'!$D4&lt;5,(OR('Client'!$F4="Premium ")))),45%,0%)))</f>
        <v>0.1</v>
      </c>
      <c r="L4" s="4">
        <f>'Client'!$I4* ('Client'!$K4/100)</f>
        <v>5.6840000000000002E-2</v>
      </c>
    </row>
    <row r="5" spans="1:12" x14ac:dyDescent="0.3">
      <c r="A5" t="s">
        <v>8</v>
      </c>
      <c r="B5" t="s">
        <v>17</v>
      </c>
      <c r="C5" t="s">
        <v>18</v>
      </c>
      <c r="D5" t="str">
        <f>INT('Client'!$E5/12) &amp; " ans et " &amp; MOD('Client'!$E5,12) &amp; " mois"</f>
        <v>3 ans et 8 mois</v>
      </c>
      <c r="E5">
        <v>44</v>
      </c>
      <c r="F5" t="s">
        <v>19</v>
      </c>
      <c r="G5" s="7">
        <f>Client[[#This Row],[Duree_Cumulee_Panne_Min]]/1440</f>
        <v>0.24166666666666667</v>
      </c>
      <c r="H5">
        <v>348</v>
      </c>
      <c r="I5">
        <v>58.67</v>
      </c>
      <c r="J5">
        <v>0</v>
      </c>
      <c r="K5" s="8">
        <f>IF('Client'!$F5="Pro Monde",10%,IF(AND('Client'!$G5&gt;12,'Client'!$D5&gt;5),70%,IF(AND(OR('Client'!$G5&gt;=4,'Client'!$G5&lt;=12,'Client'!$D5&lt;5,(OR('Client'!$F5="Premium ")))),45%,0%)))</f>
        <v>0.45</v>
      </c>
      <c r="L5" s="4">
        <f>'Client'!$I5* ('Client'!$K5/100)</f>
        <v>0.26401500000000006</v>
      </c>
    </row>
    <row r="6" spans="1:12" x14ac:dyDescent="0.3">
      <c r="A6" t="s">
        <v>8</v>
      </c>
      <c r="B6" t="s">
        <v>20</v>
      </c>
      <c r="C6" t="s">
        <v>21</v>
      </c>
      <c r="D6" t="str">
        <f>INT('Client'!$E6/12) &amp; " ans et " &amp; MOD('Client'!$E6,12) &amp; " mois"</f>
        <v>8 ans et 5 mois</v>
      </c>
      <c r="E6">
        <v>101</v>
      </c>
      <c r="F6" t="s">
        <v>22</v>
      </c>
      <c r="G6" s="7">
        <f>Client[[#This Row],[Duree_Cumulee_Panne_Min]]/1440</f>
        <v>0.24861111111111112</v>
      </c>
      <c r="H6">
        <v>358</v>
      </c>
      <c r="I6">
        <v>29.24</v>
      </c>
      <c r="J6">
        <v>3</v>
      </c>
      <c r="K6" s="8">
        <f>IF('Client'!$F6="Pro Monde",10%,IF(AND('Client'!$G6&gt;12,'Client'!$D6&gt;5),70%,IF(AND(OR('Client'!$G6&gt;=4,'Client'!$G6&lt;=12,'Client'!$D6&lt;5,(OR('Client'!$F6="Premium ")))),45%,0%)))</f>
        <v>0.45</v>
      </c>
      <c r="L6" s="4">
        <f>'Client'!$I6* ('Client'!$K6/100)</f>
        <v>0.13158</v>
      </c>
    </row>
    <row r="7" spans="1:12" x14ac:dyDescent="0.3">
      <c r="A7" t="s">
        <v>8</v>
      </c>
      <c r="B7" t="s">
        <v>23</v>
      </c>
      <c r="C7" t="s">
        <v>24</v>
      </c>
      <c r="D7" t="str">
        <f>INT('Client'!$E7/12) &amp; " ans et " &amp; MOD('Client'!$E7,12) &amp; " mois"</f>
        <v>3 ans et 10 mois</v>
      </c>
      <c r="E7">
        <v>46</v>
      </c>
      <c r="F7" t="s">
        <v>11</v>
      </c>
      <c r="G7" s="7">
        <f>Client[[#This Row],[Duree_Cumulee_Panne_Min]]/1440</f>
        <v>0.19652777777777777</v>
      </c>
      <c r="H7">
        <v>283</v>
      </c>
      <c r="I7">
        <v>56.05</v>
      </c>
      <c r="J7">
        <v>1</v>
      </c>
      <c r="K7" s="8">
        <f>IF('Client'!$F7="Pro Monde",10%,IF(AND('Client'!$G7&gt;12,'Client'!$D7&gt;5),70%,IF(AND(OR('Client'!$G7&gt;=4,'Client'!$G7&lt;=12,'Client'!$D7&lt;5,(OR('Client'!$F7="Premium ")))),45%,0%)))</f>
        <v>0.45</v>
      </c>
      <c r="L7" s="4">
        <f>'Client'!$I7* ('Client'!$K7/100)</f>
        <v>0.25222500000000003</v>
      </c>
    </row>
    <row r="8" spans="1:12" x14ac:dyDescent="0.3">
      <c r="A8" t="s">
        <v>8</v>
      </c>
      <c r="B8" t="s">
        <v>25</v>
      </c>
      <c r="C8" t="s">
        <v>26</v>
      </c>
      <c r="D8" t="str">
        <f>INT('Client'!$E8/12) &amp; " ans et " &amp; MOD('Client'!$E8,12) &amp; " mois"</f>
        <v>8 ans et 3 mois</v>
      </c>
      <c r="E8">
        <v>99</v>
      </c>
      <c r="F8" t="s">
        <v>11</v>
      </c>
      <c r="G8" s="7">
        <f>Client[[#This Row],[Duree_Cumulee_Panne_Min]]/1440</f>
        <v>0.31041666666666667</v>
      </c>
      <c r="H8">
        <v>447</v>
      </c>
      <c r="I8">
        <v>38.1</v>
      </c>
      <c r="J8">
        <v>3</v>
      </c>
      <c r="K8" s="8">
        <f>IF('Client'!$F8="Pro Monde",10%,IF(AND('Client'!$G8&gt;12,'Client'!$D8&gt;5),70%,IF(AND(OR('Client'!$G8&gt;=4,'Client'!$G8&lt;=12,'Client'!$D8&lt;5,(OR('Client'!$F8="Premium ")))),45%,0%)))</f>
        <v>0.45</v>
      </c>
      <c r="L8" s="4">
        <f>'Client'!$I8* ('Client'!$K8/100)</f>
        <v>0.17145000000000002</v>
      </c>
    </row>
    <row r="9" spans="1:12" x14ac:dyDescent="0.3">
      <c r="A9" t="s">
        <v>8</v>
      </c>
      <c r="B9" t="s">
        <v>27</v>
      </c>
      <c r="C9" t="s">
        <v>24</v>
      </c>
      <c r="D9" t="str">
        <f>INT('Client'!$E9/12) &amp; " ans et " &amp; MOD('Client'!$E9,12) &amp; " mois"</f>
        <v>0 ans et 6 mois</v>
      </c>
      <c r="E9">
        <v>6</v>
      </c>
      <c r="F9" t="s">
        <v>22</v>
      </c>
      <c r="G9" s="7">
        <f>Client[[#This Row],[Duree_Cumulee_Panne_Min]]/1440</f>
        <v>0.1076388888888889</v>
      </c>
      <c r="H9">
        <v>155</v>
      </c>
      <c r="I9">
        <v>40.659999999999997</v>
      </c>
      <c r="J9">
        <v>1</v>
      </c>
      <c r="K9" s="8">
        <f>IF('Client'!$F9="Pro Monde",10%,IF(AND('Client'!$G9&gt;12,'Client'!$D9&gt;5),70%,IF(AND(OR('Client'!$G9&gt;=4,'Client'!$G9&lt;=12,'Client'!$D9&lt;5,(OR('Client'!$F9="Premium ")))),45%,0%)))</f>
        <v>0.45</v>
      </c>
      <c r="L9" s="4">
        <f>'Client'!$I9* ('Client'!$K9/100)</f>
        <v>0.18296999999999999</v>
      </c>
    </row>
    <row r="10" spans="1:12" x14ac:dyDescent="0.3">
      <c r="A10" t="s">
        <v>8</v>
      </c>
      <c r="B10" t="s">
        <v>28</v>
      </c>
      <c r="C10" t="s">
        <v>29</v>
      </c>
      <c r="D10" t="str">
        <f>INT('Client'!$E10/12) &amp; " ans et " &amp; MOD('Client'!$E10,12) &amp; " mois"</f>
        <v>8 ans et 3 mois</v>
      </c>
      <c r="E10">
        <v>99</v>
      </c>
      <c r="F10" t="s">
        <v>19</v>
      </c>
      <c r="G10" s="7">
        <f>Client[[#This Row],[Duree_Cumulee_Panne_Min]]/1440</f>
        <v>0.25624999999999998</v>
      </c>
      <c r="H10">
        <v>369</v>
      </c>
      <c r="I10">
        <v>67.209999999999994</v>
      </c>
      <c r="J10">
        <v>3</v>
      </c>
      <c r="K10" s="8">
        <f>IF('Client'!$F10="Pro Monde",10%,IF(AND('Client'!$G10&gt;12,'Client'!$D10&gt;5),70%,IF(AND(OR('Client'!$G10&gt;=4,'Client'!$G10&lt;=12,'Client'!$D10&lt;5,(OR('Client'!$F10="Premium ")))),45%,0%)))</f>
        <v>0.45</v>
      </c>
      <c r="L10" s="4">
        <f>'Client'!$I10* ('Client'!$K10/100)</f>
        <v>0.30244500000000002</v>
      </c>
    </row>
    <row r="11" spans="1:12" x14ac:dyDescent="0.3">
      <c r="A11" t="s">
        <v>8</v>
      </c>
      <c r="B11" t="s">
        <v>30</v>
      </c>
      <c r="C11" t="s">
        <v>31</v>
      </c>
      <c r="D11" t="str">
        <f>INT('Client'!$E11/12) &amp; " ans et " &amp; MOD('Client'!$E11,12) &amp; " mois"</f>
        <v>9 ans et 5 mois</v>
      </c>
      <c r="E11">
        <v>113</v>
      </c>
      <c r="F11" t="s">
        <v>22</v>
      </c>
      <c r="G11" s="7">
        <f>Client[[#This Row],[Duree_Cumulee_Panne_Min]]/1440</f>
        <v>0.2638888888888889</v>
      </c>
      <c r="H11">
        <v>380</v>
      </c>
      <c r="I11">
        <v>12.11</v>
      </c>
      <c r="J11">
        <v>0</v>
      </c>
      <c r="K11" s="8">
        <f>IF('Client'!$F11="Pro Monde",10%,IF(AND('Client'!$G11&gt;12,'Client'!$D11&gt;5),70%,IF(AND(OR('Client'!$G11&gt;=4,'Client'!$G11&lt;=12,'Client'!$D11&lt;5,(OR('Client'!$F11="Premium ")))),45%,0%)))</f>
        <v>0.45</v>
      </c>
      <c r="L11" s="4">
        <f>'Client'!$I11* ('Client'!$K11/100)</f>
        <v>5.4495000000000002E-2</v>
      </c>
    </row>
    <row r="12" spans="1:12" x14ac:dyDescent="0.3">
      <c r="A12" t="s">
        <v>8</v>
      </c>
      <c r="B12" t="s">
        <v>32</v>
      </c>
      <c r="C12" t="s">
        <v>33</v>
      </c>
      <c r="D12" t="str">
        <f>INT('Client'!$E12/12) &amp; " ans et " &amp; MOD('Client'!$E12,12) &amp; " mois"</f>
        <v>6 ans et 0 mois</v>
      </c>
      <c r="E12">
        <v>72</v>
      </c>
      <c r="F12" t="s">
        <v>14</v>
      </c>
      <c r="G12" s="7">
        <f>Client[[#This Row],[Duree_Cumulee_Panne_Min]]/1440</f>
        <v>0.1111111111111111</v>
      </c>
      <c r="H12">
        <v>160</v>
      </c>
      <c r="I12">
        <v>90.13</v>
      </c>
      <c r="J12">
        <v>2</v>
      </c>
      <c r="K12" s="8">
        <f>IF('Client'!$F12="Pro Monde",10%,IF(AND('Client'!$G12&gt;12,'Client'!$D12&gt;5),70%,IF(AND(OR('Client'!$G12&gt;=4,'Client'!$G12&lt;=12,'Client'!$D12&lt;5,(OR('Client'!$F12="Premium ")))),45%,0%)))</f>
        <v>0.1</v>
      </c>
      <c r="L12" s="4">
        <f>'Client'!$I12* ('Client'!$K12/100)</f>
        <v>9.0130000000000002E-2</v>
      </c>
    </row>
    <row r="13" spans="1:12" x14ac:dyDescent="0.3">
      <c r="A13" t="s">
        <v>8</v>
      </c>
      <c r="B13" t="s">
        <v>34</v>
      </c>
      <c r="C13" t="s">
        <v>35</v>
      </c>
      <c r="D13" t="str">
        <f>INT('Client'!$E13/12) &amp; " ans et " &amp; MOD('Client'!$E13,12) &amp; " mois"</f>
        <v>2 ans et 11 mois</v>
      </c>
      <c r="E13">
        <v>35</v>
      </c>
      <c r="F13" t="s">
        <v>14</v>
      </c>
      <c r="G13" s="7">
        <f>Client[[#This Row],[Duree_Cumulee_Panne_Min]]/1440</f>
        <v>0.32291666666666669</v>
      </c>
      <c r="H13">
        <v>465</v>
      </c>
      <c r="I13">
        <v>58.59</v>
      </c>
      <c r="J13">
        <v>5</v>
      </c>
      <c r="K13" s="8">
        <f>IF('Client'!$F13="Pro Monde",10%,IF(AND('Client'!$G13&gt;12,'Client'!$D13&gt;5),70%,IF(AND(OR('Client'!$G13&gt;=4,'Client'!$G13&lt;=12,'Client'!$D13&lt;5,(OR('Client'!$F13="Premium ")))),45%,0%)))</f>
        <v>0.1</v>
      </c>
      <c r="L13" s="4">
        <f>'Client'!$I13* ('Client'!$K13/100)</f>
        <v>5.8590000000000003E-2</v>
      </c>
    </row>
    <row r="14" spans="1:12" x14ac:dyDescent="0.3">
      <c r="A14" t="s">
        <v>8</v>
      </c>
      <c r="B14" t="s">
        <v>36</v>
      </c>
      <c r="C14" t="s">
        <v>37</v>
      </c>
      <c r="D14" t="str">
        <f>INT('Client'!$E14/12) &amp; " ans et " &amp; MOD('Client'!$E14,12) &amp; " mois"</f>
        <v>9 ans et 7 mois</v>
      </c>
      <c r="E14">
        <v>115</v>
      </c>
      <c r="F14" t="s">
        <v>19</v>
      </c>
      <c r="G14" s="7">
        <f>Client[[#This Row],[Duree_Cumulee_Panne_Min]]/1440</f>
        <v>0.12222222222222222</v>
      </c>
      <c r="H14">
        <v>176</v>
      </c>
      <c r="I14">
        <v>33.28</v>
      </c>
      <c r="J14">
        <v>4</v>
      </c>
      <c r="K14" s="8">
        <f>IF('Client'!$F14="Pro Monde",10%,IF(AND('Client'!$G14&gt;12,'Client'!$D14&gt;5),70%,IF(AND(OR('Client'!$G14&gt;=4,'Client'!$G14&lt;=12,'Client'!$D14&lt;5,(OR('Client'!$F14="Premium ")))),45%,0%)))</f>
        <v>0.45</v>
      </c>
      <c r="L14" s="4">
        <f>'Client'!$I14* ('Client'!$K14/100)</f>
        <v>0.14976000000000003</v>
      </c>
    </row>
    <row r="15" spans="1:12" x14ac:dyDescent="0.3">
      <c r="A15" t="s">
        <v>8</v>
      </c>
      <c r="B15" t="s">
        <v>38</v>
      </c>
      <c r="C15" t="s">
        <v>18</v>
      </c>
      <c r="D15" t="str">
        <f>INT('Client'!$E15/12) &amp; " ans et " &amp; MOD('Client'!$E15,12) &amp; " mois"</f>
        <v>1 ans et 8 mois</v>
      </c>
      <c r="E15">
        <v>20</v>
      </c>
      <c r="F15" t="s">
        <v>22</v>
      </c>
      <c r="G15" s="7">
        <f>Client[[#This Row],[Duree_Cumulee_Panne_Min]]/1440</f>
        <v>2.7777777777777779E-3</v>
      </c>
      <c r="H15">
        <v>4</v>
      </c>
      <c r="I15">
        <v>84.9</v>
      </c>
      <c r="J15">
        <v>3</v>
      </c>
      <c r="K15" s="8">
        <f>IF('Client'!$F15="Pro Monde",10%,IF(AND('Client'!$G15&gt;12,'Client'!$D15&gt;5),70%,IF(AND(OR('Client'!$G15&gt;=4,'Client'!$G15&lt;=12,'Client'!$D15&lt;5,(OR('Client'!$F15="Premium ")))),45%,0%)))</f>
        <v>0.45</v>
      </c>
      <c r="L15" s="4">
        <f>'Client'!$I15* ('Client'!$K15/100)</f>
        <v>0.38205000000000006</v>
      </c>
    </row>
    <row r="16" spans="1:12" x14ac:dyDescent="0.3">
      <c r="A16" t="s">
        <v>8</v>
      </c>
      <c r="B16" t="s">
        <v>39</v>
      </c>
      <c r="C16" t="s">
        <v>40</v>
      </c>
      <c r="D16" t="str">
        <f>INT('Client'!$E16/12) &amp; " ans et " &amp; MOD('Client'!$E16,12) &amp; " mois"</f>
        <v>9 ans et 2 mois</v>
      </c>
      <c r="E16">
        <v>110</v>
      </c>
      <c r="F16" t="s">
        <v>14</v>
      </c>
      <c r="G16" s="7">
        <f>Client[[#This Row],[Duree_Cumulee_Panne_Min]]/1440</f>
        <v>0.29375000000000001</v>
      </c>
      <c r="H16">
        <v>423</v>
      </c>
      <c r="I16">
        <v>37.35</v>
      </c>
      <c r="J16">
        <v>4</v>
      </c>
      <c r="K16" s="8">
        <f>IF('Client'!$F16="Pro Monde",10%,IF(AND('Client'!$G16&gt;12,'Client'!$D16&gt;5),70%,IF(AND(OR('Client'!$G16&gt;=4,'Client'!$G16&lt;=12,'Client'!$D16&lt;5,(OR('Client'!$F16="Premium ")))),45%,0%)))</f>
        <v>0.1</v>
      </c>
      <c r="L16" s="4">
        <f>'Client'!$I16* ('Client'!$K16/100)</f>
        <v>3.7350000000000001E-2</v>
      </c>
    </row>
    <row r="17" spans="1:12" x14ac:dyDescent="0.3">
      <c r="A17" t="s">
        <v>8</v>
      </c>
      <c r="B17" t="s">
        <v>41</v>
      </c>
      <c r="C17" t="s">
        <v>13</v>
      </c>
      <c r="D17" t="str">
        <f>INT('Client'!$E17/12) &amp; " ans et " &amp; MOD('Client'!$E17,12) &amp; " mois"</f>
        <v>7 ans et 5 mois</v>
      </c>
      <c r="E17">
        <v>89</v>
      </c>
      <c r="F17" t="s">
        <v>11</v>
      </c>
      <c r="G17" s="7">
        <f>Client[[#This Row],[Duree_Cumulee_Panne_Min]]/1440</f>
        <v>9.930555555555555E-2</v>
      </c>
      <c r="H17">
        <v>143</v>
      </c>
      <c r="I17">
        <v>48.05</v>
      </c>
      <c r="J17">
        <v>4</v>
      </c>
      <c r="K17" s="8">
        <f>IF('Client'!$F17="Pro Monde",10%,IF(AND('Client'!$G17&gt;12,'Client'!$D17&gt;5),70%,IF(AND(OR('Client'!$G17&gt;=4,'Client'!$G17&lt;=12,'Client'!$D17&lt;5,(OR('Client'!$F17="Premium ")))),45%,0%)))</f>
        <v>0.45</v>
      </c>
      <c r="L17" s="4">
        <f>'Client'!$I17* ('Client'!$K17/100)</f>
        <v>0.216225</v>
      </c>
    </row>
    <row r="18" spans="1:12" x14ac:dyDescent="0.3">
      <c r="A18" t="s">
        <v>8</v>
      </c>
      <c r="B18" t="s">
        <v>42</v>
      </c>
      <c r="C18" t="s">
        <v>26</v>
      </c>
      <c r="D18" t="str">
        <f>INT('Client'!$E18/12) &amp; " ans et " &amp; MOD('Client'!$E18,12) &amp; " mois"</f>
        <v>9 ans et 4 mois</v>
      </c>
      <c r="E18">
        <v>112</v>
      </c>
      <c r="F18" t="s">
        <v>11</v>
      </c>
      <c r="G18" s="7">
        <f>Client[[#This Row],[Duree_Cumulee_Panne_Min]]/1440</f>
        <v>0.31944444444444442</v>
      </c>
      <c r="H18">
        <v>460</v>
      </c>
      <c r="I18">
        <v>55.47</v>
      </c>
      <c r="J18">
        <v>4</v>
      </c>
      <c r="K18" s="8">
        <f>IF('Client'!$F18="Pro Monde",10%,IF(AND('Client'!$G18&gt;12,'Client'!$D18&gt;5),70%,IF(AND(OR('Client'!$G18&gt;=4,'Client'!$G18&lt;=12,'Client'!$D18&lt;5,(OR('Client'!$F18="Premium ")))),45%,0%)))</f>
        <v>0.45</v>
      </c>
      <c r="L18" s="4">
        <f>'Client'!$I18* ('Client'!$K18/100)</f>
        <v>0.24961500000000003</v>
      </c>
    </row>
    <row r="19" spans="1:12" x14ac:dyDescent="0.3">
      <c r="A19" t="s">
        <v>8</v>
      </c>
      <c r="B19" t="s">
        <v>43</v>
      </c>
      <c r="C19" t="s">
        <v>44</v>
      </c>
      <c r="D19" t="str">
        <f>INT('Client'!$E19/12) &amp; " ans et " &amp; MOD('Client'!$E19,12) &amp; " mois"</f>
        <v>5 ans et 6 mois</v>
      </c>
      <c r="E19">
        <v>66</v>
      </c>
      <c r="F19" t="s">
        <v>22</v>
      </c>
      <c r="G19" s="7">
        <f>Client[[#This Row],[Duree_Cumulee_Panne_Min]]/1440</f>
        <v>0.1875</v>
      </c>
      <c r="H19">
        <v>270</v>
      </c>
      <c r="I19">
        <v>75.88</v>
      </c>
      <c r="J19">
        <v>3</v>
      </c>
      <c r="K19" s="8">
        <f>IF('Client'!$F19="Pro Monde",10%,IF(AND('Client'!$G19&gt;12,'Client'!$D19&gt;5),70%,IF(AND(OR('Client'!$G19&gt;=4,'Client'!$G19&lt;=12,'Client'!$D19&lt;5,(OR('Client'!$F19="Premium ")))),45%,0%)))</f>
        <v>0.45</v>
      </c>
      <c r="L19" s="4">
        <f>'Client'!$I19* ('Client'!$K19/100)</f>
        <v>0.34146000000000004</v>
      </c>
    </row>
    <row r="20" spans="1:12" x14ac:dyDescent="0.3">
      <c r="A20" t="s">
        <v>8</v>
      </c>
      <c r="B20" t="s">
        <v>45</v>
      </c>
      <c r="C20" t="s">
        <v>29</v>
      </c>
      <c r="D20" t="str">
        <f>INT('Client'!$E20/12) &amp; " ans et " &amp; MOD('Client'!$E20,12) &amp; " mois"</f>
        <v>6 ans et 6 mois</v>
      </c>
      <c r="E20">
        <v>78</v>
      </c>
      <c r="F20" t="s">
        <v>19</v>
      </c>
      <c r="G20" s="7">
        <f>Client[[#This Row],[Duree_Cumulee_Panne_Min]]/1440</f>
        <v>0.21666666666666667</v>
      </c>
      <c r="H20">
        <v>312</v>
      </c>
      <c r="I20">
        <v>85.74</v>
      </c>
      <c r="J20">
        <v>2</v>
      </c>
      <c r="K20" s="8">
        <f>IF('Client'!$F20="Pro Monde",10%,IF(AND('Client'!$G20&gt;12,'Client'!$D20&gt;5),70%,IF(AND(OR('Client'!$G20&gt;=4,'Client'!$G20&lt;=12,'Client'!$D20&lt;5,(OR('Client'!$F20="Premium ")))),45%,0%)))</f>
        <v>0.45</v>
      </c>
      <c r="L20" s="4">
        <f>'Client'!$I20* ('Client'!$K20/100)</f>
        <v>0.38583000000000001</v>
      </c>
    </row>
    <row r="21" spans="1:12" x14ac:dyDescent="0.3">
      <c r="A21" t="s">
        <v>8</v>
      </c>
      <c r="B21" t="s">
        <v>46</v>
      </c>
      <c r="C21" t="s">
        <v>33</v>
      </c>
      <c r="D21" t="str">
        <f>INT('Client'!$E21/12) &amp; " ans et " &amp; MOD('Client'!$E21,12) &amp; " mois"</f>
        <v>7 ans et 2 mois</v>
      </c>
      <c r="E21">
        <v>86</v>
      </c>
      <c r="F21" t="s">
        <v>11</v>
      </c>
      <c r="G21" s="7">
        <f>Client[[#This Row],[Duree_Cumulee_Panne_Min]]/1440</f>
        <v>0.32708333333333334</v>
      </c>
      <c r="H21">
        <v>471</v>
      </c>
      <c r="I21">
        <v>33.380000000000003</v>
      </c>
      <c r="J21">
        <v>4</v>
      </c>
      <c r="K21" s="8">
        <f>IF('Client'!$F21="Pro Monde",10%,IF(AND('Client'!$G21&gt;12,'Client'!$D21&gt;5),70%,IF(AND(OR('Client'!$G21&gt;=4,'Client'!$G21&lt;=12,'Client'!$D21&lt;5,(OR('Client'!$F21="Premium ")))),45%,0%)))</f>
        <v>0.45</v>
      </c>
      <c r="L21" s="4">
        <f>'Client'!$I21* ('Client'!$K21/100)</f>
        <v>0.15021000000000004</v>
      </c>
    </row>
    <row r="22" spans="1:12" x14ac:dyDescent="0.3">
      <c r="A22" t="s">
        <v>8</v>
      </c>
      <c r="B22" t="s">
        <v>47</v>
      </c>
      <c r="C22" t="s">
        <v>29</v>
      </c>
      <c r="D22" t="str">
        <f>INT('Client'!$E22/12) &amp; " ans et " &amp; MOD('Client'!$E22,12) &amp; " mois"</f>
        <v>1 ans et 2 mois</v>
      </c>
      <c r="E22">
        <v>14</v>
      </c>
      <c r="F22" t="s">
        <v>11</v>
      </c>
      <c r="G22" s="7">
        <f>Client[[#This Row],[Duree_Cumulee_Panne_Min]]/1440</f>
        <v>5.2083333333333336E-2</v>
      </c>
      <c r="H22">
        <v>75</v>
      </c>
      <c r="I22">
        <v>55.67</v>
      </c>
      <c r="J22">
        <v>3</v>
      </c>
      <c r="K22" s="8">
        <f>IF('Client'!$F22="Pro Monde",10%,IF(AND('Client'!$G22&gt;12,'Client'!$D22&gt;5),70%,IF(AND(OR('Client'!$G22&gt;=4,'Client'!$G22&lt;=12,'Client'!$D22&lt;5,(OR('Client'!$F22="Premium ")))),45%,0%)))</f>
        <v>0.45</v>
      </c>
      <c r="L22" s="4">
        <f>'Client'!$I22* ('Client'!$K22/100)</f>
        <v>0.25051500000000004</v>
      </c>
    </row>
    <row r="23" spans="1:12" x14ac:dyDescent="0.3">
      <c r="A23" t="s">
        <v>8</v>
      </c>
      <c r="B23" t="s">
        <v>48</v>
      </c>
      <c r="C23" t="s">
        <v>31</v>
      </c>
      <c r="D23" t="str">
        <f>INT('Client'!$E23/12) &amp; " ans et " &amp; MOD('Client'!$E23,12) &amp; " mois"</f>
        <v>7 ans et 7 mois</v>
      </c>
      <c r="E23">
        <v>91</v>
      </c>
      <c r="F23" t="s">
        <v>14</v>
      </c>
      <c r="G23" s="7">
        <f>Client[[#This Row],[Duree_Cumulee_Panne_Min]]/1440</f>
        <v>0.24861111111111112</v>
      </c>
      <c r="H23">
        <v>358</v>
      </c>
      <c r="I23">
        <v>21.14</v>
      </c>
      <c r="J23">
        <v>5</v>
      </c>
      <c r="K23" s="8">
        <f>IF('Client'!$F23="Pro Monde",10%,IF(AND('Client'!$G23&gt;12,'Client'!$D23&gt;5),70%,IF(AND(OR('Client'!$G23&gt;=4,'Client'!$G23&lt;=12,'Client'!$D23&lt;5,(OR('Client'!$F23="Premium ")))),45%,0%)))</f>
        <v>0.1</v>
      </c>
      <c r="L23" s="4">
        <f>'Client'!$I23* ('Client'!$K23/100)</f>
        <v>2.1140000000000003E-2</v>
      </c>
    </row>
    <row r="24" spans="1:12" x14ac:dyDescent="0.3">
      <c r="A24" t="s">
        <v>8</v>
      </c>
      <c r="B24" t="s">
        <v>49</v>
      </c>
      <c r="C24" t="s">
        <v>26</v>
      </c>
      <c r="D24" t="str">
        <f>INT('Client'!$E24/12) &amp; " ans et " &amp; MOD('Client'!$E24,12) &amp; " mois"</f>
        <v>0 ans et 7 mois</v>
      </c>
      <c r="E24">
        <v>7</v>
      </c>
      <c r="F24" t="s">
        <v>11</v>
      </c>
      <c r="G24" s="7">
        <f>Client[[#This Row],[Duree_Cumulee_Panne_Min]]/1440</f>
        <v>0.14305555555555555</v>
      </c>
      <c r="H24">
        <v>206</v>
      </c>
      <c r="I24">
        <v>78.09</v>
      </c>
      <c r="J24">
        <v>3</v>
      </c>
      <c r="K24" s="8">
        <f>IF('Client'!$F24="Pro Monde",10%,IF(AND('Client'!$G24&gt;12,'Client'!$D24&gt;5),70%,IF(AND(OR('Client'!$G24&gt;=4,'Client'!$G24&lt;=12,'Client'!$D24&lt;5,(OR('Client'!$F24="Premium ")))),45%,0%)))</f>
        <v>0.45</v>
      </c>
      <c r="L24" s="4">
        <f>'Client'!$I24* ('Client'!$K24/100)</f>
        <v>0.35140500000000008</v>
      </c>
    </row>
    <row r="25" spans="1:12" x14ac:dyDescent="0.3">
      <c r="A25" t="s">
        <v>8</v>
      </c>
      <c r="B25" t="s">
        <v>50</v>
      </c>
      <c r="C25" t="s">
        <v>51</v>
      </c>
      <c r="D25" t="str">
        <f>INT('Client'!$E25/12) &amp; " ans et " &amp; MOD('Client'!$E25,12) &amp; " mois"</f>
        <v>9 ans et 11 mois</v>
      </c>
      <c r="E25">
        <v>119</v>
      </c>
      <c r="F25" t="s">
        <v>22</v>
      </c>
      <c r="G25" s="7">
        <f>Client[[#This Row],[Duree_Cumulee_Panne_Min]]/1440</f>
        <v>0.15833333333333333</v>
      </c>
      <c r="H25">
        <v>228</v>
      </c>
      <c r="I25">
        <v>94.72</v>
      </c>
      <c r="J25">
        <v>3</v>
      </c>
      <c r="K25" s="8">
        <f>IF('Client'!$F25="Pro Monde",10%,IF(AND('Client'!$G25&gt;12,'Client'!$D25&gt;5),70%,IF(AND(OR('Client'!$G25&gt;=4,'Client'!$G25&lt;=12,'Client'!$D25&lt;5,(OR('Client'!$F25="Premium ")))),45%,0%)))</f>
        <v>0.45</v>
      </c>
      <c r="L25" s="4">
        <f>'Client'!$I25* ('Client'!$K25/100)</f>
        <v>0.42624000000000006</v>
      </c>
    </row>
    <row r="26" spans="1:12" x14ac:dyDescent="0.3">
      <c r="A26" t="s">
        <v>8</v>
      </c>
      <c r="B26" t="s">
        <v>52</v>
      </c>
      <c r="C26" t="s">
        <v>24</v>
      </c>
      <c r="D26" t="str">
        <f>INT('Client'!$E26/12) &amp; " ans et " &amp; MOD('Client'!$E26,12) &amp; " mois"</f>
        <v>4 ans et 9 mois</v>
      </c>
      <c r="E26">
        <v>57</v>
      </c>
      <c r="F26" t="s">
        <v>22</v>
      </c>
      <c r="G26" s="7">
        <f>Client[[#This Row],[Duree_Cumulee_Panne_Min]]/1440</f>
        <v>0.22847222222222222</v>
      </c>
      <c r="H26">
        <v>329</v>
      </c>
      <c r="I26">
        <v>50.39</v>
      </c>
      <c r="J26">
        <v>5</v>
      </c>
      <c r="K26" s="8">
        <f>IF('Client'!$F26="Pro Monde",10%,IF(AND('Client'!$G26&gt;12,'Client'!$D26&gt;5),70%,IF(AND(OR('Client'!$G26&gt;=4,'Client'!$G26&lt;=12,'Client'!$D26&lt;5,(OR('Client'!$F26="Premium ")))),45%,0%)))</f>
        <v>0.45</v>
      </c>
      <c r="L26" s="4">
        <f>'Client'!$I26* ('Client'!$K26/100)</f>
        <v>0.22675500000000004</v>
      </c>
    </row>
    <row r="27" spans="1:12" x14ac:dyDescent="0.3">
      <c r="A27" t="s">
        <v>8</v>
      </c>
      <c r="B27" t="s">
        <v>53</v>
      </c>
      <c r="C27" t="s">
        <v>10</v>
      </c>
      <c r="D27" t="str">
        <f>INT('Client'!$E27/12) &amp; " ans et " &amp; MOD('Client'!$E27,12) &amp; " mois"</f>
        <v>8 ans et 7 mois</v>
      </c>
      <c r="E27">
        <v>103</v>
      </c>
      <c r="F27" t="s">
        <v>14</v>
      </c>
      <c r="G27" s="7">
        <f>Client[[#This Row],[Duree_Cumulee_Panne_Min]]/1440</f>
        <v>7.2916666666666671E-2</v>
      </c>
      <c r="H27">
        <v>105</v>
      </c>
      <c r="I27">
        <v>61.52</v>
      </c>
      <c r="J27">
        <v>3</v>
      </c>
      <c r="K27" s="8">
        <f>IF('Client'!$F27="Pro Monde",10%,IF(AND('Client'!$G27&gt;12,'Client'!$D27&gt;5),70%,IF(AND(OR('Client'!$G27&gt;=4,'Client'!$G27&lt;=12,'Client'!$D27&lt;5,(OR('Client'!$F27="Premium ")))),45%,0%)))</f>
        <v>0.1</v>
      </c>
      <c r="L27" s="4">
        <f>'Client'!$I27* ('Client'!$K27/100)</f>
        <v>6.1520000000000005E-2</v>
      </c>
    </row>
    <row r="28" spans="1:12" x14ac:dyDescent="0.3">
      <c r="A28" t="s">
        <v>8</v>
      </c>
      <c r="B28" t="s">
        <v>54</v>
      </c>
      <c r="C28" t="s">
        <v>26</v>
      </c>
      <c r="D28" t="str">
        <f>INT('Client'!$E28/12) &amp; " ans et " &amp; MOD('Client'!$E28,12) &amp; " mois"</f>
        <v>4 ans et 11 mois</v>
      </c>
      <c r="E28">
        <v>59</v>
      </c>
      <c r="F28" t="s">
        <v>22</v>
      </c>
      <c r="G28" s="7">
        <f>Client[[#This Row],[Duree_Cumulee_Panne_Min]]/1440</f>
        <v>0.31527777777777777</v>
      </c>
      <c r="H28">
        <v>454</v>
      </c>
      <c r="I28">
        <v>10.47</v>
      </c>
      <c r="J28">
        <v>5</v>
      </c>
      <c r="K28" s="8">
        <f>IF('Client'!$F28="Pro Monde",10%,IF(AND('Client'!$G28&gt;12,'Client'!$D28&gt;5),70%,IF(AND(OR('Client'!$G28&gt;=4,'Client'!$G28&lt;=12,'Client'!$D28&lt;5,(OR('Client'!$F28="Premium ")))),45%,0%)))</f>
        <v>0.45</v>
      </c>
      <c r="L28" s="4">
        <f>'Client'!$I28* ('Client'!$K28/100)</f>
        <v>4.7115000000000011E-2</v>
      </c>
    </row>
    <row r="29" spans="1:12" x14ac:dyDescent="0.3">
      <c r="A29" t="s">
        <v>8</v>
      </c>
      <c r="B29" t="s">
        <v>55</v>
      </c>
      <c r="C29" t="s">
        <v>35</v>
      </c>
      <c r="D29" t="str">
        <f>INT('Client'!$E29/12) &amp; " ans et " &amp; MOD('Client'!$E29,12) &amp; " mois"</f>
        <v>9 ans et 0 mois</v>
      </c>
      <c r="E29">
        <v>108</v>
      </c>
      <c r="F29" t="s">
        <v>22</v>
      </c>
      <c r="G29" s="7">
        <f>Client[[#This Row],[Duree_Cumulee_Panne_Min]]/1440</f>
        <v>0.19305555555555556</v>
      </c>
      <c r="H29">
        <v>278</v>
      </c>
      <c r="I29">
        <v>40.51</v>
      </c>
      <c r="J29">
        <v>3</v>
      </c>
      <c r="K29" s="8">
        <f>IF('Client'!$F29="Pro Monde",10%,IF(AND('Client'!$G29&gt;12,'Client'!$D29&gt;5),70%,IF(AND(OR('Client'!$G29&gt;=4,'Client'!$G29&lt;=12,'Client'!$D29&lt;5,(OR('Client'!$F29="Premium ")))),45%,0%)))</f>
        <v>0.45</v>
      </c>
      <c r="L29" s="4">
        <f>'Client'!$I29* ('Client'!$K29/100)</f>
        <v>0.18229500000000001</v>
      </c>
    </row>
    <row r="30" spans="1:12" x14ac:dyDescent="0.3">
      <c r="A30" t="s">
        <v>8</v>
      </c>
      <c r="B30" t="s">
        <v>56</v>
      </c>
      <c r="C30" t="s">
        <v>57</v>
      </c>
      <c r="D30" t="str">
        <f>INT('Client'!$E30/12) &amp; " ans et " &amp; MOD('Client'!$E30,12) &amp; " mois"</f>
        <v>8 ans et 1 mois</v>
      </c>
      <c r="E30">
        <v>97</v>
      </c>
      <c r="F30" t="s">
        <v>14</v>
      </c>
      <c r="G30" s="7">
        <f>Client[[#This Row],[Duree_Cumulee_Panne_Min]]/1440</f>
        <v>0.22152777777777777</v>
      </c>
      <c r="H30">
        <v>319</v>
      </c>
      <c r="I30">
        <v>31.25</v>
      </c>
      <c r="J30">
        <v>1</v>
      </c>
      <c r="K30" s="8">
        <f>IF('Client'!$F30="Pro Monde",10%,IF(AND('Client'!$G30&gt;12,'Client'!$D30&gt;5),70%,IF(AND(OR('Client'!$G30&gt;=4,'Client'!$G30&lt;=12,'Client'!$D30&lt;5,(OR('Client'!$F30="Premium ")))),45%,0%)))</f>
        <v>0.1</v>
      </c>
      <c r="L30" s="4">
        <f>'Client'!$I30* ('Client'!$K30/100)</f>
        <v>3.125E-2</v>
      </c>
    </row>
    <row r="31" spans="1:12" x14ac:dyDescent="0.3">
      <c r="A31" t="s">
        <v>8</v>
      </c>
      <c r="B31" t="s">
        <v>58</v>
      </c>
      <c r="C31" t="s">
        <v>33</v>
      </c>
      <c r="D31" t="str">
        <f>INT('Client'!$E31/12) &amp; " ans et " &amp; MOD('Client'!$E31,12) &amp; " mois"</f>
        <v>1 ans et 3 mois</v>
      </c>
      <c r="E31">
        <v>15</v>
      </c>
      <c r="F31" t="s">
        <v>14</v>
      </c>
      <c r="G31" s="7">
        <f>Client[[#This Row],[Duree_Cumulee_Panne_Min]]/1440</f>
        <v>0.27986111111111112</v>
      </c>
      <c r="H31">
        <v>403</v>
      </c>
      <c r="I31">
        <v>77.12</v>
      </c>
      <c r="J31">
        <v>1</v>
      </c>
      <c r="K31" s="8">
        <f>IF('Client'!$F31="Pro Monde",10%,IF(AND('Client'!$G31&gt;12,'Client'!$D31&gt;5),70%,IF(AND(OR('Client'!$G31&gt;=4,'Client'!$G31&lt;=12,'Client'!$D31&lt;5,(OR('Client'!$F31="Premium ")))),45%,0%)))</f>
        <v>0.1</v>
      </c>
      <c r="L31" s="4">
        <f>'Client'!$I31* ('Client'!$K31/100)</f>
        <v>7.7120000000000008E-2</v>
      </c>
    </row>
    <row r="32" spans="1:12" x14ac:dyDescent="0.3">
      <c r="A32" t="s">
        <v>8</v>
      </c>
      <c r="B32" t="s">
        <v>59</v>
      </c>
      <c r="C32" t="s">
        <v>60</v>
      </c>
      <c r="D32" t="str">
        <f>INT('Client'!$E32/12) &amp; " ans et " &amp; MOD('Client'!$E32,12) &amp; " mois"</f>
        <v>1 ans et 2 mois</v>
      </c>
      <c r="E32">
        <v>14</v>
      </c>
      <c r="F32" t="s">
        <v>14</v>
      </c>
      <c r="G32" s="7">
        <f>Client[[#This Row],[Duree_Cumulee_Panne_Min]]/1440</f>
        <v>0.21944444444444444</v>
      </c>
      <c r="H32">
        <v>316</v>
      </c>
      <c r="I32">
        <v>62.34</v>
      </c>
      <c r="J32">
        <v>4</v>
      </c>
      <c r="K32" s="8">
        <f>IF('Client'!$F32="Pro Monde",10%,IF(AND('Client'!$G32&gt;12,'Client'!$D32&gt;5),70%,IF(AND(OR('Client'!$G32&gt;=4,'Client'!$G32&lt;=12,'Client'!$D32&lt;5,(OR('Client'!$F32="Premium ")))),45%,0%)))</f>
        <v>0.1</v>
      </c>
      <c r="L32" s="4">
        <f>'Client'!$I32* ('Client'!$K32/100)</f>
        <v>6.2340000000000007E-2</v>
      </c>
    </row>
    <row r="33" spans="1:12" x14ac:dyDescent="0.3">
      <c r="A33" t="s">
        <v>8</v>
      </c>
      <c r="B33" t="s">
        <v>61</v>
      </c>
      <c r="C33" t="s">
        <v>62</v>
      </c>
      <c r="D33" t="str">
        <f>INT('Client'!$E33/12) &amp; " ans et " &amp; MOD('Client'!$E33,12) &amp; " mois"</f>
        <v>8 ans et 5 mois</v>
      </c>
      <c r="E33">
        <v>101</v>
      </c>
      <c r="F33" t="s">
        <v>14</v>
      </c>
      <c r="G33" s="7">
        <f>Client[[#This Row],[Duree_Cumulee_Panne_Min]]/1440</f>
        <v>0.23125000000000001</v>
      </c>
      <c r="H33">
        <v>333</v>
      </c>
      <c r="I33">
        <v>74.319999999999993</v>
      </c>
      <c r="J33">
        <v>1</v>
      </c>
      <c r="K33" s="8">
        <f>IF('Client'!$F33="Pro Monde",10%,IF(AND('Client'!$G33&gt;12,'Client'!$D33&gt;5),70%,IF(AND(OR('Client'!$G33&gt;=4,'Client'!$G33&lt;=12,'Client'!$D33&lt;5,(OR('Client'!$F33="Premium ")))),45%,0%)))</f>
        <v>0.1</v>
      </c>
      <c r="L33" s="4">
        <f>'Client'!$I33* ('Client'!$K33/100)</f>
        <v>7.4319999999999997E-2</v>
      </c>
    </row>
    <row r="34" spans="1:12" x14ac:dyDescent="0.3">
      <c r="A34" t="s">
        <v>8</v>
      </c>
      <c r="B34" t="s">
        <v>63</v>
      </c>
      <c r="C34" t="s">
        <v>64</v>
      </c>
      <c r="D34" t="str">
        <f>INT('Client'!$E34/12) &amp; " ans et " &amp; MOD('Client'!$E34,12) &amp; " mois"</f>
        <v>6 ans et 7 mois</v>
      </c>
      <c r="E34">
        <v>79</v>
      </c>
      <c r="F34" t="s">
        <v>11</v>
      </c>
      <c r="G34" s="7">
        <f>Client[[#This Row],[Duree_Cumulee_Panne_Min]]/1440</f>
        <v>0.15694444444444444</v>
      </c>
      <c r="H34">
        <v>226</v>
      </c>
      <c r="I34">
        <v>94.38</v>
      </c>
      <c r="J34">
        <v>3</v>
      </c>
      <c r="K34" s="8">
        <f>IF('Client'!$F34="Pro Monde",10%,IF(AND('Client'!$G34&gt;12,'Client'!$D34&gt;5),70%,IF(AND(OR('Client'!$G34&gt;=4,'Client'!$G34&lt;=12,'Client'!$D34&lt;5,(OR('Client'!$F34="Premium ")))),45%,0%)))</f>
        <v>0.45</v>
      </c>
      <c r="L34" s="4">
        <f>'Client'!$I34* ('Client'!$K34/100)</f>
        <v>0.42471000000000003</v>
      </c>
    </row>
    <row r="35" spans="1:12" x14ac:dyDescent="0.3">
      <c r="A35" t="s">
        <v>8</v>
      </c>
      <c r="B35" t="s">
        <v>65</v>
      </c>
      <c r="C35" t="s">
        <v>21</v>
      </c>
      <c r="D35" t="str">
        <f>INT('Client'!$E35/12) &amp; " ans et " &amp; MOD('Client'!$E35,12) &amp; " mois"</f>
        <v>6 ans et 7 mois</v>
      </c>
      <c r="E35">
        <v>79</v>
      </c>
      <c r="F35" t="s">
        <v>19</v>
      </c>
      <c r="G35" s="7">
        <f>Client[[#This Row],[Duree_Cumulee_Panne_Min]]/1440</f>
        <v>0.24791666666666667</v>
      </c>
      <c r="H35">
        <v>357</v>
      </c>
      <c r="I35">
        <v>69.900000000000006</v>
      </c>
      <c r="J35">
        <v>5</v>
      </c>
      <c r="K35" s="8">
        <f>IF('Client'!$F35="Pro Monde",10%,IF(AND('Client'!$G35&gt;12,'Client'!$D35&gt;5),70%,IF(AND(OR('Client'!$G35&gt;=4,'Client'!$G35&lt;=12,'Client'!$D35&lt;5,(OR('Client'!$F35="Premium ")))),45%,0%)))</f>
        <v>0.45</v>
      </c>
      <c r="L35" s="4">
        <f>'Client'!$I35* ('Client'!$K35/100)</f>
        <v>0.31455000000000005</v>
      </c>
    </row>
    <row r="36" spans="1:12" x14ac:dyDescent="0.3">
      <c r="A36" t="s">
        <v>8</v>
      </c>
      <c r="B36" t="s">
        <v>66</v>
      </c>
      <c r="C36" t="s">
        <v>67</v>
      </c>
      <c r="D36" t="str">
        <f>INT('Client'!$E36/12) &amp; " ans et " &amp; MOD('Client'!$E36,12) &amp; " mois"</f>
        <v>8 ans et 5 mois</v>
      </c>
      <c r="E36">
        <v>101</v>
      </c>
      <c r="F36" t="s">
        <v>14</v>
      </c>
      <c r="G36" s="7">
        <f>Client[[#This Row],[Duree_Cumulee_Panne_Min]]/1440</f>
        <v>0.12222222222222222</v>
      </c>
      <c r="H36">
        <v>176</v>
      </c>
      <c r="I36">
        <v>86</v>
      </c>
      <c r="J36">
        <v>3</v>
      </c>
      <c r="K36" s="8">
        <f>IF('Client'!$F36="Pro Monde",10%,IF(AND('Client'!$G36&gt;12,'Client'!$D36&gt;5),70%,IF(AND(OR('Client'!$G36&gt;=4,'Client'!$G36&lt;=12,'Client'!$D36&lt;5,(OR('Client'!$F36="Premium ")))),45%,0%)))</f>
        <v>0.1</v>
      </c>
      <c r="L36" s="4">
        <f>'Client'!$I36* ('Client'!$K36/100)</f>
        <v>8.6000000000000007E-2</v>
      </c>
    </row>
    <row r="37" spans="1:12" x14ac:dyDescent="0.3">
      <c r="A37" t="s">
        <v>8</v>
      </c>
      <c r="B37" t="s">
        <v>68</v>
      </c>
      <c r="C37" t="s">
        <v>21</v>
      </c>
      <c r="D37" t="str">
        <f>INT('Client'!$E37/12) &amp; " ans et " &amp; MOD('Client'!$E37,12) &amp; " mois"</f>
        <v>9 ans et 2 mois</v>
      </c>
      <c r="E37">
        <v>110</v>
      </c>
      <c r="F37" t="s">
        <v>22</v>
      </c>
      <c r="G37" s="7">
        <f>Client[[#This Row],[Duree_Cumulee_Panne_Min]]/1440</f>
        <v>0.31527777777777777</v>
      </c>
      <c r="H37">
        <v>454</v>
      </c>
      <c r="I37">
        <v>31.05</v>
      </c>
      <c r="J37">
        <v>1</v>
      </c>
      <c r="K37" s="8">
        <f>IF('Client'!$F37="Pro Monde",10%,IF(AND('Client'!$G37&gt;12,'Client'!$D37&gt;5),70%,IF(AND(OR('Client'!$G37&gt;=4,'Client'!$G37&lt;=12,'Client'!$D37&lt;5,(OR('Client'!$F37="Premium ")))),45%,0%)))</f>
        <v>0.45</v>
      </c>
      <c r="L37" s="4">
        <f>'Client'!$I37* ('Client'!$K37/100)</f>
        <v>0.13972500000000002</v>
      </c>
    </row>
    <row r="38" spans="1:12" x14ac:dyDescent="0.3">
      <c r="A38" t="s">
        <v>8</v>
      </c>
      <c r="B38" t="s">
        <v>69</v>
      </c>
      <c r="C38" t="s">
        <v>13</v>
      </c>
      <c r="D38" t="str">
        <f>INT('Client'!$E38/12) &amp; " ans et " &amp; MOD('Client'!$E38,12) &amp; " mois"</f>
        <v>1 ans et 2 mois</v>
      </c>
      <c r="E38">
        <v>14</v>
      </c>
      <c r="F38" t="s">
        <v>19</v>
      </c>
      <c r="G38" s="7">
        <f>Client[[#This Row],[Duree_Cumulee_Panne_Min]]/1440</f>
        <v>0.28819444444444442</v>
      </c>
      <c r="H38">
        <v>415</v>
      </c>
      <c r="I38">
        <v>36.93</v>
      </c>
      <c r="J38">
        <v>5</v>
      </c>
      <c r="K38" s="8">
        <f>IF('Client'!$F38="Pro Monde",10%,IF(AND('Client'!$G38&gt;12,'Client'!$D38&gt;5),70%,IF(AND(OR('Client'!$G38&gt;=4,'Client'!$G38&lt;=12,'Client'!$D38&lt;5,(OR('Client'!$F38="Premium ")))),45%,0%)))</f>
        <v>0.45</v>
      </c>
      <c r="L38" s="4">
        <f>'Client'!$I38* ('Client'!$K38/100)</f>
        <v>0.16618500000000003</v>
      </c>
    </row>
    <row r="39" spans="1:12" x14ac:dyDescent="0.3">
      <c r="A39" t="s">
        <v>8</v>
      </c>
      <c r="B39" t="s">
        <v>70</v>
      </c>
      <c r="C39" t="s">
        <v>29</v>
      </c>
      <c r="D39" t="str">
        <f>INT('Client'!$E39/12) &amp; " ans et " &amp; MOD('Client'!$E39,12) &amp; " mois"</f>
        <v>8 ans et 10 mois</v>
      </c>
      <c r="E39">
        <v>106</v>
      </c>
      <c r="F39" t="s">
        <v>19</v>
      </c>
      <c r="G39" s="7">
        <f>Client[[#This Row],[Duree_Cumulee_Panne_Min]]/1440</f>
        <v>0.27777777777777779</v>
      </c>
      <c r="H39">
        <v>400</v>
      </c>
      <c r="I39">
        <v>70.02</v>
      </c>
      <c r="J39">
        <v>4</v>
      </c>
      <c r="K39" s="8">
        <f>IF('Client'!$F39="Pro Monde",10%,IF(AND('Client'!$G39&gt;12,'Client'!$D39&gt;5),70%,IF(AND(OR('Client'!$G39&gt;=4,'Client'!$G39&lt;=12,'Client'!$D39&lt;5,(OR('Client'!$F39="Premium ")))),45%,0%)))</f>
        <v>0.45</v>
      </c>
      <c r="L39" s="4">
        <f>'Client'!$I39* ('Client'!$K39/100)</f>
        <v>0.31509000000000004</v>
      </c>
    </row>
    <row r="40" spans="1:12" x14ac:dyDescent="0.3">
      <c r="A40" t="s">
        <v>8</v>
      </c>
      <c r="B40" t="s">
        <v>71</v>
      </c>
      <c r="C40" t="s">
        <v>29</v>
      </c>
      <c r="D40" t="str">
        <f>INT('Client'!$E40/12) &amp; " ans et " &amp; MOD('Client'!$E40,12) &amp; " mois"</f>
        <v>6 ans et 0 mois</v>
      </c>
      <c r="E40">
        <v>72</v>
      </c>
      <c r="F40" t="s">
        <v>19</v>
      </c>
      <c r="G40" s="7">
        <f>Client[[#This Row],[Duree_Cumulee_Panne_Min]]/1440</f>
        <v>0.23055555555555557</v>
      </c>
      <c r="H40">
        <v>332</v>
      </c>
      <c r="I40">
        <v>83.36</v>
      </c>
      <c r="J40">
        <v>4</v>
      </c>
      <c r="K40" s="8">
        <f>IF('Client'!$F40="Pro Monde",10%,IF(AND('Client'!$G40&gt;12,'Client'!$D40&gt;5),70%,IF(AND(OR('Client'!$G40&gt;=4,'Client'!$G40&lt;=12,'Client'!$D40&lt;5,(OR('Client'!$F40="Premium ")))),45%,0%)))</f>
        <v>0.45</v>
      </c>
      <c r="L40" s="4">
        <f>'Client'!$I40* ('Client'!$K40/100)</f>
        <v>0.37512000000000006</v>
      </c>
    </row>
    <row r="41" spans="1:12" x14ac:dyDescent="0.3">
      <c r="A41" t="s">
        <v>8</v>
      </c>
      <c r="B41" t="s">
        <v>72</v>
      </c>
      <c r="C41" t="s">
        <v>73</v>
      </c>
      <c r="D41" t="str">
        <f>INT('Client'!$E41/12) &amp; " ans et " &amp; MOD('Client'!$E41,12) &amp; " mois"</f>
        <v>0 ans et 6 mois</v>
      </c>
      <c r="E41">
        <v>6</v>
      </c>
      <c r="F41" t="s">
        <v>11</v>
      </c>
      <c r="G41" s="7">
        <f>Client[[#This Row],[Duree_Cumulee_Panne_Min]]/1440</f>
        <v>0.14374999999999999</v>
      </c>
      <c r="H41">
        <v>207</v>
      </c>
      <c r="I41">
        <v>61.55</v>
      </c>
      <c r="J41">
        <v>0</v>
      </c>
      <c r="K41" s="8">
        <f>IF('Client'!$F41="Pro Monde",10%,IF(AND('Client'!$G41&gt;12,'Client'!$D41&gt;5),70%,IF(AND(OR('Client'!$G41&gt;=4,'Client'!$G41&lt;=12,'Client'!$D41&lt;5,(OR('Client'!$F41="Premium ")))),45%,0%)))</f>
        <v>0.45</v>
      </c>
      <c r="L41" s="4">
        <f>'Client'!$I41* ('Client'!$K41/100)</f>
        <v>0.27697500000000003</v>
      </c>
    </row>
    <row r="42" spans="1:12" x14ac:dyDescent="0.3">
      <c r="A42" t="s">
        <v>8</v>
      </c>
      <c r="B42" t="s">
        <v>74</v>
      </c>
      <c r="C42" t="s">
        <v>62</v>
      </c>
      <c r="D42" t="str">
        <f>INT('Client'!$E42/12) &amp; " ans et " &amp; MOD('Client'!$E42,12) &amp; " mois"</f>
        <v>5 ans et 5 mois</v>
      </c>
      <c r="E42">
        <v>65</v>
      </c>
      <c r="F42" t="s">
        <v>11</v>
      </c>
      <c r="G42" s="7">
        <f>Client[[#This Row],[Duree_Cumulee_Panne_Min]]/1440</f>
        <v>0.27569444444444446</v>
      </c>
      <c r="H42">
        <v>397</v>
      </c>
      <c r="I42">
        <v>22.6</v>
      </c>
      <c r="J42">
        <v>5</v>
      </c>
      <c r="K42" s="8">
        <f>IF('Client'!$F42="Pro Monde",10%,IF(AND('Client'!$G42&gt;12,'Client'!$D42&gt;5),70%,IF(AND(OR('Client'!$G42&gt;=4,'Client'!$G42&lt;=12,'Client'!$D42&lt;5,(OR('Client'!$F42="Premium ")))),45%,0%)))</f>
        <v>0.45</v>
      </c>
      <c r="L42" s="4">
        <f>'Client'!$I42* ('Client'!$K42/100)</f>
        <v>0.10170000000000001</v>
      </c>
    </row>
    <row r="43" spans="1:12" x14ac:dyDescent="0.3">
      <c r="A43" t="s">
        <v>8</v>
      </c>
      <c r="B43" t="s">
        <v>75</v>
      </c>
      <c r="C43" t="s">
        <v>24</v>
      </c>
      <c r="D43" t="str">
        <f>INT('Client'!$E43/12) &amp; " ans et " &amp; MOD('Client'!$E43,12) &amp; " mois"</f>
        <v>1 ans et 2 mois</v>
      </c>
      <c r="E43">
        <v>14</v>
      </c>
      <c r="F43" t="s">
        <v>14</v>
      </c>
      <c r="G43" s="7">
        <f>Client[[#This Row],[Duree_Cumulee_Panne_Min]]/1440</f>
        <v>7.013888888888889E-2</v>
      </c>
      <c r="H43">
        <v>101</v>
      </c>
      <c r="I43">
        <v>43.99</v>
      </c>
      <c r="J43">
        <v>1</v>
      </c>
      <c r="K43" s="8">
        <f>IF('Client'!$F43="Pro Monde",10%,IF(AND('Client'!$G43&gt;12,'Client'!$D43&gt;5),70%,IF(AND(OR('Client'!$G43&gt;=4,'Client'!$G43&lt;=12,'Client'!$D43&lt;5,(OR('Client'!$F43="Premium ")))),45%,0%)))</f>
        <v>0.1</v>
      </c>
      <c r="L43" s="4">
        <f>'Client'!$I43* ('Client'!$K43/100)</f>
        <v>4.3990000000000001E-2</v>
      </c>
    </row>
    <row r="44" spans="1:12" x14ac:dyDescent="0.3">
      <c r="A44" t="s">
        <v>8</v>
      </c>
      <c r="B44" t="s">
        <v>76</v>
      </c>
      <c r="C44" t="s">
        <v>40</v>
      </c>
      <c r="D44" t="str">
        <f>INT('Client'!$E44/12) &amp; " ans et " &amp; MOD('Client'!$E44,12) &amp; " mois"</f>
        <v>1 ans et 10 mois</v>
      </c>
      <c r="E44">
        <v>22</v>
      </c>
      <c r="F44" t="s">
        <v>22</v>
      </c>
      <c r="G44" s="7">
        <f>Client[[#This Row],[Duree_Cumulee_Panne_Min]]/1440</f>
        <v>0.31319444444444444</v>
      </c>
      <c r="H44">
        <v>451</v>
      </c>
      <c r="I44">
        <v>76.38</v>
      </c>
      <c r="J44">
        <v>3</v>
      </c>
      <c r="K44" s="8">
        <f>IF('Client'!$F44="Pro Monde",10%,IF(AND('Client'!$G44&gt;12,'Client'!$D44&gt;5),70%,IF(AND(OR('Client'!$G44&gt;=4,'Client'!$G44&lt;=12,'Client'!$D44&lt;5,(OR('Client'!$F44="Premium ")))),45%,0%)))</f>
        <v>0.45</v>
      </c>
      <c r="L44" s="4">
        <f>'Client'!$I44* ('Client'!$K44/100)</f>
        <v>0.34371000000000002</v>
      </c>
    </row>
    <row r="45" spans="1:12" x14ac:dyDescent="0.3">
      <c r="A45" t="s">
        <v>8</v>
      </c>
      <c r="B45" t="s">
        <v>77</v>
      </c>
      <c r="C45" t="s">
        <v>78</v>
      </c>
      <c r="D45" t="str">
        <f>INT('Client'!$E45/12) &amp; " ans et " &amp; MOD('Client'!$E45,12) &amp; " mois"</f>
        <v>6 ans et 9 mois</v>
      </c>
      <c r="E45">
        <v>81</v>
      </c>
      <c r="F45" t="s">
        <v>14</v>
      </c>
      <c r="G45" s="7">
        <f>Client[[#This Row],[Duree_Cumulee_Panne_Min]]/1440</f>
        <v>0.10694444444444444</v>
      </c>
      <c r="H45">
        <v>154</v>
      </c>
      <c r="I45">
        <v>19.47</v>
      </c>
      <c r="J45">
        <v>3</v>
      </c>
      <c r="K45" s="8">
        <f>IF('Client'!$F45="Pro Monde",10%,IF(AND('Client'!$G45&gt;12,'Client'!$D45&gt;5),70%,IF(AND(OR('Client'!$G45&gt;=4,'Client'!$G45&lt;=12,'Client'!$D45&lt;5,(OR('Client'!$F45="Premium ")))),45%,0%)))</f>
        <v>0.1</v>
      </c>
      <c r="L45" s="4">
        <f>'Client'!$I45* ('Client'!$K45/100)</f>
        <v>1.9469999999999998E-2</v>
      </c>
    </row>
    <row r="46" spans="1:12" x14ac:dyDescent="0.3">
      <c r="A46" t="s">
        <v>8</v>
      </c>
      <c r="B46" t="s">
        <v>79</v>
      </c>
      <c r="C46" t="s">
        <v>10</v>
      </c>
      <c r="D46" t="str">
        <f>INT('Client'!$E46/12) &amp; " ans et " &amp; MOD('Client'!$E46,12) &amp; " mois"</f>
        <v>1 ans et 4 mois</v>
      </c>
      <c r="E46">
        <v>16</v>
      </c>
      <c r="F46" t="s">
        <v>19</v>
      </c>
      <c r="G46" s="7">
        <f>Client[[#This Row],[Duree_Cumulee_Panne_Min]]/1440</f>
        <v>2.9861111111111113E-2</v>
      </c>
      <c r="H46">
        <v>43</v>
      </c>
      <c r="I46">
        <v>56.48</v>
      </c>
      <c r="J46">
        <v>0</v>
      </c>
      <c r="K46" s="8">
        <f>IF('Client'!$F46="Pro Monde",10%,IF(AND('Client'!$G46&gt;12,'Client'!$D46&gt;5),70%,IF(AND(OR('Client'!$G46&gt;=4,'Client'!$G46&lt;=12,'Client'!$D46&lt;5,(OR('Client'!$F46="Premium ")))),45%,0%)))</f>
        <v>0.45</v>
      </c>
      <c r="L46" s="4">
        <f>'Client'!$I46* ('Client'!$K46/100)</f>
        <v>0.25416</v>
      </c>
    </row>
    <row r="47" spans="1:12" x14ac:dyDescent="0.3">
      <c r="A47" t="s">
        <v>8</v>
      </c>
      <c r="B47" t="s">
        <v>80</v>
      </c>
      <c r="C47" t="s">
        <v>51</v>
      </c>
      <c r="D47" t="str">
        <f>INT('Client'!$E47/12) &amp; " ans et " &amp; MOD('Client'!$E47,12) &amp; " mois"</f>
        <v>9 ans et 4 mois</v>
      </c>
      <c r="E47">
        <v>112</v>
      </c>
      <c r="F47" t="s">
        <v>14</v>
      </c>
      <c r="G47" s="7">
        <f>Client[[#This Row],[Duree_Cumulee_Panne_Min]]/1440</f>
        <v>1.2500000000000001E-2</v>
      </c>
      <c r="H47">
        <v>18</v>
      </c>
      <c r="I47">
        <v>27.33</v>
      </c>
      <c r="J47">
        <v>5</v>
      </c>
      <c r="K47" s="8">
        <f>IF('Client'!$F47="Pro Monde",10%,IF(AND('Client'!$G47&gt;12,'Client'!$D47&gt;5),70%,IF(AND(OR('Client'!$G47&gt;=4,'Client'!$G47&lt;=12,'Client'!$D47&lt;5,(OR('Client'!$F47="Premium ")))),45%,0%)))</f>
        <v>0.1</v>
      </c>
      <c r="L47" s="4">
        <f>'Client'!$I47* ('Client'!$K47/100)</f>
        <v>2.733E-2</v>
      </c>
    </row>
    <row r="48" spans="1:12" x14ac:dyDescent="0.3">
      <c r="A48" t="s">
        <v>8</v>
      </c>
      <c r="B48" t="s">
        <v>81</v>
      </c>
      <c r="C48" t="s">
        <v>31</v>
      </c>
      <c r="D48" t="str">
        <f>INT('Client'!$E48/12) &amp; " ans et " &amp; MOD('Client'!$E48,12) &amp; " mois"</f>
        <v>2 ans et 3 mois</v>
      </c>
      <c r="E48">
        <v>27</v>
      </c>
      <c r="F48" t="s">
        <v>19</v>
      </c>
      <c r="G48" s="7">
        <f>Client[[#This Row],[Duree_Cumulee_Panne_Min]]/1440</f>
        <v>0.19097222222222221</v>
      </c>
      <c r="H48">
        <v>275</v>
      </c>
      <c r="I48">
        <v>80.069999999999993</v>
      </c>
      <c r="J48">
        <v>1</v>
      </c>
      <c r="K48" s="8">
        <f>IF('Client'!$F48="Pro Monde",10%,IF(AND('Client'!$G48&gt;12,'Client'!$D48&gt;5),70%,IF(AND(OR('Client'!$G48&gt;=4,'Client'!$G48&lt;=12,'Client'!$D48&lt;5,(OR('Client'!$F48="Premium ")))),45%,0%)))</f>
        <v>0.45</v>
      </c>
      <c r="L48" s="4">
        <f>'Client'!$I48* ('Client'!$K48/100)</f>
        <v>0.360315</v>
      </c>
    </row>
    <row r="49" spans="1:12" x14ac:dyDescent="0.3">
      <c r="A49" t="s">
        <v>8</v>
      </c>
      <c r="B49" t="s">
        <v>82</v>
      </c>
      <c r="C49" t="s">
        <v>57</v>
      </c>
      <c r="D49" t="str">
        <f>INT('Client'!$E49/12) &amp; " ans et " &amp; MOD('Client'!$E49,12) &amp; " mois"</f>
        <v>9 ans et 9 mois</v>
      </c>
      <c r="E49">
        <v>117</v>
      </c>
      <c r="F49" t="s">
        <v>22</v>
      </c>
      <c r="G49" s="7">
        <f>Client[[#This Row],[Duree_Cumulee_Panne_Min]]/1440</f>
        <v>0.11874999999999999</v>
      </c>
      <c r="H49">
        <v>171</v>
      </c>
      <c r="I49">
        <v>50.89</v>
      </c>
      <c r="J49">
        <v>4</v>
      </c>
      <c r="K49" s="8">
        <f>IF('Client'!$F49="Pro Monde",10%,IF(AND('Client'!$G49&gt;12,'Client'!$D49&gt;5),70%,IF(AND(OR('Client'!$G49&gt;=4,'Client'!$G49&lt;=12,'Client'!$D49&lt;5,(OR('Client'!$F49="Premium ")))),45%,0%)))</f>
        <v>0.45</v>
      </c>
      <c r="L49" s="4">
        <f>'Client'!$I49* ('Client'!$K49/100)</f>
        <v>0.22900500000000004</v>
      </c>
    </row>
    <row r="50" spans="1:12" x14ac:dyDescent="0.3">
      <c r="A50" t="s">
        <v>8</v>
      </c>
      <c r="B50" t="s">
        <v>83</v>
      </c>
      <c r="C50" t="s">
        <v>51</v>
      </c>
      <c r="D50" t="str">
        <f>INT('Client'!$E50/12) &amp; " ans et " &amp; MOD('Client'!$E50,12) &amp; " mois"</f>
        <v>3 ans et 11 mois</v>
      </c>
      <c r="E50">
        <v>47</v>
      </c>
      <c r="F50" t="s">
        <v>19</v>
      </c>
      <c r="G50" s="7">
        <f>Client[[#This Row],[Duree_Cumulee_Panne_Min]]/1440</f>
        <v>0.13819444444444445</v>
      </c>
      <c r="H50">
        <v>199</v>
      </c>
      <c r="I50">
        <v>23.19</v>
      </c>
      <c r="J50">
        <v>2</v>
      </c>
      <c r="K50" s="8">
        <f>IF('Client'!$F50="Pro Monde",10%,IF(AND('Client'!$G50&gt;12,'Client'!$D50&gt;5),70%,IF(AND(OR('Client'!$G50&gt;=4,'Client'!$G50&lt;=12,'Client'!$D50&lt;5,(OR('Client'!$F50="Premium ")))),45%,0%)))</f>
        <v>0.45</v>
      </c>
      <c r="L50" s="4">
        <f>'Client'!$I50* ('Client'!$K50/100)</f>
        <v>0.10435500000000002</v>
      </c>
    </row>
    <row r="51" spans="1:12" x14ac:dyDescent="0.3">
      <c r="A51" t="s">
        <v>8</v>
      </c>
      <c r="B51" t="s">
        <v>84</v>
      </c>
      <c r="C51" t="s">
        <v>60</v>
      </c>
      <c r="D51" t="str">
        <f>INT('Client'!$E51/12) &amp; " ans et " &amp; MOD('Client'!$E51,12) &amp; " mois"</f>
        <v>1 ans et 9 mois</v>
      </c>
      <c r="E51">
        <v>21</v>
      </c>
      <c r="F51" t="s">
        <v>11</v>
      </c>
      <c r="G51" s="7">
        <f>Client[[#This Row],[Duree_Cumulee_Panne_Min]]/1440</f>
        <v>0.25763888888888886</v>
      </c>
      <c r="H51">
        <v>371</v>
      </c>
      <c r="I51">
        <v>48.31</v>
      </c>
      <c r="J51">
        <v>0</v>
      </c>
      <c r="K51" s="8">
        <f>IF('Client'!$F51="Pro Monde",10%,IF(AND('Client'!$G51&gt;12,'Client'!$D51&gt;5),70%,IF(AND(OR('Client'!$G51&gt;=4,'Client'!$G51&lt;=12,'Client'!$D51&lt;5,(OR('Client'!$F51="Premium ")))),45%,0%)))</f>
        <v>0.45</v>
      </c>
      <c r="L51" s="4">
        <f>'Client'!$I51* ('Client'!$K51/100)</f>
        <v>0.21739500000000003</v>
      </c>
    </row>
    <row r="52" spans="1:12" x14ac:dyDescent="0.3">
      <c r="A52" t="s">
        <v>85</v>
      </c>
      <c r="B52" t="s">
        <v>86</v>
      </c>
      <c r="C52" t="s">
        <v>51</v>
      </c>
      <c r="D52" t="str">
        <f>INT('Client'!$E52/12) &amp; " ans et " &amp; MOD('Client'!$E52,12) &amp; " mois"</f>
        <v>6 ans et 10 mois</v>
      </c>
      <c r="E52">
        <v>82</v>
      </c>
      <c r="F52" t="s">
        <v>19</v>
      </c>
      <c r="G52" s="7">
        <f>Client[[#This Row],[Duree_Cumulee_Panne_Min]]/1440</f>
        <v>9.166666666666666E-2</v>
      </c>
      <c r="H52">
        <v>132</v>
      </c>
      <c r="I52">
        <v>50.14</v>
      </c>
      <c r="J52">
        <v>5</v>
      </c>
      <c r="K52" s="8">
        <f>IF('Client'!$F52="Pro Monde",10%,IF(AND('Client'!$G52&gt;12,'Client'!$D52&gt;5),70%,IF(AND(OR('Client'!$G52&gt;=4,'Client'!$G52&lt;=12,'Client'!$D52&lt;5,(OR('Client'!$F52="Premium ")))),45%,0%)))</f>
        <v>0.45</v>
      </c>
      <c r="L52" s="4">
        <f>'Client'!$I52* ('Client'!$K52/100)</f>
        <v>0.22563000000000002</v>
      </c>
    </row>
    <row r="53" spans="1:12" x14ac:dyDescent="0.3">
      <c r="A53" t="s">
        <v>85</v>
      </c>
      <c r="B53" t="s">
        <v>87</v>
      </c>
      <c r="C53" t="s">
        <v>21</v>
      </c>
      <c r="D53" t="str">
        <f>INT('Client'!$E53/12) &amp; " ans et " &amp; MOD('Client'!$E53,12) &amp; " mois"</f>
        <v>4 ans et 11 mois</v>
      </c>
      <c r="E53">
        <v>59</v>
      </c>
      <c r="F53" t="s">
        <v>22</v>
      </c>
      <c r="G53" s="7">
        <f>Client[[#This Row],[Duree_Cumulee_Panne_Min]]/1440</f>
        <v>0.13333333333333333</v>
      </c>
      <c r="H53">
        <v>192</v>
      </c>
      <c r="I53">
        <v>86.17</v>
      </c>
      <c r="J53">
        <v>1</v>
      </c>
      <c r="K53" s="8">
        <f>IF('Client'!$F53="Pro Monde",10%,IF(AND('Client'!$G53&gt;12,'Client'!$D53&gt;5),70%,IF(AND(OR('Client'!$G53&gt;=4,'Client'!$G53&lt;=12,'Client'!$D53&lt;5,(OR('Client'!$F53="Premium ")))),45%,0%)))</f>
        <v>0.45</v>
      </c>
      <c r="L53" s="4">
        <f>'Client'!$I53* ('Client'!$K53/100)</f>
        <v>0.38776500000000003</v>
      </c>
    </row>
    <row r="54" spans="1:12" x14ac:dyDescent="0.3">
      <c r="A54" t="s">
        <v>85</v>
      </c>
      <c r="B54" t="s">
        <v>88</v>
      </c>
      <c r="C54" t="s">
        <v>89</v>
      </c>
      <c r="D54" t="str">
        <f>INT('Client'!$E54/12) &amp; " ans et " &amp; MOD('Client'!$E54,12) &amp; " mois"</f>
        <v>8 ans et 2 mois</v>
      </c>
      <c r="E54">
        <v>98</v>
      </c>
      <c r="F54" t="s">
        <v>14</v>
      </c>
      <c r="G54" s="7">
        <f>Client[[#This Row],[Duree_Cumulee_Panne_Min]]/1440</f>
        <v>0.3347222222222222</v>
      </c>
      <c r="H54">
        <v>482</v>
      </c>
      <c r="I54">
        <v>55.04</v>
      </c>
      <c r="J54">
        <v>5</v>
      </c>
      <c r="K54" s="8">
        <f>IF('Client'!$F54="Pro Monde",10%,IF(AND('Client'!$G54&gt;12,'Client'!$D54&gt;5),70%,IF(AND(OR('Client'!$G54&gt;=4,'Client'!$G54&lt;=12,'Client'!$D54&lt;5,(OR('Client'!$F54="Premium ")))),45%,0%)))</f>
        <v>0.1</v>
      </c>
      <c r="L54" s="4">
        <f>'Client'!$I54* ('Client'!$K54/100)</f>
        <v>5.5039999999999999E-2</v>
      </c>
    </row>
    <row r="55" spans="1:12" x14ac:dyDescent="0.3">
      <c r="A55" t="s">
        <v>85</v>
      </c>
      <c r="B55" t="s">
        <v>90</v>
      </c>
      <c r="C55" t="s">
        <v>35</v>
      </c>
      <c r="D55" t="str">
        <f>INT('Client'!$E55/12) &amp; " ans et " &amp; MOD('Client'!$E55,12) &amp; " mois"</f>
        <v>4 ans et 10 mois</v>
      </c>
      <c r="E55">
        <v>58</v>
      </c>
      <c r="F55" t="s">
        <v>19</v>
      </c>
      <c r="G55" s="7">
        <f>Client[[#This Row],[Duree_Cumulee_Panne_Min]]/1440</f>
        <v>0.29375000000000001</v>
      </c>
      <c r="H55">
        <v>423</v>
      </c>
      <c r="I55">
        <v>80.459999999999994</v>
      </c>
      <c r="J55">
        <v>0</v>
      </c>
      <c r="K55" s="8">
        <f>IF('Client'!$F55="Pro Monde",10%,IF(AND('Client'!$G55&gt;12,'Client'!$D55&gt;5),70%,IF(AND(OR('Client'!$G55&gt;=4,'Client'!$G55&lt;=12,'Client'!$D55&lt;5,(OR('Client'!$F55="Premium ")))),45%,0%)))</f>
        <v>0.45</v>
      </c>
      <c r="L55" s="4">
        <f>'Client'!$I55* ('Client'!$K55/100)</f>
        <v>0.36207</v>
      </c>
    </row>
    <row r="56" spans="1:12" x14ac:dyDescent="0.3">
      <c r="A56" t="s">
        <v>85</v>
      </c>
      <c r="B56" t="s">
        <v>91</v>
      </c>
      <c r="C56" t="s">
        <v>62</v>
      </c>
      <c r="D56" t="str">
        <f>INT('Client'!$E56/12) &amp; " ans et " &amp; MOD('Client'!$E56,12) &amp; " mois"</f>
        <v>7 ans et 2 mois</v>
      </c>
      <c r="E56">
        <v>86</v>
      </c>
      <c r="F56" t="s">
        <v>19</v>
      </c>
      <c r="G56" s="7">
        <f>Client[[#This Row],[Duree_Cumulee_Panne_Min]]/1440</f>
        <v>0.31944444444444442</v>
      </c>
      <c r="H56">
        <v>460</v>
      </c>
      <c r="I56">
        <v>22.81</v>
      </c>
      <c r="J56">
        <v>4</v>
      </c>
      <c r="K56" s="8">
        <f>IF('Client'!$F56="Pro Monde",10%,IF(AND('Client'!$G56&gt;12,'Client'!$D56&gt;5),70%,IF(AND(OR('Client'!$G56&gt;=4,'Client'!$G56&lt;=12,'Client'!$D56&lt;5,(OR('Client'!$F56="Premium ")))),45%,0%)))</f>
        <v>0.45</v>
      </c>
      <c r="L56" s="4">
        <f>'Client'!$I56* ('Client'!$K56/100)</f>
        <v>0.102645</v>
      </c>
    </row>
    <row r="57" spans="1:12" x14ac:dyDescent="0.3">
      <c r="A57" t="s">
        <v>85</v>
      </c>
      <c r="B57" t="s">
        <v>92</v>
      </c>
      <c r="C57" t="s">
        <v>73</v>
      </c>
      <c r="D57" t="str">
        <f>INT('Client'!$E57/12) &amp; " ans et " &amp; MOD('Client'!$E57,12) &amp; " mois"</f>
        <v>4 ans et 10 mois</v>
      </c>
      <c r="E57">
        <v>58</v>
      </c>
      <c r="F57" t="s">
        <v>22</v>
      </c>
      <c r="G57" s="7">
        <f>Client[[#This Row],[Duree_Cumulee_Panne_Min]]/1440</f>
        <v>4.2361111111111113E-2</v>
      </c>
      <c r="H57">
        <v>61</v>
      </c>
      <c r="I57">
        <v>58.64</v>
      </c>
      <c r="J57">
        <v>3</v>
      </c>
      <c r="K57" s="8">
        <f>IF('Client'!$F57="Pro Monde",10%,IF(AND('Client'!$G57&gt;12,'Client'!$D57&gt;5),70%,IF(AND(OR('Client'!$G57&gt;=4,'Client'!$G57&lt;=12,'Client'!$D57&lt;5,(OR('Client'!$F57="Premium ")))),45%,0%)))</f>
        <v>0.45</v>
      </c>
      <c r="L57" s="4">
        <f>'Client'!$I57* ('Client'!$K57/100)</f>
        <v>0.26388000000000006</v>
      </c>
    </row>
    <row r="58" spans="1:12" x14ac:dyDescent="0.3">
      <c r="A58" t="s">
        <v>85</v>
      </c>
      <c r="B58" t="s">
        <v>93</v>
      </c>
      <c r="C58" t="s">
        <v>44</v>
      </c>
      <c r="D58" t="str">
        <f>INT('Client'!$E58/12) &amp; " ans et " &amp; MOD('Client'!$E58,12) &amp; " mois"</f>
        <v>1 ans et 8 mois</v>
      </c>
      <c r="E58">
        <v>20</v>
      </c>
      <c r="F58" t="s">
        <v>19</v>
      </c>
      <c r="G58" s="7">
        <f>Client[[#This Row],[Duree_Cumulee_Panne_Min]]/1440</f>
        <v>1.8055555555555554E-2</v>
      </c>
      <c r="H58">
        <v>26</v>
      </c>
      <c r="I58">
        <v>25.14</v>
      </c>
      <c r="J58">
        <v>0</v>
      </c>
      <c r="K58" s="8">
        <f>IF('Client'!$F58="Pro Monde",10%,IF(AND('Client'!$G58&gt;12,'Client'!$D58&gt;5),70%,IF(AND(OR('Client'!$G58&gt;=4,'Client'!$G58&lt;=12,'Client'!$D58&lt;5,(OR('Client'!$F58="Premium ")))),45%,0%)))</f>
        <v>0.45</v>
      </c>
      <c r="L58" s="4">
        <f>'Client'!$I58* ('Client'!$K58/100)</f>
        <v>0.11313000000000002</v>
      </c>
    </row>
    <row r="59" spans="1:12" x14ac:dyDescent="0.3">
      <c r="A59" t="s">
        <v>85</v>
      </c>
      <c r="B59" t="s">
        <v>94</v>
      </c>
      <c r="C59" t="s">
        <v>51</v>
      </c>
      <c r="D59" t="str">
        <f>INT('Client'!$E59/12) &amp; " ans et " &amp; MOD('Client'!$E59,12) &amp; " mois"</f>
        <v>9 ans et 3 mois</v>
      </c>
      <c r="E59">
        <v>111</v>
      </c>
      <c r="F59" t="s">
        <v>11</v>
      </c>
      <c r="G59" s="7">
        <f>Client[[#This Row],[Duree_Cumulee_Panne_Min]]/1440</f>
        <v>7.1527777777777773E-2</v>
      </c>
      <c r="H59">
        <v>103</v>
      </c>
      <c r="I59">
        <v>32.06</v>
      </c>
      <c r="J59">
        <v>0</v>
      </c>
      <c r="K59" s="8">
        <f>IF('Client'!$F59="Pro Monde",10%,IF(AND('Client'!$G59&gt;12,'Client'!$D59&gt;5),70%,IF(AND(OR('Client'!$G59&gt;=4,'Client'!$G59&lt;=12,'Client'!$D59&lt;5,(OR('Client'!$F59="Premium ")))),45%,0%)))</f>
        <v>0.45</v>
      </c>
      <c r="L59" s="4">
        <f>'Client'!$I59* ('Client'!$K59/100)</f>
        <v>0.14427000000000004</v>
      </c>
    </row>
    <row r="60" spans="1:12" x14ac:dyDescent="0.3">
      <c r="A60" t="s">
        <v>85</v>
      </c>
      <c r="B60" t="s">
        <v>95</v>
      </c>
      <c r="C60" t="s">
        <v>21</v>
      </c>
      <c r="D60" t="str">
        <f>INT('Client'!$E60/12) &amp; " ans et " &amp; MOD('Client'!$E60,12) &amp; " mois"</f>
        <v>7 ans et 10 mois</v>
      </c>
      <c r="E60">
        <v>94</v>
      </c>
      <c r="F60" t="s">
        <v>22</v>
      </c>
      <c r="G60" s="7">
        <f>Client[[#This Row],[Duree_Cumulee_Panne_Min]]/1440</f>
        <v>8.4722222222222227E-2</v>
      </c>
      <c r="H60">
        <v>122</v>
      </c>
      <c r="I60">
        <v>95.74</v>
      </c>
      <c r="J60">
        <v>5</v>
      </c>
      <c r="K60" s="8">
        <f>IF('Client'!$F60="Pro Monde",10%,IF(AND('Client'!$G60&gt;12,'Client'!$D60&gt;5),70%,IF(AND(OR('Client'!$G60&gt;=4,'Client'!$G60&lt;=12,'Client'!$D60&lt;5,(OR('Client'!$F60="Premium ")))),45%,0%)))</f>
        <v>0.45</v>
      </c>
      <c r="L60" s="4">
        <f>'Client'!$I60* ('Client'!$K60/100)</f>
        <v>0.43083000000000005</v>
      </c>
    </row>
    <row r="61" spans="1:12" x14ac:dyDescent="0.3">
      <c r="A61" t="s">
        <v>85</v>
      </c>
      <c r="B61" t="s">
        <v>96</v>
      </c>
      <c r="C61" t="s">
        <v>35</v>
      </c>
      <c r="D61" t="str">
        <f>INT('Client'!$E61/12) &amp; " ans et " &amp; MOD('Client'!$E61,12) &amp; " mois"</f>
        <v>3 ans et 6 mois</v>
      </c>
      <c r="E61">
        <v>42</v>
      </c>
      <c r="F61" t="s">
        <v>22</v>
      </c>
      <c r="G61" s="7">
        <f>Client[[#This Row],[Duree_Cumulee_Panne_Min]]/1440</f>
        <v>0.2673611111111111</v>
      </c>
      <c r="H61">
        <v>385</v>
      </c>
      <c r="I61">
        <v>96.52</v>
      </c>
      <c r="J61">
        <v>1</v>
      </c>
      <c r="K61" s="8">
        <f>IF('Client'!$F61="Pro Monde",10%,IF(AND('Client'!$G61&gt;12,'Client'!$D61&gt;5),70%,IF(AND(OR('Client'!$G61&gt;=4,'Client'!$G61&lt;=12,'Client'!$D61&lt;5,(OR('Client'!$F61="Premium ")))),45%,0%)))</f>
        <v>0.45</v>
      </c>
      <c r="L61" s="4">
        <f>'Client'!$I61* ('Client'!$K61/100)</f>
        <v>0.43434000000000006</v>
      </c>
    </row>
    <row r="62" spans="1:12" x14ac:dyDescent="0.3">
      <c r="A62" t="s">
        <v>85</v>
      </c>
      <c r="B62" t="s">
        <v>97</v>
      </c>
      <c r="C62" t="s">
        <v>21</v>
      </c>
      <c r="D62" t="str">
        <f>INT('Client'!$E62/12) &amp; " ans et " &amp; MOD('Client'!$E62,12) &amp; " mois"</f>
        <v>1 ans et 0 mois</v>
      </c>
      <c r="E62">
        <v>12</v>
      </c>
      <c r="F62" t="s">
        <v>14</v>
      </c>
      <c r="G62" s="7">
        <f>Client[[#This Row],[Duree_Cumulee_Panne_Min]]/1440</f>
        <v>0.21180555555555555</v>
      </c>
      <c r="H62">
        <v>305</v>
      </c>
      <c r="I62">
        <v>59.96</v>
      </c>
      <c r="J62">
        <v>3</v>
      </c>
      <c r="K62" s="8">
        <f>IF('Client'!$F62="Pro Monde",10%,IF(AND('Client'!$G62&gt;12,'Client'!$D62&gt;5),70%,IF(AND(OR('Client'!$G62&gt;=4,'Client'!$G62&lt;=12,'Client'!$D62&lt;5,(OR('Client'!$F62="Premium ")))),45%,0%)))</f>
        <v>0.1</v>
      </c>
      <c r="L62" s="4">
        <f>'Client'!$I62* ('Client'!$K62/100)</f>
        <v>5.9959999999999999E-2</v>
      </c>
    </row>
    <row r="63" spans="1:12" x14ac:dyDescent="0.3">
      <c r="A63" t="s">
        <v>85</v>
      </c>
      <c r="B63" t="s">
        <v>98</v>
      </c>
      <c r="C63" t="s">
        <v>35</v>
      </c>
      <c r="D63" t="str">
        <f>INT('Client'!$E63/12) &amp; " ans et " &amp; MOD('Client'!$E63,12) &amp; " mois"</f>
        <v>8 ans et 7 mois</v>
      </c>
      <c r="E63">
        <v>103</v>
      </c>
      <c r="F63" t="s">
        <v>19</v>
      </c>
      <c r="G63" s="7">
        <f>Client[[#This Row],[Duree_Cumulee_Panne_Min]]/1440</f>
        <v>0.20833333333333334</v>
      </c>
      <c r="H63">
        <v>300</v>
      </c>
      <c r="I63">
        <v>13.76</v>
      </c>
      <c r="J63">
        <v>4</v>
      </c>
      <c r="K63" s="8">
        <f>IF('Client'!$F63="Pro Monde",10%,IF(AND('Client'!$G63&gt;12,'Client'!$D63&gt;5),70%,IF(AND(OR('Client'!$G63&gt;=4,'Client'!$G63&lt;=12,'Client'!$D63&lt;5,(OR('Client'!$F63="Premium ")))),45%,0%)))</f>
        <v>0.45</v>
      </c>
      <c r="L63" s="4">
        <f>'Client'!$I63* ('Client'!$K63/100)</f>
        <v>6.192000000000001E-2</v>
      </c>
    </row>
    <row r="64" spans="1:12" x14ac:dyDescent="0.3">
      <c r="A64" t="s">
        <v>85</v>
      </c>
      <c r="B64" t="s">
        <v>99</v>
      </c>
      <c r="C64" t="s">
        <v>35</v>
      </c>
      <c r="D64" t="str">
        <f>INT('Client'!$E64/12) &amp; " ans et " &amp; MOD('Client'!$E64,12) &amp; " mois"</f>
        <v>6 ans et 8 mois</v>
      </c>
      <c r="E64">
        <v>80</v>
      </c>
      <c r="F64" t="s">
        <v>11</v>
      </c>
      <c r="G64" s="7">
        <f>Client[[#This Row],[Duree_Cumulee_Panne_Min]]/1440</f>
        <v>8.4027777777777785E-2</v>
      </c>
      <c r="H64">
        <v>121</v>
      </c>
      <c r="I64">
        <v>83.14</v>
      </c>
      <c r="J64">
        <v>5</v>
      </c>
      <c r="K64" s="8">
        <f>IF('Client'!$F64="Pro Monde",10%,IF(AND('Client'!$G64&gt;12,'Client'!$D64&gt;5),70%,IF(AND(OR('Client'!$G64&gt;=4,'Client'!$G64&lt;=12,'Client'!$D64&lt;5,(OR('Client'!$F64="Premium ")))),45%,0%)))</f>
        <v>0.45</v>
      </c>
      <c r="L64" s="4">
        <f>'Client'!$I64* ('Client'!$K64/100)</f>
        <v>0.37413000000000007</v>
      </c>
    </row>
    <row r="65" spans="1:12" x14ac:dyDescent="0.3">
      <c r="A65" t="s">
        <v>85</v>
      </c>
      <c r="B65" t="s">
        <v>100</v>
      </c>
      <c r="C65" t="s">
        <v>26</v>
      </c>
      <c r="D65" t="str">
        <f>INT('Client'!$E65/12) &amp; " ans et " &amp; MOD('Client'!$E65,12) &amp; " mois"</f>
        <v>7 ans et 2 mois</v>
      </c>
      <c r="E65">
        <v>86</v>
      </c>
      <c r="F65" t="s">
        <v>14</v>
      </c>
      <c r="G65" s="7">
        <f>Client[[#This Row],[Duree_Cumulee_Panne_Min]]/1440</f>
        <v>0.17499999999999999</v>
      </c>
      <c r="H65">
        <v>252</v>
      </c>
      <c r="I65">
        <v>96.5</v>
      </c>
      <c r="J65">
        <v>5</v>
      </c>
      <c r="K65" s="8">
        <f>IF('Client'!$F65="Pro Monde",10%,IF(AND('Client'!$G65&gt;12,'Client'!$D65&gt;5),70%,IF(AND(OR('Client'!$G65&gt;=4,'Client'!$G65&lt;=12,'Client'!$D65&lt;5,(OR('Client'!$F65="Premium ")))),45%,0%)))</f>
        <v>0.1</v>
      </c>
      <c r="L65" s="4">
        <f>'Client'!$I65* ('Client'!$K65/100)</f>
        <v>9.6500000000000002E-2</v>
      </c>
    </row>
    <row r="66" spans="1:12" x14ac:dyDescent="0.3">
      <c r="A66" t="s">
        <v>85</v>
      </c>
      <c r="B66" t="s">
        <v>101</v>
      </c>
      <c r="C66" t="s">
        <v>64</v>
      </c>
      <c r="D66" t="str">
        <f>INT('Client'!$E66/12) &amp; " ans et " &amp; MOD('Client'!$E66,12) &amp; " mois"</f>
        <v>6 ans et 8 mois</v>
      </c>
      <c r="E66">
        <v>80</v>
      </c>
      <c r="F66" t="s">
        <v>19</v>
      </c>
      <c r="G66" s="7">
        <f>Client[[#This Row],[Duree_Cumulee_Panne_Min]]/1440</f>
        <v>0.18055555555555555</v>
      </c>
      <c r="H66">
        <v>260</v>
      </c>
      <c r="I66">
        <v>65.87</v>
      </c>
      <c r="J66">
        <v>3</v>
      </c>
      <c r="K66" s="8">
        <f>IF('Client'!$F66="Pro Monde",10%,IF(AND('Client'!$G66&gt;12,'Client'!$D66&gt;5),70%,IF(AND(OR('Client'!$G66&gt;=4,'Client'!$G66&lt;=12,'Client'!$D66&lt;5,(OR('Client'!$F66="Premium ")))),45%,0%)))</f>
        <v>0.45</v>
      </c>
      <c r="L66" s="4">
        <f>'Client'!$I66* ('Client'!$K66/100)</f>
        <v>0.29641500000000004</v>
      </c>
    </row>
    <row r="67" spans="1:12" x14ac:dyDescent="0.3">
      <c r="A67" t="s">
        <v>85</v>
      </c>
      <c r="B67" t="s">
        <v>102</v>
      </c>
      <c r="C67" t="s">
        <v>24</v>
      </c>
      <c r="D67" t="str">
        <f>INT('Client'!$E67/12) &amp; " ans et " &amp; MOD('Client'!$E67,12) &amp; " mois"</f>
        <v>4 ans et 5 mois</v>
      </c>
      <c r="E67">
        <v>53</v>
      </c>
      <c r="F67" t="s">
        <v>14</v>
      </c>
      <c r="G67" s="7">
        <f>Client[[#This Row],[Duree_Cumulee_Panne_Min]]/1440</f>
        <v>0.2673611111111111</v>
      </c>
      <c r="H67">
        <v>385</v>
      </c>
      <c r="I67">
        <v>68.78</v>
      </c>
      <c r="J67">
        <v>3</v>
      </c>
      <c r="K67" s="8">
        <f>IF('Client'!$F67="Pro Monde",10%,IF(AND('Client'!$G67&gt;12,'Client'!$D67&gt;5),70%,IF(AND(OR('Client'!$G67&gt;=4,'Client'!$G67&lt;=12,'Client'!$D67&lt;5,(OR('Client'!$F67="Premium ")))),45%,0%)))</f>
        <v>0.1</v>
      </c>
      <c r="L67" s="4">
        <f>'Client'!$I67* ('Client'!$K67/100)</f>
        <v>6.8780000000000008E-2</v>
      </c>
    </row>
    <row r="68" spans="1:12" x14ac:dyDescent="0.3">
      <c r="A68" t="s">
        <v>85</v>
      </c>
      <c r="B68" t="s">
        <v>103</v>
      </c>
      <c r="C68" t="s">
        <v>44</v>
      </c>
      <c r="D68" t="str">
        <f>INT('Client'!$E68/12) &amp; " ans et " &amp; MOD('Client'!$E68,12) &amp; " mois"</f>
        <v>4 ans et 2 mois</v>
      </c>
      <c r="E68">
        <v>50</v>
      </c>
      <c r="F68" t="s">
        <v>19</v>
      </c>
      <c r="G68" s="7">
        <f>Client[[#This Row],[Duree_Cumulee_Panne_Min]]/1440</f>
        <v>0.17916666666666667</v>
      </c>
      <c r="H68">
        <v>258</v>
      </c>
      <c r="I68">
        <v>25.06</v>
      </c>
      <c r="J68">
        <v>4</v>
      </c>
      <c r="K68" s="8">
        <f>IF('Client'!$F68="Pro Monde",10%,IF(AND('Client'!$G68&gt;12,'Client'!$D68&gt;5),70%,IF(AND(OR('Client'!$G68&gt;=4,'Client'!$G68&lt;=12,'Client'!$D68&lt;5,(OR('Client'!$F68="Premium ")))),45%,0%)))</f>
        <v>0.45</v>
      </c>
      <c r="L68" s="4">
        <f>'Client'!$I68* ('Client'!$K68/100)</f>
        <v>0.11277000000000001</v>
      </c>
    </row>
    <row r="69" spans="1:12" x14ac:dyDescent="0.3">
      <c r="A69" t="s">
        <v>85</v>
      </c>
      <c r="B69" t="s">
        <v>104</v>
      </c>
      <c r="C69" t="s">
        <v>44</v>
      </c>
      <c r="D69" t="str">
        <f>INT('Client'!$E69/12) &amp; " ans et " &amp; MOD('Client'!$E69,12) &amp; " mois"</f>
        <v>2 ans et 6 mois</v>
      </c>
      <c r="E69">
        <v>30</v>
      </c>
      <c r="F69" t="s">
        <v>11</v>
      </c>
      <c r="G69" s="7">
        <f>Client[[#This Row],[Duree_Cumulee_Panne_Min]]/1440</f>
        <v>0.13680555555555557</v>
      </c>
      <c r="H69">
        <v>197</v>
      </c>
      <c r="I69">
        <v>15.42</v>
      </c>
      <c r="J69">
        <v>0</v>
      </c>
      <c r="K69" s="8">
        <f>IF('Client'!$F69="Pro Monde",10%,IF(AND('Client'!$G69&gt;12,'Client'!$D69&gt;5),70%,IF(AND(OR('Client'!$G69&gt;=4,'Client'!$G69&lt;=12,'Client'!$D69&lt;5,(OR('Client'!$F69="Premium ")))),45%,0%)))</f>
        <v>0.45</v>
      </c>
      <c r="L69" s="4">
        <f>'Client'!$I69* ('Client'!$K69/100)</f>
        <v>6.9390000000000007E-2</v>
      </c>
    </row>
    <row r="70" spans="1:12" x14ac:dyDescent="0.3">
      <c r="A70" t="s">
        <v>85</v>
      </c>
      <c r="B70" t="s">
        <v>105</v>
      </c>
      <c r="C70" t="s">
        <v>24</v>
      </c>
      <c r="D70" t="str">
        <f>INT('Client'!$E70/12) &amp; " ans et " &amp; MOD('Client'!$E70,12) &amp; " mois"</f>
        <v>9 ans et 8 mois</v>
      </c>
      <c r="E70">
        <v>116</v>
      </c>
      <c r="F70" t="s">
        <v>14</v>
      </c>
      <c r="G70" s="7">
        <f>Client[[#This Row],[Duree_Cumulee_Panne_Min]]/1440</f>
        <v>0.33750000000000002</v>
      </c>
      <c r="H70">
        <v>486</v>
      </c>
      <c r="I70">
        <v>92.96</v>
      </c>
      <c r="J70">
        <v>5</v>
      </c>
      <c r="K70" s="8">
        <f>IF('Client'!$F70="Pro Monde",10%,IF(AND('Client'!$G70&gt;12,'Client'!$D70&gt;5),70%,IF(AND(OR('Client'!$G70&gt;=4,'Client'!$G70&lt;=12,'Client'!$D70&lt;5,(OR('Client'!$F70="Premium ")))),45%,0%)))</f>
        <v>0.1</v>
      </c>
      <c r="L70" s="4">
        <f>'Client'!$I70* ('Client'!$K70/100)</f>
        <v>9.2960000000000001E-2</v>
      </c>
    </row>
    <row r="71" spans="1:12" x14ac:dyDescent="0.3">
      <c r="A71" t="s">
        <v>85</v>
      </c>
      <c r="B71" t="s">
        <v>106</v>
      </c>
      <c r="C71" t="s">
        <v>89</v>
      </c>
      <c r="D71" t="str">
        <f>INT('Client'!$E71/12) &amp; " ans et " &amp; MOD('Client'!$E71,12) &amp; " mois"</f>
        <v>4 ans et 3 mois</v>
      </c>
      <c r="E71">
        <v>51</v>
      </c>
      <c r="F71" t="s">
        <v>22</v>
      </c>
      <c r="G71" s="7">
        <f>Client[[#This Row],[Duree_Cumulee_Panne_Min]]/1440</f>
        <v>4.027777777777778E-2</v>
      </c>
      <c r="H71">
        <v>58</v>
      </c>
      <c r="I71">
        <v>34.6</v>
      </c>
      <c r="J71">
        <v>5</v>
      </c>
      <c r="K71" s="8">
        <f>IF('Client'!$F71="Pro Monde",10%,IF(AND('Client'!$G71&gt;12,'Client'!$D71&gt;5),70%,IF(AND(OR('Client'!$G71&gt;=4,'Client'!$G71&lt;=12,'Client'!$D71&lt;5,(OR('Client'!$F71="Premium ")))),45%,0%)))</f>
        <v>0.45</v>
      </c>
      <c r="L71" s="4">
        <f>'Client'!$I71* ('Client'!$K71/100)</f>
        <v>0.15570000000000003</v>
      </c>
    </row>
    <row r="72" spans="1:12" x14ac:dyDescent="0.3">
      <c r="A72" t="s">
        <v>85</v>
      </c>
      <c r="B72" t="s">
        <v>107</v>
      </c>
      <c r="C72" t="s">
        <v>10</v>
      </c>
      <c r="D72" t="str">
        <f>INT('Client'!$E72/12) &amp; " ans et " &amp; MOD('Client'!$E72,12) &amp; " mois"</f>
        <v>3 ans et 8 mois</v>
      </c>
      <c r="E72">
        <v>44</v>
      </c>
      <c r="F72" t="s">
        <v>14</v>
      </c>
      <c r="G72" s="7">
        <f>Client[[#This Row],[Duree_Cumulee_Panne_Min]]/1440</f>
        <v>9.5138888888888884E-2</v>
      </c>
      <c r="H72">
        <v>137</v>
      </c>
      <c r="I72">
        <v>32.58</v>
      </c>
      <c r="J72">
        <v>0</v>
      </c>
      <c r="K72" s="8">
        <f>IF('Client'!$F72="Pro Monde",10%,IF(AND('Client'!$G72&gt;12,'Client'!$D72&gt;5),70%,IF(AND(OR('Client'!$G72&gt;=4,'Client'!$G72&lt;=12,'Client'!$D72&lt;5,(OR('Client'!$F72="Premium ")))),45%,0%)))</f>
        <v>0.1</v>
      </c>
      <c r="L72" s="4">
        <f>'Client'!$I72* ('Client'!$K72/100)</f>
        <v>3.2579999999999998E-2</v>
      </c>
    </row>
    <row r="73" spans="1:12" x14ac:dyDescent="0.3">
      <c r="A73" t="s">
        <v>85</v>
      </c>
      <c r="B73" t="s">
        <v>108</v>
      </c>
      <c r="C73" t="s">
        <v>62</v>
      </c>
      <c r="D73" t="str">
        <f>INT('Client'!$E73/12) &amp; " ans et " &amp; MOD('Client'!$E73,12) &amp; " mois"</f>
        <v>5 ans et 10 mois</v>
      </c>
      <c r="E73">
        <v>70</v>
      </c>
      <c r="F73" t="s">
        <v>19</v>
      </c>
      <c r="G73" s="7">
        <f>Client[[#This Row],[Duree_Cumulee_Panne_Min]]/1440</f>
        <v>2.1527777777777778E-2</v>
      </c>
      <c r="H73">
        <v>31</v>
      </c>
      <c r="I73">
        <v>71.2</v>
      </c>
      <c r="J73">
        <v>4</v>
      </c>
      <c r="K73" s="8">
        <f>IF('Client'!$F73="Pro Monde",10%,IF(AND('Client'!$G73&gt;12,'Client'!$D73&gt;5),70%,IF(AND(OR('Client'!$G73&gt;=4,'Client'!$G73&lt;=12,'Client'!$D73&lt;5,(OR('Client'!$F73="Premium ")))),45%,0%)))</f>
        <v>0.45</v>
      </c>
      <c r="L73" s="4">
        <f>'Client'!$I73* ('Client'!$K73/100)</f>
        <v>0.32040000000000007</v>
      </c>
    </row>
    <row r="74" spans="1:12" x14ac:dyDescent="0.3">
      <c r="A74" t="s">
        <v>85</v>
      </c>
      <c r="B74" t="s">
        <v>109</v>
      </c>
      <c r="C74" t="s">
        <v>35</v>
      </c>
      <c r="D74" t="str">
        <f>INT('Client'!$E74/12) &amp; " ans et " &amp; MOD('Client'!$E74,12) &amp; " mois"</f>
        <v>0 ans et 6 mois</v>
      </c>
      <c r="E74">
        <v>6</v>
      </c>
      <c r="F74" t="s">
        <v>11</v>
      </c>
      <c r="G74" s="7">
        <f>Client[[#This Row],[Duree_Cumulee_Panne_Min]]/1440</f>
        <v>0.1125</v>
      </c>
      <c r="H74">
        <v>162</v>
      </c>
      <c r="I74">
        <v>99.93</v>
      </c>
      <c r="J74">
        <v>0</v>
      </c>
      <c r="K74" s="8">
        <f>IF('Client'!$F74="Pro Monde",10%,IF(AND('Client'!$G74&gt;12,'Client'!$D74&gt;5),70%,IF(AND(OR('Client'!$G74&gt;=4,'Client'!$G74&lt;=12,'Client'!$D74&lt;5,(OR('Client'!$F74="Premium ")))),45%,0%)))</f>
        <v>0.45</v>
      </c>
      <c r="L74" s="4">
        <f>'Client'!$I74* ('Client'!$K74/100)</f>
        <v>0.44968500000000006</v>
      </c>
    </row>
    <row r="75" spans="1:12" x14ac:dyDescent="0.3">
      <c r="A75" t="s">
        <v>85</v>
      </c>
      <c r="B75" t="s">
        <v>110</v>
      </c>
      <c r="C75" t="s">
        <v>35</v>
      </c>
      <c r="D75" t="str">
        <f>INT('Client'!$E75/12) &amp; " ans et " &amp; MOD('Client'!$E75,12) &amp; " mois"</f>
        <v>7 ans et 2 mois</v>
      </c>
      <c r="E75">
        <v>86</v>
      </c>
      <c r="F75" t="s">
        <v>14</v>
      </c>
      <c r="G75" s="7">
        <f>Client[[#This Row],[Duree_Cumulee_Panne_Min]]/1440</f>
        <v>0.16458333333333333</v>
      </c>
      <c r="H75">
        <v>237</v>
      </c>
      <c r="I75">
        <v>85.82</v>
      </c>
      <c r="J75">
        <v>5</v>
      </c>
      <c r="K75" s="8">
        <f>IF('Client'!$F75="Pro Monde",10%,IF(AND('Client'!$G75&gt;12,'Client'!$D75&gt;5),70%,IF(AND(OR('Client'!$G75&gt;=4,'Client'!$G75&lt;=12,'Client'!$D75&lt;5,(OR('Client'!$F75="Premium ")))),45%,0%)))</f>
        <v>0.1</v>
      </c>
      <c r="L75" s="4">
        <f>'Client'!$I75* ('Client'!$K75/100)</f>
        <v>8.5819999999999994E-2</v>
      </c>
    </row>
    <row r="76" spans="1:12" x14ac:dyDescent="0.3">
      <c r="A76" t="s">
        <v>85</v>
      </c>
      <c r="B76" t="s">
        <v>111</v>
      </c>
      <c r="C76" t="s">
        <v>33</v>
      </c>
      <c r="D76" t="str">
        <f>INT('Client'!$E76/12) &amp; " ans et " &amp; MOD('Client'!$E76,12) &amp; " mois"</f>
        <v>9 ans et 6 mois</v>
      </c>
      <c r="E76">
        <v>114</v>
      </c>
      <c r="F76" t="s">
        <v>11</v>
      </c>
      <c r="G76" s="7">
        <f>Client[[#This Row],[Duree_Cumulee_Panne_Min]]/1440</f>
        <v>0.19652777777777777</v>
      </c>
      <c r="H76">
        <v>283</v>
      </c>
      <c r="I76">
        <v>29.15</v>
      </c>
      <c r="J76">
        <v>3</v>
      </c>
      <c r="K76" s="8">
        <f>IF('Client'!$F76="Pro Monde",10%,IF(AND('Client'!$G76&gt;12,'Client'!$D76&gt;5),70%,IF(AND(OR('Client'!$G76&gt;=4,'Client'!$G76&lt;=12,'Client'!$D76&lt;5,(OR('Client'!$F76="Premium ")))),45%,0%)))</f>
        <v>0.45</v>
      </c>
      <c r="L76" s="4">
        <f>'Client'!$I76* ('Client'!$K76/100)</f>
        <v>0.13117500000000001</v>
      </c>
    </row>
    <row r="77" spans="1:12" x14ac:dyDescent="0.3">
      <c r="A77" t="s">
        <v>85</v>
      </c>
      <c r="B77" t="s">
        <v>112</v>
      </c>
      <c r="C77" t="s">
        <v>29</v>
      </c>
      <c r="D77" t="str">
        <f>INT('Client'!$E77/12) &amp; " ans et " &amp; MOD('Client'!$E77,12) &amp; " mois"</f>
        <v>4 ans et 9 mois</v>
      </c>
      <c r="E77">
        <v>57</v>
      </c>
      <c r="F77" t="s">
        <v>19</v>
      </c>
      <c r="G77" s="7">
        <f>Client[[#This Row],[Duree_Cumulee_Panne_Min]]/1440</f>
        <v>0.14444444444444443</v>
      </c>
      <c r="H77">
        <v>208</v>
      </c>
      <c r="I77">
        <v>85.66</v>
      </c>
      <c r="J77">
        <v>5</v>
      </c>
      <c r="K77" s="8">
        <f>IF('Client'!$F77="Pro Monde",10%,IF(AND('Client'!$G77&gt;12,'Client'!$D77&gt;5),70%,IF(AND(OR('Client'!$G77&gt;=4,'Client'!$G77&lt;=12,'Client'!$D77&lt;5,(OR('Client'!$F77="Premium ")))),45%,0%)))</f>
        <v>0.45</v>
      </c>
      <c r="L77" s="4">
        <f>'Client'!$I77* ('Client'!$K77/100)</f>
        <v>0.38547000000000003</v>
      </c>
    </row>
    <row r="78" spans="1:12" x14ac:dyDescent="0.3">
      <c r="A78" t="s">
        <v>85</v>
      </c>
      <c r="B78" t="s">
        <v>113</v>
      </c>
      <c r="C78" t="s">
        <v>18</v>
      </c>
      <c r="D78" t="str">
        <f>INT('Client'!$E78/12) &amp; " ans et " &amp; MOD('Client'!$E78,12) &amp; " mois"</f>
        <v>7 ans et 11 mois</v>
      </c>
      <c r="E78">
        <v>95</v>
      </c>
      <c r="F78" t="s">
        <v>19</v>
      </c>
      <c r="G78" s="7">
        <f>Client[[#This Row],[Duree_Cumulee_Panne_Min]]/1440</f>
        <v>2.2916666666666665E-2</v>
      </c>
      <c r="H78">
        <v>33</v>
      </c>
      <c r="I78">
        <v>35.32</v>
      </c>
      <c r="J78">
        <v>0</v>
      </c>
      <c r="K78" s="8">
        <f>IF('Client'!$F78="Pro Monde",10%,IF(AND('Client'!$G78&gt;12,'Client'!$D78&gt;5),70%,IF(AND(OR('Client'!$G78&gt;=4,'Client'!$G78&lt;=12,'Client'!$D78&lt;5,(OR('Client'!$F78="Premium ")))),45%,0%)))</f>
        <v>0.45</v>
      </c>
      <c r="L78" s="4">
        <f>'Client'!$I78* ('Client'!$K78/100)</f>
        <v>0.15894000000000003</v>
      </c>
    </row>
    <row r="79" spans="1:12" x14ac:dyDescent="0.3">
      <c r="A79" t="s">
        <v>85</v>
      </c>
      <c r="B79" t="s">
        <v>114</v>
      </c>
      <c r="C79" t="s">
        <v>26</v>
      </c>
      <c r="D79" t="str">
        <f>INT('Client'!$E79/12) &amp; " ans et " &amp; MOD('Client'!$E79,12) &amp; " mois"</f>
        <v>3 ans et 0 mois</v>
      </c>
      <c r="E79">
        <v>36</v>
      </c>
      <c r="F79" t="s">
        <v>19</v>
      </c>
      <c r="G79" s="7">
        <f>Client[[#This Row],[Duree_Cumulee_Panne_Min]]/1440</f>
        <v>0.17152777777777778</v>
      </c>
      <c r="H79">
        <v>247</v>
      </c>
      <c r="I79">
        <v>24.53</v>
      </c>
      <c r="J79">
        <v>2</v>
      </c>
      <c r="K79" s="8">
        <f>IF('Client'!$F79="Pro Monde",10%,IF(AND('Client'!$G79&gt;12,'Client'!$D79&gt;5),70%,IF(AND(OR('Client'!$G79&gt;=4,'Client'!$G79&lt;=12,'Client'!$D79&lt;5,(OR('Client'!$F79="Premium ")))),45%,0%)))</f>
        <v>0.45</v>
      </c>
      <c r="L79" s="4">
        <f>'Client'!$I79* ('Client'!$K79/100)</f>
        <v>0.11038500000000002</v>
      </c>
    </row>
    <row r="80" spans="1:12" x14ac:dyDescent="0.3">
      <c r="A80" t="s">
        <v>85</v>
      </c>
      <c r="B80" t="s">
        <v>115</v>
      </c>
      <c r="C80" t="s">
        <v>64</v>
      </c>
      <c r="D80" t="str">
        <f>INT('Client'!$E80/12) &amp; " ans et " &amp; MOD('Client'!$E80,12) &amp; " mois"</f>
        <v>6 ans et 11 mois</v>
      </c>
      <c r="E80">
        <v>83</v>
      </c>
      <c r="F80" t="s">
        <v>22</v>
      </c>
      <c r="G80" s="7">
        <f>Client[[#This Row],[Duree_Cumulee_Panne_Min]]/1440</f>
        <v>9.7222222222222224E-3</v>
      </c>
      <c r="H80">
        <v>14</v>
      </c>
      <c r="I80">
        <v>58.07</v>
      </c>
      <c r="J80">
        <v>3</v>
      </c>
      <c r="K80" s="8">
        <f>IF('Client'!$F80="Pro Monde",10%,IF(AND('Client'!$G80&gt;12,'Client'!$D80&gt;5),70%,IF(AND(OR('Client'!$G80&gt;=4,'Client'!$G80&lt;=12,'Client'!$D80&lt;5,(OR('Client'!$F80="Premium ")))),45%,0%)))</f>
        <v>0.45</v>
      </c>
      <c r="L80" s="4">
        <f>'Client'!$I80* ('Client'!$K80/100)</f>
        <v>0.26131500000000002</v>
      </c>
    </row>
    <row r="81" spans="1:12" x14ac:dyDescent="0.3">
      <c r="A81" t="s">
        <v>85</v>
      </c>
      <c r="B81" t="s">
        <v>116</v>
      </c>
      <c r="C81" t="s">
        <v>51</v>
      </c>
      <c r="D81" t="str">
        <f>INT('Client'!$E81/12) &amp; " ans et " &amp; MOD('Client'!$E81,12) &amp; " mois"</f>
        <v>1 ans et 0 mois</v>
      </c>
      <c r="E81">
        <v>12</v>
      </c>
      <c r="F81" t="s">
        <v>11</v>
      </c>
      <c r="G81" s="7">
        <f>Client[[#This Row],[Duree_Cumulee_Panne_Min]]/1440</f>
        <v>0.14444444444444443</v>
      </c>
      <c r="H81">
        <v>208</v>
      </c>
      <c r="I81">
        <v>16.29</v>
      </c>
      <c r="J81">
        <v>4</v>
      </c>
      <c r="K81" s="8">
        <f>IF('Client'!$F81="Pro Monde",10%,IF(AND('Client'!$G81&gt;12,'Client'!$D81&gt;5),70%,IF(AND(OR('Client'!$G81&gt;=4,'Client'!$G81&lt;=12,'Client'!$D81&lt;5,(OR('Client'!$F81="Premium ")))),45%,0%)))</f>
        <v>0.45</v>
      </c>
      <c r="L81" s="4">
        <f>'Client'!$I81* ('Client'!$K81/100)</f>
        <v>7.3305000000000009E-2</v>
      </c>
    </row>
    <row r="82" spans="1:12" x14ac:dyDescent="0.3">
      <c r="A82" t="s">
        <v>85</v>
      </c>
      <c r="B82" t="s">
        <v>117</v>
      </c>
      <c r="C82" t="s">
        <v>60</v>
      </c>
      <c r="D82" t="str">
        <f>INT('Client'!$E82/12) &amp; " ans et " &amp; MOD('Client'!$E82,12) &amp; " mois"</f>
        <v>9 ans et 3 mois</v>
      </c>
      <c r="E82">
        <v>111</v>
      </c>
      <c r="F82" t="s">
        <v>22</v>
      </c>
      <c r="G82" s="7">
        <f>Client[[#This Row],[Duree_Cumulee_Panne_Min]]/1440</f>
        <v>0.22500000000000001</v>
      </c>
      <c r="H82">
        <v>324</v>
      </c>
      <c r="I82">
        <v>18.07</v>
      </c>
      <c r="J82">
        <v>2</v>
      </c>
      <c r="K82" s="8">
        <f>IF('Client'!$F82="Pro Monde",10%,IF(AND('Client'!$G82&gt;12,'Client'!$D82&gt;5),70%,IF(AND(OR('Client'!$G82&gt;=4,'Client'!$G82&lt;=12,'Client'!$D82&lt;5,(OR('Client'!$F82="Premium ")))),45%,0%)))</f>
        <v>0.45</v>
      </c>
      <c r="L82" s="4">
        <f>'Client'!$I82* ('Client'!$K82/100)</f>
        <v>8.1315000000000012E-2</v>
      </c>
    </row>
    <row r="83" spans="1:12" x14ac:dyDescent="0.3">
      <c r="A83" t="s">
        <v>85</v>
      </c>
      <c r="B83" t="s">
        <v>118</v>
      </c>
      <c r="C83" t="s">
        <v>21</v>
      </c>
      <c r="D83" t="str">
        <f>INT('Client'!$E83/12) &amp; " ans et " &amp; MOD('Client'!$E83,12) &amp; " mois"</f>
        <v>1 ans et 10 mois</v>
      </c>
      <c r="E83">
        <v>22</v>
      </c>
      <c r="F83" t="s">
        <v>22</v>
      </c>
      <c r="G83" s="7">
        <f>Client[[#This Row],[Duree_Cumulee_Panne_Min]]/1440</f>
        <v>8.2638888888888887E-2</v>
      </c>
      <c r="H83">
        <v>119</v>
      </c>
      <c r="I83">
        <v>72.86</v>
      </c>
      <c r="J83">
        <v>3</v>
      </c>
      <c r="K83" s="8">
        <f>IF('Client'!$F83="Pro Monde",10%,IF(AND('Client'!$G83&gt;12,'Client'!$D83&gt;5),70%,IF(AND(OR('Client'!$G83&gt;=4,'Client'!$G83&lt;=12,'Client'!$D83&lt;5,(OR('Client'!$F83="Premium ")))),45%,0%)))</f>
        <v>0.45</v>
      </c>
      <c r="L83" s="4">
        <f>'Client'!$I83* ('Client'!$K83/100)</f>
        <v>0.32787000000000005</v>
      </c>
    </row>
    <row r="84" spans="1:12" x14ac:dyDescent="0.3">
      <c r="A84" t="s">
        <v>85</v>
      </c>
      <c r="B84" t="s">
        <v>119</v>
      </c>
      <c r="C84" t="s">
        <v>40</v>
      </c>
      <c r="D84" t="str">
        <f>INT('Client'!$E84/12) &amp; " ans et " &amp; MOD('Client'!$E84,12) &amp; " mois"</f>
        <v>7 ans et 7 mois</v>
      </c>
      <c r="E84">
        <v>91</v>
      </c>
      <c r="F84" t="s">
        <v>11</v>
      </c>
      <c r="G84" s="7">
        <f>Client[[#This Row],[Duree_Cumulee_Panne_Min]]/1440</f>
        <v>0.32430555555555557</v>
      </c>
      <c r="H84">
        <v>467</v>
      </c>
      <c r="I84">
        <v>84.74</v>
      </c>
      <c r="J84">
        <v>1</v>
      </c>
      <c r="K84" s="8">
        <f>IF('Client'!$F84="Pro Monde",10%,IF(AND('Client'!$G84&gt;12,'Client'!$D84&gt;5),70%,IF(AND(OR('Client'!$G84&gt;=4,'Client'!$G84&lt;=12,'Client'!$D84&lt;5,(OR('Client'!$F84="Premium ")))),45%,0%)))</f>
        <v>0.45</v>
      </c>
      <c r="L84" s="4">
        <f>'Client'!$I84* ('Client'!$K84/100)</f>
        <v>0.38133</v>
      </c>
    </row>
    <row r="85" spans="1:12" x14ac:dyDescent="0.3">
      <c r="A85" t="s">
        <v>85</v>
      </c>
      <c r="B85" t="s">
        <v>120</v>
      </c>
      <c r="C85" t="s">
        <v>62</v>
      </c>
      <c r="D85" t="str">
        <f>INT('Client'!$E85/12) &amp; " ans et " &amp; MOD('Client'!$E85,12) &amp; " mois"</f>
        <v>0 ans et 4 mois</v>
      </c>
      <c r="E85">
        <v>4</v>
      </c>
      <c r="F85" t="s">
        <v>19</v>
      </c>
      <c r="G85" s="7">
        <f>Client[[#This Row],[Duree_Cumulee_Panne_Min]]/1440</f>
        <v>0.31458333333333333</v>
      </c>
      <c r="H85">
        <v>453</v>
      </c>
      <c r="I85">
        <v>75.260000000000005</v>
      </c>
      <c r="J85">
        <v>5</v>
      </c>
      <c r="K85" s="8">
        <f>IF('Client'!$F85="Pro Monde",10%,IF(AND('Client'!$G85&gt;12,'Client'!$D85&gt;5),70%,IF(AND(OR('Client'!$G85&gt;=4,'Client'!$G85&lt;=12,'Client'!$D85&lt;5,(OR('Client'!$F85="Premium ")))),45%,0%)))</f>
        <v>0.45</v>
      </c>
      <c r="L85" s="4">
        <f>'Client'!$I85* ('Client'!$K85/100)</f>
        <v>0.33867000000000008</v>
      </c>
    </row>
    <row r="86" spans="1:12" x14ac:dyDescent="0.3">
      <c r="A86" t="s">
        <v>85</v>
      </c>
      <c r="B86" t="s">
        <v>121</v>
      </c>
      <c r="C86" t="s">
        <v>10</v>
      </c>
      <c r="D86" t="str">
        <f>INT('Client'!$E86/12) &amp; " ans et " &amp; MOD('Client'!$E86,12) &amp; " mois"</f>
        <v>6 ans et 2 mois</v>
      </c>
      <c r="E86">
        <v>74</v>
      </c>
      <c r="F86" t="s">
        <v>22</v>
      </c>
      <c r="G86" s="7">
        <f>Client[[#This Row],[Duree_Cumulee_Panne_Min]]/1440</f>
        <v>6.2500000000000003E-3</v>
      </c>
      <c r="H86">
        <v>9</v>
      </c>
      <c r="I86">
        <v>99.89</v>
      </c>
      <c r="J86">
        <v>0</v>
      </c>
      <c r="K86" s="8">
        <f>IF('Client'!$F86="Pro Monde",10%,IF(AND('Client'!$G86&gt;12,'Client'!$D86&gt;5),70%,IF(AND(OR('Client'!$G86&gt;=4,'Client'!$G86&lt;=12,'Client'!$D86&lt;5,(OR('Client'!$F86="Premium ")))),45%,0%)))</f>
        <v>0.45</v>
      </c>
      <c r="L86" s="4">
        <f>'Client'!$I86* ('Client'!$K86/100)</f>
        <v>0.44950500000000004</v>
      </c>
    </row>
    <row r="87" spans="1:12" x14ac:dyDescent="0.3">
      <c r="A87" t="s">
        <v>85</v>
      </c>
      <c r="B87" t="s">
        <v>122</v>
      </c>
      <c r="C87" t="s">
        <v>26</v>
      </c>
      <c r="D87" t="str">
        <f>INT('Client'!$E87/12) &amp; " ans et " &amp; MOD('Client'!$E87,12) &amp; " mois"</f>
        <v>6 ans et 9 mois</v>
      </c>
      <c r="E87">
        <v>81</v>
      </c>
      <c r="F87" t="s">
        <v>11</v>
      </c>
      <c r="G87" s="7">
        <f>Client[[#This Row],[Duree_Cumulee_Panne_Min]]/1440</f>
        <v>9.5138888888888884E-2</v>
      </c>
      <c r="H87">
        <v>137</v>
      </c>
      <c r="I87">
        <v>89.05</v>
      </c>
      <c r="J87">
        <v>0</v>
      </c>
      <c r="K87" s="8">
        <f>IF('Client'!$F87="Pro Monde",10%,IF(AND('Client'!$G87&gt;12,'Client'!$D87&gt;5),70%,IF(AND(OR('Client'!$G87&gt;=4,'Client'!$G87&lt;=12,'Client'!$D87&lt;5,(OR('Client'!$F87="Premium ")))),45%,0%)))</f>
        <v>0.45</v>
      </c>
      <c r="L87" s="4">
        <f>'Client'!$I87* ('Client'!$K87/100)</f>
        <v>0.40072500000000005</v>
      </c>
    </row>
    <row r="88" spans="1:12" x14ac:dyDescent="0.3">
      <c r="A88" t="s">
        <v>85</v>
      </c>
      <c r="B88" t="s">
        <v>123</v>
      </c>
      <c r="C88" t="s">
        <v>89</v>
      </c>
      <c r="D88" t="str">
        <f>INT('Client'!$E88/12) &amp; " ans et " &amp; MOD('Client'!$E88,12) &amp; " mois"</f>
        <v>8 ans et 6 mois</v>
      </c>
      <c r="E88">
        <v>102</v>
      </c>
      <c r="F88" t="s">
        <v>14</v>
      </c>
      <c r="G88" s="7">
        <f>Client[[#This Row],[Duree_Cumulee_Panne_Min]]/1440</f>
        <v>0.19652777777777777</v>
      </c>
      <c r="H88">
        <v>283</v>
      </c>
      <c r="I88">
        <v>28.98</v>
      </c>
      <c r="J88">
        <v>3</v>
      </c>
      <c r="K88" s="8">
        <f>IF('Client'!$F88="Pro Monde",10%,IF(AND('Client'!$G88&gt;12,'Client'!$D88&gt;5),70%,IF(AND(OR('Client'!$G88&gt;=4,'Client'!$G88&lt;=12,'Client'!$D88&lt;5,(OR('Client'!$F88="Premium ")))),45%,0%)))</f>
        <v>0.1</v>
      </c>
      <c r="L88" s="4">
        <f>'Client'!$I88* ('Client'!$K88/100)</f>
        <v>2.8980000000000002E-2</v>
      </c>
    </row>
    <row r="89" spans="1:12" x14ac:dyDescent="0.3">
      <c r="A89" t="s">
        <v>85</v>
      </c>
      <c r="B89" t="s">
        <v>124</v>
      </c>
      <c r="C89" t="s">
        <v>35</v>
      </c>
      <c r="D89" t="str">
        <f>INT('Client'!$E89/12) &amp; " ans et " &amp; MOD('Client'!$E89,12) &amp; " mois"</f>
        <v>8 ans et 3 mois</v>
      </c>
      <c r="E89">
        <v>99</v>
      </c>
      <c r="F89" t="s">
        <v>22</v>
      </c>
      <c r="G89" s="7">
        <f>Client[[#This Row],[Duree_Cumulee_Panne_Min]]/1440</f>
        <v>0.34236111111111112</v>
      </c>
      <c r="H89">
        <v>493</v>
      </c>
      <c r="I89">
        <v>55.43</v>
      </c>
      <c r="J89">
        <v>2</v>
      </c>
      <c r="K89" s="8">
        <f>IF('Client'!$F89="Pro Monde",10%,IF(AND('Client'!$G89&gt;12,'Client'!$D89&gt;5),70%,IF(AND(OR('Client'!$G89&gt;=4,'Client'!$G89&lt;=12,'Client'!$D89&lt;5,(OR('Client'!$F89="Premium ")))),45%,0%)))</f>
        <v>0.45</v>
      </c>
      <c r="L89" s="4">
        <f>'Client'!$I89* ('Client'!$K89/100)</f>
        <v>0.24943500000000002</v>
      </c>
    </row>
    <row r="90" spans="1:12" x14ac:dyDescent="0.3">
      <c r="A90" t="s">
        <v>85</v>
      </c>
      <c r="B90" t="s">
        <v>125</v>
      </c>
      <c r="C90" t="s">
        <v>89</v>
      </c>
      <c r="D90" t="str">
        <f>INT('Client'!$E90/12) &amp; " ans et " &amp; MOD('Client'!$E90,12) &amp; " mois"</f>
        <v>7 ans et 7 mois</v>
      </c>
      <c r="E90">
        <v>91</v>
      </c>
      <c r="F90" t="s">
        <v>19</v>
      </c>
      <c r="G90" s="7">
        <f>Client[[#This Row],[Duree_Cumulee_Panne_Min]]/1440</f>
        <v>0.20833333333333334</v>
      </c>
      <c r="H90">
        <v>300</v>
      </c>
      <c r="I90">
        <v>82.19</v>
      </c>
      <c r="J90">
        <v>1</v>
      </c>
      <c r="K90" s="8">
        <f>IF('Client'!$F90="Pro Monde",10%,IF(AND('Client'!$G90&gt;12,'Client'!$D90&gt;5),70%,IF(AND(OR('Client'!$G90&gt;=4,'Client'!$G90&lt;=12,'Client'!$D90&lt;5,(OR('Client'!$F90="Premium ")))),45%,0%)))</f>
        <v>0.45</v>
      </c>
      <c r="L90" s="4">
        <f>'Client'!$I90* ('Client'!$K90/100)</f>
        <v>0.36985500000000004</v>
      </c>
    </row>
    <row r="91" spans="1:12" x14ac:dyDescent="0.3">
      <c r="A91" t="s">
        <v>85</v>
      </c>
      <c r="B91" t="s">
        <v>126</v>
      </c>
      <c r="C91" t="s">
        <v>127</v>
      </c>
      <c r="D91" t="str">
        <f>INT('Client'!$E91/12) &amp; " ans et " &amp; MOD('Client'!$E91,12) &amp; " mois"</f>
        <v>3 ans et 4 mois</v>
      </c>
      <c r="E91">
        <v>40</v>
      </c>
      <c r="F91" t="s">
        <v>11</v>
      </c>
      <c r="G91" s="7">
        <f>Client[[#This Row],[Duree_Cumulee_Panne_Min]]/1440</f>
        <v>0.23958333333333334</v>
      </c>
      <c r="H91">
        <v>345</v>
      </c>
      <c r="I91">
        <v>89.55</v>
      </c>
      <c r="J91">
        <v>3</v>
      </c>
      <c r="K91" s="8">
        <f>IF('Client'!$F91="Pro Monde",10%,IF(AND('Client'!$G91&gt;12,'Client'!$D91&gt;5),70%,IF(AND(OR('Client'!$G91&gt;=4,'Client'!$G91&lt;=12,'Client'!$D91&lt;5,(OR('Client'!$F91="Premium ")))),45%,0%)))</f>
        <v>0.45</v>
      </c>
      <c r="L91" s="4">
        <f>'Client'!$I91* ('Client'!$K91/100)</f>
        <v>0.40297500000000003</v>
      </c>
    </row>
    <row r="92" spans="1:12" x14ac:dyDescent="0.3">
      <c r="A92" t="s">
        <v>85</v>
      </c>
      <c r="B92" t="s">
        <v>128</v>
      </c>
      <c r="C92" t="s">
        <v>78</v>
      </c>
      <c r="D92" t="str">
        <f>INT('Client'!$E92/12) &amp; " ans et " &amp; MOD('Client'!$E92,12) &amp; " mois"</f>
        <v>6 ans et 0 mois</v>
      </c>
      <c r="E92">
        <v>72</v>
      </c>
      <c r="F92" t="s">
        <v>22</v>
      </c>
      <c r="G92" s="7">
        <f>Client[[#This Row],[Duree_Cumulee_Panne_Min]]/1440</f>
        <v>3.5416666666666666E-2</v>
      </c>
      <c r="H92">
        <v>51</v>
      </c>
      <c r="I92">
        <v>95.09</v>
      </c>
      <c r="J92">
        <v>0</v>
      </c>
      <c r="K92" s="8">
        <f>IF('Client'!$F92="Pro Monde",10%,IF(AND('Client'!$G92&gt;12,'Client'!$D92&gt;5),70%,IF(AND(OR('Client'!$G92&gt;=4,'Client'!$G92&lt;=12,'Client'!$D92&lt;5,(OR('Client'!$F92="Premium ")))),45%,0%)))</f>
        <v>0.45</v>
      </c>
      <c r="L92" s="4">
        <f>'Client'!$I92* ('Client'!$K92/100)</f>
        <v>0.42790500000000009</v>
      </c>
    </row>
    <row r="93" spans="1:12" x14ac:dyDescent="0.3">
      <c r="A93" t="s">
        <v>85</v>
      </c>
      <c r="B93" t="s">
        <v>129</v>
      </c>
      <c r="C93" t="s">
        <v>24</v>
      </c>
      <c r="D93" t="str">
        <f>INT('Client'!$E93/12) &amp; " ans et " &amp; MOD('Client'!$E93,12) &amp; " mois"</f>
        <v>6 ans et 11 mois</v>
      </c>
      <c r="E93">
        <v>83</v>
      </c>
      <c r="F93" t="s">
        <v>19</v>
      </c>
      <c r="G93" s="7">
        <f>Client[[#This Row],[Duree_Cumulee_Panne_Min]]/1440</f>
        <v>8.7499999999999994E-2</v>
      </c>
      <c r="H93">
        <v>126</v>
      </c>
      <c r="I93">
        <v>67.17</v>
      </c>
      <c r="J93">
        <v>1</v>
      </c>
      <c r="K93" s="8">
        <f>IF('Client'!$F93="Pro Monde",10%,IF(AND('Client'!$G93&gt;12,'Client'!$D93&gt;5),70%,IF(AND(OR('Client'!$G93&gt;=4,'Client'!$G93&lt;=12,'Client'!$D93&lt;5,(OR('Client'!$F93="Premium ")))),45%,0%)))</f>
        <v>0.45</v>
      </c>
      <c r="L93" s="4">
        <f>'Client'!$I93* ('Client'!$K93/100)</f>
        <v>0.30226500000000006</v>
      </c>
    </row>
    <row r="94" spans="1:12" x14ac:dyDescent="0.3">
      <c r="A94" t="s">
        <v>85</v>
      </c>
      <c r="B94" t="s">
        <v>130</v>
      </c>
      <c r="C94" t="s">
        <v>131</v>
      </c>
      <c r="D94" t="str">
        <f>INT('Client'!$E94/12) &amp; " ans et " &amp; MOD('Client'!$E94,12) &amp; " mois"</f>
        <v>1 ans et 4 mois</v>
      </c>
      <c r="E94">
        <v>16</v>
      </c>
      <c r="F94" t="s">
        <v>19</v>
      </c>
      <c r="G94" s="7">
        <f>Client[[#This Row],[Duree_Cumulee_Panne_Min]]/1440</f>
        <v>0.27083333333333331</v>
      </c>
      <c r="H94">
        <v>390</v>
      </c>
      <c r="I94">
        <v>98.17</v>
      </c>
      <c r="J94">
        <v>5</v>
      </c>
      <c r="K94" s="8">
        <f>IF('Client'!$F94="Pro Monde",10%,IF(AND('Client'!$G94&gt;12,'Client'!$D94&gt;5),70%,IF(AND(OR('Client'!$G94&gt;=4,'Client'!$G94&lt;=12,'Client'!$D94&lt;5,(OR('Client'!$F94="Premium ")))),45%,0%)))</f>
        <v>0.45</v>
      </c>
      <c r="L94" s="4">
        <f>'Client'!$I94* ('Client'!$K94/100)</f>
        <v>0.44176500000000007</v>
      </c>
    </row>
    <row r="95" spans="1:12" x14ac:dyDescent="0.3">
      <c r="A95" t="s">
        <v>85</v>
      </c>
      <c r="B95" t="s">
        <v>132</v>
      </c>
      <c r="C95" t="s">
        <v>26</v>
      </c>
      <c r="D95" t="str">
        <f>INT('Client'!$E95/12) &amp; " ans et " &amp; MOD('Client'!$E95,12) &amp; " mois"</f>
        <v>6 ans et 11 mois</v>
      </c>
      <c r="E95">
        <v>83</v>
      </c>
      <c r="F95" t="s">
        <v>11</v>
      </c>
      <c r="G95" s="7">
        <f>Client[[#This Row],[Duree_Cumulee_Panne_Min]]/1440</f>
        <v>0.19722222222222222</v>
      </c>
      <c r="H95">
        <v>284</v>
      </c>
      <c r="I95">
        <v>73.7</v>
      </c>
      <c r="J95">
        <v>0</v>
      </c>
      <c r="K95" s="8">
        <f>IF('Client'!$F95="Pro Monde",10%,IF(AND('Client'!$G95&gt;12,'Client'!$D95&gt;5),70%,IF(AND(OR('Client'!$G95&gt;=4,'Client'!$G95&lt;=12,'Client'!$D95&lt;5,(OR('Client'!$F95="Premium ")))),45%,0%)))</f>
        <v>0.45</v>
      </c>
      <c r="L95" s="4">
        <f>'Client'!$I95* ('Client'!$K95/100)</f>
        <v>0.33165000000000006</v>
      </c>
    </row>
    <row r="96" spans="1:12" x14ac:dyDescent="0.3">
      <c r="A96" t="s">
        <v>85</v>
      </c>
      <c r="B96" t="s">
        <v>133</v>
      </c>
      <c r="C96" t="s">
        <v>18</v>
      </c>
      <c r="D96" t="str">
        <f>INT('Client'!$E96/12) &amp; " ans et " &amp; MOD('Client'!$E96,12) &amp; " mois"</f>
        <v>6 ans et 0 mois</v>
      </c>
      <c r="E96">
        <v>72</v>
      </c>
      <c r="F96" t="s">
        <v>14</v>
      </c>
      <c r="G96" s="7">
        <f>Client[[#This Row],[Duree_Cumulee_Panne_Min]]/1440</f>
        <v>0.23125000000000001</v>
      </c>
      <c r="H96">
        <v>333</v>
      </c>
      <c r="I96">
        <v>34.57</v>
      </c>
      <c r="J96">
        <v>2</v>
      </c>
      <c r="K96" s="8">
        <f>IF('Client'!$F96="Pro Monde",10%,IF(AND('Client'!$G96&gt;12,'Client'!$D96&gt;5),70%,IF(AND(OR('Client'!$G96&gt;=4,'Client'!$G96&lt;=12,'Client'!$D96&lt;5,(OR('Client'!$F96="Premium ")))),45%,0%)))</f>
        <v>0.1</v>
      </c>
      <c r="L96" s="4">
        <f>'Client'!$I96* ('Client'!$K96/100)</f>
        <v>3.4570000000000004E-2</v>
      </c>
    </row>
    <row r="97" spans="1:12" x14ac:dyDescent="0.3">
      <c r="A97" t="s">
        <v>85</v>
      </c>
      <c r="B97" t="s">
        <v>134</v>
      </c>
      <c r="C97" t="s">
        <v>31</v>
      </c>
      <c r="D97" t="str">
        <f>INT('Client'!$E97/12) &amp; " ans et " &amp; MOD('Client'!$E97,12) &amp; " mois"</f>
        <v>0 ans et 11 mois</v>
      </c>
      <c r="E97">
        <v>11</v>
      </c>
      <c r="F97" t="s">
        <v>19</v>
      </c>
      <c r="G97" s="7">
        <f>Client[[#This Row],[Duree_Cumulee_Panne_Min]]/1440</f>
        <v>0.27916666666666667</v>
      </c>
      <c r="H97">
        <v>402</v>
      </c>
      <c r="I97">
        <v>69.599999999999994</v>
      </c>
      <c r="J97">
        <v>5</v>
      </c>
      <c r="K97" s="8">
        <f>IF('Client'!$F97="Pro Monde",10%,IF(AND('Client'!$G97&gt;12,'Client'!$D97&gt;5),70%,IF(AND(OR('Client'!$G97&gt;=4,'Client'!$G97&lt;=12,'Client'!$D97&lt;5,(OR('Client'!$F97="Premium ")))),45%,0%)))</f>
        <v>0.45</v>
      </c>
      <c r="L97" s="4">
        <f>'Client'!$I97* ('Client'!$K97/100)</f>
        <v>0.31320000000000003</v>
      </c>
    </row>
    <row r="98" spans="1:12" x14ac:dyDescent="0.3">
      <c r="A98" t="s">
        <v>85</v>
      </c>
      <c r="B98" t="s">
        <v>135</v>
      </c>
      <c r="C98" t="s">
        <v>44</v>
      </c>
      <c r="D98" t="str">
        <f>INT('Client'!$E98/12) &amp; " ans et " &amp; MOD('Client'!$E98,12) &amp; " mois"</f>
        <v>2 ans et 1 mois</v>
      </c>
      <c r="E98">
        <v>25</v>
      </c>
      <c r="F98" t="s">
        <v>11</v>
      </c>
      <c r="G98" s="7">
        <f>Client[[#This Row],[Duree_Cumulee_Panne_Min]]/1440</f>
        <v>4.4444444444444446E-2</v>
      </c>
      <c r="H98">
        <v>64</v>
      </c>
      <c r="I98">
        <v>38.950000000000003</v>
      </c>
      <c r="J98">
        <v>5</v>
      </c>
      <c r="K98" s="8">
        <f>IF('Client'!$F98="Pro Monde",10%,IF(AND('Client'!$G98&gt;12,'Client'!$D98&gt;5),70%,IF(AND(OR('Client'!$G98&gt;=4,'Client'!$G98&lt;=12,'Client'!$D98&lt;5,(OR('Client'!$F98="Premium ")))),45%,0%)))</f>
        <v>0.45</v>
      </c>
      <c r="L98" s="4">
        <f>'Client'!$I98* ('Client'!$K98/100)</f>
        <v>0.17527500000000004</v>
      </c>
    </row>
    <row r="99" spans="1:12" x14ac:dyDescent="0.3">
      <c r="A99" t="s">
        <v>85</v>
      </c>
      <c r="B99" t="s">
        <v>136</v>
      </c>
      <c r="C99" t="s">
        <v>137</v>
      </c>
      <c r="D99" t="str">
        <f>INT('Client'!$E99/12) &amp; " ans et " &amp; MOD('Client'!$E99,12) &amp; " mois"</f>
        <v>6 ans et 8 mois</v>
      </c>
      <c r="E99">
        <v>80</v>
      </c>
      <c r="F99" t="s">
        <v>22</v>
      </c>
      <c r="G99" s="7">
        <f>Client[[#This Row],[Duree_Cumulee_Panne_Min]]/1440</f>
        <v>0.1076388888888889</v>
      </c>
      <c r="H99">
        <v>155</v>
      </c>
      <c r="I99">
        <v>28.96</v>
      </c>
      <c r="J99">
        <v>2</v>
      </c>
      <c r="K99" s="8">
        <f>IF('Client'!$F99="Pro Monde",10%,IF(AND('Client'!$G99&gt;12,'Client'!$D99&gt;5),70%,IF(AND(OR('Client'!$G99&gt;=4,'Client'!$G99&lt;=12,'Client'!$D99&lt;5,(OR('Client'!$F99="Premium ")))),45%,0%)))</f>
        <v>0.45</v>
      </c>
      <c r="L99" s="4">
        <f>'Client'!$I99* ('Client'!$K99/100)</f>
        <v>0.13032000000000002</v>
      </c>
    </row>
    <row r="100" spans="1:12" x14ac:dyDescent="0.3">
      <c r="A100" t="s">
        <v>85</v>
      </c>
      <c r="B100" t="s">
        <v>138</v>
      </c>
      <c r="C100" t="s">
        <v>44</v>
      </c>
      <c r="D100" t="str">
        <f>INT('Client'!$E100/12) &amp; " ans et " &amp; MOD('Client'!$E100,12) &amp; " mois"</f>
        <v>5 ans et 10 mois</v>
      </c>
      <c r="E100">
        <v>70</v>
      </c>
      <c r="F100" t="s">
        <v>14</v>
      </c>
      <c r="G100" s="7">
        <f>Client[[#This Row],[Duree_Cumulee_Panne_Min]]/1440</f>
        <v>0.2013888888888889</v>
      </c>
      <c r="H100">
        <v>290</v>
      </c>
      <c r="I100">
        <v>96.31</v>
      </c>
      <c r="J100">
        <v>1</v>
      </c>
      <c r="K100" s="8">
        <f>IF('Client'!$F100="Pro Monde",10%,IF(AND('Client'!$G100&gt;12,'Client'!$D100&gt;5),70%,IF(AND(OR('Client'!$G100&gt;=4,'Client'!$G100&lt;=12,'Client'!$D100&lt;5,(OR('Client'!$F100="Premium ")))),45%,0%)))</f>
        <v>0.1</v>
      </c>
      <c r="L100" s="4">
        <f>'Client'!$I100* ('Client'!$K100/100)</f>
        <v>9.6310000000000007E-2</v>
      </c>
    </row>
    <row r="101" spans="1:12" x14ac:dyDescent="0.3">
      <c r="A101" t="s">
        <v>85</v>
      </c>
      <c r="B101" t="s">
        <v>139</v>
      </c>
      <c r="C101" t="s">
        <v>73</v>
      </c>
      <c r="D101" t="str">
        <f>INT('Client'!$E101/12) &amp; " ans et " &amp; MOD('Client'!$E101,12) &amp; " mois"</f>
        <v>6 ans et 2 mois</v>
      </c>
      <c r="E101">
        <v>74</v>
      </c>
      <c r="F101" t="s">
        <v>11</v>
      </c>
      <c r="G101" s="7">
        <f>Client[[#This Row],[Duree_Cumulee_Panne_Min]]/1440</f>
        <v>0.14444444444444443</v>
      </c>
      <c r="H101">
        <v>208</v>
      </c>
      <c r="I101">
        <v>39.56</v>
      </c>
      <c r="J101">
        <v>0</v>
      </c>
      <c r="K101" s="8">
        <f>IF('Client'!$F101="Pro Monde",10%,IF(AND('Client'!$G101&gt;12,'Client'!$D101&gt;5),70%,IF(AND(OR('Client'!$G101&gt;=4,'Client'!$G101&lt;=12,'Client'!$D101&lt;5,(OR('Client'!$F101="Premium ")))),45%,0%)))</f>
        <v>0.45</v>
      </c>
      <c r="L101" s="4">
        <f>'Client'!$I101* ('Client'!$K101/100)</f>
        <v>0.17802000000000004</v>
      </c>
    </row>
    <row r="102" spans="1:12" x14ac:dyDescent="0.3">
      <c r="A102" t="s">
        <v>140</v>
      </c>
      <c r="B102" t="s">
        <v>141</v>
      </c>
      <c r="C102" t="s">
        <v>24</v>
      </c>
      <c r="D102" t="str">
        <f>INT('Client'!$E102/12) &amp; " ans et " &amp; MOD('Client'!$E102,12) &amp; " mois"</f>
        <v>7 ans et 3 mois</v>
      </c>
      <c r="E102">
        <v>87</v>
      </c>
      <c r="F102" t="s">
        <v>14</v>
      </c>
      <c r="G102" s="7">
        <f>Client[[#This Row],[Duree_Cumulee_Panne_Min]]/1440</f>
        <v>0.30694444444444446</v>
      </c>
      <c r="H102">
        <v>442</v>
      </c>
      <c r="I102">
        <v>22.39</v>
      </c>
      <c r="J102">
        <v>3</v>
      </c>
      <c r="K102" s="8">
        <f>IF('Client'!$F102="Pro Monde",10%,IF(AND('Client'!$G102&gt;12,'Client'!$D102&gt;5),70%,IF(AND(OR('Client'!$G102&gt;=4,'Client'!$G102&lt;=12,'Client'!$D102&lt;5,(OR('Client'!$F102="Premium ")))),45%,0%)))</f>
        <v>0.1</v>
      </c>
      <c r="L102" s="4">
        <f>'Client'!$I102* ('Client'!$K102/100)</f>
        <v>2.239E-2</v>
      </c>
    </row>
    <row r="103" spans="1:12" x14ac:dyDescent="0.3">
      <c r="A103" t="s">
        <v>140</v>
      </c>
      <c r="B103" t="s">
        <v>142</v>
      </c>
      <c r="C103" t="s">
        <v>37</v>
      </c>
      <c r="D103" t="str">
        <f>INT('Client'!$E103/12) &amp; " ans et " &amp; MOD('Client'!$E103,12) &amp; " mois"</f>
        <v>5 ans et 9 mois</v>
      </c>
      <c r="E103">
        <v>69</v>
      </c>
      <c r="F103" t="s">
        <v>19</v>
      </c>
      <c r="G103" s="7">
        <f>Client[[#This Row],[Duree_Cumulee_Panne_Min]]/1440</f>
        <v>0.21249999999999999</v>
      </c>
      <c r="H103">
        <v>306</v>
      </c>
      <c r="I103">
        <v>13.97</v>
      </c>
      <c r="J103">
        <v>1</v>
      </c>
      <c r="K103" s="8">
        <f>IF('Client'!$F103="Pro Monde",10%,IF(AND('Client'!$G103&gt;12,'Client'!$D103&gt;5),70%,IF(AND(OR('Client'!$G103&gt;=4,'Client'!$G103&lt;=12,'Client'!$D103&lt;5,(OR('Client'!$F103="Premium ")))),45%,0%)))</f>
        <v>0.45</v>
      </c>
      <c r="L103" s="4">
        <f>'Client'!$I103* ('Client'!$K103/100)</f>
        <v>6.2865000000000004E-2</v>
      </c>
    </row>
    <row r="104" spans="1:12" x14ac:dyDescent="0.3">
      <c r="A104" t="s">
        <v>140</v>
      </c>
      <c r="B104" t="s">
        <v>143</v>
      </c>
      <c r="C104" t="s">
        <v>57</v>
      </c>
      <c r="D104" t="str">
        <f>INT('Client'!$E104/12) &amp; " ans et " &amp; MOD('Client'!$E104,12) &amp; " mois"</f>
        <v>6 ans et 7 mois</v>
      </c>
      <c r="E104">
        <v>79</v>
      </c>
      <c r="F104" t="s">
        <v>22</v>
      </c>
      <c r="G104" s="7">
        <f>Client[[#This Row],[Duree_Cumulee_Panne_Min]]/1440</f>
        <v>0.27986111111111112</v>
      </c>
      <c r="H104">
        <v>403</v>
      </c>
      <c r="I104">
        <v>21.49</v>
      </c>
      <c r="J104">
        <v>0</v>
      </c>
      <c r="K104" s="8">
        <f>IF('Client'!$F104="Pro Monde",10%,IF(AND('Client'!$G104&gt;12,'Client'!$D104&gt;5),70%,IF(AND(OR('Client'!$G104&gt;=4,'Client'!$G104&lt;=12,'Client'!$D104&lt;5,(OR('Client'!$F104="Premium ")))),45%,0%)))</f>
        <v>0.45</v>
      </c>
      <c r="L104" s="4">
        <f>'Client'!$I104* ('Client'!$K104/100)</f>
        <v>9.6704999999999999E-2</v>
      </c>
    </row>
    <row r="105" spans="1:12" x14ac:dyDescent="0.3">
      <c r="A105" t="s">
        <v>140</v>
      </c>
      <c r="B105" t="s">
        <v>144</v>
      </c>
      <c r="C105" t="s">
        <v>57</v>
      </c>
      <c r="D105" t="str">
        <f>INT('Client'!$E105/12) &amp; " ans et " &amp; MOD('Client'!$E105,12) &amp; " mois"</f>
        <v>2 ans et 9 mois</v>
      </c>
      <c r="E105">
        <v>33</v>
      </c>
      <c r="F105" t="s">
        <v>22</v>
      </c>
      <c r="G105" s="7">
        <f>Client[[#This Row],[Duree_Cumulee_Panne_Min]]/1440</f>
        <v>0.23402777777777778</v>
      </c>
      <c r="H105">
        <v>337</v>
      </c>
      <c r="I105">
        <v>62.61</v>
      </c>
      <c r="J105">
        <v>2</v>
      </c>
      <c r="K105" s="8">
        <f>IF('Client'!$F105="Pro Monde",10%,IF(AND('Client'!$G105&gt;12,'Client'!$D105&gt;5),70%,IF(AND(OR('Client'!$G105&gt;=4,'Client'!$G105&lt;=12,'Client'!$D105&lt;5,(OR('Client'!$F105="Premium ")))),45%,0%)))</f>
        <v>0.45</v>
      </c>
      <c r="L105" s="4">
        <f>'Client'!$I105* ('Client'!$K105/100)</f>
        <v>0.28174500000000002</v>
      </c>
    </row>
    <row r="106" spans="1:12" x14ac:dyDescent="0.3">
      <c r="A106" t="s">
        <v>140</v>
      </c>
      <c r="B106" t="s">
        <v>145</v>
      </c>
      <c r="C106" t="s">
        <v>26</v>
      </c>
      <c r="D106" t="str">
        <f>INT('Client'!$E106/12) &amp; " ans et " &amp; MOD('Client'!$E106,12) &amp; " mois"</f>
        <v>7 ans et 4 mois</v>
      </c>
      <c r="E106">
        <v>88</v>
      </c>
      <c r="F106" t="s">
        <v>22</v>
      </c>
      <c r="G106" s="7">
        <f>Client[[#This Row],[Duree_Cumulee_Panne_Min]]/1440</f>
        <v>0.22152777777777777</v>
      </c>
      <c r="H106">
        <v>319</v>
      </c>
      <c r="I106">
        <v>56.18</v>
      </c>
      <c r="J106">
        <v>0</v>
      </c>
      <c r="K106" s="8">
        <f>IF('Client'!$F106="Pro Monde",10%,IF(AND('Client'!$G106&gt;12,'Client'!$D106&gt;5),70%,IF(AND(OR('Client'!$G106&gt;=4,'Client'!$G106&lt;=12,'Client'!$D106&lt;5,(OR('Client'!$F106="Premium ")))),45%,0%)))</f>
        <v>0.45</v>
      </c>
      <c r="L106" s="4">
        <f>'Client'!$I106* ('Client'!$K106/100)</f>
        <v>0.25281000000000003</v>
      </c>
    </row>
    <row r="107" spans="1:12" x14ac:dyDescent="0.3">
      <c r="A107" t="s">
        <v>140</v>
      </c>
      <c r="B107" t="s">
        <v>146</v>
      </c>
      <c r="C107" t="s">
        <v>21</v>
      </c>
      <c r="D107" t="str">
        <f>INT('Client'!$E107/12) &amp; " ans et " &amp; MOD('Client'!$E107,12) &amp; " mois"</f>
        <v>6 ans et 0 mois</v>
      </c>
      <c r="E107">
        <v>72</v>
      </c>
      <c r="F107" t="s">
        <v>11</v>
      </c>
      <c r="G107" s="7">
        <f>Client[[#This Row],[Duree_Cumulee_Panne_Min]]/1440</f>
        <v>3.472222222222222E-3</v>
      </c>
      <c r="H107">
        <v>5</v>
      </c>
      <c r="I107">
        <v>68.650000000000006</v>
      </c>
      <c r="J107">
        <v>0</v>
      </c>
      <c r="K107" s="8">
        <f>IF('Client'!$F107="Pro Monde",10%,IF(AND('Client'!$G107&gt;12,'Client'!$D107&gt;5),70%,IF(AND(OR('Client'!$G107&gt;=4,'Client'!$G107&lt;=12,'Client'!$D107&lt;5,(OR('Client'!$F107="Premium ")))),45%,0%)))</f>
        <v>0.45</v>
      </c>
      <c r="L107" s="4">
        <f>'Client'!$I107* ('Client'!$K107/100)</f>
        <v>0.30892500000000006</v>
      </c>
    </row>
    <row r="108" spans="1:12" x14ac:dyDescent="0.3">
      <c r="A108" t="s">
        <v>140</v>
      </c>
      <c r="B108" t="s">
        <v>147</v>
      </c>
      <c r="C108" t="s">
        <v>62</v>
      </c>
      <c r="D108" t="str">
        <f>INT('Client'!$E108/12) &amp; " ans et " &amp; MOD('Client'!$E108,12) &amp; " mois"</f>
        <v>9 ans et 6 mois</v>
      </c>
      <c r="E108">
        <v>114</v>
      </c>
      <c r="F108" t="s">
        <v>11</v>
      </c>
      <c r="G108" s="7">
        <f>Client[[#This Row],[Duree_Cumulee_Panne_Min]]/1440</f>
        <v>0.16111111111111112</v>
      </c>
      <c r="H108">
        <v>232</v>
      </c>
      <c r="I108">
        <v>42.2</v>
      </c>
      <c r="J108">
        <v>2</v>
      </c>
      <c r="K108" s="8">
        <f>IF('Client'!$F108="Pro Monde",10%,IF(AND('Client'!$G108&gt;12,'Client'!$D108&gt;5),70%,IF(AND(OR('Client'!$G108&gt;=4,'Client'!$G108&lt;=12,'Client'!$D108&lt;5,(OR('Client'!$F108="Premium ")))),45%,0%)))</f>
        <v>0.45</v>
      </c>
      <c r="L108" s="4">
        <f>'Client'!$I108* ('Client'!$K108/100)</f>
        <v>0.18990000000000004</v>
      </c>
    </row>
    <row r="109" spans="1:12" x14ac:dyDescent="0.3">
      <c r="A109" t="s">
        <v>140</v>
      </c>
      <c r="B109" t="s">
        <v>148</v>
      </c>
      <c r="C109" t="s">
        <v>67</v>
      </c>
      <c r="D109" t="str">
        <f>INT('Client'!$E109/12) &amp; " ans et " &amp; MOD('Client'!$E109,12) &amp; " mois"</f>
        <v>4 ans et 11 mois</v>
      </c>
      <c r="E109">
        <v>59</v>
      </c>
      <c r="F109" t="s">
        <v>19</v>
      </c>
      <c r="G109" s="7">
        <f>Client[[#This Row],[Duree_Cumulee_Panne_Min]]/1440</f>
        <v>0.1361111111111111</v>
      </c>
      <c r="H109">
        <v>196</v>
      </c>
      <c r="I109">
        <v>62.53</v>
      </c>
      <c r="J109">
        <v>0</v>
      </c>
      <c r="K109" s="8">
        <f>IF('Client'!$F109="Pro Monde",10%,IF(AND('Client'!$G109&gt;12,'Client'!$D109&gt;5),70%,IF(AND(OR('Client'!$G109&gt;=4,'Client'!$G109&lt;=12,'Client'!$D109&lt;5,(OR('Client'!$F109="Premium ")))),45%,0%)))</f>
        <v>0.45</v>
      </c>
      <c r="L109" s="4">
        <f>'Client'!$I109* ('Client'!$K109/100)</f>
        <v>0.28138500000000005</v>
      </c>
    </row>
    <row r="110" spans="1:12" x14ac:dyDescent="0.3">
      <c r="A110" t="s">
        <v>140</v>
      </c>
      <c r="B110" t="s">
        <v>149</v>
      </c>
      <c r="C110" t="s">
        <v>26</v>
      </c>
      <c r="D110" t="str">
        <f>INT('Client'!$E110/12) &amp; " ans et " &amp; MOD('Client'!$E110,12) &amp; " mois"</f>
        <v>0 ans et 1 mois</v>
      </c>
      <c r="E110">
        <v>1</v>
      </c>
      <c r="F110" t="s">
        <v>19</v>
      </c>
      <c r="G110" s="7">
        <f>Client[[#This Row],[Duree_Cumulee_Panne_Min]]/1440</f>
        <v>0.16458333333333333</v>
      </c>
      <c r="H110">
        <v>237</v>
      </c>
      <c r="I110">
        <v>58.7</v>
      </c>
      <c r="J110">
        <v>4</v>
      </c>
      <c r="K110" s="8">
        <f>IF('Client'!$F110="Pro Monde",10%,IF(AND('Client'!$G110&gt;12,'Client'!$D110&gt;5),70%,IF(AND(OR('Client'!$G110&gt;=4,'Client'!$G110&lt;=12,'Client'!$D110&lt;5,(OR('Client'!$F110="Premium ")))),45%,0%)))</f>
        <v>0.45</v>
      </c>
      <c r="L110" s="4">
        <f>'Client'!$I110* ('Client'!$K110/100)</f>
        <v>0.26415000000000005</v>
      </c>
    </row>
    <row r="111" spans="1:12" x14ac:dyDescent="0.3">
      <c r="A111" t="s">
        <v>140</v>
      </c>
      <c r="B111" t="s">
        <v>150</v>
      </c>
      <c r="C111" t="s">
        <v>37</v>
      </c>
      <c r="D111" t="str">
        <f>INT('Client'!$E111/12) &amp; " ans et " &amp; MOD('Client'!$E111,12) &amp; " mois"</f>
        <v>4 ans et 7 mois</v>
      </c>
      <c r="E111">
        <v>55</v>
      </c>
      <c r="F111" t="s">
        <v>19</v>
      </c>
      <c r="G111" s="7">
        <f>Client[[#This Row],[Duree_Cumulee_Panne_Min]]/1440</f>
        <v>0.28263888888888888</v>
      </c>
      <c r="H111">
        <v>407</v>
      </c>
      <c r="I111">
        <v>23.11</v>
      </c>
      <c r="J111">
        <v>0</v>
      </c>
      <c r="K111" s="8">
        <f>IF('Client'!$F111="Pro Monde",10%,IF(AND('Client'!$G111&gt;12,'Client'!$D111&gt;5),70%,IF(AND(OR('Client'!$G111&gt;=4,'Client'!$G111&lt;=12,'Client'!$D111&lt;5,(OR('Client'!$F111="Premium ")))),45%,0%)))</f>
        <v>0.45</v>
      </c>
      <c r="L111" s="4">
        <f>'Client'!$I111* ('Client'!$K111/100)</f>
        <v>0.103995</v>
      </c>
    </row>
    <row r="112" spans="1:12" x14ac:dyDescent="0.3">
      <c r="A112" t="s">
        <v>140</v>
      </c>
      <c r="B112" t="s">
        <v>151</v>
      </c>
      <c r="C112" t="s">
        <v>37</v>
      </c>
      <c r="D112" t="str">
        <f>INT('Client'!$E112/12) &amp; " ans et " &amp; MOD('Client'!$E112,12) &amp; " mois"</f>
        <v>6 ans et 11 mois</v>
      </c>
      <c r="E112">
        <v>83</v>
      </c>
      <c r="F112" t="s">
        <v>14</v>
      </c>
      <c r="G112" s="7">
        <f>Client[[#This Row],[Duree_Cumulee_Panne_Min]]/1440</f>
        <v>0.15208333333333332</v>
      </c>
      <c r="H112">
        <v>219</v>
      </c>
      <c r="I112">
        <v>52.26</v>
      </c>
      <c r="J112">
        <v>1</v>
      </c>
      <c r="K112" s="8">
        <f>IF('Client'!$F112="Pro Monde",10%,IF(AND('Client'!$G112&gt;12,'Client'!$D112&gt;5),70%,IF(AND(OR('Client'!$G112&gt;=4,'Client'!$G112&lt;=12,'Client'!$D112&lt;5,(OR('Client'!$F112="Premium ")))),45%,0%)))</f>
        <v>0.1</v>
      </c>
      <c r="L112" s="4">
        <f>'Client'!$I112* ('Client'!$K112/100)</f>
        <v>5.2260000000000001E-2</v>
      </c>
    </row>
    <row r="113" spans="1:12" x14ac:dyDescent="0.3">
      <c r="A113" t="s">
        <v>140</v>
      </c>
      <c r="B113" t="s">
        <v>152</v>
      </c>
      <c r="C113" t="s">
        <v>31</v>
      </c>
      <c r="D113" t="str">
        <f>INT('Client'!$E113/12) &amp; " ans et " &amp; MOD('Client'!$E113,12) &amp; " mois"</f>
        <v>7 ans et 3 mois</v>
      </c>
      <c r="E113">
        <v>87</v>
      </c>
      <c r="F113" t="s">
        <v>14</v>
      </c>
      <c r="G113" s="7">
        <f>Client[[#This Row],[Duree_Cumulee_Panne_Min]]/1440</f>
        <v>0.3125</v>
      </c>
      <c r="H113">
        <v>450</v>
      </c>
      <c r="I113">
        <v>64.3</v>
      </c>
      <c r="J113">
        <v>2</v>
      </c>
      <c r="K113" s="8">
        <f>IF('Client'!$F113="Pro Monde",10%,IF(AND('Client'!$G113&gt;12,'Client'!$D113&gt;5),70%,IF(AND(OR('Client'!$G113&gt;=4,'Client'!$G113&lt;=12,'Client'!$D113&lt;5,(OR('Client'!$F113="Premium ")))),45%,0%)))</f>
        <v>0.1</v>
      </c>
      <c r="L113" s="4">
        <f>'Client'!$I113* ('Client'!$K113/100)</f>
        <v>6.4299999999999996E-2</v>
      </c>
    </row>
    <row r="114" spans="1:12" x14ac:dyDescent="0.3">
      <c r="A114" t="s">
        <v>140</v>
      </c>
      <c r="B114" t="s">
        <v>153</v>
      </c>
      <c r="C114" t="s">
        <v>33</v>
      </c>
      <c r="D114" t="str">
        <f>INT('Client'!$E114/12) &amp; " ans et " &amp; MOD('Client'!$E114,12) &amp; " mois"</f>
        <v>7 ans et 0 mois</v>
      </c>
      <c r="E114">
        <v>84</v>
      </c>
      <c r="F114" t="s">
        <v>19</v>
      </c>
      <c r="G114" s="7">
        <f>Client[[#This Row],[Duree_Cumulee_Panne_Min]]/1440</f>
        <v>0.22013888888888888</v>
      </c>
      <c r="H114">
        <v>317</v>
      </c>
      <c r="I114">
        <v>36.200000000000003</v>
      </c>
      <c r="J114">
        <v>3</v>
      </c>
      <c r="K114" s="8">
        <f>IF('Client'!$F114="Pro Monde",10%,IF(AND('Client'!$G114&gt;12,'Client'!$D114&gt;5),70%,IF(AND(OR('Client'!$G114&gt;=4,'Client'!$G114&lt;=12,'Client'!$D114&lt;5,(OR('Client'!$F114="Premium ")))),45%,0%)))</f>
        <v>0.45</v>
      </c>
      <c r="L114" s="4">
        <f>'Client'!$I114* ('Client'!$K114/100)</f>
        <v>0.16290000000000004</v>
      </c>
    </row>
    <row r="115" spans="1:12" x14ac:dyDescent="0.3">
      <c r="A115" t="s">
        <v>140</v>
      </c>
      <c r="B115" t="s">
        <v>154</v>
      </c>
      <c r="C115" t="s">
        <v>64</v>
      </c>
      <c r="D115" t="str">
        <f>INT('Client'!$E115/12) &amp; " ans et " &amp; MOD('Client'!$E115,12) &amp; " mois"</f>
        <v>0 ans et 7 mois</v>
      </c>
      <c r="E115">
        <v>7</v>
      </c>
      <c r="F115" t="s">
        <v>11</v>
      </c>
      <c r="G115" s="7">
        <f>Client[[#This Row],[Duree_Cumulee_Panne_Min]]/1440</f>
        <v>0.22013888888888888</v>
      </c>
      <c r="H115">
        <v>317</v>
      </c>
      <c r="I115">
        <v>97.32</v>
      </c>
      <c r="J115">
        <v>1</v>
      </c>
      <c r="K115" s="8">
        <f>IF('Client'!$F115="Pro Monde",10%,IF(AND('Client'!$G115&gt;12,'Client'!$D115&gt;5),70%,IF(AND(OR('Client'!$G115&gt;=4,'Client'!$G115&lt;=12,'Client'!$D115&lt;5,(OR('Client'!$F115="Premium ")))),45%,0%)))</f>
        <v>0.45</v>
      </c>
      <c r="L115" s="4">
        <f>'Client'!$I115* ('Client'!$K115/100)</f>
        <v>0.43794</v>
      </c>
    </row>
    <row r="116" spans="1:12" x14ac:dyDescent="0.3">
      <c r="A116" t="s">
        <v>140</v>
      </c>
      <c r="B116" t="s">
        <v>155</v>
      </c>
      <c r="C116" t="s">
        <v>33</v>
      </c>
      <c r="D116" t="str">
        <f>INT('Client'!$E116/12) &amp; " ans et " &amp; MOD('Client'!$E116,12) &amp; " mois"</f>
        <v>9 ans et 2 mois</v>
      </c>
      <c r="E116">
        <v>110</v>
      </c>
      <c r="F116" t="s">
        <v>11</v>
      </c>
      <c r="G116" s="7">
        <f>Client[[#This Row],[Duree_Cumulee_Panne_Min]]/1440</f>
        <v>3.5416666666666666E-2</v>
      </c>
      <c r="H116">
        <v>51</v>
      </c>
      <c r="I116">
        <v>56.59</v>
      </c>
      <c r="J116">
        <v>5</v>
      </c>
      <c r="K116" s="8">
        <f>IF('Client'!$F116="Pro Monde",10%,IF(AND('Client'!$G116&gt;12,'Client'!$D116&gt;5),70%,IF(AND(OR('Client'!$G116&gt;=4,'Client'!$G116&lt;=12,'Client'!$D116&lt;5,(OR('Client'!$F116="Premium ")))),45%,0%)))</f>
        <v>0.45</v>
      </c>
      <c r="L116" s="4">
        <f>'Client'!$I116* ('Client'!$K116/100)</f>
        <v>0.25465500000000002</v>
      </c>
    </row>
    <row r="117" spans="1:12" x14ac:dyDescent="0.3">
      <c r="A117" t="s">
        <v>140</v>
      </c>
      <c r="B117" t="s">
        <v>156</v>
      </c>
      <c r="C117" t="s">
        <v>16</v>
      </c>
      <c r="D117" t="str">
        <f>INT('Client'!$E117/12) &amp; " ans et " &amp; MOD('Client'!$E117,12) &amp; " mois"</f>
        <v>3 ans et 6 mois</v>
      </c>
      <c r="E117">
        <v>42</v>
      </c>
      <c r="F117" t="s">
        <v>22</v>
      </c>
      <c r="G117" s="7">
        <f>Client[[#This Row],[Duree_Cumulee_Panne_Min]]/1440</f>
        <v>0.12013888888888889</v>
      </c>
      <c r="H117">
        <v>173</v>
      </c>
      <c r="I117">
        <v>69.19</v>
      </c>
      <c r="J117">
        <v>4</v>
      </c>
      <c r="K117" s="8">
        <f>IF('Client'!$F117="Pro Monde",10%,IF(AND('Client'!$G117&gt;12,'Client'!$D117&gt;5),70%,IF(AND(OR('Client'!$G117&gt;=4,'Client'!$G117&lt;=12,'Client'!$D117&lt;5,(OR('Client'!$F117="Premium ")))),45%,0%)))</f>
        <v>0.45</v>
      </c>
      <c r="L117" s="4">
        <f>'Client'!$I117* ('Client'!$K117/100)</f>
        <v>0.31135500000000005</v>
      </c>
    </row>
    <row r="118" spans="1:12" x14ac:dyDescent="0.3">
      <c r="A118" t="s">
        <v>140</v>
      </c>
      <c r="B118" t="s">
        <v>157</v>
      </c>
      <c r="C118" t="s">
        <v>131</v>
      </c>
      <c r="D118" t="str">
        <f>INT('Client'!$E118/12) &amp; " ans et " &amp; MOD('Client'!$E118,12) &amp; " mois"</f>
        <v>4 ans et 8 mois</v>
      </c>
      <c r="E118">
        <v>56</v>
      </c>
      <c r="F118" t="s">
        <v>19</v>
      </c>
      <c r="G118" s="7">
        <f>Client[[#This Row],[Duree_Cumulee_Panne_Min]]/1440</f>
        <v>0.23125000000000001</v>
      </c>
      <c r="H118">
        <v>333</v>
      </c>
      <c r="I118">
        <v>23.01</v>
      </c>
      <c r="J118">
        <v>2</v>
      </c>
      <c r="K118" s="8">
        <f>IF('Client'!$F118="Pro Monde",10%,IF(AND('Client'!$G118&gt;12,'Client'!$D118&gt;5),70%,IF(AND(OR('Client'!$G118&gt;=4,'Client'!$G118&lt;=12,'Client'!$D118&lt;5,(OR('Client'!$F118="Premium ")))),45%,0%)))</f>
        <v>0.45</v>
      </c>
      <c r="L118" s="4">
        <f>'Client'!$I118* ('Client'!$K118/100)</f>
        <v>0.10354500000000003</v>
      </c>
    </row>
    <row r="119" spans="1:12" x14ac:dyDescent="0.3">
      <c r="A119" t="s">
        <v>140</v>
      </c>
      <c r="B119" t="s">
        <v>158</v>
      </c>
      <c r="C119" t="s">
        <v>51</v>
      </c>
      <c r="D119" t="str">
        <f>INT('Client'!$E119/12) &amp; " ans et " &amp; MOD('Client'!$E119,12) &amp; " mois"</f>
        <v>9 ans et 1 mois</v>
      </c>
      <c r="E119">
        <v>109</v>
      </c>
      <c r="F119" t="s">
        <v>14</v>
      </c>
      <c r="G119" s="7">
        <f>Client[[#This Row],[Duree_Cumulee_Panne_Min]]/1440</f>
        <v>0.33333333333333331</v>
      </c>
      <c r="H119">
        <v>480</v>
      </c>
      <c r="I119">
        <v>31.36</v>
      </c>
      <c r="J119">
        <v>0</v>
      </c>
      <c r="K119" s="8">
        <f>IF('Client'!$F119="Pro Monde",10%,IF(AND('Client'!$G119&gt;12,'Client'!$D119&gt;5),70%,IF(AND(OR('Client'!$G119&gt;=4,'Client'!$G119&lt;=12,'Client'!$D119&lt;5,(OR('Client'!$F119="Premium ")))),45%,0%)))</f>
        <v>0.1</v>
      </c>
      <c r="L119" s="4">
        <f>'Client'!$I119* ('Client'!$K119/100)</f>
        <v>3.1359999999999999E-2</v>
      </c>
    </row>
    <row r="120" spans="1:12" x14ac:dyDescent="0.3">
      <c r="A120" t="s">
        <v>140</v>
      </c>
      <c r="B120" t="s">
        <v>159</v>
      </c>
      <c r="C120" t="s">
        <v>67</v>
      </c>
      <c r="D120" t="str">
        <f>INT('Client'!$E120/12) &amp; " ans et " &amp; MOD('Client'!$E120,12) &amp; " mois"</f>
        <v>4 ans et 5 mois</v>
      </c>
      <c r="E120">
        <v>53</v>
      </c>
      <c r="F120" t="s">
        <v>22</v>
      </c>
      <c r="G120" s="7">
        <f>Client[[#This Row],[Duree_Cumulee_Panne_Min]]/1440</f>
        <v>0.23958333333333334</v>
      </c>
      <c r="H120">
        <v>345</v>
      </c>
      <c r="I120">
        <v>83.73</v>
      </c>
      <c r="J120">
        <v>0</v>
      </c>
      <c r="K120" s="8">
        <f>IF('Client'!$F120="Pro Monde",10%,IF(AND('Client'!$G120&gt;12,'Client'!$D120&gt;5),70%,IF(AND(OR('Client'!$G120&gt;=4,'Client'!$G120&lt;=12,'Client'!$D120&lt;5,(OR('Client'!$F120="Premium ")))),45%,0%)))</f>
        <v>0.45</v>
      </c>
      <c r="L120" s="4">
        <f>'Client'!$I120* ('Client'!$K120/100)</f>
        <v>0.37678500000000004</v>
      </c>
    </row>
    <row r="121" spans="1:12" x14ac:dyDescent="0.3">
      <c r="A121" t="s">
        <v>140</v>
      </c>
      <c r="B121" t="s">
        <v>160</v>
      </c>
      <c r="C121" t="s">
        <v>89</v>
      </c>
      <c r="D121" t="str">
        <f>INT('Client'!$E121/12) &amp; " ans et " &amp; MOD('Client'!$E121,12) &amp; " mois"</f>
        <v>3 ans et 0 mois</v>
      </c>
      <c r="E121">
        <v>36</v>
      </c>
      <c r="F121" t="s">
        <v>11</v>
      </c>
      <c r="G121" s="7">
        <f>Client[[#This Row],[Duree_Cumulee_Panne_Min]]/1440</f>
        <v>0.27777777777777779</v>
      </c>
      <c r="H121">
        <v>400</v>
      </c>
      <c r="I121">
        <v>60.35</v>
      </c>
      <c r="J121">
        <v>1</v>
      </c>
      <c r="K121" s="8">
        <f>IF('Client'!$F121="Pro Monde",10%,IF(AND('Client'!$G121&gt;12,'Client'!$D121&gt;5),70%,IF(AND(OR('Client'!$G121&gt;=4,'Client'!$G121&lt;=12,'Client'!$D121&lt;5,(OR('Client'!$F121="Premium ")))),45%,0%)))</f>
        <v>0.45</v>
      </c>
      <c r="L121" s="4">
        <f>'Client'!$I121* ('Client'!$K121/100)</f>
        <v>0.27157500000000001</v>
      </c>
    </row>
    <row r="122" spans="1:12" x14ac:dyDescent="0.3">
      <c r="A122" t="s">
        <v>140</v>
      </c>
      <c r="B122" t="s">
        <v>161</v>
      </c>
      <c r="C122" t="s">
        <v>73</v>
      </c>
      <c r="D122" t="str">
        <f>INT('Client'!$E122/12) &amp; " ans et " &amp; MOD('Client'!$E122,12) &amp; " mois"</f>
        <v>1 ans et 4 mois</v>
      </c>
      <c r="E122">
        <v>16</v>
      </c>
      <c r="F122" t="s">
        <v>19</v>
      </c>
      <c r="G122" s="7">
        <f>Client[[#This Row],[Duree_Cumulee_Panne_Min]]/1440</f>
        <v>9.0277777777777769E-3</v>
      </c>
      <c r="H122">
        <v>13</v>
      </c>
      <c r="I122">
        <v>14.91</v>
      </c>
      <c r="J122">
        <v>1</v>
      </c>
      <c r="K122" s="8">
        <f>IF('Client'!$F122="Pro Monde",10%,IF(AND('Client'!$G122&gt;12,'Client'!$D122&gt;5),70%,IF(AND(OR('Client'!$G122&gt;=4,'Client'!$G122&lt;=12,'Client'!$D122&lt;5,(OR('Client'!$F122="Premium ")))),45%,0%)))</f>
        <v>0.45</v>
      </c>
      <c r="L122" s="4">
        <f>'Client'!$I122* ('Client'!$K122/100)</f>
        <v>6.7095000000000002E-2</v>
      </c>
    </row>
    <row r="123" spans="1:12" x14ac:dyDescent="0.3">
      <c r="A123" t="s">
        <v>140</v>
      </c>
      <c r="B123" t="s">
        <v>162</v>
      </c>
      <c r="C123" t="s">
        <v>26</v>
      </c>
      <c r="D123" t="str">
        <f>INT('Client'!$E123/12) &amp; " ans et " &amp; MOD('Client'!$E123,12) &amp; " mois"</f>
        <v>7 ans et 4 mois</v>
      </c>
      <c r="E123">
        <v>88</v>
      </c>
      <c r="F123" t="s">
        <v>11</v>
      </c>
      <c r="G123" s="7">
        <f>Client[[#This Row],[Duree_Cumulee_Panne_Min]]/1440</f>
        <v>0.16111111111111112</v>
      </c>
      <c r="H123">
        <v>232</v>
      </c>
      <c r="I123">
        <v>40.94</v>
      </c>
      <c r="J123">
        <v>2</v>
      </c>
      <c r="K123" s="8">
        <f>IF('Client'!$F123="Pro Monde",10%,IF(AND('Client'!$G123&gt;12,'Client'!$D123&gt;5),70%,IF(AND(OR('Client'!$G123&gt;=4,'Client'!$G123&lt;=12,'Client'!$D123&lt;5,(OR('Client'!$F123="Premium ")))),45%,0%)))</f>
        <v>0.45</v>
      </c>
      <c r="L123" s="4">
        <f>'Client'!$I123* ('Client'!$K123/100)</f>
        <v>0.18423</v>
      </c>
    </row>
    <row r="124" spans="1:12" x14ac:dyDescent="0.3">
      <c r="A124" t="s">
        <v>140</v>
      </c>
      <c r="B124" t="s">
        <v>163</v>
      </c>
      <c r="C124" t="s">
        <v>29</v>
      </c>
      <c r="D124" t="str">
        <f>INT('Client'!$E124/12) &amp; " ans et " &amp; MOD('Client'!$E124,12) &amp; " mois"</f>
        <v>5 ans et 7 mois</v>
      </c>
      <c r="E124">
        <v>67</v>
      </c>
      <c r="F124" t="s">
        <v>22</v>
      </c>
      <c r="G124" s="7">
        <f>Client[[#This Row],[Duree_Cumulee_Panne_Min]]/1440</f>
        <v>0.18333333333333332</v>
      </c>
      <c r="H124">
        <v>264</v>
      </c>
      <c r="I124">
        <v>97.89</v>
      </c>
      <c r="J124">
        <v>1</v>
      </c>
      <c r="K124" s="8">
        <f>IF('Client'!$F124="Pro Monde",10%,IF(AND('Client'!$G124&gt;12,'Client'!$D124&gt;5),70%,IF(AND(OR('Client'!$G124&gt;=4,'Client'!$G124&lt;=12,'Client'!$D124&lt;5,(OR('Client'!$F124="Premium ")))),45%,0%)))</f>
        <v>0.45</v>
      </c>
      <c r="L124" s="4">
        <f>'Client'!$I124* ('Client'!$K124/100)</f>
        <v>0.44050500000000004</v>
      </c>
    </row>
    <row r="125" spans="1:12" x14ac:dyDescent="0.3">
      <c r="A125" t="s">
        <v>140</v>
      </c>
      <c r="B125" t="s">
        <v>164</v>
      </c>
      <c r="C125" t="s">
        <v>60</v>
      </c>
      <c r="D125" t="str">
        <f>INT('Client'!$E125/12) &amp; " ans et " &amp; MOD('Client'!$E125,12) &amp; " mois"</f>
        <v>5 ans et 0 mois</v>
      </c>
      <c r="E125">
        <v>60</v>
      </c>
      <c r="F125" t="s">
        <v>19</v>
      </c>
      <c r="G125" s="7">
        <f>Client[[#This Row],[Duree_Cumulee_Panne_Min]]/1440</f>
        <v>0.11666666666666667</v>
      </c>
      <c r="H125">
        <v>168</v>
      </c>
      <c r="I125">
        <v>67.650000000000006</v>
      </c>
      <c r="J125">
        <v>1</v>
      </c>
      <c r="K125" s="8">
        <f>IF('Client'!$F125="Pro Monde",10%,IF(AND('Client'!$G125&gt;12,'Client'!$D125&gt;5),70%,IF(AND(OR('Client'!$G125&gt;=4,'Client'!$G125&lt;=12,'Client'!$D125&lt;5,(OR('Client'!$F125="Premium ")))),45%,0%)))</f>
        <v>0.45</v>
      </c>
      <c r="L125" s="4">
        <f>'Client'!$I125* ('Client'!$K125/100)</f>
        <v>0.30442500000000006</v>
      </c>
    </row>
    <row r="126" spans="1:12" x14ac:dyDescent="0.3">
      <c r="A126" t="s">
        <v>140</v>
      </c>
      <c r="B126" t="s">
        <v>165</v>
      </c>
      <c r="C126" t="s">
        <v>33</v>
      </c>
      <c r="D126" t="str">
        <f>INT('Client'!$E126/12) &amp; " ans et " &amp; MOD('Client'!$E126,12) &amp; " mois"</f>
        <v>5 ans et 4 mois</v>
      </c>
      <c r="E126">
        <v>64</v>
      </c>
      <c r="F126" t="s">
        <v>14</v>
      </c>
      <c r="G126" s="7">
        <f>Client[[#This Row],[Duree_Cumulee_Panne_Min]]/1440</f>
        <v>0.20833333333333334</v>
      </c>
      <c r="H126">
        <v>300</v>
      </c>
      <c r="I126">
        <v>28.11</v>
      </c>
      <c r="J126">
        <v>2</v>
      </c>
      <c r="K126" s="8">
        <f>IF('Client'!$F126="Pro Monde",10%,IF(AND('Client'!$G126&gt;12,'Client'!$D126&gt;5),70%,IF(AND(OR('Client'!$G126&gt;=4,'Client'!$G126&lt;=12,'Client'!$D126&lt;5,(OR('Client'!$F126="Premium ")))),45%,0%)))</f>
        <v>0.1</v>
      </c>
      <c r="L126" s="4">
        <f>'Client'!$I126* ('Client'!$K126/100)</f>
        <v>2.811E-2</v>
      </c>
    </row>
    <row r="127" spans="1:12" x14ac:dyDescent="0.3">
      <c r="A127" t="s">
        <v>140</v>
      </c>
      <c r="B127" t="s">
        <v>166</v>
      </c>
      <c r="C127" t="s">
        <v>13</v>
      </c>
      <c r="D127" t="str">
        <f>INT('Client'!$E127/12) &amp; " ans et " &amp; MOD('Client'!$E127,12) &amp; " mois"</f>
        <v>3 ans et 11 mois</v>
      </c>
      <c r="E127">
        <v>47</v>
      </c>
      <c r="F127" t="s">
        <v>19</v>
      </c>
      <c r="G127" s="7">
        <f>Client[[#This Row],[Duree_Cumulee_Panne_Min]]/1440</f>
        <v>6.805555555555555E-2</v>
      </c>
      <c r="H127">
        <v>98</v>
      </c>
      <c r="I127">
        <v>16.16</v>
      </c>
      <c r="J127">
        <v>5</v>
      </c>
      <c r="K127" s="8">
        <f>IF('Client'!$F127="Pro Monde",10%,IF(AND('Client'!$G127&gt;12,'Client'!$D127&gt;5),70%,IF(AND(OR('Client'!$G127&gt;=4,'Client'!$G127&lt;=12,'Client'!$D127&lt;5,(OR('Client'!$F127="Premium ")))),45%,0%)))</f>
        <v>0.45</v>
      </c>
      <c r="L127" s="4">
        <f>'Client'!$I127* ('Client'!$K127/100)</f>
        <v>7.2720000000000007E-2</v>
      </c>
    </row>
    <row r="128" spans="1:12" x14ac:dyDescent="0.3">
      <c r="A128" t="s">
        <v>140</v>
      </c>
      <c r="B128" t="s">
        <v>167</v>
      </c>
      <c r="C128" t="s">
        <v>18</v>
      </c>
      <c r="D128" t="str">
        <f>INT('Client'!$E128/12) &amp; " ans et " &amp; MOD('Client'!$E128,12) &amp; " mois"</f>
        <v>5 ans et 7 mois</v>
      </c>
      <c r="E128">
        <v>67</v>
      </c>
      <c r="F128" t="s">
        <v>14</v>
      </c>
      <c r="G128" s="7">
        <f>Client[[#This Row],[Duree_Cumulee_Panne_Min]]/1440</f>
        <v>3.8194444444444448E-2</v>
      </c>
      <c r="H128">
        <v>55</v>
      </c>
      <c r="I128">
        <v>27.04</v>
      </c>
      <c r="J128">
        <v>1</v>
      </c>
      <c r="K128" s="8">
        <f>IF('Client'!$F128="Pro Monde",10%,IF(AND('Client'!$G128&gt;12,'Client'!$D128&gt;5),70%,IF(AND(OR('Client'!$G128&gt;=4,'Client'!$G128&lt;=12,'Client'!$D128&lt;5,(OR('Client'!$F128="Premium ")))),45%,0%)))</f>
        <v>0.1</v>
      </c>
      <c r="L128" s="4">
        <f>'Client'!$I128* ('Client'!$K128/100)</f>
        <v>2.7039999999999998E-2</v>
      </c>
    </row>
    <row r="129" spans="1:12" x14ac:dyDescent="0.3">
      <c r="A129" t="s">
        <v>140</v>
      </c>
      <c r="B129" t="s">
        <v>168</v>
      </c>
      <c r="C129" t="s">
        <v>89</v>
      </c>
      <c r="D129" t="str">
        <f>INT('Client'!$E129/12) &amp; " ans et " &amp; MOD('Client'!$E129,12) &amp; " mois"</f>
        <v>8 ans et 2 mois</v>
      </c>
      <c r="E129">
        <v>98</v>
      </c>
      <c r="F129" t="s">
        <v>19</v>
      </c>
      <c r="G129" s="7">
        <f>Client[[#This Row],[Duree_Cumulee_Panne_Min]]/1440</f>
        <v>3.6111111111111108E-2</v>
      </c>
      <c r="H129">
        <v>52</v>
      </c>
      <c r="I129">
        <v>52.82</v>
      </c>
      <c r="J129">
        <v>2</v>
      </c>
      <c r="K129" s="8">
        <f>IF('Client'!$F129="Pro Monde",10%,IF(AND('Client'!$G129&gt;12,'Client'!$D129&gt;5),70%,IF(AND(OR('Client'!$G129&gt;=4,'Client'!$G129&lt;=12,'Client'!$D129&lt;5,(OR('Client'!$F129="Premium ")))),45%,0%)))</f>
        <v>0.45</v>
      </c>
      <c r="L129" s="4">
        <f>'Client'!$I129* ('Client'!$K129/100)</f>
        <v>0.23769000000000004</v>
      </c>
    </row>
    <row r="130" spans="1:12" x14ac:dyDescent="0.3">
      <c r="A130" t="s">
        <v>140</v>
      </c>
      <c r="B130" t="s">
        <v>169</v>
      </c>
      <c r="C130" t="s">
        <v>13</v>
      </c>
      <c r="D130" t="str">
        <f>INT('Client'!$E130/12) &amp; " ans et " &amp; MOD('Client'!$E130,12) &amp; " mois"</f>
        <v>0 ans et 6 mois</v>
      </c>
      <c r="E130">
        <v>6</v>
      </c>
      <c r="F130" t="s">
        <v>19</v>
      </c>
      <c r="G130" s="7">
        <f>Client[[#This Row],[Duree_Cumulee_Panne_Min]]/1440</f>
        <v>4.1666666666666666E-3</v>
      </c>
      <c r="H130">
        <v>6</v>
      </c>
      <c r="I130">
        <v>72.27</v>
      </c>
      <c r="J130">
        <v>4</v>
      </c>
      <c r="K130" s="8">
        <f>IF('Client'!$F130="Pro Monde",10%,IF(AND('Client'!$G130&gt;12,'Client'!$D130&gt;5),70%,IF(AND(OR('Client'!$G130&gt;=4,'Client'!$G130&lt;=12,'Client'!$D130&lt;5,(OR('Client'!$F130="Premium ")))),45%,0%)))</f>
        <v>0.45</v>
      </c>
      <c r="L130" s="4">
        <f>'Client'!$I130* ('Client'!$K130/100)</f>
        <v>0.32521500000000003</v>
      </c>
    </row>
    <row r="131" spans="1:12" x14ac:dyDescent="0.3">
      <c r="A131" t="s">
        <v>140</v>
      </c>
      <c r="B131" t="s">
        <v>170</v>
      </c>
      <c r="C131" t="s">
        <v>13</v>
      </c>
      <c r="D131" t="str">
        <f>INT('Client'!$E131/12) &amp; " ans et " &amp; MOD('Client'!$E131,12) &amp; " mois"</f>
        <v>9 ans et 6 mois</v>
      </c>
      <c r="E131">
        <v>114</v>
      </c>
      <c r="F131" t="s">
        <v>19</v>
      </c>
      <c r="G131" s="7">
        <f>Client[[#This Row],[Duree_Cumulee_Panne_Min]]/1440</f>
        <v>0.21111111111111111</v>
      </c>
      <c r="H131">
        <v>304</v>
      </c>
      <c r="I131">
        <v>52.07</v>
      </c>
      <c r="J131">
        <v>1</v>
      </c>
      <c r="K131" s="8">
        <f>IF('Client'!$F131="Pro Monde",10%,IF(AND('Client'!$G131&gt;12,'Client'!$D131&gt;5),70%,IF(AND(OR('Client'!$G131&gt;=4,'Client'!$G131&lt;=12,'Client'!$D131&lt;5,(OR('Client'!$F131="Premium ")))),45%,0%)))</f>
        <v>0.45</v>
      </c>
      <c r="L131" s="4">
        <f>'Client'!$I131* ('Client'!$K131/100)</f>
        <v>0.23431500000000002</v>
      </c>
    </row>
    <row r="132" spans="1:12" x14ac:dyDescent="0.3">
      <c r="A132" t="s">
        <v>140</v>
      </c>
      <c r="B132" t="s">
        <v>171</v>
      </c>
      <c r="C132" t="s">
        <v>31</v>
      </c>
      <c r="D132" t="str">
        <f>INT('Client'!$E132/12) &amp; " ans et " &amp; MOD('Client'!$E132,12) &amp; " mois"</f>
        <v>7 ans et 9 mois</v>
      </c>
      <c r="E132">
        <v>93</v>
      </c>
      <c r="F132" t="s">
        <v>19</v>
      </c>
      <c r="G132" s="7">
        <f>Client[[#This Row],[Duree_Cumulee_Panne_Min]]/1440</f>
        <v>0.25347222222222221</v>
      </c>
      <c r="H132">
        <v>365</v>
      </c>
      <c r="I132">
        <v>72.319999999999993</v>
      </c>
      <c r="J132">
        <v>1</v>
      </c>
      <c r="K132" s="8">
        <f>IF('Client'!$F132="Pro Monde",10%,IF(AND('Client'!$G132&gt;12,'Client'!$D132&gt;5),70%,IF(AND(OR('Client'!$G132&gt;=4,'Client'!$G132&lt;=12,'Client'!$D132&lt;5,(OR('Client'!$F132="Premium ")))),45%,0%)))</f>
        <v>0.45</v>
      </c>
      <c r="L132" s="4">
        <f>'Client'!$I132* ('Client'!$K132/100)</f>
        <v>0.32544000000000001</v>
      </c>
    </row>
    <row r="133" spans="1:12" x14ac:dyDescent="0.3">
      <c r="A133" t="s">
        <v>140</v>
      </c>
      <c r="B133" t="s">
        <v>172</v>
      </c>
      <c r="C133" t="s">
        <v>89</v>
      </c>
      <c r="D133" t="str">
        <f>INT('Client'!$E133/12) &amp; " ans et " &amp; MOD('Client'!$E133,12) &amp; " mois"</f>
        <v>2 ans et 5 mois</v>
      </c>
      <c r="E133">
        <v>29</v>
      </c>
      <c r="F133" t="s">
        <v>14</v>
      </c>
      <c r="G133" s="7">
        <f>Client[[#This Row],[Duree_Cumulee_Panne_Min]]/1440</f>
        <v>2.361111111111111E-2</v>
      </c>
      <c r="H133">
        <v>34</v>
      </c>
      <c r="I133">
        <v>86.68</v>
      </c>
      <c r="J133">
        <v>1</v>
      </c>
      <c r="K133" s="8">
        <f>IF('Client'!$F133="Pro Monde",10%,IF(AND('Client'!$G133&gt;12,'Client'!$D133&gt;5),70%,IF(AND(OR('Client'!$G133&gt;=4,'Client'!$G133&lt;=12,'Client'!$D133&lt;5,(OR('Client'!$F133="Premium ")))),45%,0%)))</f>
        <v>0.1</v>
      </c>
      <c r="L133" s="4">
        <f>'Client'!$I133* ('Client'!$K133/100)</f>
        <v>8.6680000000000007E-2</v>
      </c>
    </row>
    <row r="134" spans="1:12" x14ac:dyDescent="0.3">
      <c r="A134" t="s">
        <v>140</v>
      </c>
      <c r="B134" t="s">
        <v>173</v>
      </c>
      <c r="C134" t="s">
        <v>29</v>
      </c>
      <c r="D134" t="str">
        <f>INT('Client'!$E134/12) &amp; " ans et " &amp; MOD('Client'!$E134,12) &amp; " mois"</f>
        <v>0 ans et 7 mois</v>
      </c>
      <c r="E134">
        <v>7</v>
      </c>
      <c r="F134" t="s">
        <v>11</v>
      </c>
      <c r="G134" s="7">
        <f>Client[[#This Row],[Duree_Cumulee_Panne_Min]]/1440</f>
        <v>0.21041666666666667</v>
      </c>
      <c r="H134">
        <v>303</v>
      </c>
      <c r="I134">
        <v>60.95</v>
      </c>
      <c r="J134">
        <v>0</v>
      </c>
      <c r="K134" s="8">
        <f>IF('Client'!$F134="Pro Monde",10%,IF(AND('Client'!$G134&gt;12,'Client'!$D134&gt;5),70%,IF(AND(OR('Client'!$G134&gt;=4,'Client'!$G134&lt;=12,'Client'!$D134&lt;5,(OR('Client'!$F134="Premium ")))),45%,0%)))</f>
        <v>0.45</v>
      </c>
      <c r="L134" s="4">
        <f>'Client'!$I134* ('Client'!$K134/100)</f>
        <v>0.27427500000000005</v>
      </c>
    </row>
    <row r="135" spans="1:12" x14ac:dyDescent="0.3">
      <c r="A135" t="s">
        <v>140</v>
      </c>
      <c r="B135" t="s">
        <v>174</v>
      </c>
      <c r="C135" t="s">
        <v>89</v>
      </c>
      <c r="D135" t="str">
        <f>INT('Client'!$E135/12) &amp; " ans et " &amp; MOD('Client'!$E135,12) &amp; " mois"</f>
        <v>9 ans et 10 mois</v>
      </c>
      <c r="E135">
        <v>118</v>
      </c>
      <c r="F135" t="s">
        <v>22</v>
      </c>
      <c r="G135" s="7">
        <f>Client[[#This Row],[Duree_Cumulee_Panne_Min]]/1440</f>
        <v>0.2986111111111111</v>
      </c>
      <c r="H135">
        <v>430</v>
      </c>
      <c r="I135">
        <v>36.97</v>
      </c>
      <c r="J135">
        <v>2</v>
      </c>
      <c r="K135" s="8">
        <f>IF('Client'!$F135="Pro Monde",10%,IF(AND('Client'!$G135&gt;12,'Client'!$D135&gt;5),70%,IF(AND(OR('Client'!$G135&gt;=4,'Client'!$G135&lt;=12,'Client'!$D135&lt;5,(OR('Client'!$F135="Premium ")))),45%,0%)))</f>
        <v>0.45</v>
      </c>
      <c r="L135" s="4">
        <f>'Client'!$I135* ('Client'!$K135/100)</f>
        <v>0.16636500000000001</v>
      </c>
    </row>
    <row r="136" spans="1:12" x14ac:dyDescent="0.3">
      <c r="A136" t="s">
        <v>140</v>
      </c>
      <c r="B136" t="s">
        <v>175</v>
      </c>
      <c r="C136" t="s">
        <v>44</v>
      </c>
      <c r="D136" t="str">
        <f>INT('Client'!$E136/12) &amp; " ans et " &amp; MOD('Client'!$E136,12) &amp; " mois"</f>
        <v>4 ans et 6 mois</v>
      </c>
      <c r="E136">
        <v>54</v>
      </c>
      <c r="F136" t="s">
        <v>19</v>
      </c>
      <c r="G136" s="7">
        <f>Client[[#This Row],[Duree_Cumulee_Panne_Min]]/1440</f>
        <v>6.8750000000000006E-2</v>
      </c>
      <c r="H136">
        <v>99</v>
      </c>
      <c r="I136">
        <v>39.58</v>
      </c>
      <c r="J136">
        <v>0</v>
      </c>
      <c r="K136" s="8">
        <f>IF('Client'!$F136="Pro Monde",10%,IF(AND('Client'!$G136&gt;12,'Client'!$D136&gt;5),70%,IF(AND(OR('Client'!$G136&gt;=4,'Client'!$G136&lt;=12,'Client'!$D136&lt;5,(OR('Client'!$F136="Premium ")))),45%,0%)))</f>
        <v>0.45</v>
      </c>
      <c r="L136" s="4">
        <f>'Client'!$I136* ('Client'!$K136/100)</f>
        <v>0.17811000000000002</v>
      </c>
    </row>
    <row r="137" spans="1:12" x14ac:dyDescent="0.3">
      <c r="A137" t="s">
        <v>140</v>
      </c>
      <c r="B137" t="s">
        <v>176</v>
      </c>
      <c r="C137" t="s">
        <v>18</v>
      </c>
      <c r="D137" t="str">
        <f>INT('Client'!$E137/12) &amp; " ans et " &amp; MOD('Client'!$E137,12) &amp; " mois"</f>
        <v>5 ans et 9 mois</v>
      </c>
      <c r="E137">
        <v>69</v>
      </c>
      <c r="F137" t="s">
        <v>14</v>
      </c>
      <c r="G137" s="7">
        <f>Client[[#This Row],[Duree_Cumulee_Panne_Min]]/1440</f>
        <v>0.3215277777777778</v>
      </c>
      <c r="H137">
        <v>463</v>
      </c>
      <c r="I137">
        <v>19.440000000000001</v>
      </c>
      <c r="J137">
        <v>0</v>
      </c>
      <c r="K137" s="8">
        <f>IF('Client'!$F137="Pro Monde",10%,IF(AND('Client'!$G137&gt;12,'Client'!$D137&gt;5),70%,IF(AND(OR('Client'!$G137&gt;=4,'Client'!$G137&lt;=12,'Client'!$D137&lt;5,(OR('Client'!$F137="Premium ")))),45%,0%)))</f>
        <v>0.1</v>
      </c>
      <c r="L137" s="4">
        <f>'Client'!$I137* ('Client'!$K137/100)</f>
        <v>1.9440000000000002E-2</v>
      </c>
    </row>
    <row r="138" spans="1:12" x14ac:dyDescent="0.3">
      <c r="A138" t="s">
        <v>140</v>
      </c>
      <c r="B138" t="s">
        <v>177</v>
      </c>
      <c r="C138" t="s">
        <v>40</v>
      </c>
      <c r="D138" t="str">
        <f>INT('Client'!$E138/12) &amp; " ans et " &amp; MOD('Client'!$E138,12) &amp; " mois"</f>
        <v>4 ans et 10 mois</v>
      </c>
      <c r="E138">
        <v>58</v>
      </c>
      <c r="F138" t="s">
        <v>19</v>
      </c>
      <c r="G138" s="7">
        <f>Client[[#This Row],[Duree_Cumulee_Panne_Min]]/1440</f>
        <v>0.20347222222222222</v>
      </c>
      <c r="H138">
        <v>293</v>
      </c>
      <c r="I138">
        <v>88.85</v>
      </c>
      <c r="J138">
        <v>5</v>
      </c>
      <c r="K138" s="8">
        <f>IF('Client'!$F138="Pro Monde",10%,IF(AND('Client'!$G138&gt;12,'Client'!$D138&gt;5),70%,IF(AND(OR('Client'!$G138&gt;=4,'Client'!$G138&lt;=12,'Client'!$D138&lt;5,(OR('Client'!$F138="Premium ")))),45%,0%)))</f>
        <v>0.45</v>
      </c>
      <c r="L138" s="4">
        <f>'Client'!$I138* ('Client'!$K138/100)</f>
        <v>0.39982500000000004</v>
      </c>
    </row>
    <row r="139" spans="1:12" x14ac:dyDescent="0.3">
      <c r="A139" t="s">
        <v>140</v>
      </c>
      <c r="B139" t="s">
        <v>178</v>
      </c>
      <c r="C139" t="s">
        <v>44</v>
      </c>
      <c r="D139" t="str">
        <f>INT('Client'!$E139/12) &amp; " ans et " &amp; MOD('Client'!$E139,12) &amp; " mois"</f>
        <v>3 ans et 5 mois</v>
      </c>
      <c r="E139">
        <v>41</v>
      </c>
      <c r="F139" t="s">
        <v>11</v>
      </c>
      <c r="G139" s="7">
        <f>Client[[#This Row],[Duree_Cumulee_Panne_Min]]/1440</f>
        <v>4.4444444444444446E-2</v>
      </c>
      <c r="H139">
        <v>64</v>
      </c>
      <c r="I139">
        <v>91.95</v>
      </c>
      <c r="J139">
        <v>1</v>
      </c>
      <c r="K139" s="8">
        <f>IF('Client'!$F139="Pro Monde",10%,IF(AND('Client'!$G139&gt;12,'Client'!$D139&gt;5),70%,IF(AND(OR('Client'!$G139&gt;=4,'Client'!$G139&lt;=12,'Client'!$D139&lt;5,(OR('Client'!$F139="Premium ")))),45%,0%)))</f>
        <v>0.45</v>
      </c>
      <c r="L139" s="4">
        <f>'Client'!$I139* ('Client'!$K139/100)</f>
        <v>0.41377500000000006</v>
      </c>
    </row>
    <row r="140" spans="1:12" x14ac:dyDescent="0.3">
      <c r="A140" t="s">
        <v>140</v>
      </c>
      <c r="B140" t="s">
        <v>179</v>
      </c>
      <c r="C140" t="s">
        <v>67</v>
      </c>
      <c r="D140" t="str">
        <f>INT('Client'!$E140/12) &amp; " ans et " &amp; MOD('Client'!$E140,12) &amp; " mois"</f>
        <v>0 ans et 1 mois</v>
      </c>
      <c r="E140">
        <v>1</v>
      </c>
      <c r="F140" t="s">
        <v>14</v>
      </c>
      <c r="G140" s="7">
        <f>Client[[#This Row],[Duree_Cumulee_Panne_Min]]/1440</f>
        <v>0.22638888888888889</v>
      </c>
      <c r="H140">
        <v>326</v>
      </c>
      <c r="I140">
        <v>54.63</v>
      </c>
      <c r="J140">
        <v>3</v>
      </c>
      <c r="K140" s="8">
        <f>IF('Client'!$F140="Pro Monde",10%,IF(AND('Client'!$G140&gt;12,'Client'!$D140&gt;5),70%,IF(AND(OR('Client'!$G140&gt;=4,'Client'!$G140&lt;=12,'Client'!$D140&lt;5,(OR('Client'!$F140="Premium ")))),45%,0%)))</f>
        <v>0.1</v>
      </c>
      <c r="L140" s="4">
        <f>'Client'!$I140* ('Client'!$K140/100)</f>
        <v>5.4630000000000005E-2</v>
      </c>
    </row>
    <row r="141" spans="1:12" x14ac:dyDescent="0.3">
      <c r="A141" t="s">
        <v>140</v>
      </c>
      <c r="B141" t="s">
        <v>180</v>
      </c>
      <c r="C141" t="s">
        <v>89</v>
      </c>
      <c r="D141" t="str">
        <f>INT('Client'!$E141/12) &amp; " ans et " &amp; MOD('Client'!$E141,12) &amp; " mois"</f>
        <v>4 ans et 3 mois</v>
      </c>
      <c r="E141">
        <v>51</v>
      </c>
      <c r="F141" t="s">
        <v>19</v>
      </c>
      <c r="G141" s="7">
        <f>Client[[#This Row],[Duree_Cumulee_Panne_Min]]/1440</f>
        <v>0.18055555555555555</v>
      </c>
      <c r="H141">
        <v>260</v>
      </c>
      <c r="I141">
        <v>92.8</v>
      </c>
      <c r="J141">
        <v>5</v>
      </c>
      <c r="K141" s="8">
        <f>IF('Client'!$F141="Pro Monde",10%,IF(AND('Client'!$G141&gt;12,'Client'!$D141&gt;5),70%,IF(AND(OR('Client'!$G141&gt;=4,'Client'!$G141&lt;=12,'Client'!$D141&lt;5,(OR('Client'!$F141="Premium ")))),45%,0%)))</f>
        <v>0.45</v>
      </c>
      <c r="L141" s="4">
        <f>'Client'!$I141* ('Client'!$K141/100)</f>
        <v>0.41760000000000003</v>
      </c>
    </row>
    <row r="142" spans="1:12" x14ac:dyDescent="0.3">
      <c r="A142" t="s">
        <v>140</v>
      </c>
      <c r="B142" t="s">
        <v>181</v>
      </c>
      <c r="C142" t="s">
        <v>57</v>
      </c>
      <c r="D142" t="str">
        <f>INT('Client'!$E142/12) &amp; " ans et " &amp; MOD('Client'!$E142,12) &amp; " mois"</f>
        <v>2 ans et 1 mois</v>
      </c>
      <c r="E142">
        <v>25</v>
      </c>
      <c r="F142" t="s">
        <v>19</v>
      </c>
      <c r="G142" s="7">
        <f>Client[[#This Row],[Duree_Cumulee_Panne_Min]]/1440</f>
        <v>9.0972222222222218E-2</v>
      </c>
      <c r="H142">
        <v>131</v>
      </c>
      <c r="I142">
        <v>67.489999999999995</v>
      </c>
      <c r="J142">
        <v>0</v>
      </c>
      <c r="K142" s="8">
        <f>IF('Client'!$F142="Pro Monde",10%,IF(AND('Client'!$G142&gt;12,'Client'!$D142&gt;5),70%,IF(AND(OR('Client'!$G142&gt;=4,'Client'!$G142&lt;=12,'Client'!$D142&lt;5,(OR('Client'!$F142="Premium ")))),45%,0%)))</f>
        <v>0.45</v>
      </c>
      <c r="L142" s="4">
        <f>'Client'!$I142* ('Client'!$K142/100)</f>
        <v>0.303705</v>
      </c>
    </row>
    <row r="143" spans="1:12" x14ac:dyDescent="0.3">
      <c r="A143" t="s">
        <v>140</v>
      </c>
      <c r="B143" t="s">
        <v>182</v>
      </c>
      <c r="C143" t="s">
        <v>73</v>
      </c>
      <c r="D143" t="str">
        <f>INT('Client'!$E143/12) &amp; " ans et " &amp; MOD('Client'!$E143,12) &amp; " mois"</f>
        <v>3 ans et 7 mois</v>
      </c>
      <c r="E143">
        <v>43</v>
      </c>
      <c r="F143" t="s">
        <v>19</v>
      </c>
      <c r="G143" s="7">
        <f>Client[[#This Row],[Duree_Cumulee_Panne_Min]]/1440</f>
        <v>0.12569444444444444</v>
      </c>
      <c r="H143">
        <v>181</v>
      </c>
      <c r="I143">
        <v>72.39</v>
      </c>
      <c r="J143">
        <v>2</v>
      </c>
      <c r="K143" s="8">
        <f>IF('Client'!$F143="Pro Monde",10%,IF(AND('Client'!$G143&gt;12,'Client'!$D143&gt;5),70%,IF(AND(OR('Client'!$G143&gt;=4,'Client'!$G143&lt;=12,'Client'!$D143&lt;5,(OR('Client'!$F143="Premium ")))),45%,0%)))</f>
        <v>0.45</v>
      </c>
      <c r="L143" s="4">
        <f>'Client'!$I143* ('Client'!$K143/100)</f>
        <v>0.32575500000000002</v>
      </c>
    </row>
    <row r="144" spans="1:12" x14ac:dyDescent="0.3">
      <c r="A144" t="s">
        <v>140</v>
      </c>
      <c r="B144" t="s">
        <v>183</v>
      </c>
      <c r="C144" t="s">
        <v>18</v>
      </c>
      <c r="D144" t="str">
        <f>INT('Client'!$E144/12) &amp; " ans et " &amp; MOD('Client'!$E144,12) &amp; " mois"</f>
        <v>0 ans et 11 mois</v>
      </c>
      <c r="E144">
        <v>11</v>
      </c>
      <c r="F144" t="s">
        <v>19</v>
      </c>
      <c r="G144" s="7">
        <f>Client[[#This Row],[Duree_Cumulee_Panne_Min]]/1440</f>
        <v>0.14930555555555555</v>
      </c>
      <c r="H144">
        <v>215</v>
      </c>
      <c r="I144">
        <v>51.99</v>
      </c>
      <c r="J144">
        <v>1</v>
      </c>
      <c r="K144" s="8">
        <f>IF('Client'!$F144="Pro Monde",10%,IF(AND('Client'!$G144&gt;12,'Client'!$D144&gt;5),70%,IF(AND(OR('Client'!$G144&gt;=4,'Client'!$G144&lt;=12,'Client'!$D144&lt;5,(OR('Client'!$F144="Premium ")))),45%,0%)))</f>
        <v>0.45</v>
      </c>
      <c r="L144" s="4">
        <f>'Client'!$I144* ('Client'!$K144/100)</f>
        <v>0.23395500000000002</v>
      </c>
    </row>
    <row r="145" spans="1:12" x14ac:dyDescent="0.3">
      <c r="A145" t="s">
        <v>140</v>
      </c>
      <c r="B145" t="s">
        <v>184</v>
      </c>
      <c r="C145" t="s">
        <v>24</v>
      </c>
      <c r="D145" t="str">
        <f>INT('Client'!$E145/12) &amp; " ans et " &amp; MOD('Client'!$E145,12) &amp; " mois"</f>
        <v>9 ans et 5 mois</v>
      </c>
      <c r="E145">
        <v>113</v>
      </c>
      <c r="F145" t="s">
        <v>11</v>
      </c>
      <c r="G145" s="7">
        <f>Client[[#This Row],[Duree_Cumulee_Panne_Min]]/1440</f>
        <v>0.17083333333333334</v>
      </c>
      <c r="H145">
        <v>246</v>
      </c>
      <c r="I145">
        <v>29.18</v>
      </c>
      <c r="J145">
        <v>2</v>
      </c>
      <c r="K145" s="8">
        <f>IF('Client'!$F145="Pro Monde",10%,IF(AND('Client'!$G145&gt;12,'Client'!$D145&gt;5),70%,IF(AND(OR('Client'!$G145&gt;=4,'Client'!$G145&lt;=12,'Client'!$D145&lt;5,(OR('Client'!$F145="Premium ")))),45%,0%)))</f>
        <v>0.45</v>
      </c>
      <c r="L145" s="4">
        <f>'Client'!$I145* ('Client'!$K145/100)</f>
        <v>0.13131000000000001</v>
      </c>
    </row>
    <row r="146" spans="1:12" x14ac:dyDescent="0.3">
      <c r="A146" t="s">
        <v>140</v>
      </c>
      <c r="B146" t="s">
        <v>185</v>
      </c>
      <c r="C146" t="s">
        <v>67</v>
      </c>
      <c r="D146" t="str">
        <f>INT('Client'!$E146/12) &amp; " ans et " &amp; MOD('Client'!$E146,12) &amp; " mois"</f>
        <v>6 ans et 2 mois</v>
      </c>
      <c r="E146">
        <v>74</v>
      </c>
      <c r="F146" t="s">
        <v>14</v>
      </c>
      <c r="G146" s="7">
        <f>Client[[#This Row],[Duree_Cumulee_Panne_Min]]/1440</f>
        <v>0.25763888888888886</v>
      </c>
      <c r="H146">
        <v>371</v>
      </c>
      <c r="I146">
        <v>53.27</v>
      </c>
      <c r="J146">
        <v>3</v>
      </c>
      <c r="K146" s="8">
        <f>IF('Client'!$F146="Pro Monde",10%,IF(AND('Client'!$G146&gt;12,'Client'!$D146&gt;5),70%,IF(AND(OR('Client'!$G146&gt;=4,'Client'!$G146&lt;=12,'Client'!$D146&lt;5,(OR('Client'!$F146="Premium ")))),45%,0%)))</f>
        <v>0.1</v>
      </c>
      <c r="L146" s="4">
        <f>'Client'!$I146* ('Client'!$K146/100)</f>
        <v>5.3270000000000005E-2</v>
      </c>
    </row>
    <row r="147" spans="1:12" x14ac:dyDescent="0.3">
      <c r="A147" t="s">
        <v>140</v>
      </c>
      <c r="B147" t="s">
        <v>186</v>
      </c>
      <c r="C147" t="s">
        <v>33</v>
      </c>
      <c r="D147" t="str">
        <f>INT('Client'!$E147/12) &amp; " ans et " &amp; MOD('Client'!$E147,12) &amp; " mois"</f>
        <v>8 ans et 8 mois</v>
      </c>
      <c r="E147">
        <v>104</v>
      </c>
      <c r="F147" t="s">
        <v>14</v>
      </c>
      <c r="G147" s="7">
        <f>Client[[#This Row],[Duree_Cumulee_Panne_Min]]/1440</f>
        <v>0.22013888888888888</v>
      </c>
      <c r="H147">
        <v>317</v>
      </c>
      <c r="I147">
        <v>79.150000000000006</v>
      </c>
      <c r="J147">
        <v>1</v>
      </c>
      <c r="K147" s="8">
        <f>IF('Client'!$F147="Pro Monde",10%,IF(AND('Client'!$G147&gt;12,'Client'!$D147&gt;5),70%,IF(AND(OR('Client'!$G147&gt;=4,'Client'!$G147&lt;=12,'Client'!$D147&lt;5,(OR('Client'!$F147="Premium ")))),45%,0%)))</f>
        <v>0.1</v>
      </c>
      <c r="L147" s="4">
        <f>'Client'!$I147* ('Client'!$K147/100)</f>
        <v>7.9150000000000012E-2</v>
      </c>
    </row>
    <row r="148" spans="1:12" x14ac:dyDescent="0.3">
      <c r="A148" t="s">
        <v>140</v>
      </c>
      <c r="B148" t="s">
        <v>187</v>
      </c>
      <c r="C148" t="s">
        <v>13</v>
      </c>
      <c r="D148" t="str">
        <f>INT('Client'!$E148/12) &amp; " ans et " &amp; MOD('Client'!$E148,12) &amp; " mois"</f>
        <v>0 ans et 4 mois</v>
      </c>
      <c r="E148">
        <v>4</v>
      </c>
      <c r="F148" t="s">
        <v>19</v>
      </c>
      <c r="G148" s="7">
        <f>Client[[#This Row],[Duree_Cumulee_Panne_Min]]/1440</f>
        <v>0.15763888888888888</v>
      </c>
      <c r="H148">
        <v>227</v>
      </c>
      <c r="I148">
        <v>83.32</v>
      </c>
      <c r="J148">
        <v>2</v>
      </c>
      <c r="K148" s="8">
        <f>IF('Client'!$F148="Pro Monde",10%,IF(AND('Client'!$G148&gt;12,'Client'!$D148&gt;5),70%,IF(AND(OR('Client'!$G148&gt;=4,'Client'!$G148&lt;=12,'Client'!$D148&lt;5,(OR('Client'!$F148="Premium ")))),45%,0%)))</f>
        <v>0.45</v>
      </c>
      <c r="L148" s="4">
        <f>'Client'!$I148* ('Client'!$K148/100)</f>
        <v>0.37494</v>
      </c>
    </row>
    <row r="149" spans="1:12" x14ac:dyDescent="0.3">
      <c r="A149" t="s">
        <v>140</v>
      </c>
      <c r="B149" t="s">
        <v>188</v>
      </c>
      <c r="C149" t="s">
        <v>64</v>
      </c>
      <c r="D149" t="str">
        <f>INT('Client'!$E149/12) &amp; " ans et " &amp; MOD('Client'!$E149,12) &amp; " mois"</f>
        <v>7 ans et 11 mois</v>
      </c>
      <c r="E149">
        <v>95</v>
      </c>
      <c r="F149" t="s">
        <v>14</v>
      </c>
      <c r="G149" s="7">
        <f>Client[[#This Row],[Duree_Cumulee_Panne_Min]]/1440</f>
        <v>6.5972222222222224E-2</v>
      </c>
      <c r="H149">
        <v>95</v>
      </c>
      <c r="I149">
        <v>82.65</v>
      </c>
      <c r="J149">
        <v>2</v>
      </c>
      <c r="K149" s="8">
        <f>IF('Client'!$F149="Pro Monde",10%,IF(AND('Client'!$G149&gt;12,'Client'!$D149&gt;5),70%,IF(AND(OR('Client'!$G149&gt;=4,'Client'!$G149&lt;=12,'Client'!$D149&lt;5,(OR('Client'!$F149="Premium ")))),45%,0%)))</f>
        <v>0.1</v>
      </c>
      <c r="L149" s="4">
        <f>'Client'!$I149* ('Client'!$K149/100)</f>
        <v>8.2650000000000001E-2</v>
      </c>
    </row>
    <row r="150" spans="1:12" x14ac:dyDescent="0.3">
      <c r="A150" t="s">
        <v>140</v>
      </c>
      <c r="B150" t="s">
        <v>189</v>
      </c>
      <c r="C150" t="s">
        <v>37</v>
      </c>
      <c r="D150" t="str">
        <f>INT('Client'!$E150/12) &amp; " ans et " &amp; MOD('Client'!$E150,12) &amp; " mois"</f>
        <v>2 ans et 5 mois</v>
      </c>
      <c r="E150">
        <v>29</v>
      </c>
      <c r="F150" t="s">
        <v>22</v>
      </c>
      <c r="G150" s="7">
        <f>Client[[#This Row],[Duree_Cumulee_Panne_Min]]/1440</f>
        <v>8.611111111111111E-2</v>
      </c>
      <c r="H150">
        <v>124</v>
      </c>
      <c r="I150">
        <v>43.83</v>
      </c>
      <c r="J150">
        <v>5</v>
      </c>
      <c r="K150" s="8">
        <f>IF('Client'!$F150="Pro Monde",10%,IF(AND('Client'!$G150&gt;12,'Client'!$D150&gt;5),70%,IF(AND(OR('Client'!$G150&gt;=4,'Client'!$G150&lt;=12,'Client'!$D150&lt;5,(OR('Client'!$F150="Premium ")))),45%,0%)))</f>
        <v>0.45</v>
      </c>
      <c r="L150" s="4">
        <f>'Client'!$I150* ('Client'!$K150/100)</f>
        <v>0.19723500000000002</v>
      </c>
    </row>
    <row r="151" spans="1:12" x14ac:dyDescent="0.3">
      <c r="A151" t="s">
        <v>190</v>
      </c>
      <c r="B151" t="s">
        <v>191</v>
      </c>
      <c r="C151" t="s">
        <v>31</v>
      </c>
      <c r="D151" t="str">
        <f>INT('Client'!$E151/12) &amp; " ans et " &amp; MOD('Client'!$E151,12) &amp; " mois"</f>
        <v>8 ans et 1 mois</v>
      </c>
      <c r="E151">
        <v>97</v>
      </c>
      <c r="F151" t="s">
        <v>19</v>
      </c>
      <c r="G151" s="7">
        <f>Client[[#This Row],[Duree_Cumulee_Panne_Min]]/1440</f>
        <v>0.33611111111111114</v>
      </c>
      <c r="H151">
        <v>484</v>
      </c>
      <c r="I151">
        <v>61.98</v>
      </c>
      <c r="J151">
        <v>1</v>
      </c>
      <c r="K151" s="8">
        <f>IF('Client'!$F151="Pro Monde",10%,IF(AND('Client'!$G151&gt;12,'Client'!$D151&gt;5),70%,IF(AND(OR('Client'!$G151&gt;=4,'Client'!$G151&lt;=12,'Client'!$D151&lt;5,(OR('Client'!$F151="Premium ")))),45%,0%)))</f>
        <v>0.45</v>
      </c>
      <c r="L151" s="4">
        <f>'Client'!$I151* ('Client'!$K151/100)</f>
        <v>0.27890999999999999</v>
      </c>
    </row>
    <row r="152" spans="1:12" x14ac:dyDescent="0.3">
      <c r="A152" t="s">
        <v>190</v>
      </c>
      <c r="B152" t="s">
        <v>192</v>
      </c>
      <c r="C152" t="s">
        <v>10</v>
      </c>
      <c r="D152" t="str">
        <f>INT('Client'!$E152/12) &amp; " ans et " &amp; MOD('Client'!$E152,12) &amp; " mois"</f>
        <v>9 ans et 5 mois</v>
      </c>
      <c r="E152">
        <v>113</v>
      </c>
      <c r="F152" t="s">
        <v>11</v>
      </c>
      <c r="G152" s="7">
        <f>Client[[#This Row],[Duree_Cumulee_Panne_Min]]/1440</f>
        <v>0.14374999999999999</v>
      </c>
      <c r="H152">
        <v>207</v>
      </c>
      <c r="I152">
        <v>21.55</v>
      </c>
      <c r="J152">
        <v>0</v>
      </c>
      <c r="K152" s="8">
        <f>IF('Client'!$F152="Pro Monde",10%,IF(AND('Client'!$G152&gt;12,'Client'!$D152&gt;5),70%,IF(AND(OR('Client'!$G152&gt;=4,'Client'!$G152&lt;=12,'Client'!$D152&lt;5,(OR('Client'!$F152="Premium ")))),45%,0%)))</f>
        <v>0.45</v>
      </c>
      <c r="L152" s="4">
        <f>'Client'!$I152* ('Client'!$K152/100)</f>
        <v>9.697500000000002E-2</v>
      </c>
    </row>
    <row r="153" spans="1:12" x14ac:dyDescent="0.3">
      <c r="A153" t="s">
        <v>190</v>
      </c>
      <c r="B153" t="s">
        <v>193</v>
      </c>
      <c r="C153" t="s">
        <v>37</v>
      </c>
      <c r="D153" t="str">
        <f>INT('Client'!$E153/12) &amp; " ans et " &amp; MOD('Client'!$E153,12) &amp; " mois"</f>
        <v>6 ans et 11 mois</v>
      </c>
      <c r="E153">
        <v>83</v>
      </c>
      <c r="F153" t="s">
        <v>14</v>
      </c>
      <c r="G153" s="7">
        <f>Client[[#This Row],[Duree_Cumulee_Panne_Min]]/1440</f>
        <v>0.29166666666666669</v>
      </c>
      <c r="H153">
        <v>420</v>
      </c>
      <c r="I153">
        <v>94.9</v>
      </c>
      <c r="J153">
        <v>1</v>
      </c>
      <c r="K153" s="8">
        <f>IF('Client'!$F153="Pro Monde",10%,IF(AND('Client'!$G153&gt;12,'Client'!$D153&gt;5),70%,IF(AND(OR('Client'!$G153&gt;=4,'Client'!$G153&lt;=12,'Client'!$D153&lt;5,(OR('Client'!$F153="Premium ")))),45%,0%)))</f>
        <v>0.1</v>
      </c>
      <c r="L153" s="4">
        <f>'Client'!$I153* ('Client'!$K153/100)</f>
        <v>9.4900000000000012E-2</v>
      </c>
    </row>
    <row r="154" spans="1:12" x14ac:dyDescent="0.3">
      <c r="A154" t="s">
        <v>190</v>
      </c>
      <c r="B154" t="s">
        <v>194</v>
      </c>
      <c r="C154" t="s">
        <v>40</v>
      </c>
      <c r="D154" t="str">
        <f>INT('Client'!$E154/12) &amp; " ans et " &amp; MOD('Client'!$E154,12) &amp; " mois"</f>
        <v>8 ans et 1 mois</v>
      </c>
      <c r="E154">
        <v>97</v>
      </c>
      <c r="F154" t="s">
        <v>11</v>
      </c>
      <c r="G154" s="7">
        <f>Client[[#This Row],[Duree_Cumulee_Panne_Min]]/1440</f>
        <v>0.20555555555555555</v>
      </c>
      <c r="H154">
        <v>296</v>
      </c>
      <c r="I154">
        <v>10.87</v>
      </c>
      <c r="J154">
        <v>4</v>
      </c>
      <c r="K154" s="8">
        <f>IF('Client'!$F154="Pro Monde",10%,IF(AND('Client'!$G154&gt;12,'Client'!$D154&gt;5),70%,IF(AND(OR('Client'!$G154&gt;=4,'Client'!$G154&lt;=12,'Client'!$D154&lt;5,(OR('Client'!$F154="Premium ")))),45%,0%)))</f>
        <v>0.45</v>
      </c>
      <c r="L154" s="4">
        <f>'Client'!$I154* ('Client'!$K154/100)</f>
        <v>4.8915E-2</v>
      </c>
    </row>
    <row r="155" spans="1:12" x14ac:dyDescent="0.3">
      <c r="A155" t="s">
        <v>190</v>
      </c>
      <c r="B155" t="s">
        <v>195</v>
      </c>
      <c r="C155" t="s">
        <v>51</v>
      </c>
      <c r="D155" t="str">
        <f>INT('Client'!$E155/12) &amp; " ans et " &amp; MOD('Client'!$E155,12) &amp; " mois"</f>
        <v>5 ans et 6 mois</v>
      </c>
      <c r="E155">
        <v>66</v>
      </c>
      <c r="F155" t="s">
        <v>22</v>
      </c>
      <c r="G155" s="7">
        <f>Client[[#This Row],[Duree_Cumulee_Panne_Min]]/1440</f>
        <v>0.26874999999999999</v>
      </c>
      <c r="H155">
        <v>387</v>
      </c>
      <c r="I155">
        <v>82.94</v>
      </c>
      <c r="J155">
        <v>3</v>
      </c>
      <c r="K155" s="8">
        <f>IF('Client'!$F155="Pro Monde",10%,IF(AND('Client'!$G155&gt;12,'Client'!$D155&gt;5),70%,IF(AND(OR('Client'!$G155&gt;=4,'Client'!$G155&lt;=12,'Client'!$D155&lt;5,(OR('Client'!$F155="Premium ")))),45%,0%)))</f>
        <v>0.45</v>
      </c>
      <c r="L155" s="4">
        <f>'Client'!$I155* ('Client'!$K155/100)</f>
        <v>0.37323000000000001</v>
      </c>
    </row>
    <row r="156" spans="1:12" x14ac:dyDescent="0.3">
      <c r="A156" t="s">
        <v>190</v>
      </c>
      <c r="B156" t="s">
        <v>196</v>
      </c>
      <c r="C156" t="s">
        <v>44</v>
      </c>
      <c r="D156" t="str">
        <f>INT('Client'!$E156/12) &amp; " ans et " &amp; MOD('Client'!$E156,12) &amp; " mois"</f>
        <v>4 ans et 0 mois</v>
      </c>
      <c r="E156">
        <v>48</v>
      </c>
      <c r="F156" t="s">
        <v>19</v>
      </c>
      <c r="G156" s="7">
        <f>Client[[#This Row],[Duree_Cumulee_Panne_Min]]/1440</f>
        <v>0.2326388888888889</v>
      </c>
      <c r="H156">
        <v>335</v>
      </c>
      <c r="I156">
        <v>85.09</v>
      </c>
      <c r="J156">
        <v>3</v>
      </c>
      <c r="K156" s="8">
        <f>IF('Client'!$F156="Pro Monde",10%,IF(AND('Client'!$G156&gt;12,'Client'!$D156&gt;5),70%,IF(AND(OR('Client'!$G156&gt;=4,'Client'!$G156&lt;=12,'Client'!$D156&lt;5,(OR('Client'!$F156="Premium ")))),45%,0%)))</f>
        <v>0.45</v>
      </c>
      <c r="L156" s="4">
        <f>'Client'!$I156* ('Client'!$K156/100)</f>
        <v>0.38290500000000005</v>
      </c>
    </row>
    <row r="157" spans="1:12" x14ac:dyDescent="0.3">
      <c r="A157" t="s">
        <v>190</v>
      </c>
      <c r="B157" t="s">
        <v>197</v>
      </c>
      <c r="C157" t="s">
        <v>44</v>
      </c>
      <c r="D157" t="str">
        <f>INT('Client'!$E157/12) &amp; " ans et " &amp; MOD('Client'!$E157,12) &amp; " mois"</f>
        <v>5 ans et 4 mois</v>
      </c>
      <c r="E157">
        <v>64</v>
      </c>
      <c r="F157" t="s">
        <v>14</v>
      </c>
      <c r="G157" s="7">
        <f>Client[[#This Row],[Duree_Cumulee_Panne_Min]]/1440</f>
        <v>4.1666666666666666E-3</v>
      </c>
      <c r="H157">
        <v>6</v>
      </c>
      <c r="I157">
        <v>40.58</v>
      </c>
      <c r="J157">
        <v>5</v>
      </c>
      <c r="K157" s="8">
        <f>IF('Client'!$F157="Pro Monde",10%,IF(AND('Client'!$G157&gt;12,'Client'!$D157&gt;5),70%,IF(AND(OR('Client'!$G157&gt;=4,'Client'!$G157&lt;=12,'Client'!$D157&lt;5,(OR('Client'!$F157="Premium ")))),45%,0%)))</f>
        <v>0.1</v>
      </c>
      <c r="L157" s="4">
        <f>'Client'!$I157* ('Client'!$K157/100)</f>
        <v>4.0579999999999998E-2</v>
      </c>
    </row>
    <row r="158" spans="1:12" x14ac:dyDescent="0.3">
      <c r="A158" t="s">
        <v>190</v>
      </c>
      <c r="B158" t="s">
        <v>198</v>
      </c>
      <c r="C158" t="s">
        <v>24</v>
      </c>
      <c r="D158" t="str">
        <f>INT('Client'!$E158/12) &amp; " ans et " &amp; MOD('Client'!$E158,12) &amp; " mois"</f>
        <v>5 ans et 7 mois</v>
      </c>
      <c r="E158">
        <v>67</v>
      </c>
      <c r="F158" t="s">
        <v>11</v>
      </c>
      <c r="G158" s="7">
        <f>Client[[#This Row],[Duree_Cumulee_Panne_Min]]/1440</f>
        <v>0.1673611111111111</v>
      </c>
      <c r="H158">
        <v>241</v>
      </c>
      <c r="I158">
        <v>47.72</v>
      </c>
      <c r="J158">
        <v>0</v>
      </c>
      <c r="K158" s="8">
        <f>IF('Client'!$F158="Pro Monde",10%,IF(AND('Client'!$G158&gt;12,'Client'!$D158&gt;5),70%,IF(AND(OR('Client'!$G158&gt;=4,'Client'!$G158&lt;=12,'Client'!$D158&lt;5,(OR('Client'!$F158="Premium ")))),45%,0%)))</f>
        <v>0.45</v>
      </c>
      <c r="L158" s="4">
        <f>'Client'!$I158* ('Client'!$K158/100)</f>
        <v>0.21474000000000001</v>
      </c>
    </row>
    <row r="159" spans="1:12" x14ac:dyDescent="0.3">
      <c r="A159" t="s">
        <v>190</v>
      </c>
      <c r="B159" t="s">
        <v>199</v>
      </c>
      <c r="C159" t="s">
        <v>33</v>
      </c>
      <c r="D159" t="str">
        <f>INT('Client'!$E159/12) &amp; " ans et " &amp; MOD('Client'!$E159,12) &amp; " mois"</f>
        <v>5 ans et 0 mois</v>
      </c>
      <c r="E159">
        <v>60</v>
      </c>
      <c r="F159" t="s">
        <v>14</v>
      </c>
      <c r="G159" s="7">
        <f>Client[[#This Row],[Duree_Cumulee_Panne_Min]]/1440</f>
        <v>0.23194444444444445</v>
      </c>
      <c r="H159">
        <v>334</v>
      </c>
      <c r="I159">
        <v>71.72</v>
      </c>
      <c r="J159">
        <v>3</v>
      </c>
      <c r="K159" s="8">
        <f>IF('Client'!$F159="Pro Monde",10%,IF(AND('Client'!$G159&gt;12,'Client'!$D159&gt;5),70%,IF(AND(OR('Client'!$G159&gt;=4,'Client'!$G159&lt;=12,'Client'!$D159&lt;5,(OR('Client'!$F159="Premium ")))),45%,0%)))</f>
        <v>0.1</v>
      </c>
      <c r="L159" s="4">
        <f>'Client'!$I159* ('Client'!$K159/100)</f>
        <v>7.1720000000000006E-2</v>
      </c>
    </row>
    <row r="160" spans="1:12" x14ac:dyDescent="0.3">
      <c r="A160" t="s">
        <v>190</v>
      </c>
      <c r="B160" t="s">
        <v>200</v>
      </c>
      <c r="C160" t="s">
        <v>33</v>
      </c>
      <c r="D160" t="str">
        <f>INT('Client'!$E160/12) &amp; " ans et " &amp; MOD('Client'!$E160,12) &amp; " mois"</f>
        <v>1 ans et 11 mois</v>
      </c>
      <c r="E160">
        <v>23</v>
      </c>
      <c r="F160" t="s">
        <v>14</v>
      </c>
      <c r="G160" s="7">
        <f>Client[[#This Row],[Duree_Cumulee_Panne_Min]]/1440</f>
        <v>0.18194444444444444</v>
      </c>
      <c r="H160">
        <v>262</v>
      </c>
      <c r="I160">
        <v>46.3</v>
      </c>
      <c r="J160">
        <v>1</v>
      </c>
      <c r="K160" s="8">
        <f>IF('Client'!$F160="Pro Monde",10%,IF(AND('Client'!$G160&gt;12,'Client'!$D160&gt;5),70%,IF(AND(OR('Client'!$G160&gt;=4,'Client'!$G160&lt;=12,'Client'!$D160&lt;5,(OR('Client'!$F160="Premium ")))),45%,0%)))</f>
        <v>0.1</v>
      </c>
      <c r="L160" s="4">
        <f>'Client'!$I160* ('Client'!$K160/100)</f>
        <v>4.6300000000000001E-2</v>
      </c>
    </row>
    <row r="161" spans="1:12" x14ac:dyDescent="0.3">
      <c r="A161" t="s">
        <v>190</v>
      </c>
      <c r="B161" t="s">
        <v>201</v>
      </c>
      <c r="C161" t="s">
        <v>60</v>
      </c>
      <c r="D161" t="str">
        <f>INT('Client'!$E161/12) &amp; " ans et " &amp; MOD('Client'!$E161,12) &amp; " mois"</f>
        <v>3 ans et 6 mois</v>
      </c>
      <c r="E161">
        <v>42</v>
      </c>
      <c r="F161" t="s">
        <v>14</v>
      </c>
      <c r="G161" s="7">
        <f>Client[[#This Row],[Duree_Cumulee_Panne_Min]]/1440</f>
        <v>0.27013888888888887</v>
      </c>
      <c r="H161">
        <v>389</v>
      </c>
      <c r="I161">
        <v>80.08</v>
      </c>
      <c r="J161">
        <v>1</v>
      </c>
      <c r="K161" s="8">
        <f>IF('Client'!$F161="Pro Monde",10%,IF(AND('Client'!$G161&gt;12,'Client'!$D161&gt;5),70%,IF(AND(OR('Client'!$G161&gt;=4,'Client'!$G161&lt;=12,'Client'!$D161&lt;5,(OR('Client'!$F161="Premium ")))),45%,0%)))</f>
        <v>0.1</v>
      </c>
      <c r="L161" s="4">
        <f>'Client'!$I161* ('Client'!$K161/100)</f>
        <v>8.0079999999999998E-2</v>
      </c>
    </row>
    <row r="162" spans="1:12" x14ac:dyDescent="0.3">
      <c r="A162" t="s">
        <v>190</v>
      </c>
      <c r="B162" t="s">
        <v>202</v>
      </c>
      <c r="C162" t="s">
        <v>131</v>
      </c>
      <c r="D162" t="str">
        <f>INT('Client'!$E162/12) &amp; " ans et " &amp; MOD('Client'!$E162,12) &amp; " mois"</f>
        <v>7 ans et 8 mois</v>
      </c>
      <c r="E162">
        <v>92</v>
      </c>
      <c r="F162" t="s">
        <v>14</v>
      </c>
      <c r="G162" s="7">
        <f>Client[[#This Row],[Duree_Cumulee_Panne_Min]]/1440</f>
        <v>0.33819444444444446</v>
      </c>
      <c r="H162">
        <v>487</v>
      </c>
      <c r="I162">
        <v>58.38</v>
      </c>
      <c r="J162">
        <v>1</v>
      </c>
      <c r="K162" s="8">
        <f>IF('Client'!$F162="Pro Monde",10%,IF(AND('Client'!$G162&gt;12,'Client'!$D162&gt;5),70%,IF(AND(OR('Client'!$G162&gt;=4,'Client'!$G162&lt;=12,'Client'!$D162&lt;5,(OR('Client'!$F162="Premium ")))),45%,0%)))</f>
        <v>0.1</v>
      </c>
      <c r="L162" s="4">
        <f>'Client'!$I162* ('Client'!$K162/100)</f>
        <v>5.8380000000000001E-2</v>
      </c>
    </row>
    <row r="163" spans="1:12" x14ac:dyDescent="0.3">
      <c r="A163" t="s">
        <v>190</v>
      </c>
      <c r="B163" t="s">
        <v>203</v>
      </c>
      <c r="C163" t="s">
        <v>37</v>
      </c>
      <c r="D163" t="str">
        <f>INT('Client'!$E163/12) &amp; " ans et " &amp; MOD('Client'!$E163,12) &amp; " mois"</f>
        <v>4 ans et 0 mois</v>
      </c>
      <c r="E163">
        <v>48</v>
      </c>
      <c r="F163" t="s">
        <v>14</v>
      </c>
      <c r="G163" s="7">
        <f>Client[[#This Row],[Duree_Cumulee_Panne_Min]]/1440</f>
        <v>5.2777777777777778E-2</v>
      </c>
      <c r="H163">
        <v>76</v>
      </c>
      <c r="I163">
        <v>39.35</v>
      </c>
      <c r="J163">
        <v>2</v>
      </c>
      <c r="K163" s="8">
        <f>IF('Client'!$F163="Pro Monde",10%,IF(AND('Client'!$G163&gt;12,'Client'!$D163&gt;5),70%,IF(AND(OR('Client'!$G163&gt;=4,'Client'!$G163&lt;=12,'Client'!$D163&lt;5,(OR('Client'!$F163="Premium ")))),45%,0%)))</f>
        <v>0.1</v>
      </c>
      <c r="L163" s="4">
        <f>'Client'!$I163* ('Client'!$K163/100)</f>
        <v>3.9350000000000003E-2</v>
      </c>
    </row>
    <row r="164" spans="1:12" x14ac:dyDescent="0.3">
      <c r="A164" t="s">
        <v>190</v>
      </c>
      <c r="B164" t="s">
        <v>204</v>
      </c>
      <c r="C164" t="s">
        <v>21</v>
      </c>
      <c r="D164" t="str">
        <f>INT('Client'!$E164/12) &amp; " ans et " &amp; MOD('Client'!$E164,12) &amp; " mois"</f>
        <v>5 ans et 8 mois</v>
      </c>
      <c r="E164">
        <v>68</v>
      </c>
      <c r="F164" t="s">
        <v>11</v>
      </c>
      <c r="G164" s="7">
        <f>Client[[#This Row],[Duree_Cumulee_Panne_Min]]/1440</f>
        <v>0.30763888888888891</v>
      </c>
      <c r="H164">
        <v>443</v>
      </c>
      <c r="I164">
        <v>12.09</v>
      </c>
      <c r="J164">
        <v>3</v>
      </c>
      <c r="K164" s="8">
        <f>IF('Client'!$F164="Pro Monde",10%,IF(AND('Client'!$G164&gt;12,'Client'!$D164&gt;5),70%,IF(AND(OR('Client'!$G164&gt;=4,'Client'!$G164&lt;=12,'Client'!$D164&lt;5,(OR('Client'!$F164="Premium ")))),45%,0%)))</f>
        <v>0.45</v>
      </c>
      <c r="L164" s="4">
        <f>'Client'!$I164* ('Client'!$K164/100)</f>
        <v>5.4405000000000009E-2</v>
      </c>
    </row>
    <row r="165" spans="1:12" x14ac:dyDescent="0.3">
      <c r="A165" t="s">
        <v>190</v>
      </c>
      <c r="B165" t="s">
        <v>205</v>
      </c>
      <c r="C165" t="s">
        <v>78</v>
      </c>
      <c r="D165" t="str">
        <f>INT('Client'!$E165/12) &amp; " ans et " &amp; MOD('Client'!$E165,12) &amp; " mois"</f>
        <v>7 ans et 5 mois</v>
      </c>
      <c r="E165">
        <v>89</v>
      </c>
      <c r="F165" t="s">
        <v>14</v>
      </c>
      <c r="G165" s="7">
        <f>Client[[#This Row],[Duree_Cumulee_Panne_Min]]/1440</f>
        <v>0.14097222222222222</v>
      </c>
      <c r="H165">
        <v>203</v>
      </c>
      <c r="I165">
        <v>80.680000000000007</v>
      </c>
      <c r="J165">
        <v>5</v>
      </c>
      <c r="K165" s="8">
        <f>IF('Client'!$F165="Pro Monde",10%,IF(AND('Client'!$G165&gt;12,'Client'!$D165&gt;5),70%,IF(AND(OR('Client'!$G165&gt;=4,'Client'!$G165&lt;=12,'Client'!$D165&lt;5,(OR('Client'!$F165="Premium ")))),45%,0%)))</f>
        <v>0.1</v>
      </c>
      <c r="L165" s="4">
        <f>'Client'!$I165* ('Client'!$K165/100)</f>
        <v>8.0680000000000002E-2</v>
      </c>
    </row>
    <row r="166" spans="1:12" x14ac:dyDescent="0.3">
      <c r="A166" t="s">
        <v>190</v>
      </c>
      <c r="B166" t="s">
        <v>206</v>
      </c>
      <c r="C166" t="s">
        <v>31</v>
      </c>
      <c r="D166" t="str">
        <f>INT('Client'!$E166/12) &amp; " ans et " &amp; MOD('Client'!$E166,12) &amp; " mois"</f>
        <v>5 ans et 2 mois</v>
      </c>
      <c r="E166">
        <v>62</v>
      </c>
      <c r="F166" t="s">
        <v>11</v>
      </c>
      <c r="G166" s="7">
        <f>Client[[#This Row],[Duree_Cumulee_Panne_Min]]/1440</f>
        <v>8.0555555555555561E-2</v>
      </c>
      <c r="H166">
        <v>116</v>
      </c>
      <c r="I166">
        <v>92.99</v>
      </c>
      <c r="J166">
        <v>5</v>
      </c>
      <c r="K166" s="8">
        <f>IF('Client'!$F166="Pro Monde",10%,IF(AND('Client'!$G166&gt;12,'Client'!$D166&gt;5),70%,IF(AND(OR('Client'!$G166&gt;=4,'Client'!$G166&lt;=12,'Client'!$D166&lt;5,(OR('Client'!$F166="Premium ")))),45%,0%)))</f>
        <v>0.45</v>
      </c>
      <c r="L166" s="4">
        <f>'Client'!$I166* ('Client'!$K166/100)</f>
        <v>0.41845500000000002</v>
      </c>
    </row>
    <row r="167" spans="1:12" x14ac:dyDescent="0.3">
      <c r="A167" t="s">
        <v>190</v>
      </c>
      <c r="B167" t="s">
        <v>207</v>
      </c>
      <c r="C167" t="s">
        <v>10</v>
      </c>
      <c r="D167" t="str">
        <f>INT('Client'!$E167/12) &amp; " ans et " &amp; MOD('Client'!$E167,12) &amp; " mois"</f>
        <v>7 ans et 8 mois</v>
      </c>
      <c r="E167">
        <v>92</v>
      </c>
      <c r="F167" t="s">
        <v>11</v>
      </c>
      <c r="G167" s="7">
        <f>Client[[#This Row],[Duree_Cumulee_Panne_Min]]/1440</f>
        <v>8.0555555555555561E-2</v>
      </c>
      <c r="H167">
        <v>116</v>
      </c>
      <c r="I167">
        <v>23.83</v>
      </c>
      <c r="J167">
        <v>3</v>
      </c>
      <c r="K167" s="8">
        <f>IF('Client'!$F167="Pro Monde",10%,IF(AND('Client'!$G167&gt;12,'Client'!$D167&gt;5),70%,IF(AND(OR('Client'!$G167&gt;=4,'Client'!$G167&lt;=12,'Client'!$D167&lt;5,(OR('Client'!$F167="Premium ")))),45%,0%)))</f>
        <v>0.45</v>
      </c>
      <c r="L167" s="4">
        <f>'Client'!$I167* ('Client'!$K167/100)</f>
        <v>0.10723500000000001</v>
      </c>
    </row>
    <row r="168" spans="1:12" x14ac:dyDescent="0.3">
      <c r="A168" t="s">
        <v>190</v>
      </c>
      <c r="B168" t="s">
        <v>208</v>
      </c>
      <c r="C168" t="s">
        <v>16</v>
      </c>
      <c r="D168" t="str">
        <f>INT('Client'!$E168/12) &amp; " ans et " &amp; MOD('Client'!$E168,12) &amp; " mois"</f>
        <v>5 ans et 4 mois</v>
      </c>
      <c r="E168">
        <v>64</v>
      </c>
      <c r="F168" t="s">
        <v>14</v>
      </c>
      <c r="G168" s="7">
        <f>Client[[#This Row],[Duree_Cumulee_Panne_Min]]/1440</f>
        <v>0.25694444444444442</v>
      </c>
      <c r="H168">
        <v>370</v>
      </c>
      <c r="I168">
        <v>95.74</v>
      </c>
      <c r="J168">
        <v>1</v>
      </c>
      <c r="K168" s="8">
        <f>IF('Client'!$F168="Pro Monde",10%,IF(AND('Client'!$G168&gt;12,'Client'!$D168&gt;5),70%,IF(AND(OR('Client'!$G168&gt;=4,'Client'!$G168&lt;=12,'Client'!$D168&lt;5,(OR('Client'!$F168="Premium ")))),45%,0%)))</f>
        <v>0.1</v>
      </c>
      <c r="L168" s="4">
        <f>'Client'!$I168* ('Client'!$K168/100)</f>
        <v>9.5739999999999992E-2</v>
      </c>
    </row>
    <row r="169" spans="1:12" x14ac:dyDescent="0.3">
      <c r="A169" t="s">
        <v>190</v>
      </c>
      <c r="B169" t="s">
        <v>209</v>
      </c>
      <c r="C169" t="s">
        <v>57</v>
      </c>
      <c r="D169" t="str">
        <f>INT('Client'!$E169/12) &amp; " ans et " &amp; MOD('Client'!$E169,12) &amp; " mois"</f>
        <v>5 ans et 1 mois</v>
      </c>
      <c r="E169">
        <v>61</v>
      </c>
      <c r="F169" t="s">
        <v>19</v>
      </c>
      <c r="G169" s="7">
        <f>Client[[#This Row],[Duree_Cumulee_Panne_Min]]/1440</f>
        <v>0.26597222222222222</v>
      </c>
      <c r="H169">
        <v>383</v>
      </c>
      <c r="I169">
        <v>39.72</v>
      </c>
      <c r="J169">
        <v>4</v>
      </c>
      <c r="K169" s="8">
        <f>IF('Client'!$F169="Pro Monde",10%,IF(AND('Client'!$G169&gt;12,'Client'!$D169&gt;5),70%,IF(AND(OR('Client'!$G169&gt;=4,'Client'!$G169&lt;=12,'Client'!$D169&lt;5,(OR('Client'!$F169="Premium ")))),45%,0%)))</f>
        <v>0.45</v>
      </c>
      <c r="L169" s="4">
        <f>'Client'!$I169* ('Client'!$K169/100)</f>
        <v>0.17874000000000001</v>
      </c>
    </row>
    <row r="170" spans="1:12" x14ac:dyDescent="0.3">
      <c r="A170" t="s">
        <v>190</v>
      </c>
      <c r="B170" t="s">
        <v>210</v>
      </c>
      <c r="C170" t="s">
        <v>62</v>
      </c>
      <c r="D170" t="str">
        <f>INT('Client'!$E170/12) &amp; " ans et " &amp; MOD('Client'!$E170,12) &amp; " mois"</f>
        <v>2 ans et 11 mois</v>
      </c>
      <c r="E170">
        <v>35</v>
      </c>
      <c r="F170" t="s">
        <v>22</v>
      </c>
      <c r="G170" s="7">
        <f>Client[[#This Row],[Duree_Cumulee_Panne_Min]]/1440</f>
        <v>7.4305555555555555E-2</v>
      </c>
      <c r="H170">
        <v>107</v>
      </c>
      <c r="I170">
        <v>66.69</v>
      </c>
      <c r="J170">
        <v>4</v>
      </c>
      <c r="K170" s="8">
        <f>IF('Client'!$F170="Pro Monde",10%,IF(AND('Client'!$G170&gt;12,'Client'!$D170&gt;5),70%,IF(AND(OR('Client'!$G170&gt;=4,'Client'!$G170&lt;=12,'Client'!$D170&lt;5,(OR('Client'!$F170="Premium ")))),45%,0%)))</f>
        <v>0.45</v>
      </c>
      <c r="L170" s="4">
        <f>'Client'!$I170* ('Client'!$K170/100)</f>
        <v>0.30010500000000001</v>
      </c>
    </row>
    <row r="171" spans="1:12" x14ac:dyDescent="0.3">
      <c r="A171" t="s">
        <v>190</v>
      </c>
      <c r="B171" t="s">
        <v>211</v>
      </c>
      <c r="C171" t="s">
        <v>137</v>
      </c>
      <c r="D171" t="str">
        <f>INT('Client'!$E171/12) &amp; " ans et " &amp; MOD('Client'!$E171,12) &amp; " mois"</f>
        <v>6 ans et 3 mois</v>
      </c>
      <c r="E171">
        <v>75</v>
      </c>
      <c r="F171" t="s">
        <v>14</v>
      </c>
      <c r="G171" s="7">
        <f>Client[[#This Row],[Duree_Cumulee_Panne_Min]]/1440</f>
        <v>0.16805555555555557</v>
      </c>
      <c r="H171">
        <v>242</v>
      </c>
      <c r="I171">
        <v>64.27</v>
      </c>
      <c r="J171">
        <v>2</v>
      </c>
      <c r="K171" s="8">
        <f>IF('Client'!$F171="Pro Monde",10%,IF(AND('Client'!$G171&gt;12,'Client'!$D171&gt;5),70%,IF(AND(OR('Client'!$G171&gt;=4,'Client'!$G171&lt;=12,'Client'!$D171&lt;5,(OR('Client'!$F171="Premium ")))),45%,0%)))</f>
        <v>0.1</v>
      </c>
      <c r="L171" s="4">
        <f>'Client'!$I171* ('Client'!$K171/100)</f>
        <v>6.4269999999999994E-2</v>
      </c>
    </row>
    <row r="172" spans="1:12" x14ac:dyDescent="0.3">
      <c r="A172" t="s">
        <v>190</v>
      </c>
      <c r="B172" t="s">
        <v>212</v>
      </c>
      <c r="C172" t="s">
        <v>31</v>
      </c>
      <c r="D172" t="str">
        <f>INT('Client'!$E172/12) &amp; " ans et " &amp; MOD('Client'!$E172,12) &amp; " mois"</f>
        <v>4 ans et 4 mois</v>
      </c>
      <c r="E172">
        <v>52</v>
      </c>
      <c r="F172" t="s">
        <v>22</v>
      </c>
      <c r="G172" s="7">
        <f>Client[[#This Row],[Duree_Cumulee_Panne_Min]]/1440</f>
        <v>8.2638888888888887E-2</v>
      </c>
      <c r="H172">
        <v>119</v>
      </c>
      <c r="I172">
        <v>64.709999999999994</v>
      </c>
      <c r="J172">
        <v>4</v>
      </c>
      <c r="K172" s="8">
        <f>IF('Client'!$F172="Pro Monde",10%,IF(AND('Client'!$G172&gt;12,'Client'!$D172&gt;5),70%,IF(AND(OR('Client'!$G172&gt;=4,'Client'!$G172&lt;=12,'Client'!$D172&lt;5,(OR('Client'!$F172="Premium ")))),45%,0%)))</f>
        <v>0.45</v>
      </c>
      <c r="L172" s="4">
        <f>'Client'!$I172* ('Client'!$K172/100)</f>
        <v>0.29119499999999998</v>
      </c>
    </row>
    <row r="173" spans="1:12" x14ac:dyDescent="0.3">
      <c r="A173" t="s">
        <v>190</v>
      </c>
      <c r="B173" t="s">
        <v>213</v>
      </c>
      <c r="C173" t="s">
        <v>89</v>
      </c>
      <c r="D173" t="str">
        <f>INT('Client'!$E173/12) &amp; " ans et " &amp; MOD('Client'!$E173,12) &amp; " mois"</f>
        <v>6 ans et 10 mois</v>
      </c>
      <c r="E173">
        <v>82</v>
      </c>
      <c r="F173" t="s">
        <v>11</v>
      </c>
      <c r="G173" s="7">
        <f>Client[[#This Row],[Duree_Cumulee_Panne_Min]]/1440</f>
        <v>0.18333333333333332</v>
      </c>
      <c r="H173">
        <v>264</v>
      </c>
      <c r="I173">
        <v>88.03</v>
      </c>
      <c r="J173">
        <v>1</v>
      </c>
      <c r="K173" s="8">
        <f>IF('Client'!$F173="Pro Monde",10%,IF(AND('Client'!$G173&gt;12,'Client'!$D173&gt;5),70%,IF(AND(OR('Client'!$G173&gt;=4,'Client'!$G173&lt;=12,'Client'!$D173&lt;5,(OR('Client'!$F173="Premium ")))),45%,0%)))</f>
        <v>0.45</v>
      </c>
      <c r="L173" s="4">
        <f>'Client'!$I173* ('Client'!$K173/100)</f>
        <v>0.39613500000000007</v>
      </c>
    </row>
    <row r="174" spans="1:12" x14ac:dyDescent="0.3">
      <c r="A174" t="s">
        <v>190</v>
      </c>
      <c r="B174" t="s">
        <v>214</v>
      </c>
      <c r="C174" t="s">
        <v>33</v>
      </c>
      <c r="D174" t="str">
        <f>INT('Client'!$E174/12) &amp; " ans et " &amp; MOD('Client'!$E174,12) &amp; " mois"</f>
        <v>9 ans et 10 mois</v>
      </c>
      <c r="E174">
        <v>118</v>
      </c>
      <c r="F174" t="s">
        <v>19</v>
      </c>
      <c r="G174" s="7">
        <f>Client[[#This Row],[Duree_Cumulee_Panne_Min]]/1440</f>
        <v>0.20833333333333334</v>
      </c>
      <c r="H174">
        <v>300</v>
      </c>
      <c r="I174">
        <v>98.22</v>
      </c>
      <c r="J174">
        <v>4</v>
      </c>
      <c r="K174" s="8">
        <f>IF('Client'!$F174="Pro Monde",10%,IF(AND('Client'!$G174&gt;12,'Client'!$D174&gt;5),70%,IF(AND(OR('Client'!$G174&gt;=4,'Client'!$G174&lt;=12,'Client'!$D174&lt;5,(OR('Client'!$F174="Premium ")))),45%,0%)))</f>
        <v>0.45</v>
      </c>
      <c r="L174" s="4">
        <f>'Client'!$I174* ('Client'!$K174/100)</f>
        <v>0.44199000000000005</v>
      </c>
    </row>
    <row r="175" spans="1:12" x14ac:dyDescent="0.3">
      <c r="A175" t="s">
        <v>190</v>
      </c>
      <c r="B175" t="s">
        <v>215</v>
      </c>
      <c r="C175" t="s">
        <v>60</v>
      </c>
      <c r="D175" t="str">
        <f>INT('Client'!$E175/12) &amp; " ans et " &amp; MOD('Client'!$E175,12) &amp; " mois"</f>
        <v>8 ans et 6 mois</v>
      </c>
      <c r="E175">
        <v>102</v>
      </c>
      <c r="F175" t="s">
        <v>11</v>
      </c>
      <c r="G175" s="7">
        <f>Client[[#This Row],[Duree_Cumulee_Panne_Min]]/1440</f>
        <v>0.27916666666666667</v>
      </c>
      <c r="H175">
        <v>402</v>
      </c>
      <c r="I175">
        <v>28.38</v>
      </c>
      <c r="J175">
        <v>5</v>
      </c>
      <c r="K175" s="8">
        <f>IF('Client'!$F175="Pro Monde",10%,IF(AND('Client'!$G175&gt;12,'Client'!$D175&gt;5),70%,IF(AND(OR('Client'!$G175&gt;=4,'Client'!$G175&lt;=12,'Client'!$D175&lt;5,(OR('Client'!$F175="Premium ")))),45%,0%)))</f>
        <v>0.45</v>
      </c>
      <c r="L175" s="4">
        <f>'Client'!$I175* ('Client'!$K175/100)</f>
        <v>0.12771000000000002</v>
      </c>
    </row>
    <row r="176" spans="1:12" x14ac:dyDescent="0.3">
      <c r="A176" t="s">
        <v>190</v>
      </c>
      <c r="B176" t="s">
        <v>216</v>
      </c>
      <c r="C176" t="s">
        <v>35</v>
      </c>
      <c r="D176" t="str">
        <f>INT('Client'!$E176/12) &amp; " ans et " &amp; MOD('Client'!$E176,12) &amp; " mois"</f>
        <v>6 ans et 3 mois</v>
      </c>
      <c r="E176">
        <v>75</v>
      </c>
      <c r="F176" t="s">
        <v>19</v>
      </c>
      <c r="G176" s="7">
        <f>Client[[#This Row],[Duree_Cumulee_Panne_Min]]/1440</f>
        <v>0.19583333333333333</v>
      </c>
      <c r="H176">
        <v>282</v>
      </c>
      <c r="I176">
        <v>45.16</v>
      </c>
      <c r="J176">
        <v>5</v>
      </c>
      <c r="K176" s="8">
        <f>IF('Client'!$F176="Pro Monde",10%,IF(AND('Client'!$G176&gt;12,'Client'!$D176&gt;5),70%,IF(AND(OR('Client'!$G176&gt;=4,'Client'!$G176&lt;=12,'Client'!$D176&lt;5,(OR('Client'!$F176="Premium ")))),45%,0%)))</f>
        <v>0.45</v>
      </c>
      <c r="L176" s="4">
        <f>'Client'!$I176* ('Client'!$K176/100)</f>
        <v>0.20322000000000001</v>
      </c>
    </row>
    <row r="177" spans="1:12" x14ac:dyDescent="0.3">
      <c r="A177" t="s">
        <v>190</v>
      </c>
      <c r="B177" t="s">
        <v>217</v>
      </c>
      <c r="C177" t="s">
        <v>24</v>
      </c>
      <c r="D177" t="str">
        <f>INT('Client'!$E177/12) &amp; " ans et " &amp; MOD('Client'!$E177,12) &amp; " mois"</f>
        <v>7 ans et 0 mois</v>
      </c>
      <c r="E177">
        <v>84</v>
      </c>
      <c r="F177" t="s">
        <v>11</v>
      </c>
      <c r="G177" s="7">
        <f>Client[[#This Row],[Duree_Cumulee_Panne_Min]]/1440</f>
        <v>0.26874999999999999</v>
      </c>
      <c r="H177">
        <v>387</v>
      </c>
      <c r="I177">
        <v>58.1</v>
      </c>
      <c r="J177">
        <v>3</v>
      </c>
      <c r="K177" s="8">
        <f>IF('Client'!$F177="Pro Monde",10%,IF(AND('Client'!$G177&gt;12,'Client'!$D177&gt;5),70%,IF(AND(OR('Client'!$G177&gt;=4,'Client'!$G177&lt;=12,'Client'!$D177&lt;5,(OR('Client'!$F177="Premium ")))),45%,0%)))</f>
        <v>0.45</v>
      </c>
      <c r="L177" s="4">
        <f>'Client'!$I177* ('Client'!$K177/100)</f>
        <v>0.26145000000000002</v>
      </c>
    </row>
    <row r="178" spans="1:12" x14ac:dyDescent="0.3">
      <c r="A178" t="s">
        <v>190</v>
      </c>
      <c r="B178" t="s">
        <v>218</v>
      </c>
      <c r="C178" t="s">
        <v>44</v>
      </c>
      <c r="D178" t="str">
        <f>INT('Client'!$E178/12) &amp; " ans et " &amp; MOD('Client'!$E178,12) &amp; " mois"</f>
        <v>0 ans et 5 mois</v>
      </c>
      <c r="E178">
        <v>5</v>
      </c>
      <c r="F178" t="s">
        <v>19</v>
      </c>
      <c r="G178" s="7">
        <f>Client[[#This Row],[Duree_Cumulee_Panne_Min]]/1440</f>
        <v>0.16597222222222222</v>
      </c>
      <c r="H178">
        <v>239</v>
      </c>
      <c r="I178">
        <v>26.95</v>
      </c>
      <c r="J178">
        <v>2</v>
      </c>
      <c r="K178" s="8">
        <f>IF('Client'!$F178="Pro Monde",10%,IF(AND('Client'!$G178&gt;12,'Client'!$D178&gt;5),70%,IF(AND(OR('Client'!$G178&gt;=4,'Client'!$G178&lt;=12,'Client'!$D178&lt;5,(OR('Client'!$F178="Premium ")))),45%,0%)))</f>
        <v>0.45</v>
      </c>
      <c r="L178" s="4">
        <f>'Client'!$I178* ('Client'!$K178/100)</f>
        <v>0.12127500000000001</v>
      </c>
    </row>
    <row r="179" spans="1:12" x14ac:dyDescent="0.3">
      <c r="A179" t="s">
        <v>190</v>
      </c>
      <c r="B179" t="s">
        <v>219</v>
      </c>
      <c r="C179" t="s">
        <v>78</v>
      </c>
      <c r="D179" t="str">
        <f>INT('Client'!$E179/12) &amp; " ans et " &amp; MOD('Client'!$E179,12) &amp; " mois"</f>
        <v>2 ans et 3 mois</v>
      </c>
      <c r="E179">
        <v>27</v>
      </c>
      <c r="F179" t="s">
        <v>11</v>
      </c>
      <c r="G179" s="7">
        <f>Client[[#This Row],[Duree_Cumulee_Panne_Min]]/1440</f>
        <v>0.25624999999999998</v>
      </c>
      <c r="H179">
        <v>369</v>
      </c>
      <c r="I179">
        <v>19.78</v>
      </c>
      <c r="J179">
        <v>1</v>
      </c>
      <c r="K179" s="8">
        <f>IF('Client'!$F179="Pro Monde",10%,IF(AND('Client'!$G179&gt;12,'Client'!$D179&gt;5),70%,IF(AND(OR('Client'!$G179&gt;=4,'Client'!$G179&lt;=12,'Client'!$D179&lt;5,(OR('Client'!$F179="Premium ")))),45%,0%)))</f>
        <v>0.45</v>
      </c>
      <c r="L179" s="4">
        <f>'Client'!$I179* ('Client'!$K179/100)</f>
        <v>8.901000000000002E-2</v>
      </c>
    </row>
    <row r="180" spans="1:12" x14ac:dyDescent="0.3">
      <c r="A180" t="s">
        <v>190</v>
      </c>
      <c r="B180" t="s">
        <v>220</v>
      </c>
      <c r="C180" t="s">
        <v>57</v>
      </c>
      <c r="D180" t="str">
        <f>INT('Client'!$E180/12) &amp; " ans et " &amp; MOD('Client'!$E180,12) &amp; " mois"</f>
        <v>2 ans et 5 mois</v>
      </c>
      <c r="E180">
        <v>29</v>
      </c>
      <c r="F180" t="s">
        <v>22</v>
      </c>
      <c r="G180" s="7">
        <f>Client[[#This Row],[Duree_Cumulee_Panne_Min]]/1440</f>
        <v>0.28888888888888886</v>
      </c>
      <c r="H180">
        <v>416</v>
      </c>
      <c r="I180">
        <v>61.26</v>
      </c>
      <c r="J180">
        <v>0</v>
      </c>
      <c r="K180" s="8">
        <f>IF('Client'!$F180="Pro Monde",10%,IF(AND('Client'!$G180&gt;12,'Client'!$D180&gt;5),70%,IF(AND(OR('Client'!$G180&gt;=4,'Client'!$G180&lt;=12,'Client'!$D180&lt;5,(OR('Client'!$F180="Premium ")))),45%,0%)))</f>
        <v>0.45</v>
      </c>
      <c r="L180" s="4">
        <f>'Client'!$I180* ('Client'!$K180/100)</f>
        <v>0.27567000000000003</v>
      </c>
    </row>
    <row r="181" spans="1:12" x14ac:dyDescent="0.3">
      <c r="A181" t="s">
        <v>190</v>
      </c>
      <c r="B181" t="s">
        <v>221</v>
      </c>
      <c r="C181" t="s">
        <v>62</v>
      </c>
      <c r="D181" t="str">
        <f>INT('Client'!$E181/12) &amp; " ans et " &amp; MOD('Client'!$E181,12) &amp; " mois"</f>
        <v>9 ans et 7 mois</v>
      </c>
      <c r="E181">
        <v>115</v>
      </c>
      <c r="F181" t="s">
        <v>19</v>
      </c>
      <c r="G181" s="7">
        <f>Client[[#This Row],[Duree_Cumulee_Panne_Min]]/1440</f>
        <v>0.16388888888888889</v>
      </c>
      <c r="H181">
        <v>236</v>
      </c>
      <c r="I181">
        <v>50.64</v>
      </c>
      <c r="J181">
        <v>1</v>
      </c>
      <c r="K181" s="8">
        <f>IF('Client'!$F181="Pro Monde",10%,IF(AND('Client'!$G181&gt;12,'Client'!$D181&gt;5),70%,IF(AND(OR('Client'!$G181&gt;=4,'Client'!$G181&lt;=12,'Client'!$D181&lt;5,(OR('Client'!$F181="Premium ")))),45%,0%)))</f>
        <v>0.45</v>
      </c>
      <c r="L181" s="4">
        <f>'Client'!$I181* ('Client'!$K181/100)</f>
        <v>0.22788000000000003</v>
      </c>
    </row>
    <row r="182" spans="1:12" x14ac:dyDescent="0.3">
      <c r="A182" t="s">
        <v>190</v>
      </c>
      <c r="B182" t="s">
        <v>222</v>
      </c>
      <c r="C182" t="s">
        <v>16</v>
      </c>
      <c r="D182" t="str">
        <f>INT('Client'!$E182/12) &amp; " ans et " &amp; MOD('Client'!$E182,12) &amp; " mois"</f>
        <v>2 ans et 2 mois</v>
      </c>
      <c r="E182">
        <v>26</v>
      </c>
      <c r="F182" t="s">
        <v>19</v>
      </c>
      <c r="G182" s="7">
        <f>Client[[#This Row],[Duree_Cumulee_Panne_Min]]/1440</f>
        <v>0.12083333333333333</v>
      </c>
      <c r="H182">
        <v>174</v>
      </c>
      <c r="I182">
        <v>90.53</v>
      </c>
      <c r="J182">
        <v>3</v>
      </c>
      <c r="K182" s="8">
        <f>IF('Client'!$F182="Pro Monde",10%,IF(AND('Client'!$G182&gt;12,'Client'!$D182&gt;5),70%,IF(AND(OR('Client'!$G182&gt;=4,'Client'!$G182&lt;=12,'Client'!$D182&lt;5,(OR('Client'!$F182="Premium ")))),45%,0%)))</f>
        <v>0.45</v>
      </c>
      <c r="L182" s="4">
        <f>'Client'!$I182* ('Client'!$K182/100)</f>
        <v>0.40738500000000005</v>
      </c>
    </row>
    <row r="183" spans="1:12" x14ac:dyDescent="0.3">
      <c r="A183" t="s">
        <v>190</v>
      </c>
      <c r="B183" t="s">
        <v>223</v>
      </c>
      <c r="C183" t="s">
        <v>24</v>
      </c>
      <c r="D183" t="str">
        <f>INT('Client'!$E183/12) &amp; " ans et " &amp; MOD('Client'!$E183,12) &amp; " mois"</f>
        <v>4 ans et 10 mois</v>
      </c>
      <c r="E183">
        <v>58</v>
      </c>
      <c r="F183" t="s">
        <v>19</v>
      </c>
      <c r="G183" s="7">
        <f>Client[[#This Row],[Duree_Cumulee_Panne_Min]]/1440</f>
        <v>0.28125</v>
      </c>
      <c r="H183">
        <v>405</v>
      </c>
      <c r="I183">
        <v>18.39</v>
      </c>
      <c r="J183">
        <v>0</v>
      </c>
      <c r="K183" s="8">
        <f>IF('Client'!$F183="Pro Monde",10%,IF(AND('Client'!$G183&gt;12,'Client'!$D183&gt;5),70%,IF(AND(OR('Client'!$G183&gt;=4,'Client'!$G183&lt;=12,'Client'!$D183&lt;5,(OR('Client'!$F183="Premium ")))),45%,0%)))</f>
        <v>0.45</v>
      </c>
      <c r="L183" s="4">
        <f>'Client'!$I183* ('Client'!$K183/100)</f>
        <v>8.2755000000000009E-2</v>
      </c>
    </row>
    <row r="184" spans="1:12" x14ac:dyDescent="0.3">
      <c r="A184" t="s">
        <v>190</v>
      </c>
      <c r="B184" t="s">
        <v>224</v>
      </c>
      <c r="C184" t="s">
        <v>67</v>
      </c>
      <c r="D184" t="str">
        <f>INT('Client'!$E184/12) &amp; " ans et " &amp; MOD('Client'!$E184,12) &amp; " mois"</f>
        <v>9 ans et 3 mois</v>
      </c>
      <c r="E184">
        <v>111</v>
      </c>
      <c r="F184" t="s">
        <v>11</v>
      </c>
      <c r="G184" s="7">
        <f>Client[[#This Row],[Duree_Cumulee_Panne_Min]]/1440</f>
        <v>2.9861111111111113E-2</v>
      </c>
      <c r="H184">
        <v>43</v>
      </c>
      <c r="I184">
        <v>19.39</v>
      </c>
      <c r="J184">
        <v>3</v>
      </c>
      <c r="K184" s="8">
        <f>IF('Client'!$F184="Pro Monde",10%,IF(AND('Client'!$G184&gt;12,'Client'!$D184&gt;5),70%,IF(AND(OR('Client'!$G184&gt;=4,'Client'!$G184&lt;=12,'Client'!$D184&lt;5,(OR('Client'!$F184="Premium ")))),45%,0%)))</f>
        <v>0.45</v>
      </c>
      <c r="L184" s="4">
        <f>'Client'!$I184* ('Client'!$K184/100)</f>
        <v>8.7255000000000013E-2</v>
      </c>
    </row>
    <row r="185" spans="1:12" x14ac:dyDescent="0.3">
      <c r="A185" t="s">
        <v>190</v>
      </c>
      <c r="B185" t="s">
        <v>225</v>
      </c>
      <c r="C185" t="s">
        <v>44</v>
      </c>
      <c r="D185" t="str">
        <f>INT('Client'!$E185/12) &amp; " ans et " &amp; MOD('Client'!$E185,12) &amp; " mois"</f>
        <v>2 ans et 7 mois</v>
      </c>
      <c r="E185">
        <v>31</v>
      </c>
      <c r="F185" t="s">
        <v>19</v>
      </c>
      <c r="G185" s="7">
        <f>Client[[#This Row],[Duree_Cumulee_Panne_Min]]/1440</f>
        <v>0.1111111111111111</v>
      </c>
      <c r="H185">
        <v>160</v>
      </c>
      <c r="I185">
        <v>59.76</v>
      </c>
      <c r="J185">
        <v>4</v>
      </c>
      <c r="K185" s="8">
        <f>IF('Client'!$F185="Pro Monde",10%,IF(AND('Client'!$G185&gt;12,'Client'!$D185&gt;5),70%,IF(AND(OR('Client'!$G185&gt;=4,'Client'!$G185&lt;=12,'Client'!$D185&lt;5,(OR('Client'!$F185="Premium ")))),45%,0%)))</f>
        <v>0.45</v>
      </c>
      <c r="L185" s="4">
        <f>'Client'!$I185* ('Client'!$K185/100)</f>
        <v>0.26892000000000005</v>
      </c>
    </row>
    <row r="186" spans="1:12" x14ac:dyDescent="0.3">
      <c r="A186" t="s">
        <v>190</v>
      </c>
      <c r="B186" t="s">
        <v>226</v>
      </c>
      <c r="C186" t="s">
        <v>73</v>
      </c>
      <c r="D186" t="str">
        <f>INT('Client'!$E186/12) &amp; " ans et " &amp; MOD('Client'!$E186,12) &amp; " mois"</f>
        <v>4 ans et 3 mois</v>
      </c>
      <c r="E186">
        <v>51</v>
      </c>
      <c r="F186" t="s">
        <v>22</v>
      </c>
      <c r="G186" s="7">
        <f>Client[[#This Row],[Duree_Cumulee_Panne_Min]]/1440</f>
        <v>0.30069444444444443</v>
      </c>
      <c r="H186">
        <v>433</v>
      </c>
      <c r="I186">
        <v>12.89</v>
      </c>
      <c r="J186">
        <v>1</v>
      </c>
      <c r="K186" s="8">
        <f>IF('Client'!$F186="Pro Monde",10%,IF(AND('Client'!$G186&gt;12,'Client'!$D186&gt;5),70%,IF(AND(OR('Client'!$G186&gt;=4,'Client'!$G186&lt;=12,'Client'!$D186&lt;5,(OR('Client'!$F186="Premium ")))),45%,0%)))</f>
        <v>0.45</v>
      </c>
      <c r="L186" s="4">
        <f>'Client'!$I186* ('Client'!$K186/100)</f>
        <v>5.8005000000000008E-2</v>
      </c>
    </row>
    <row r="187" spans="1:12" x14ac:dyDescent="0.3">
      <c r="A187" t="s">
        <v>190</v>
      </c>
      <c r="B187" t="s">
        <v>227</v>
      </c>
      <c r="C187" t="s">
        <v>89</v>
      </c>
      <c r="D187" t="str">
        <f>INT('Client'!$E187/12) &amp; " ans et " &amp; MOD('Client'!$E187,12) &amp; " mois"</f>
        <v>2 ans et 4 mois</v>
      </c>
      <c r="E187">
        <v>28</v>
      </c>
      <c r="F187" t="s">
        <v>11</v>
      </c>
      <c r="G187" s="7">
        <f>Client[[#This Row],[Duree_Cumulee_Panne_Min]]/1440</f>
        <v>6.6666666666666666E-2</v>
      </c>
      <c r="H187">
        <v>96</v>
      </c>
      <c r="I187">
        <v>72.010000000000005</v>
      </c>
      <c r="J187">
        <v>4</v>
      </c>
      <c r="K187" s="8">
        <f>IF('Client'!$F187="Pro Monde",10%,IF(AND('Client'!$G187&gt;12,'Client'!$D187&gt;5),70%,IF(AND(OR('Client'!$G187&gt;=4,'Client'!$G187&lt;=12,'Client'!$D187&lt;5,(OR('Client'!$F187="Premium ")))),45%,0%)))</f>
        <v>0.45</v>
      </c>
      <c r="L187" s="4">
        <f>'Client'!$I187* ('Client'!$K187/100)</f>
        <v>0.32404500000000008</v>
      </c>
    </row>
    <row r="188" spans="1:12" x14ac:dyDescent="0.3">
      <c r="A188" t="s">
        <v>190</v>
      </c>
      <c r="B188" t="s">
        <v>228</v>
      </c>
      <c r="C188" t="s">
        <v>26</v>
      </c>
      <c r="D188" t="str">
        <f>INT('Client'!$E188/12) &amp; " ans et " &amp; MOD('Client'!$E188,12) &amp; " mois"</f>
        <v>3 ans et 4 mois</v>
      </c>
      <c r="E188">
        <v>40</v>
      </c>
      <c r="F188" t="s">
        <v>22</v>
      </c>
      <c r="G188" s="7">
        <f>Client[[#This Row],[Duree_Cumulee_Panne_Min]]/1440</f>
        <v>0.15208333333333332</v>
      </c>
      <c r="H188">
        <v>219</v>
      </c>
      <c r="I188">
        <v>53.98</v>
      </c>
      <c r="J188">
        <v>2</v>
      </c>
      <c r="K188" s="8">
        <f>IF('Client'!$F188="Pro Monde",10%,IF(AND('Client'!$G188&gt;12,'Client'!$D188&gt;5),70%,IF(AND(OR('Client'!$G188&gt;=4,'Client'!$G188&lt;=12,'Client'!$D188&lt;5,(OR('Client'!$F188="Premium ")))),45%,0%)))</f>
        <v>0.45</v>
      </c>
      <c r="L188" s="4">
        <f>'Client'!$I188* ('Client'!$K188/100)</f>
        <v>0.24291000000000001</v>
      </c>
    </row>
    <row r="189" spans="1:12" x14ac:dyDescent="0.3">
      <c r="A189" t="s">
        <v>190</v>
      </c>
      <c r="B189" t="s">
        <v>229</v>
      </c>
      <c r="C189" t="s">
        <v>33</v>
      </c>
      <c r="D189" t="str">
        <f>INT('Client'!$E189/12) &amp; " ans et " &amp; MOD('Client'!$E189,12) &amp; " mois"</f>
        <v>4 ans et 7 mois</v>
      </c>
      <c r="E189">
        <v>55</v>
      </c>
      <c r="F189" t="s">
        <v>11</v>
      </c>
      <c r="G189" s="7">
        <f>Client[[#This Row],[Duree_Cumulee_Panne_Min]]/1440</f>
        <v>0.27361111111111114</v>
      </c>
      <c r="H189">
        <v>394</v>
      </c>
      <c r="I189">
        <v>26.8</v>
      </c>
      <c r="J189">
        <v>4</v>
      </c>
      <c r="K189" s="8">
        <f>IF('Client'!$F189="Pro Monde",10%,IF(AND('Client'!$G189&gt;12,'Client'!$D189&gt;5),70%,IF(AND(OR('Client'!$G189&gt;=4,'Client'!$G189&lt;=12,'Client'!$D189&lt;5,(OR('Client'!$F189="Premium ")))),45%,0%)))</f>
        <v>0.45</v>
      </c>
      <c r="L189" s="4">
        <f>'Client'!$I189* ('Client'!$K189/100)</f>
        <v>0.12060000000000001</v>
      </c>
    </row>
    <row r="190" spans="1:12" x14ac:dyDescent="0.3">
      <c r="A190" t="s">
        <v>190</v>
      </c>
      <c r="B190" t="s">
        <v>230</v>
      </c>
      <c r="C190" t="s">
        <v>18</v>
      </c>
      <c r="D190" t="str">
        <f>INT('Client'!$E190/12) &amp; " ans et " &amp; MOD('Client'!$E190,12) &amp; " mois"</f>
        <v>9 ans et 6 mois</v>
      </c>
      <c r="E190">
        <v>114</v>
      </c>
      <c r="F190" t="s">
        <v>11</v>
      </c>
      <c r="G190" s="7">
        <f>Client[[#This Row],[Duree_Cumulee_Panne_Min]]/1440</f>
        <v>0.3347222222222222</v>
      </c>
      <c r="H190">
        <v>482</v>
      </c>
      <c r="I190">
        <v>16.25</v>
      </c>
      <c r="J190">
        <v>3</v>
      </c>
      <c r="K190" s="8">
        <f>IF('Client'!$F190="Pro Monde",10%,IF(AND('Client'!$G190&gt;12,'Client'!$D190&gt;5),70%,IF(AND(OR('Client'!$G190&gt;=4,'Client'!$G190&lt;=12,'Client'!$D190&lt;5,(OR('Client'!$F190="Premium ")))),45%,0%)))</f>
        <v>0.45</v>
      </c>
      <c r="L190" s="4">
        <f>'Client'!$I190* ('Client'!$K190/100)</f>
        <v>7.3125000000000009E-2</v>
      </c>
    </row>
    <row r="191" spans="1:12" x14ac:dyDescent="0.3">
      <c r="A191" t="s">
        <v>190</v>
      </c>
      <c r="B191" t="s">
        <v>231</v>
      </c>
      <c r="C191" t="s">
        <v>40</v>
      </c>
      <c r="D191" t="str">
        <f>INT('Client'!$E191/12) &amp; " ans et " &amp; MOD('Client'!$E191,12) &amp; " mois"</f>
        <v>4 ans et 1 mois</v>
      </c>
      <c r="E191">
        <v>49</v>
      </c>
      <c r="F191" t="s">
        <v>11</v>
      </c>
      <c r="G191" s="7">
        <f>Client[[#This Row],[Duree_Cumulee_Panne_Min]]/1440</f>
        <v>0.24791666666666667</v>
      </c>
      <c r="H191">
        <v>357</v>
      </c>
      <c r="I191">
        <v>96.67</v>
      </c>
      <c r="J191">
        <v>3</v>
      </c>
      <c r="K191" s="8">
        <f>IF('Client'!$F191="Pro Monde",10%,IF(AND('Client'!$G191&gt;12,'Client'!$D191&gt;5),70%,IF(AND(OR('Client'!$G191&gt;=4,'Client'!$G191&lt;=12,'Client'!$D191&lt;5,(OR('Client'!$F191="Premium ")))),45%,0%)))</f>
        <v>0.45</v>
      </c>
      <c r="L191" s="4">
        <f>'Client'!$I191* ('Client'!$K191/100)</f>
        <v>0.43501500000000004</v>
      </c>
    </row>
    <row r="192" spans="1:12" x14ac:dyDescent="0.3">
      <c r="A192" t="s">
        <v>190</v>
      </c>
      <c r="B192" t="s">
        <v>232</v>
      </c>
      <c r="C192" t="s">
        <v>24</v>
      </c>
      <c r="D192" t="str">
        <f>INT('Client'!$E192/12) &amp; " ans et " &amp; MOD('Client'!$E192,12) &amp; " mois"</f>
        <v>6 ans et 2 mois</v>
      </c>
      <c r="E192">
        <v>74</v>
      </c>
      <c r="F192" t="s">
        <v>11</v>
      </c>
      <c r="G192" s="7">
        <f>Client[[#This Row],[Duree_Cumulee_Panne_Min]]/1440</f>
        <v>0.14791666666666667</v>
      </c>
      <c r="H192">
        <v>213</v>
      </c>
      <c r="I192">
        <v>35.54</v>
      </c>
      <c r="J192">
        <v>3</v>
      </c>
      <c r="K192" s="8">
        <f>IF('Client'!$F192="Pro Monde",10%,IF(AND('Client'!$G192&gt;12,'Client'!$D192&gt;5),70%,IF(AND(OR('Client'!$G192&gt;=4,'Client'!$G192&lt;=12,'Client'!$D192&lt;5,(OR('Client'!$F192="Premium ")))),45%,0%)))</f>
        <v>0.45</v>
      </c>
      <c r="L192" s="4">
        <f>'Client'!$I192* ('Client'!$K192/100)</f>
        <v>0.15993000000000002</v>
      </c>
    </row>
    <row r="193" spans="1:12" x14ac:dyDescent="0.3">
      <c r="A193" t="s">
        <v>190</v>
      </c>
      <c r="B193" t="s">
        <v>233</v>
      </c>
      <c r="C193" t="s">
        <v>26</v>
      </c>
      <c r="D193" t="str">
        <f>INT('Client'!$E193/12) &amp; " ans et " &amp; MOD('Client'!$E193,12) &amp; " mois"</f>
        <v>1 ans et 9 mois</v>
      </c>
      <c r="E193">
        <v>21</v>
      </c>
      <c r="F193" t="s">
        <v>22</v>
      </c>
      <c r="G193" s="7">
        <f>Client[[#This Row],[Duree_Cumulee_Panne_Min]]/1440</f>
        <v>7.4305555555555555E-2</v>
      </c>
      <c r="H193">
        <v>107</v>
      </c>
      <c r="I193">
        <v>30.97</v>
      </c>
      <c r="J193">
        <v>4</v>
      </c>
      <c r="K193" s="8">
        <f>IF('Client'!$F193="Pro Monde",10%,IF(AND('Client'!$G193&gt;12,'Client'!$D193&gt;5),70%,IF(AND(OR('Client'!$G193&gt;=4,'Client'!$G193&lt;=12,'Client'!$D193&lt;5,(OR('Client'!$F193="Premium ")))),45%,0%)))</f>
        <v>0.45</v>
      </c>
      <c r="L193" s="4">
        <f>'Client'!$I193* ('Client'!$K193/100)</f>
        <v>0.13936500000000002</v>
      </c>
    </row>
    <row r="194" spans="1:12" x14ac:dyDescent="0.3">
      <c r="A194" t="s">
        <v>190</v>
      </c>
      <c r="B194" t="s">
        <v>234</v>
      </c>
      <c r="C194" t="s">
        <v>24</v>
      </c>
      <c r="D194" t="str">
        <f>INT('Client'!$E194/12) &amp; " ans et " &amp; MOD('Client'!$E194,12) &amp; " mois"</f>
        <v>10 ans et 0 mois</v>
      </c>
      <c r="E194">
        <v>120</v>
      </c>
      <c r="F194" t="s">
        <v>22</v>
      </c>
      <c r="G194" s="7">
        <f>Client[[#This Row],[Duree_Cumulee_Panne_Min]]/1440</f>
        <v>0.15555555555555556</v>
      </c>
      <c r="H194">
        <v>224</v>
      </c>
      <c r="I194">
        <v>69.36</v>
      </c>
      <c r="J194">
        <v>0</v>
      </c>
      <c r="K194" s="8">
        <f>IF('Client'!$F194="Pro Monde",10%,IF(AND('Client'!$G194&gt;12,'Client'!$D194&gt;5),70%,IF(AND(OR('Client'!$G194&gt;=4,'Client'!$G194&lt;=12,'Client'!$D194&lt;5,(OR('Client'!$F194="Premium ")))),45%,0%)))</f>
        <v>0.45</v>
      </c>
      <c r="L194" s="4">
        <f>'Client'!$I194* ('Client'!$K194/100)</f>
        <v>0.31212000000000001</v>
      </c>
    </row>
    <row r="195" spans="1:12" x14ac:dyDescent="0.3">
      <c r="A195" t="s">
        <v>190</v>
      </c>
      <c r="B195" t="s">
        <v>235</v>
      </c>
      <c r="C195" t="s">
        <v>13</v>
      </c>
      <c r="D195" t="str">
        <f>INT('Client'!$E195/12) &amp; " ans et " &amp; MOD('Client'!$E195,12) &amp; " mois"</f>
        <v>9 ans et 0 mois</v>
      </c>
      <c r="E195">
        <v>108</v>
      </c>
      <c r="F195" t="s">
        <v>11</v>
      </c>
      <c r="G195" s="7">
        <f>Client[[#This Row],[Duree_Cumulee_Panne_Min]]/1440</f>
        <v>0.15972222222222221</v>
      </c>
      <c r="H195">
        <v>230</v>
      </c>
      <c r="I195">
        <v>16.3</v>
      </c>
      <c r="J195">
        <v>5</v>
      </c>
      <c r="K195" s="8">
        <f>IF('Client'!$F195="Pro Monde",10%,IF(AND('Client'!$G195&gt;12,'Client'!$D195&gt;5),70%,IF(AND(OR('Client'!$G195&gt;=4,'Client'!$G195&lt;=12,'Client'!$D195&lt;5,(OR('Client'!$F195="Premium ")))),45%,0%)))</f>
        <v>0.45</v>
      </c>
      <c r="L195" s="4">
        <f>'Client'!$I195* ('Client'!$K195/100)</f>
        <v>7.3350000000000012E-2</v>
      </c>
    </row>
    <row r="196" spans="1:12" x14ac:dyDescent="0.3">
      <c r="A196" t="s">
        <v>190</v>
      </c>
      <c r="B196" t="s">
        <v>236</v>
      </c>
      <c r="C196" t="s">
        <v>31</v>
      </c>
      <c r="D196" t="str">
        <f>INT('Client'!$E196/12) &amp; " ans et " &amp; MOD('Client'!$E196,12) &amp; " mois"</f>
        <v>4 ans et 0 mois</v>
      </c>
      <c r="E196">
        <v>48</v>
      </c>
      <c r="F196" t="s">
        <v>19</v>
      </c>
      <c r="G196" s="7">
        <f>Client[[#This Row],[Duree_Cumulee_Panne_Min]]/1440</f>
        <v>0.30277777777777776</v>
      </c>
      <c r="H196">
        <v>436</v>
      </c>
      <c r="I196">
        <v>15.17</v>
      </c>
      <c r="J196">
        <v>0</v>
      </c>
      <c r="K196" s="8">
        <f>IF('Client'!$F196="Pro Monde",10%,IF(AND('Client'!$G196&gt;12,'Client'!$D196&gt;5),70%,IF(AND(OR('Client'!$G196&gt;=4,'Client'!$G196&lt;=12,'Client'!$D196&lt;5,(OR('Client'!$F196="Premium ")))),45%,0%)))</f>
        <v>0.45</v>
      </c>
      <c r="L196" s="4">
        <f>'Client'!$I196* ('Client'!$K196/100)</f>
        <v>6.8265000000000006E-2</v>
      </c>
    </row>
    <row r="197" spans="1:12" x14ac:dyDescent="0.3">
      <c r="A197" t="s">
        <v>190</v>
      </c>
      <c r="B197" t="s">
        <v>237</v>
      </c>
      <c r="C197" t="s">
        <v>40</v>
      </c>
      <c r="D197" t="str">
        <f>INT('Client'!$E197/12) &amp; " ans et " &amp; MOD('Client'!$E197,12) &amp; " mois"</f>
        <v>2 ans et 9 mois</v>
      </c>
      <c r="E197">
        <v>33</v>
      </c>
      <c r="F197" t="s">
        <v>11</v>
      </c>
      <c r="G197" s="7">
        <f>Client[[#This Row],[Duree_Cumulee_Panne_Min]]/1440</f>
        <v>0.19791666666666666</v>
      </c>
      <c r="H197">
        <v>285</v>
      </c>
      <c r="I197">
        <v>56.67</v>
      </c>
      <c r="J197">
        <v>2</v>
      </c>
      <c r="K197" s="8">
        <f>IF('Client'!$F197="Pro Monde",10%,IF(AND('Client'!$G197&gt;12,'Client'!$D197&gt;5),70%,IF(AND(OR('Client'!$G197&gt;=4,'Client'!$G197&lt;=12,'Client'!$D197&lt;5,(OR('Client'!$F197="Premium ")))),45%,0%)))</f>
        <v>0.45</v>
      </c>
      <c r="L197" s="4">
        <f>'Client'!$I197* ('Client'!$K197/100)</f>
        <v>0.25501500000000005</v>
      </c>
    </row>
    <row r="198" spans="1:12" x14ac:dyDescent="0.3">
      <c r="A198" t="s">
        <v>190</v>
      </c>
      <c r="B198" t="s">
        <v>238</v>
      </c>
      <c r="C198" t="s">
        <v>29</v>
      </c>
      <c r="D198" t="str">
        <f>INT('Client'!$E198/12) &amp; " ans et " &amp; MOD('Client'!$E198,12) &amp; " mois"</f>
        <v>5 ans et 11 mois</v>
      </c>
      <c r="E198">
        <v>71</v>
      </c>
      <c r="F198" t="s">
        <v>11</v>
      </c>
      <c r="G198" s="7">
        <f>Client[[#This Row],[Duree_Cumulee_Panne_Min]]/1440</f>
        <v>1.0416666666666666E-2</v>
      </c>
      <c r="H198">
        <v>15</v>
      </c>
      <c r="I198">
        <v>25.46</v>
      </c>
      <c r="J198">
        <v>5</v>
      </c>
      <c r="K198" s="8">
        <f>IF('Client'!$F198="Pro Monde",10%,IF(AND('Client'!$G198&gt;12,'Client'!$D198&gt;5),70%,IF(AND(OR('Client'!$G198&gt;=4,'Client'!$G198&lt;=12,'Client'!$D198&lt;5,(OR('Client'!$F198="Premium ")))),45%,0%)))</f>
        <v>0.45</v>
      </c>
      <c r="L198" s="4">
        <f>'Client'!$I198* ('Client'!$K198/100)</f>
        <v>0.11457000000000002</v>
      </c>
    </row>
    <row r="199" spans="1:12" x14ac:dyDescent="0.3">
      <c r="A199" t="s">
        <v>190</v>
      </c>
      <c r="B199" t="s">
        <v>239</v>
      </c>
      <c r="C199" t="s">
        <v>73</v>
      </c>
      <c r="D199" t="str">
        <f>INT('Client'!$E199/12) &amp; " ans et " &amp; MOD('Client'!$E199,12) &amp; " mois"</f>
        <v>0 ans et 11 mois</v>
      </c>
      <c r="E199">
        <v>11</v>
      </c>
      <c r="F199" t="s">
        <v>11</v>
      </c>
      <c r="G199" s="7">
        <f>Client[[#This Row],[Duree_Cumulee_Panne_Min]]/1440</f>
        <v>0.13263888888888889</v>
      </c>
      <c r="H199">
        <v>191</v>
      </c>
      <c r="I199">
        <v>87.37</v>
      </c>
      <c r="J199">
        <v>3</v>
      </c>
      <c r="K199" s="8">
        <f>IF('Client'!$F199="Pro Monde",10%,IF(AND('Client'!$G199&gt;12,'Client'!$D199&gt;5),70%,IF(AND(OR('Client'!$G199&gt;=4,'Client'!$G199&lt;=12,'Client'!$D199&lt;5,(OR('Client'!$F199="Premium ")))),45%,0%)))</f>
        <v>0.45</v>
      </c>
      <c r="L199" s="4">
        <f>'Client'!$I199* ('Client'!$K199/100)</f>
        <v>0.39316500000000004</v>
      </c>
    </row>
    <row r="200" spans="1:12" x14ac:dyDescent="0.3">
      <c r="A200" t="s">
        <v>190</v>
      </c>
      <c r="B200" t="s">
        <v>240</v>
      </c>
      <c r="C200" t="s">
        <v>131</v>
      </c>
      <c r="D200" t="str">
        <f>INT('Client'!$E200/12) &amp; " ans et " &amp; MOD('Client'!$E200,12) &amp; " mois"</f>
        <v>1 ans et 6 mois</v>
      </c>
      <c r="E200">
        <v>18</v>
      </c>
      <c r="F200" t="s">
        <v>14</v>
      </c>
      <c r="G200" s="7">
        <f>Client[[#This Row],[Duree_Cumulee_Panne_Min]]/1440</f>
        <v>4.9305555555555554E-2</v>
      </c>
      <c r="H200">
        <v>71</v>
      </c>
      <c r="I200">
        <v>46.98</v>
      </c>
      <c r="J200">
        <v>2</v>
      </c>
      <c r="K200" s="8">
        <f>IF('Client'!$F200="Pro Monde",10%,IF(AND('Client'!$G200&gt;12,'Client'!$D200&gt;5),70%,IF(AND(OR('Client'!$G200&gt;=4,'Client'!$G200&lt;=12,'Client'!$D200&lt;5,(OR('Client'!$F200="Premium ")))),45%,0%)))</f>
        <v>0.1</v>
      </c>
      <c r="L200" s="4">
        <f>'Client'!$I200* ('Client'!$K200/100)</f>
        <v>4.6980000000000001E-2</v>
      </c>
    </row>
    <row r="201" spans="1:12" x14ac:dyDescent="0.3">
      <c r="A201" t="s">
        <v>241</v>
      </c>
      <c r="B201" t="s">
        <v>242</v>
      </c>
      <c r="C201" t="s">
        <v>35</v>
      </c>
      <c r="D201" t="str">
        <f>INT('Client'!$E201/12) &amp; " ans et " &amp; MOD('Client'!$E201,12) &amp; " mois"</f>
        <v>2 ans et 3 mois</v>
      </c>
      <c r="E201">
        <v>27</v>
      </c>
      <c r="F201" t="s">
        <v>11</v>
      </c>
      <c r="G201" s="7">
        <f>Client[[#This Row],[Duree_Cumulee_Panne_Min]]/1440</f>
        <v>4.2361111111111113E-2</v>
      </c>
      <c r="H201">
        <v>61</v>
      </c>
      <c r="I201">
        <v>97.51</v>
      </c>
      <c r="J201">
        <v>5</v>
      </c>
      <c r="K201" s="8">
        <f>IF('Client'!$F201="Pro Monde",10%,IF(AND('Client'!$G201&gt;12,'Client'!$D201&gt;5),70%,IF(AND(OR('Client'!$G201&gt;=4,'Client'!$G201&lt;=12,'Client'!$D201&lt;5,(OR('Client'!$F201="Premium ")))),45%,0%)))</f>
        <v>0.45</v>
      </c>
      <c r="L201" s="4">
        <f>'Client'!$I201* ('Client'!$K201/100)</f>
        <v>0.4387950000000001</v>
      </c>
    </row>
    <row r="202" spans="1:12" x14ac:dyDescent="0.3">
      <c r="A202" t="s">
        <v>241</v>
      </c>
      <c r="B202" t="s">
        <v>243</v>
      </c>
      <c r="C202" t="s">
        <v>131</v>
      </c>
      <c r="D202" t="str">
        <f>INT('Client'!$E202/12) &amp; " ans et " &amp; MOD('Client'!$E202,12) &amp; " mois"</f>
        <v>5 ans et 5 mois</v>
      </c>
      <c r="E202">
        <v>65</v>
      </c>
      <c r="F202" t="s">
        <v>19</v>
      </c>
      <c r="G202" s="7">
        <f>Client[[#This Row],[Duree_Cumulee_Panne_Min]]/1440</f>
        <v>8.1944444444444445E-2</v>
      </c>
      <c r="H202">
        <v>118</v>
      </c>
      <c r="I202">
        <v>72.430000000000007</v>
      </c>
      <c r="J202">
        <v>1</v>
      </c>
      <c r="K202" s="8">
        <f>IF('Client'!$F202="Pro Monde",10%,IF(AND('Client'!$G202&gt;12,'Client'!$D202&gt;5),70%,IF(AND(OR('Client'!$G202&gt;=4,'Client'!$G202&lt;=12,'Client'!$D202&lt;5,(OR('Client'!$F202="Premium ")))),45%,0%)))</f>
        <v>0.45</v>
      </c>
      <c r="L202" s="4">
        <f>'Client'!$I202* ('Client'!$K202/100)</f>
        <v>0.32593500000000009</v>
      </c>
    </row>
    <row r="203" spans="1:12" x14ac:dyDescent="0.3">
      <c r="A203" t="s">
        <v>241</v>
      </c>
      <c r="B203" t="s">
        <v>244</v>
      </c>
      <c r="C203" t="s">
        <v>31</v>
      </c>
      <c r="D203" t="str">
        <f>INT('Client'!$E203/12) &amp; " ans et " &amp; MOD('Client'!$E203,12) &amp; " mois"</f>
        <v>0 ans et 6 mois</v>
      </c>
      <c r="E203">
        <v>6</v>
      </c>
      <c r="F203" t="s">
        <v>14</v>
      </c>
      <c r="G203" s="7">
        <f>Client[[#This Row],[Duree_Cumulee_Panne_Min]]/1440</f>
        <v>7.5694444444444439E-2</v>
      </c>
      <c r="H203">
        <v>109</v>
      </c>
      <c r="I203">
        <v>39.880000000000003</v>
      </c>
      <c r="J203">
        <v>4</v>
      </c>
      <c r="K203" s="8">
        <f>IF('Client'!$F203="Pro Monde",10%,IF(AND('Client'!$G203&gt;12,'Client'!$D203&gt;5),70%,IF(AND(OR('Client'!$G203&gt;=4,'Client'!$G203&lt;=12,'Client'!$D203&lt;5,(OR('Client'!$F203="Premium ")))),45%,0%)))</f>
        <v>0.1</v>
      </c>
      <c r="L203" s="4">
        <f>'Client'!$I203* ('Client'!$K203/100)</f>
        <v>3.9880000000000006E-2</v>
      </c>
    </row>
    <row r="204" spans="1:12" x14ac:dyDescent="0.3">
      <c r="A204" t="s">
        <v>241</v>
      </c>
      <c r="B204" t="s">
        <v>245</v>
      </c>
      <c r="C204" t="s">
        <v>24</v>
      </c>
      <c r="D204" t="str">
        <f>INT('Client'!$E204/12) &amp; " ans et " &amp; MOD('Client'!$E204,12) &amp; " mois"</f>
        <v>5 ans et 0 mois</v>
      </c>
      <c r="E204">
        <v>60</v>
      </c>
      <c r="F204" t="s">
        <v>22</v>
      </c>
      <c r="G204" s="7">
        <f>Client[[#This Row],[Duree_Cumulee_Panne_Min]]/1440</f>
        <v>3.7499999999999999E-2</v>
      </c>
      <c r="H204">
        <v>54</v>
      </c>
      <c r="I204">
        <v>67.180000000000007</v>
      </c>
      <c r="J204">
        <v>3</v>
      </c>
      <c r="K204" s="8">
        <f>IF('Client'!$F204="Pro Monde",10%,IF(AND('Client'!$G204&gt;12,'Client'!$D204&gt;5),70%,IF(AND(OR('Client'!$G204&gt;=4,'Client'!$G204&lt;=12,'Client'!$D204&lt;5,(OR('Client'!$F204="Premium ")))),45%,0%)))</f>
        <v>0.45</v>
      </c>
      <c r="L204" s="4">
        <f>'Client'!$I204* ('Client'!$K204/100)</f>
        <v>0.30231000000000008</v>
      </c>
    </row>
    <row r="205" spans="1:12" x14ac:dyDescent="0.3">
      <c r="A205" t="s">
        <v>241</v>
      </c>
      <c r="B205" t="s">
        <v>246</v>
      </c>
      <c r="C205" t="s">
        <v>29</v>
      </c>
      <c r="D205" t="str">
        <f>INT('Client'!$E205/12) &amp; " ans et " &amp; MOD('Client'!$E205,12) &amp; " mois"</f>
        <v>0 ans et 4 mois</v>
      </c>
      <c r="E205">
        <v>4</v>
      </c>
      <c r="F205" t="s">
        <v>19</v>
      </c>
      <c r="G205" s="7">
        <f>Client[[#This Row],[Duree_Cumulee_Panne_Min]]/1440</f>
        <v>0.12638888888888888</v>
      </c>
      <c r="H205">
        <v>182</v>
      </c>
      <c r="I205">
        <v>89.56</v>
      </c>
      <c r="J205">
        <v>4</v>
      </c>
      <c r="K205" s="8">
        <f>IF('Client'!$F205="Pro Monde",10%,IF(AND('Client'!$G205&gt;12,'Client'!$D205&gt;5),70%,IF(AND(OR('Client'!$G205&gt;=4,'Client'!$G205&lt;=12,'Client'!$D205&lt;5,(OR('Client'!$F205="Premium ")))),45%,0%)))</f>
        <v>0.45</v>
      </c>
      <c r="L205" s="4">
        <f>'Client'!$I205* ('Client'!$K205/100)</f>
        <v>0.40302000000000004</v>
      </c>
    </row>
    <row r="206" spans="1:12" x14ac:dyDescent="0.3">
      <c r="A206" t="s">
        <v>241</v>
      </c>
      <c r="B206" t="s">
        <v>247</v>
      </c>
      <c r="C206" t="s">
        <v>10</v>
      </c>
      <c r="D206" t="str">
        <f>INT('Client'!$E206/12) &amp; " ans et " &amp; MOD('Client'!$E206,12) &amp; " mois"</f>
        <v>0 ans et 10 mois</v>
      </c>
      <c r="E206">
        <v>10</v>
      </c>
      <c r="F206" t="s">
        <v>19</v>
      </c>
      <c r="G206" s="7">
        <f>Client[[#This Row],[Duree_Cumulee_Panne_Min]]/1440</f>
        <v>0.11458333333333333</v>
      </c>
      <c r="H206">
        <v>165</v>
      </c>
      <c r="I206">
        <v>38.619999999999997</v>
      </c>
      <c r="J206">
        <v>2</v>
      </c>
      <c r="K206" s="8">
        <f>IF('Client'!$F206="Pro Monde",10%,IF(AND('Client'!$G206&gt;12,'Client'!$D206&gt;5),70%,IF(AND(OR('Client'!$G206&gt;=4,'Client'!$G206&lt;=12,'Client'!$D206&lt;5,(OR('Client'!$F206="Premium ")))),45%,0%)))</f>
        <v>0.45</v>
      </c>
      <c r="L206" s="4">
        <f>'Client'!$I206* ('Client'!$K206/100)</f>
        <v>0.17379</v>
      </c>
    </row>
    <row r="207" spans="1:12" x14ac:dyDescent="0.3">
      <c r="A207" t="s">
        <v>241</v>
      </c>
      <c r="B207" t="s">
        <v>248</v>
      </c>
      <c r="C207" t="s">
        <v>57</v>
      </c>
      <c r="D207" t="str">
        <f>INT('Client'!$E207/12) &amp; " ans et " &amp; MOD('Client'!$E207,12) &amp; " mois"</f>
        <v>6 ans et 10 mois</v>
      </c>
      <c r="E207">
        <v>82</v>
      </c>
      <c r="F207" t="s">
        <v>11</v>
      </c>
      <c r="G207" s="7">
        <f>Client[[#This Row],[Duree_Cumulee_Panne_Min]]/1440</f>
        <v>6.1111111111111109E-2</v>
      </c>
      <c r="H207">
        <v>88</v>
      </c>
      <c r="I207">
        <v>86.64</v>
      </c>
      <c r="J207">
        <v>1</v>
      </c>
      <c r="K207" s="8">
        <f>IF('Client'!$F207="Pro Monde",10%,IF(AND('Client'!$G207&gt;12,'Client'!$D207&gt;5),70%,IF(AND(OR('Client'!$G207&gt;=4,'Client'!$G207&lt;=12,'Client'!$D207&lt;5,(OR('Client'!$F207="Premium ")))),45%,0%)))</f>
        <v>0.45</v>
      </c>
      <c r="L207" s="4">
        <f>'Client'!$I207* ('Client'!$K207/100)</f>
        <v>0.38988000000000006</v>
      </c>
    </row>
    <row r="208" spans="1:12" x14ac:dyDescent="0.3">
      <c r="A208" t="s">
        <v>241</v>
      </c>
      <c r="B208" t="s">
        <v>249</v>
      </c>
      <c r="C208" t="s">
        <v>29</v>
      </c>
      <c r="D208" t="str">
        <f>INT('Client'!$E208/12) &amp; " ans et " &amp; MOD('Client'!$E208,12) &amp; " mois"</f>
        <v>7 ans et 5 mois</v>
      </c>
      <c r="E208">
        <v>89</v>
      </c>
      <c r="F208" t="s">
        <v>22</v>
      </c>
      <c r="G208" s="7">
        <f>Client[[#This Row],[Duree_Cumulee_Panne_Min]]/1440</f>
        <v>4.8611111111111112E-3</v>
      </c>
      <c r="H208">
        <v>7</v>
      </c>
      <c r="I208">
        <v>53.39</v>
      </c>
      <c r="J208">
        <v>3</v>
      </c>
      <c r="K208" s="8">
        <f>IF('Client'!$F208="Pro Monde",10%,IF(AND('Client'!$G208&gt;12,'Client'!$D208&gt;5),70%,IF(AND(OR('Client'!$G208&gt;=4,'Client'!$G208&lt;=12,'Client'!$D208&lt;5,(OR('Client'!$F208="Premium ")))),45%,0%)))</f>
        <v>0.45</v>
      </c>
      <c r="L208" s="4">
        <f>'Client'!$I208* ('Client'!$K208/100)</f>
        <v>0.24025500000000002</v>
      </c>
    </row>
    <row r="209" spans="1:12" x14ac:dyDescent="0.3">
      <c r="A209" t="s">
        <v>241</v>
      </c>
      <c r="B209" t="s">
        <v>250</v>
      </c>
      <c r="C209" t="s">
        <v>31</v>
      </c>
      <c r="D209" t="str">
        <f>INT('Client'!$E209/12) &amp; " ans et " &amp; MOD('Client'!$E209,12) &amp; " mois"</f>
        <v>7 ans et 3 mois</v>
      </c>
      <c r="E209">
        <v>87</v>
      </c>
      <c r="F209" t="s">
        <v>14</v>
      </c>
      <c r="G209" s="7">
        <f>Client[[#This Row],[Duree_Cumulee_Panne_Min]]/1440</f>
        <v>0.1423611111111111</v>
      </c>
      <c r="H209">
        <v>205</v>
      </c>
      <c r="I209">
        <v>40.159999999999997</v>
      </c>
      <c r="J209">
        <v>5</v>
      </c>
      <c r="K209" s="8">
        <f>IF('Client'!$F209="Pro Monde",10%,IF(AND('Client'!$G209&gt;12,'Client'!$D209&gt;5),70%,IF(AND(OR('Client'!$G209&gt;=4,'Client'!$G209&lt;=12,'Client'!$D209&lt;5,(OR('Client'!$F209="Premium ")))),45%,0%)))</f>
        <v>0.1</v>
      </c>
      <c r="L209" s="4">
        <f>'Client'!$I209* ('Client'!$K209/100)</f>
        <v>4.0159999999999994E-2</v>
      </c>
    </row>
    <row r="210" spans="1:12" x14ac:dyDescent="0.3">
      <c r="A210" t="s">
        <v>241</v>
      </c>
      <c r="B210" t="s">
        <v>251</v>
      </c>
      <c r="C210" t="s">
        <v>18</v>
      </c>
      <c r="D210" t="str">
        <f>INT('Client'!$E210/12) &amp; " ans et " &amp; MOD('Client'!$E210,12) &amp; " mois"</f>
        <v>8 ans et 0 mois</v>
      </c>
      <c r="E210">
        <v>96</v>
      </c>
      <c r="F210" t="s">
        <v>11</v>
      </c>
      <c r="G210" s="7">
        <f>Client[[#This Row],[Duree_Cumulee_Panne_Min]]/1440</f>
        <v>0.23194444444444445</v>
      </c>
      <c r="H210">
        <v>334</v>
      </c>
      <c r="I210">
        <v>64.77</v>
      </c>
      <c r="J210">
        <v>0</v>
      </c>
      <c r="K210" s="8">
        <f>IF('Client'!$F210="Pro Monde",10%,IF(AND('Client'!$G210&gt;12,'Client'!$D210&gt;5),70%,IF(AND(OR('Client'!$G210&gt;=4,'Client'!$G210&lt;=12,'Client'!$D210&lt;5,(OR('Client'!$F210="Premium ")))),45%,0%)))</f>
        <v>0.45</v>
      </c>
      <c r="L210" s="4">
        <f>'Client'!$I210* ('Client'!$K210/100)</f>
        <v>0.29146500000000003</v>
      </c>
    </row>
    <row r="211" spans="1:12" x14ac:dyDescent="0.3">
      <c r="A211" t="s">
        <v>241</v>
      </c>
      <c r="B211" t="s">
        <v>252</v>
      </c>
      <c r="C211" t="s">
        <v>10</v>
      </c>
      <c r="D211" t="str">
        <f>INT('Client'!$E211/12) &amp; " ans et " &amp; MOD('Client'!$E211,12) &amp; " mois"</f>
        <v>5 ans et 0 mois</v>
      </c>
      <c r="E211">
        <v>60</v>
      </c>
      <c r="F211" t="s">
        <v>22</v>
      </c>
      <c r="G211" s="7">
        <f>Client[[#This Row],[Duree_Cumulee_Panne_Min]]/1440</f>
        <v>0.11180555555555556</v>
      </c>
      <c r="H211">
        <v>161</v>
      </c>
      <c r="I211">
        <v>62.65</v>
      </c>
      <c r="J211">
        <v>0</v>
      </c>
      <c r="K211" s="8">
        <f>IF('Client'!$F211="Pro Monde",10%,IF(AND('Client'!$G211&gt;12,'Client'!$D211&gt;5),70%,IF(AND(OR('Client'!$G211&gt;=4,'Client'!$G211&lt;=12,'Client'!$D211&lt;5,(OR('Client'!$F211="Premium ")))),45%,0%)))</f>
        <v>0.45</v>
      </c>
      <c r="L211" s="4">
        <f>'Client'!$I211* ('Client'!$K211/100)</f>
        <v>0.28192500000000004</v>
      </c>
    </row>
    <row r="212" spans="1:12" x14ac:dyDescent="0.3">
      <c r="A212" t="s">
        <v>241</v>
      </c>
      <c r="B212" t="s">
        <v>253</v>
      </c>
      <c r="C212" t="s">
        <v>127</v>
      </c>
      <c r="D212" t="str">
        <f>INT('Client'!$E212/12) &amp; " ans et " &amp; MOD('Client'!$E212,12) &amp; " mois"</f>
        <v>4 ans et 1 mois</v>
      </c>
      <c r="E212">
        <v>49</v>
      </c>
      <c r="F212" t="s">
        <v>22</v>
      </c>
      <c r="G212" s="7">
        <f>Client[[#This Row],[Duree_Cumulee_Panne_Min]]/1440</f>
        <v>4.1666666666666666E-3</v>
      </c>
      <c r="H212">
        <v>6</v>
      </c>
      <c r="I212">
        <v>44.41</v>
      </c>
      <c r="J212">
        <v>3</v>
      </c>
      <c r="K212" s="8">
        <f>IF('Client'!$F212="Pro Monde",10%,IF(AND('Client'!$G212&gt;12,'Client'!$D212&gt;5),70%,IF(AND(OR('Client'!$G212&gt;=4,'Client'!$G212&lt;=12,'Client'!$D212&lt;5,(OR('Client'!$F212="Premium ")))),45%,0%)))</f>
        <v>0.45</v>
      </c>
      <c r="L212" s="4">
        <f>'Client'!$I212* ('Client'!$K212/100)</f>
        <v>0.19984499999999999</v>
      </c>
    </row>
    <row r="213" spans="1:12" x14ac:dyDescent="0.3">
      <c r="A213" t="s">
        <v>241</v>
      </c>
      <c r="B213" t="s">
        <v>254</v>
      </c>
      <c r="C213" t="s">
        <v>131</v>
      </c>
      <c r="D213" t="str">
        <f>INT('Client'!$E213/12) &amp; " ans et " &amp; MOD('Client'!$E213,12) &amp; " mois"</f>
        <v>3 ans et 8 mois</v>
      </c>
      <c r="E213">
        <v>44</v>
      </c>
      <c r="F213" t="s">
        <v>19</v>
      </c>
      <c r="G213" s="7">
        <f>Client[[#This Row],[Duree_Cumulee_Panne_Min]]/1440</f>
        <v>0.13819444444444445</v>
      </c>
      <c r="H213">
        <v>199</v>
      </c>
      <c r="I213">
        <v>67.650000000000006</v>
      </c>
      <c r="J213">
        <v>0</v>
      </c>
      <c r="K213" s="8">
        <f>IF('Client'!$F213="Pro Monde",10%,IF(AND('Client'!$G213&gt;12,'Client'!$D213&gt;5),70%,IF(AND(OR('Client'!$G213&gt;=4,'Client'!$G213&lt;=12,'Client'!$D213&lt;5,(OR('Client'!$F213="Premium ")))),45%,0%)))</f>
        <v>0.45</v>
      </c>
      <c r="L213" s="4">
        <f>'Client'!$I213* ('Client'!$K213/100)</f>
        <v>0.30442500000000006</v>
      </c>
    </row>
    <row r="214" spans="1:12" x14ac:dyDescent="0.3">
      <c r="A214" t="s">
        <v>241</v>
      </c>
      <c r="B214" t="s">
        <v>255</v>
      </c>
      <c r="C214" t="s">
        <v>13</v>
      </c>
      <c r="D214" t="str">
        <f>INT('Client'!$E214/12) &amp; " ans et " &amp; MOD('Client'!$E214,12) &amp; " mois"</f>
        <v>8 ans et 0 mois</v>
      </c>
      <c r="E214">
        <v>96</v>
      </c>
      <c r="F214" t="s">
        <v>22</v>
      </c>
      <c r="G214" s="7">
        <f>Client[[#This Row],[Duree_Cumulee_Panne_Min]]/1440</f>
        <v>7.4999999999999997E-2</v>
      </c>
      <c r="H214">
        <v>108</v>
      </c>
      <c r="I214">
        <v>30.92</v>
      </c>
      <c r="J214">
        <v>1</v>
      </c>
      <c r="K214" s="8">
        <f>IF('Client'!$F214="Pro Monde",10%,IF(AND('Client'!$G214&gt;12,'Client'!$D214&gt;5),70%,IF(AND(OR('Client'!$G214&gt;=4,'Client'!$G214&lt;=12,'Client'!$D214&lt;5,(OR('Client'!$F214="Premium ")))),45%,0%)))</f>
        <v>0.45</v>
      </c>
      <c r="L214" s="4">
        <f>'Client'!$I214* ('Client'!$K214/100)</f>
        <v>0.13914000000000001</v>
      </c>
    </row>
    <row r="215" spans="1:12" x14ac:dyDescent="0.3">
      <c r="A215" t="s">
        <v>241</v>
      </c>
      <c r="B215" t="s">
        <v>256</v>
      </c>
      <c r="C215" t="s">
        <v>29</v>
      </c>
      <c r="D215" t="str">
        <f>INT('Client'!$E215/12) &amp; " ans et " &amp; MOD('Client'!$E215,12) &amp; " mois"</f>
        <v>4 ans et 4 mois</v>
      </c>
      <c r="E215">
        <v>52</v>
      </c>
      <c r="F215" t="s">
        <v>14</v>
      </c>
      <c r="G215" s="7">
        <f>Client[[#This Row],[Duree_Cumulee_Panne_Min]]/1440</f>
        <v>0.16250000000000001</v>
      </c>
      <c r="H215">
        <v>234</v>
      </c>
      <c r="I215">
        <v>62.87</v>
      </c>
      <c r="J215">
        <v>0</v>
      </c>
      <c r="K215" s="8">
        <f>IF('Client'!$F215="Pro Monde",10%,IF(AND('Client'!$G215&gt;12,'Client'!$D215&gt;5),70%,IF(AND(OR('Client'!$G215&gt;=4,'Client'!$G215&lt;=12,'Client'!$D215&lt;5,(OR('Client'!$F215="Premium ")))),45%,0%)))</f>
        <v>0.1</v>
      </c>
      <c r="L215" s="4">
        <f>'Client'!$I215* ('Client'!$K215/100)</f>
        <v>6.2869999999999995E-2</v>
      </c>
    </row>
    <row r="216" spans="1:12" x14ac:dyDescent="0.3">
      <c r="A216" t="s">
        <v>241</v>
      </c>
      <c r="B216" t="s">
        <v>257</v>
      </c>
      <c r="C216" t="s">
        <v>37</v>
      </c>
      <c r="D216" t="str">
        <f>INT('Client'!$E216/12) &amp; " ans et " &amp; MOD('Client'!$E216,12) &amp; " mois"</f>
        <v>9 ans et 2 mois</v>
      </c>
      <c r="E216">
        <v>110</v>
      </c>
      <c r="F216" t="s">
        <v>19</v>
      </c>
      <c r="G216" s="7">
        <f>Client[[#This Row],[Duree_Cumulee_Panne_Min]]/1440</f>
        <v>7.7777777777777779E-2</v>
      </c>
      <c r="H216">
        <v>112</v>
      </c>
      <c r="I216">
        <v>98.95</v>
      </c>
      <c r="J216">
        <v>5</v>
      </c>
      <c r="K216" s="8">
        <f>IF('Client'!$F216="Pro Monde",10%,IF(AND('Client'!$G216&gt;12,'Client'!$D216&gt;5),70%,IF(AND(OR('Client'!$G216&gt;=4,'Client'!$G216&lt;=12,'Client'!$D216&lt;5,(OR('Client'!$F216="Premium ")))),45%,0%)))</f>
        <v>0.45</v>
      </c>
      <c r="L216" s="4">
        <f>'Client'!$I216* ('Client'!$K216/100)</f>
        <v>0.44527500000000009</v>
      </c>
    </row>
    <row r="217" spans="1:12" x14ac:dyDescent="0.3">
      <c r="A217" t="s">
        <v>241</v>
      </c>
      <c r="B217" t="s">
        <v>258</v>
      </c>
      <c r="C217" t="s">
        <v>89</v>
      </c>
      <c r="D217" t="str">
        <f>INT('Client'!$E217/12) &amp; " ans et " &amp; MOD('Client'!$E217,12) &amp; " mois"</f>
        <v>2 ans et 1 mois</v>
      </c>
      <c r="E217">
        <v>25</v>
      </c>
      <c r="F217" t="s">
        <v>19</v>
      </c>
      <c r="G217" s="7">
        <f>Client[[#This Row],[Duree_Cumulee_Panne_Min]]/1440</f>
        <v>2.2916666666666665E-2</v>
      </c>
      <c r="H217">
        <v>33</v>
      </c>
      <c r="I217">
        <v>30.93</v>
      </c>
      <c r="J217">
        <v>1</v>
      </c>
      <c r="K217" s="8">
        <f>IF('Client'!$F217="Pro Monde",10%,IF(AND('Client'!$G217&gt;12,'Client'!$D217&gt;5),70%,IF(AND(OR('Client'!$G217&gt;=4,'Client'!$G217&lt;=12,'Client'!$D217&lt;5,(OR('Client'!$F217="Premium ")))),45%,0%)))</f>
        <v>0.45</v>
      </c>
      <c r="L217" s="4">
        <f>'Client'!$I217* ('Client'!$K217/100)</f>
        <v>0.139185</v>
      </c>
    </row>
    <row r="218" spans="1:12" x14ac:dyDescent="0.3">
      <c r="A218" t="s">
        <v>241</v>
      </c>
      <c r="B218" t="s">
        <v>259</v>
      </c>
      <c r="C218" t="s">
        <v>51</v>
      </c>
      <c r="D218" t="str">
        <f>INT('Client'!$E218/12) &amp; " ans et " &amp; MOD('Client'!$E218,12) &amp; " mois"</f>
        <v>4 ans et 3 mois</v>
      </c>
      <c r="E218">
        <v>51</v>
      </c>
      <c r="F218" t="s">
        <v>14</v>
      </c>
      <c r="G218" s="7">
        <f>Client[[#This Row],[Duree_Cumulee_Panne_Min]]/1440</f>
        <v>0.23333333333333334</v>
      </c>
      <c r="H218">
        <v>336</v>
      </c>
      <c r="I218">
        <v>65.47</v>
      </c>
      <c r="J218">
        <v>1</v>
      </c>
      <c r="K218" s="8">
        <f>IF('Client'!$F218="Pro Monde",10%,IF(AND('Client'!$G218&gt;12,'Client'!$D218&gt;5),70%,IF(AND(OR('Client'!$G218&gt;=4,'Client'!$G218&lt;=12,'Client'!$D218&lt;5,(OR('Client'!$F218="Premium ")))),45%,0%)))</f>
        <v>0.1</v>
      </c>
      <c r="L218" s="4">
        <f>'Client'!$I218* ('Client'!$K218/100)</f>
        <v>6.547E-2</v>
      </c>
    </row>
    <row r="219" spans="1:12" x14ac:dyDescent="0.3">
      <c r="A219" t="s">
        <v>241</v>
      </c>
      <c r="B219" t="s">
        <v>260</v>
      </c>
      <c r="C219" t="s">
        <v>131</v>
      </c>
      <c r="D219" t="str">
        <f>INT('Client'!$E219/12) &amp; " ans et " &amp; MOD('Client'!$E219,12) &amp; " mois"</f>
        <v>0 ans et 5 mois</v>
      </c>
      <c r="E219">
        <v>5</v>
      </c>
      <c r="F219" t="s">
        <v>11</v>
      </c>
      <c r="G219" s="7">
        <f>Client[[#This Row],[Duree_Cumulee_Panne_Min]]/1440</f>
        <v>0.28958333333333336</v>
      </c>
      <c r="H219">
        <v>417</v>
      </c>
      <c r="I219">
        <v>90.71</v>
      </c>
      <c r="J219">
        <v>1</v>
      </c>
      <c r="K219" s="8">
        <f>IF('Client'!$F219="Pro Monde",10%,IF(AND('Client'!$G219&gt;12,'Client'!$D219&gt;5),70%,IF(AND(OR('Client'!$G219&gt;=4,'Client'!$G219&lt;=12,'Client'!$D219&lt;5,(OR('Client'!$F219="Premium ")))),45%,0%)))</f>
        <v>0.45</v>
      </c>
      <c r="L219" s="4">
        <f>'Client'!$I219* ('Client'!$K219/100)</f>
        <v>0.40819500000000003</v>
      </c>
    </row>
    <row r="220" spans="1:12" x14ac:dyDescent="0.3">
      <c r="A220" t="s">
        <v>241</v>
      </c>
      <c r="B220" t="s">
        <v>261</v>
      </c>
      <c r="C220" t="s">
        <v>37</v>
      </c>
      <c r="D220" t="str">
        <f>INT('Client'!$E220/12) &amp; " ans et " &amp; MOD('Client'!$E220,12) &amp; " mois"</f>
        <v>0 ans et 2 mois</v>
      </c>
      <c r="E220">
        <v>2</v>
      </c>
      <c r="F220" t="s">
        <v>14</v>
      </c>
      <c r="G220" s="7">
        <f>Client[[#This Row],[Duree_Cumulee_Panne_Min]]/1440</f>
        <v>9.8611111111111108E-2</v>
      </c>
      <c r="H220">
        <v>142</v>
      </c>
      <c r="I220">
        <v>37.799999999999997</v>
      </c>
      <c r="J220">
        <v>0</v>
      </c>
      <c r="K220" s="8">
        <f>IF('Client'!$F220="Pro Monde",10%,IF(AND('Client'!$G220&gt;12,'Client'!$D220&gt;5),70%,IF(AND(OR('Client'!$G220&gt;=4,'Client'!$G220&lt;=12,'Client'!$D220&lt;5,(OR('Client'!$F220="Premium ")))),45%,0%)))</f>
        <v>0.1</v>
      </c>
      <c r="L220" s="4">
        <f>'Client'!$I220* ('Client'!$K220/100)</f>
        <v>3.78E-2</v>
      </c>
    </row>
    <row r="221" spans="1:12" x14ac:dyDescent="0.3">
      <c r="A221" t="s">
        <v>241</v>
      </c>
      <c r="B221" t="s">
        <v>262</v>
      </c>
      <c r="C221" t="s">
        <v>62</v>
      </c>
      <c r="D221" t="str">
        <f>INT('Client'!$E221/12) &amp; " ans et " &amp; MOD('Client'!$E221,12) &amp; " mois"</f>
        <v>2 ans et 9 mois</v>
      </c>
      <c r="E221">
        <v>33</v>
      </c>
      <c r="F221" t="s">
        <v>19</v>
      </c>
      <c r="G221" s="7">
        <f>Client[[#This Row],[Duree_Cumulee_Panne_Min]]/1440</f>
        <v>0.23055555555555557</v>
      </c>
      <c r="H221">
        <v>332</v>
      </c>
      <c r="I221">
        <v>76.41</v>
      </c>
      <c r="J221">
        <v>1</v>
      </c>
      <c r="K221" s="8">
        <f>IF('Client'!$F221="Pro Monde",10%,IF(AND('Client'!$G221&gt;12,'Client'!$D221&gt;5),70%,IF(AND(OR('Client'!$G221&gt;=4,'Client'!$G221&lt;=12,'Client'!$D221&lt;5,(OR('Client'!$F221="Premium ")))),45%,0%)))</f>
        <v>0.45</v>
      </c>
      <c r="L221" s="4">
        <f>'Client'!$I221* ('Client'!$K221/100)</f>
        <v>0.34384500000000001</v>
      </c>
    </row>
    <row r="222" spans="1:12" x14ac:dyDescent="0.3">
      <c r="A222" t="s">
        <v>241</v>
      </c>
      <c r="B222" t="s">
        <v>263</v>
      </c>
      <c r="C222" t="s">
        <v>57</v>
      </c>
      <c r="D222" t="str">
        <f>INT('Client'!$E222/12) &amp; " ans et " &amp; MOD('Client'!$E222,12) &amp; " mois"</f>
        <v>1 ans et 3 mois</v>
      </c>
      <c r="E222">
        <v>15</v>
      </c>
      <c r="F222" t="s">
        <v>19</v>
      </c>
      <c r="G222" s="7">
        <f>Client[[#This Row],[Duree_Cumulee_Panne_Min]]/1440</f>
        <v>0.22152777777777777</v>
      </c>
      <c r="H222">
        <v>319</v>
      </c>
      <c r="I222">
        <v>78.150000000000006</v>
      </c>
      <c r="J222">
        <v>4</v>
      </c>
      <c r="K222" s="8">
        <f>IF('Client'!$F222="Pro Monde",10%,IF(AND('Client'!$G222&gt;12,'Client'!$D222&gt;5),70%,IF(AND(OR('Client'!$G222&gt;=4,'Client'!$G222&lt;=12,'Client'!$D222&lt;5,(OR('Client'!$F222="Premium ")))),45%,0%)))</f>
        <v>0.45</v>
      </c>
      <c r="L222" s="4">
        <f>'Client'!$I222* ('Client'!$K222/100)</f>
        <v>0.35167500000000007</v>
      </c>
    </row>
    <row r="223" spans="1:12" x14ac:dyDescent="0.3">
      <c r="A223" t="s">
        <v>241</v>
      </c>
      <c r="B223" t="s">
        <v>264</v>
      </c>
      <c r="C223" t="s">
        <v>29</v>
      </c>
      <c r="D223" t="str">
        <f>INT('Client'!$E223/12) &amp; " ans et " &amp; MOD('Client'!$E223,12) &amp; " mois"</f>
        <v>7 ans et 7 mois</v>
      </c>
      <c r="E223">
        <v>91</v>
      </c>
      <c r="F223" t="s">
        <v>19</v>
      </c>
      <c r="G223" s="7">
        <f>Client[[#This Row],[Duree_Cumulee_Panne_Min]]/1440</f>
        <v>0.13055555555555556</v>
      </c>
      <c r="H223">
        <v>188</v>
      </c>
      <c r="I223">
        <v>65.78</v>
      </c>
      <c r="J223">
        <v>4</v>
      </c>
      <c r="K223" s="8">
        <f>IF('Client'!$F223="Pro Monde",10%,IF(AND('Client'!$G223&gt;12,'Client'!$D223&gt;5),70%,IF(AND(OR('Client'!$G223&gt;=4,'Client'!$G223&lt;=12,'Client'!$D223&lt;5,(OR('Client'!$F223="Premium ")))),45%,0%)))</f>
        <v>0.45</v>
      </c>
      <c r="L223" s="4">
        <f>'Client'!$I223* ('Client'!$K223/100)</f>
        <v>0.29601000000000005</v>
      </c>
    </row>
    <row r="224" spans="1:12" x14ac:dyDescent="0.3">
      <c r="A224" t="s">
        <v>241</v>
      </c>
      <c r="B224" t="s">
        <v>265</v>
      </c>
      <c r="C224" t="s">
        <v>67</v>
      </c>
      <c r="D224" t="str">
        <f>INT('Client'!$E224/12) &amp; " ans et " &amp; MOD('Client'!$E224,12) &amp; " mois"</f>
        <v>9 ans et 10 mois</v>
      </c>
      <c r="E224">
        <v>118</v>
      </c>
      <c r="F224" t="s">
        <v>14</v>
      </c>
      <c r="G224" s="7">
        <f>Client[[#This Row],[Duree_Cumulee_Panne_Min]]/1440</f>
        <v>1.5277777777777777E-2</v>
      </c>
      <c r="H224">
        <v>22</v>
      </c>
      <c r="I224">
        <v>15.39</v>
      </c>
      <c r="J224">
        <v>1</v>
      </c>
      <c r="K224" s="8">
        <f>IF('Client'!$F224="Pro Monde",10%,IF(AND('Client'!$G224&gt;12,'Client'!$D224&gt;5),70%,IF(AND(OR('Client'!$G224&gt;=4,'Client'!$G224&lt;=12,'Client'!$D224&lt;5,(OR('Client'!$F224="Premium ")))),45%,0%)))</f>
        <v>0.1</v>
      </c>
      <c r="L224" s="4">
        <f>'Client'!$I224* ('Client'!$K224/100)</f>
        <v>1.5390000000000001E-2</v>
      </c>
    </row>
    <row r="225" spans="1:12" x14ac:dyDescent="0.3">
      <c r="A225" t="s">
        <v>241</v>
      </c>
      <c r="B225" t="s">
        <v>266</v>
      </c>
      <c r="C225" t="s">
        <v>16</v>
      </c>
      <c r="D225" t="str">
        <f>INT('Client'!$E225/12) &amp; " ans et " &amp; MOD('Client'!$E225,12) &amp; " mois"</f>
        <v>1 ans et 6 mois</v>
      </c>
      <c r="E225">
        <v>18</v>
      </c>
      <c r="F225" t="s">
        <v>22</v>
      </c>
      <c r="G225" s="7">
        <f>Client[[#This Row],[Duree_Cumulee_Panne_Min]]/1440</f>
        <v>2.361111111111111E-2</v>
      </c>
      <c r="H225">
        <v>34</v>
      </c>
      <c r="I225">
        <v>43.71</v>
      </c>
      <c r="J225">
        <v>1</v>
      </c>
      <c r="K225" s="8">
        <f>IF('Client'!$F225="Pro Monde",10%,IF(AND('Client'!$G225&gt;12,'Client'!$D225&gt;5),70%,IF(AND(OR('Client'!$G225&gt;=4,'Client'!$G225&lt;=12,'Client'!$D225&lt;5,(OR('Client'!$F225="Premium ")))),45%,0%)))</f>
        <v>0.45</v>
      </c>
      <c r="L225" s="4">
        <f>'Client'!$I225* ('Client'!$K225/100)</f>
        <v>0.19669500000000004</v>
      </c>
    </row>
    <row r="226" spans="1:12" x14ac:dyDescent="0.3">
      <c r="A226" t="s">
        <v>241</v>
      </c>
      <c r="B226" t="s">
        <v>267</v>
      </c>
      <c r="C226" t="s">
        <v>60</v>
      </c>
      <c r="D226" t="str">
        <f>INT('Client'!$E226/12) &amp; " ans et " &amp; MOD('Client'!$E226,12) &amp; " mois"</f>
        <v>3 ans et 6 mois</v>
      </c>
      <c r="E226">
        <v>42</v>
      </c>
      <c r="F226" t="s">
        <v>22</v>
      </c>
      <c r="G226" s="7">
        <f>Client[[#This Row],[Duree_Cumulee_Panne_Min]]/1440</f>
        <v>0.31458333333333333</v>
      </c>
      <c r="H226">
        <v>453</v>
      </c>
      <c r="I226">
        <v>36.700000000000003</v>
      </c>
      <c r="J226">
        <v>4</v>
      </c>
      <c r="K226" s="8">
        <f>IF('Client'!$F226="Pro Monde",10%,IF(AND('Client'!$G226&gt;12,'Client'!$D226&gt;5),70%,IF(AND(OR('Client'!$G226&gt;=4,'Client'!$G226&lt;=12,'Client'!$D226&lt;5,(OR('Client'!$F226="Premium ")))),45%,0%)))</f>
        <v>0.45</v>
      </c>
      <c r="L226" s="4">
        <f>'Client'!$I226* ('Client'!$K226/100)</f>
        <v>0.16515000000000002</v>
      </c>
    </row>
    <row r="227" spans="1:12" x14ac:dyDescent="0.3">
      <c r="A227" t="s">
        <v>241</v>
      </c>
      <c r="B227" t="s">
        <v>268</v>
      </c>
      <c r="C227" t="s">
        <v>35</v>
      </c>
      <c r="D227" t="str">
        <f>INT('Client'!$E227/12) &amp; " ans et " &amp; MOD('Client'!$E227,12) &amp; " mois"</f>
        <v>7 ans et 2 mois</v>
      </c>
      <c r="E227">
        <v>86</v>
      </c>
      <c r="F227" t="s">
        <v>11</v>
      </c>
      <c r="G227" s="7">
        <f>Client[[#This Row],[Duree_Cumulee_Panne_Min]]/1440</f>
        <v>7.7083333333333337E-2</v>
      </c>
      <c r="H227">
        <v>111</v>
      </c>
      <c r="I227">
        <v>23.65</v>
      </c>
      <c r="J227">
        <v>0</v>
      </c>
      <c r="K227" s="8">
        <f>IF('Client'!$F227="Pro Monde",10%,IF(AND('Client'!$G227&gt;12,'Client'!$D227&gt;5),70%,IF(AND(OR('Client'!$G227&gt;=4,'Client'!$G227&lt;=12,'Client'!$D227&lt;5,(OR('Client'!$F227="Premium ")))),45%,0%)))</f>
        <v>0.45</v>
      </c>
      <c r="L227" s="4">
        <f>'Client'!$I227* ('Client'!$K227/100)</f>
        <v>0.10642500000000001</v>
      </c>
    </row>
    <row r="228" spans="1:12" x14ac:dyDescent="0.3">
      <c r="A228" t="s">
        <v>241</v>
      </c>
      <c r="B228" t="s">
        <v>269</v>
      </c>
      <c r="C228" t="s">
        <v>13</v>
      </c>
      <c r="D228" t="str">
        <f>INT('Client'!$E228/12) &amp; " ans et " &amp; MOD('Client'!$E228,12) &amp; " mois"</f>
        <v>8 ans et 0 mois</v>
      </c>
      <c r="E228">
        <v>96</v>
      </c>
      <c r="F228" t="s">
        <v>22</v>
      </c>
      <c r="G228" s="7">
        <f>Client[[#This Row],[Duree_Cumulee_Panne_Min]]/1440</f>
        <v>0.14583333333333334</v>
      </c>
      <c r="H228">
        <v>210</v>
      </c>
      <c r="I228">
        <v>28.39</v>
      </c>
      <c r="J228">
        <v>3</v>
      </c>
      <c r="K228" s="8">
        <f>IF('Client'!$F228="Pro Monde",10%,IF(AND('Client'!$G228&gt;12,'Client'!$D228&gt;5),70%,IF(AND(OR('Client'!$G228&gt;=4,'Client'!$G228&lt;=12,'Client'!$D228&lt;5,(OR('Client'!$F228="Premium ")))),45%,0%)))</f>
        <v>0.45</v>
      </c>
      <c r="L228" s="4">
        <f>'Client'!$I228* ('Client'!$K228/100)</f>
        <v>0.12775500000000001</v>
      </c>
    </row>
    <row r="229" spans="1:12" x14ac:dyDescent="0.3">
      <c r="A229" t="s">
        <v>241</v>
      </c>
      <c r="B229" t="s">
        <v>270</v>
      </c>
      <c r="C229" t="s">
        <v>40</v>
      </c>
      <c r="D229" t="str">
        <f>INT('Client'!$E229/12) &amp; " ans et " &amp; MOD('Client'!$E229,12) &amp; " mois"</f>
        <v>5 ans et 0 mois</v>
      </c>
      <c r="E229">
        <v>60</v>
      </c>
      <c r="F229" t="s">
        <v>22</v>
      </c>
      <c r="G229" s="7">
        <f>Client[[#This Row],[Duree_Cumulee_Panne_Min]]/1440</f>
        <v>0.10694444444444444</v>
      </c>
      <c r="H229">
        <v>154</v>
      </c>
      <c r="I229">
        <v>13.41</v>
      </c>
      <c r="J229">
        <v>5</v>
      </c>
      <c r="K229" s="8">
        <f>IF('Client'!$F229="Pro Monde",10%,IF(AND('Client'!$G229&gt;12,'Client'!$D229&gt;5),70%,IF(AND(OR('Client'!$G229&gt;=4,'Client'!$G229&lt;=12,'Client'!$D229&lt;5,(OR('Client'!$F229="Premium ")))),45%,0%)))</f>
        <v>0.45</v>
      </c>
      <c r="L229" s="4">
        <f>'Client'!$I229* ('Client'!$K229/100)</f>
        <v>6.034500000000001E-2</v>
      </c>
    </row>
    <row r="230" spans="1:12" x14ac:dyDescent="0.3">
      <c r="A230" t="s">
        <v>241</v>
      </c>
      <c r="B230" t="s">
        <v>271</v>
      </c>
      <c r="C230" t="s">
        <v>37</v>
      </c>
      <c r="D230" t="str">
        <f>INT('Client'!$E230/12) &amp; " ans et " &amp; MOD('Client'!$E230,12) &amp; " mois"</f>
        <v>5 ans et 3 mois</v>
      </c>
      <c r="E230">
        <v>63</v>
      </c>
      <c r="F230" t="s">
        <v>19</v>
      </c>
      <c r="G230" s="7">
        <f>Client[[#This Row],[Duree_Cumulee_Panne_Min]]/1440</f>
        <v>0.2722222222222222</v>
      </c>
      <c r="H230">
        <v>392</v>
      </c>
      <c r="I230">
        <v>93.11</v>
      </c>
      <c r="J230">
        <v>3</v>
      </c>
      <c r="K230" s="8">
        <f>IF('Client'!$F230="Pro Monde",10%,IF(AND('Client'!$G230&gt;12,'Client'!$D230&gt;5),70%,IF(AND(OR('Client'!$G230&gt;=4,'Client'!$G230&lt;=12,'Client'!$D230&lt;5,(OR('Client'!$F230="Premium ")))),45%,0%)))</f>
        <v>0.45</v>
      </c>
      <c r="L230" s="4">
        <f>'Client'!$I230* ('Client'!$K230/100)</f>
        <v>0.41899500000000006</v>
      </c>
    </row>
    <row r="231" spans="1:12" x14ac:dyDescent="0.3">
      <c r="A231" t="s">
        <v>241</v>
      </c>
      <c r="B231" t="s">
        <v>272</v>
      </c>
      <c r="C231" t="s">
        <v>18</v>
      </c>
      <c r="D231" t="str">
        <f>INT('Client'!$E231/12) &amp; " ans et " &amp; MOD('Client'!$E231,12) &amp; " mois"</f>
        <v>5 ans et 0 mois</v>
      </c>
      <c r="E231">
        <v>60</v>
      </c>
      <c r="F231" t="s">
        <v>19</v>
      </c>
      <c r="G231" s="7">
        <f>Client[[#This Row],[Duree_Cumulee_Panne_Min]]/1440</f>
        <v>0.21249999999999999</v>
      </c>
      <c r="H231">
        <v>306</v>
      </c>
      <c r="I231">
        <v>63.83</v>
      </c>
      <c r="J231">
        <v>2</v>
      </c>
      <c r="K231" s="8">
        <f>IF('Client'!$F231="Pro Monde",10%,IF(AND('Client'!$G231&gt;12,'Client'!$D231&gt;5),70%,IF(AND(OR('Client'!$G231&gt;=4,'Client'!$G231&lt;=12,'Client'!$D231&lt;5,(OR('Client'!$F231="Premium ")))),45%,0%)))</f>
        <v>0.45</v>
      </c>
      <c r="L231" s="4">
        <f>'Client'!$I231* ('Client'!$K231/100)</f>
        <v>0.28723500000000002</v>
      </c>
    </row>
    <row r="232" spans="1:12" x14ac:dyDescent="0.3">
      <c r="A232" t="s">
        <v>241</v>
      </c>
      <c r="B232" t="s">
        <v>273</v>
      </c>
      <c r="C232" t="s">
        <v>18</v>
      </c>
      <c r="D232" t="str">
        <f>INT('Client'!$E232/12) &amp; " ans et " &amp; MOD('Client'!$E232,12) &amp; " mois"</f>
        <v>0 ans et 9 mois</v>
      </c>
      <c r="E232">
        <v>9</v>
      </c>
      <c r="F232" t="s">
        <v>14</v>
      </c>
      <c r="G232" s="7">
        <f>Client[[#This Row],[Duree_Cumulee_Panne_Min]]/1440</f>
        <v>0.17708333333333334</v>
      </c>
      <c r="H232">
        <v>255</v>
      </c>
      <c r="I232">
        <v>95.13</v>
      </c>
      <c r="J232">
        <v>1</v>
      </c>
      <c r="K232" s="8">
        <f>IF('Client'!$F232="Pro Monde",10%,IF(AND('Client'!$G232&gt;12,'Client'!$D232&gt;5),70%,IF(AND(OR('Client'!$G232&gt;=4,'Client'!$G232&lt;=12,'Client'!$D232&lt;5,(OR('Client'!$F232="Premium ")))),45%,0%)))</f>
        <v>0.1</v>
      </c>
      <c r="L232" s="4">
        <f>'Client'!$I232* ('Client'!$K232/100)</f>
        <v>9.5129999999999992E-2</v>
      </c>
    </row>
    <row r="233" spans="1:12" x14ac:dyDescent="0.3">
      <c r="A233" t="s">
        <v>241</v>
      </c>
      <c r="B233" t="s">
        <v>274</v>
      </c>
      <c r="C233" t="s">
        <v>33</v>
      </c>
      <c r="D233" t="str">
        <f>INT('Client'!$E233/12) &amp; " ans et " &amp; MOD('Client'!$E233,12) &amp; " mois"</f>
        <v>0 ans et 11 mois</v>
      </c>
      <c r="E233">
        <v>11</v>
      </c>
      <c r="F233" t="s">
        <v>19</v>
      </c>
      <c r="G233" s="7">
        <f>Client[[#This Row],[Duree_Cumulee_Panne_Min]]/1440</f>
        <v>3.6111111111111108E-2</v>
      </c>
      <c r="H233">
        <v>52</v>
      </c>
      <c r="I233">
        <v>76.53</v>
      </c>
      <c r="J233">
        <v>5</v>
      </c>
      <c r="K233" s="8">
        <f>IF('Client'!$F233="Pro Monde",10%,IF(AND('Client'!$G233&gt;12,'Client'!$D233&gt;5),70%,IF(AND(OR('Client'!$G233&gt;=4,'Client'!$G233&lt;=12,'Client'!$D233&lt;5,(OR('Client'!$F233="Premium ")))),45%,0%)))</f>
        <v>0.45</v>
      </c>
      <c r="L233" s="4">
        <f>'Client'!$I233* ('Client'!$K233/100)</f>
        <v>0.34438500000000005</v>
      </c>
    </row>
    <row r="234" spans="1:12" x14ac:dyDescent="0.3">
      <c r="A234" t="s">
        <v>241</v>
      </c>
      <c r="B234" t="s">
        <v>275</v>
      </c>
      <c r="C234" t="s">
        <v>26</v>
      </c>
      <c r="D234" t="str">
        <f>INT('Client'!$E234/12) &amp; " ans et " &amp; MOD('Client'!$E234,12) &amp; " mois"</f>
        <v>5 ans et 11 mois</v>
      </c>
      <c r="E234">
        <v>71</v>
      </c>
      <c r="F234" t="s">
        <v>19</v>
      </c>
      <c r="G234" s="7">
        <f>Client[[#This Row],[Duree_Cumulee_Panne_Min]]/1440</f>
        <v>0.25277777777777777</v>
      </c>
      <c r="H234">
        <v>364</v>
      </c>
      <c r="I234">
        <v>39.58</v>
      </c>
      <c r="J234">
        <v>1</v>
      </c>
      <c r="K234" s="8">
        <f>IF('Client'!$F234="Pro Monde",10%,IF(AND('Client'!$G234&gt;12,'Client'!$D234&gt;5),70%,IF(AND(OR('Client'!$G234&gt;=4,'Client'!$G234&lt;=12,'Client'!$D234&lt;5,(OR('Client'!$F234="Premium ")))),45%,0%)))</f>
        <v>0.45</v>
      </c>
      <c r="L234" s="4">
        <f>'Client'!$I234* ('Client'!$K234/100)</f>
        <v>0.17811000000000002</v>
      </c>
    </row>
    <row r="235" spans="1:12" x14ac:dyDescent="0.3">
      <c r="A235" t="s">
        <v>241</v>
      </c>
      <c r="B235" t="s">
        <v>276</v>
      </c>
      <c r="C235" t="s">
        <v>10</v>
      </c>
      <c r="D235" t="str">
        <f>INT('Client'!$E235/12) &amp; " ans et " &amp; MOD('Client'!$E235,12) &amp; " mois"</f>
        <v>7 ans et 1 mois</v>
      </c>
      <c r="E235">
        <v>85</v>
      </c>
      <c r="F235" t="s">
        <v>11</v>
      </c>
      <c r="G235" s="7">
        <f>Client[[#This Row],[Duree_Cumulee_Panne_Min]]/1440</f>
        <v>0.19027777777777777</v>
      </c>
      <c r="H235">
        <v>274</v>
      </c>
      <c r="I235">
        <v>35.03</v>
      </c>
      <c r="J235">
        <v>1</v>
      </c>
      <c r="K235" s="8">
        <f>IF('Client'!$F235="Pro Monde",10%,IF(AND('Client'!$G235&gt;12,'Client'!$D235&gt;5),70%,IF(AND(OR('Client'!$G235&gt;=4,'Client'!$G235&lt;=12,'Client'!$D235&lt;5,(OR('Client'!$F235="Premium ")))),45%,0%)))</f>
        <v>0.45</v>
      </c>
      <c r="L235" s="4">
        <f>'Client'!$I235* ('Client'!$K235/100)</f>
        <v>0.15763500000000003</v>
      </c>
    </row>
    <row r="236" spans="1:12" x14ac:dyDescent="0.3">
      <c r="A236" t="s">
        <v>241</v>
      </c>
      <c r="B236" t="s">
        <v>277</v>
      </c>
      <c r="C236" t="s">
        <v>137</v>
      </c>
      <c r="D236" t="str">
        <f>INT('Client'!$E236/12) &amp; " ans et " &amp; MOD('Client'!$E236,12) &amp; " mois"</f>
        <v>2 ans et 8 mois</v>
      </c>
      <c r="E236">
        <v>32</v>
      </c>
      <c r="F236" t="s">
        <v>22</v>
      </c>
      <c r="G236" s="7">
        <f>Client[[#This Row],[Duree_Cumulee_Panne_Min]]/1440</f>
        <v>0.28125</v>
      </c>
      <c r="H236">
        <v>405</v>
      </c>
      <c r="I236">
        <v>67.92</v>
      </c>
      <c r="J236">
        <v>3</v>
      </c>
      <c r="K236" s="8">
        <f>IF('Client'!$F236="Pro Monde",10%,IF(AND('Client'!$G236&gt;12,'Client'!$D236&gt;5),70%,IF(AND(OR('Client'!$G236&gt;=4,'Client'!$G236&lt;=12,'Client'!$D236&lt;5,(OR('Client'!$F236="Premium ")))),45%,0%)))</f>
        <v>0.45</v>
      </c>
      <c r="L236" s="4">
        <f>'Client'!$I236* ('Client'!$K236/100)</f>
        <v>0.30564000000000002</v>
      </c>
    </row>
    <row r="237" spans="1:12" x14ac:dyDescent="0.3">
      <c r="A237" t="s">
        <v>241</v>
      </c>
      <c r="B237" t="s">
        <v>278</v>
      </c>
      <c r="C237" t="s">
        <v>60</v>
      </c>
      <c r="D237" t="str">
        <f>INT('Client'!$E237/12) &amp; " ans et " &amp; MOD('Client'!$E237,12) &amp; " mois"</f>
        <v>7 ans et 8 mois</v>
      </c>
      <c r="E237">
        <v>92</v>
      </c>
      <c r="F237" t="s">
        <v>19</v>
      </c>
      <c r="G237" s="7">
        <f>Client[[#This Row],[Duree_Cumulee_Panne_Min]]/1440</f>
        <v>0.32777777777777778</v>
      </c>
      <c r="H237">
        <v>472</v>
      </c>
      <c r="I237">
        <v>78.44</v>
      </c>
      <c r="J237">
        <v>1</v>
      </c>
      <c r="K237" s="8">
        <f>IF('Client'!$F237="Pro Monde",10%,IF(AND('Client'!$G237&gt;12,'Client'!$D237&gt;5),70%,IF(AND(OR('Client'!$G237&gt;=4,'Client'!$G237&lt;=12,'Client'!$D237&lt;5,(OR('Client'!$F237="Premium ")))),45%,0%)))</f>
        <v>0.45</v>
      </c>
      <c r="L237" s="4">
        <f>'Client'!$I237* ('Client'!$K237/100)</f>
        <v>0.35298000000000002</v>
      </c>
    </row>
    <row r="238" spans="1:12" x14ac:dyDescent="0.3">
      <c r="A238" t="s">
        <v>241</v>
      </c>
      <c r="B238" t="s">
        <v>279</v>
      </c>
      <c r="C238" t="s">
        <v>51</v>
      </c>
      <c r="D238" t="str">
        <f>INT('Client'!$E238/12) &amp; " ans et " &amp; MOD('Client'!$E238,12) &amp; " mois"</f>
        <v>4 ans et 9 mois</v>
      </c>
      <c r="E238">
        <v>57</v>
      </c>
      <c r="F238" t="s">
        <v>22</v>
      </c>
      <c r="G238" s="7">
        <f>Client[[#This Row],[Duree_Cumulee_Panne_Min]]/1440</f>
        <v>0.30208333333333331</v>
      </c>
      <c r="H238">
        <v>435</v>
      </c>
      <c r="I238">
        <v>56.88</v>
      </c>
      <c r="J238">
        <v>4</v>
      </c>
      <c r="K238" s="8">
        <f>IF('Client'!$F238="Pro Monde",10%,IF(AND('Client'!$G238&gt;12,'Client'!$D238&gt;5),70%,IF(AND(OR('Client'!$G238&gt;=4,'Client'!$G238&lt;=12,'Client'!$D238&lt;5,(OR('Client'!$F238="Premium ")))),45%,0%)))</f>
        <v>0.45</v>
      </c>
      <c r="L238" s="4">
        <f>'Client'!$I238* ('Client'!$K238/100)</f>
        <v>0.25596000000000002</v>
      </c>
    </row>
    <row r="239" spans="1:12" x14ac:dyDescent="0.3">
      <c r="A239" t="s">
        <v>241</v>
      </c>
      <c r="B239" t="s">
        <v>280</v>
      </c>
      <c r="C239" t="s">
        <v>21</v>
      </c>
      <c r="D239" t="str">
        <f>INT('Client'!$E239/12) &amp; " ans et " &amp; MOD('Client'!$E239,12) &amp; " mois"</f>
        <v>1 ans et 6 mois</v>
      </c>
      <c r="E239">
        <v>18</v>
      </c>
      <c r="F239" t="s">
        <v>19</v>
      </c>
      <c r="G239" s="7">
        <f>Client[[#This Row],[Duree_Cumulee_Panne_Min]]/1440</f>
        <v>0.20208333333333334</v>
      </c>
      <c r="H239">
        <v>291</v>
      </c>
      <c r="I239">
        <v>97.98</v>
      </c>
      <c r="J239">
        <v>1</v>
      </c>
      <c r="K239" s="8">
        <f>IF('Client'!$F239="Pro Monde",10%,IF(AND('Client'!$G239&gt;12,'Client'!$D239&gt;5),70%,IF(AND(OR('Client'!$G239&gt;=4,'Client'!$G239&lt;=12,'Client'!$D239&lt;5,(OR('Client'!$F239="Premium ")))),45%,0%)))</f>
        <v>0.45</v>
      </c>
      <c r="L239" s="4">
        <f>'Client'!$I239* ('Client'!$K239/100)</f>
        <v>0.44091000000000008</v>
      </c>
    </row>
    <row r="240" spans="1:12" x14ac:dyDescent="0.3">
      <c r="A240" t="s">
        <v>241</v>
      </c>
      <c r="B240" t="s">
        <v>281</v>
      </c>
      <c r="C240" t="s">
        <v>40</v>
      </c>
      <c r="D240" t="str">
        <f>INT('Client'!$E240/12) &amp; " ans et " &amp; MOD('Client'!$E240,12) &amp; " mois"</f>
        <v>5 ans et 1 mois</v>
      </c>
      <c r="E240">
        <v>61</v>
      </c>
      <c r="F240" t="s">
        <v>22</v>
      </c>
      <c r="G240" s="7">
        <f>Client[[#This Row],[Duree_Cumulee_Panne_Min]]/1440</f>
        <v>6.0416666666666667E-2</v>
      </c>
      <c r="H240">
        <v>87</v>
      </c>
      <c r="I240">
        <v>68.319999999999993</v>
      </c>
      <c r="J240">
        <v>2</v>
      </c>
      <c r="K240" s="8">
        <f>IF('Client'!$F240="Pro Monde",10%,IF(AND('Client'!$G240&gt;12,'Client'!$D240&gt;5),70%,IF(AND(OR('Client'!$G240&gt;=4,'Client'!$G240&lt;=12,'Client'!$D240&lt;5,(OR('Client'!$F240="Premium ")))),45%,0%)))</f>
        <v>0.45</v>
      </c>
      <c r="L240" s="4">
        <f>'Client'!$I240* ('Client'!$K240/100)</f>
        <v>0.30743999999999999</v>
      </c>
    </row>
    <row r="241" spans="1:12" x14ac:dyDescent="0.3">
      <c r="A241" t="s">
        <v>241</v>
      </c>
      <c r="B241" t="s">
        <v>282</v>
      </c>
      <c r="C241" t="s">
        <v>137</v>
      </c>
      <c r="D241" t="str">
        <f>INT('Client'!$E241/12) &amp; " ans et " &amp; MOD('Client'!$E241,12) &amp; " mois"</f>
        <v>8 ans et 10 mois</v>
      </c>
      <c r="E241">
        <v>106</v>
      </c>
      <c r="F241" t="s">
        <v>22</v>
      </c>
      <c r="G241" s="7">
        <f>Client[[#This Row],[Duree_Cumulee_Panne_Min]]/1440</f>
        <v>8.8888888888888892E-2</v>
      </c>
      <c r="H241">
        <v>128</v>
      </c>
      <c r="I241">
        <v>35.96</v>
      </c>
      <c r="J241">
        <v>2</v>
      </c>
      <c r="K241" s="8">
        <f>IF('Client'!$F241="Pro Monde",10%,IF(AND('Client'!$G241&gt;12,'Client'!$D241&gt;5),70%,IF(AND(OR('Client'!$G241&gt;=4,'Client'!$G241&lt;=12,'Client'!$D241&lt;5,(OR('Client'!$F241="Premium ")))),45%,0%)))</f>
        <v>0.45</v>
      </c>
      <c r="L241" s="4">
        <f>'Client'!$I241* ('Client'!$K241/100)</f>
        <v>0.16182000000000002</v>
      </c>
    </row>
    <row r="242" spans="1:12" x14ac:dyDescent="0.3">
      <c r="A242" t="s">
        <v>241</v>
      </c>
      <c r="B242" t="s">
        <v>283</v>
      </c>
      <c r="C242" t="s">
        <v>51</v>
      </c>
      <c r="D242" t="str">
        <f>INT('Client'!$E242/12) &amp; " ans et " &amp; MOD('Client'!$E242,12) &amp; " mois"</f>
        <v>3 ans et 0 mois</v>
      </c>
      <c r="E242">
        <v>36</v>
      </c>
      <c r="F242" t="s">
        <v>19</v>
      </c>
      <c r="G242" s="7">
        <f>Client[[#This Row],[Duree_Cumulee_Panne_Min]]/1440</f>
        <v>0.34097222222222223</v>
      </c>
      <c r="H242">
        <v>491</v>
      </c>
      <c r="I242">
        <v>12.13</v>
      </c>
      <c r="J242">
        <v>4</v>
      </c>
      <c r="K242" s="8">
        <f>IF('Client'!$F242="Pro Monde",10%,IF(AND('Client'!$G242&gt;12,'Client'!$D242&gt;5),70%,IF(AND(OR('Client'!$G242&gt;=4,'Client'!$G242&lt;=12,'Client'!$D242&lt;5,(OR('Client'!$F242="Premium ")))),45%,0%)))</f>
        <v>0.45</v>
      </c>
      <c r="L242" s="4">
        <f>'Client'!$I242* ('Client'!$K242/100)</f>
        <v>5.4585000000000009E-2</v>
      </c>
    </row>
    <row r="243" spans="1:12" x14ac:dyDescent="0.3">
      <c r="A243" t="s">
        <v>241</v>
      </c>
      <c r="B243" t="s">
        <v>284</v>
      </c>
      <c r="C243" t="s">
        <v>73</v>
      </c>
      <c r="D243" t="str">
        <f>INT('Client'!$E243/12) &amp; " ans et " &amp; MOD('Client'!$E243,12) &amp; " mois"</f>
        <v>9 ans et 0 mois</v>
      </c>
      <c r="E243">
        <v>108</v>
      </c>
      <c r="F243" t="s">
        <v>14</v>
      </c>
      <c r="G243" s="7">
        <f>Client[[#This Row],[Duree_Cumulee_Panne_Min]]/1440</f>
        <v>3.3333333333333333E-2</v>
      </c>
      <c r="H243">
        <v>48</v>
      </c>
      <c r="I243">
        <v>86.22</v>
      </c>
      <c r="J243">
        <v>3</v>
      </c>
      <c r="K243" s="8">
        <f>IF('Client'!$F243="Pro Monde",10%,IF(AND('Client'!$G243&gt;12,'Client'!$D243&gt;5),70%,IF(AND(OR('Client'!$G243&gt;=4,'Client'!$G243&lt;=12,'Client'!$D243&lt;5,(OR('Client'!$F243="Premium ")))),45%,0%)))</f>
        <v>0.1</v>
      </c>
      <c r="L243" s="4">
        <f>'Client'!$I243* ('Client'!$K243/100)</f>
        <v>8.6220000000000005E-2</v>
      </c>
    </row>
    <row r="244" spans="1:12" x14ac:dyDescent="0.3">
      <c r="A244" t="s">
        <v>241</v>
      </c>
      <c r="B244" t="s">
        <v>285</v>
      </c>
      <c r="C244" t="s">
        <v>137</v>
      </c>
      <c r="D244" t="str">
        <f>INT('Client'!$E244/12) &amp; " ans et " &amp; MOD('Client'!$E244,12) &amp; " mois"</f>
        <v>1 ans et 9 mois</v>
      </c>
      <c r="E244">
        <v>21</v>
      </c>
      <c r="F244" t="s">
        <v>19</v>
      </c>
      <c r="G244" s="7">
        <f>Client[[#This Row],[Duree_Cumulee_Panne_Min]]/1440</f>
        <v>0.21319444444444444</v>
      </c>
      <c r="H244">
        <v>307</v>
      </c>
      <c r="I244">
        <v>39.81</v>
      </c>
      <c r="J244">
        <v>5</v>
      </c>
      <c r="K244" s="8">
        <f>IF('Client'!$F244="Pro Monde",10%,IF(AND('Client'!$G244&gt;12,'Client'!$D244&gt;5),70%,IF(AND(OR('Client'!$G244&gt;=4,'Client'!$G244&lt;=12,'Client'!$D244&lt;5,(OR('Client'!$F244="Premium ")))),45%,0%)))</f>
        <v>0.45</v>
      </c>
      <c r="L244" s="4">
        <f>'Client'!$I244* ('Client'!$K244/100)</f>
        <v>0.17914500000000003</v>
      </c>
    </row>
    <row r="245" spans="1:12" x14ac:dyDescent="0.3">
      <c r="A245" t="s">
        <v>241</v>
      </c>
      <c r="B245" t="s">
        <v>286</v>
      </c>
      <c r="C245" t="s">
        <v>137</v>
      </c>
      <c r="D245" t="str">
        <f>INT('Client'!$E245/12) &amp; " ans et " &amp; MOD('Client'!$E245,12) &amp; " mois"</f>
        <v>1 ans et 10 mois</v>
      </c>
      <c r="E245">
        <v>22</v>
      </c>
      <c r="F245" t="s">
        <v>11</v>
      </c>
      <c r="G245" s="7">
        <f>Client[[#This Row],[Duree_Cumulee_Panne_Min]]/1440</f>
        <v>0.11527777777777778</v>
      </c>
      <c r="H245">
        <v>166</v>
      </c>
      <c r="I245">
        <v>31.8</v>
      </c>
      <c r="J245">
        <v>1</v>
      </c>
      <c r="K245" s="8">
        <f>IF('Client'!$F245="Pro Monde",10%,IF(AND('Client'!$G245&gt;12,'Client'!$D245&gt;5),70%,IF(AND(OR('Client'!$G245&gt;=4,'Client'!$G245&lt;=12,'Client'!$D245&lt;5,(OR('Client'!$F245="Premium ")))),45%,0%)))</f>
        <v>0.45</v>
      </c>
      <c r="L245" s="4">
        <f>'Client'!$I245* ('Client'!$K245/100)</f>
        <v>0.14310000000000003</v>
      </c>
    </row>
    <row r="246" spans="1:12" x14ac:dyDescent="0.3">
      <c r="A246" t="s">
        <v>241</v>
      </c>
      <c r="B246" t="s">
        <v>287</v>
      </c>
      <c r="C246" t="s">
        <v>78</v>
      </c>
      <c r="D246" t="str">
        <f>INT('Client'!$E246/12) &amp; " ans et " &amp; MOD('Client'!$E246,12) &amp; " mois"</f>
        <v>9 ans et 0 mois</v>
      </c>
      <c r="E246">
        <v>108</v>
      </c>
      <c r="F246" t="s">
        <v>11</v>
      </c>
      <c r="G246" s="7">
        <f>Client[[#This Row],[Duree_Cumulee_Panne_Min]]/1440</f>
        <v>0.22430555555555556</v>
      </c>
      <c r="H246">
        <v>323</v>
      </c>
      <c r="I246">
        <v>58.54</v>
      </c>
      <c r="J246">
        <v>2</v>
      </c>
      <c r="K246" s="8">
        <f>IF('Client'!$F246="Pro Monde",10%,IF(AND('Client'!$G246&gt;12,'Client'!$D246&gt;5),70%,IF(AND(OR('Client'!$G246&gt;=4,'Client'!$G246&lt;=12,'Client'!$D246&lt;5,(OR('Client'!$F246="Premium ")))),45%,0%)))</f>
        <v>0.45</v>
      </c>
      <c r="L246" s="4">
        <f>'Client'!$I246* ('Client'!$K246/100)</f>
        <v>0.26343000000000005</v>
      </c>
    </row>
    <row r="247" spans="1:12" x14ac:dyDescent="0.3">
      <c r="A247" t="s">
        <v>241</v>
      </c>
      <c r="B247" t="s">
        <v>288</v>
      </c>
      <c r="C247" t="s">
        <v>10</v>
      </c>
      <c r="D247" t="str">
        <f>INT('Client'!$E247/12) &amp; " ans et " &amp; MOD('Client'!$E247,12) &amp; " mois"</f>
        <v>0 ans et 3 mois</v>
      </c>
      <c r="E247">
        <v>3</v>
      </c>
      <c r="F247" t="s">
        <v>22</v>
      </c>
      <c r="G247" s="7">
        <f>Client[[#This Row],[Duree_Cumulee_Panne_Min]]/1440</f>
        <v>0.24722222222222223</v>
      </c>
      <c r="H247">
        <v>356</v>
      </c>
      <c r="I247">
        <v>91.6</v>
      </c>
      <c r="J247">
        <v>3</v>
      </c>
      <c r="K247" s="8">
        <f>IF('Client'!$F247="Pro Monde",10%,IF(AND('Client'!$G247&gt;12,'Client'!$D247&gt;5),70%,IF(AND(OR('Client'!$G247&gt;=4,'Client'!$G247&lt;=12,'Client'!$D247&lt;5,(OR('Client'!$F247="Premium ")))),45%,0%)))</f>
        <v>0.45</v>
      </c>
      <c r="L247" s="4">
        <f>'Client'!$I247* ('Client'!$K247/100)</f>
        <v>0.41220000000000001</v>
      </c>
    </row>
    <row r="248" spans="1:12" x14ac:dyDescent="0.3">
      <c r="A248" t="s">
        <v>241</v>
      </c>
      <c r="B248" t="s">
        <v>289</v>
      </c>
      <c r="C248" t="s">
        <v>127</v>
      </c>
      <c r="D248" t="str">
        <f>INT('Client'!$E248/12) &amp; " ans et " &amp; MOD('Client'!$E248,12) &amp; " mois"</f>
        <v>6 ans et 6 mois</v>
      </c>
      <c r="E248">
        <v>78</v>
      </c>
      <c r="F248" t="s">
        <v>22</v>
      </c>
      <c r="G248" s="7">
        <f>Client[[#This Row],[Duree_Cumulee_Panne_Min]]/1440</f>
        <v>0.13750000000000001</v>
      </c>
      <c r="H248">
        <v>198</v>
      </c>
      <c r="I248">
        <v>69.849999999999994</v>
      </c>
      <c r="J248">
        <v>0</v>
      </c>
      <c r="K248" s="8">
        <f>IF('Client'!$F248="Pro Monde",10%,IF(AND('Client'!$G248&gt;12,'Client'!$D248&gt;5),70%,IF(AND(OR('Client'!$G248&gt;=4,'Client'!$G248&lt;=12,'Client'!$D248&lt;5,(OR('Client'!$F248="Premium ")))),45%,0%)))</f>
        <v>0.45</v>
      </c>
      <c r="L248" s="4">
        <f>'Client'!$I248* ('Client'!$K248/100)</f>
        <v>0.31432500000000002</v>
      </c>
    </row>
    <row r="249" spans="1:12" x14ac:dyDescent="0.3">
      <c r="A249" t="s">
        <v>241</v>
      </c>
      <c r="B249" t="s">
        <v>290</v>
      </c>
      <c r="C249" t="s">
        <v>29</v>
      </c>
      <c r="D249" t="str">
        <f>INT('Client'!$E249/12) &amp; " ans et " &amp; MOD('Client'!$E249,12) &amp; " mois"</f>
        <v>1 ans et 1 mois</v>
      </c>
      <c r="E249">
        <v>13</v>
      </c>
      <c r="F249" t="s">
        <v>14</v>
      </c>
      <c r="G249" s="7">
        <f>Client[[#This Row],[Duree_Cumulee_Panne_Min]]/1440</f>
        <v>0.24097222222222223</v>
      </c>
      <c r="H249">
        <v>347</v>
      </c>
      <c r="I249">
        <v>32.35</v>
      </c>
      <c r="J249">
        <v>2</v>
      </c>
      <c r="K249" s="8">
        <f>IF('Client'!$F249="Pro Monde",10%,IF(AND('Client'!$G249&gt;12,'Client'!$D249&gt;5),70%,IF(AND(OR('Client'!$G249&gt;=4,'Client'!$G249&lt;=12,'Client'!$D249&lt;5,(OR('Client'!$F249="Premium ")))),45%,0%)))</f>
        <v>0.1</v>
      </c>
      <c r="L249" s="4">
        <f>'Client'!$I249* ('Client'!$K249/100)</f>
        <v>3.2350000000000004E-2</v>
      </c>
    </row>
    <row r="250" spans="1:12" x14ac:dyDescent="0.3">
      <c r="A250" t="s">
        <v>241</v>
      </c>
      <c r="B250" t="s">
        <v>291</v>
      </c>
      <c r="C250" t="s">
        <v>67</v>
      </c>
      <c r="D250" t="str">
        <f>INT('Client'!$E250/12) &amp; " ans et " &amp; MOD('Client'!$E250,12) &amp; " mois"</f>
        <v>1 ans et 11 mois</v>
      </c>
      <c r="E250">
        <v>23</v>
      </c>
      <c r="F250" t="s">
        <v>14</v>
      </c>
      <c r="G250" s="7">
        <f>Client[[#This Row],[Duree_Cumulee_Panne_Min]]/1440</f>
        <v>0.32847222222222222</v>
      </c>
      <c r="H250">
        <v>473</v>
      </c>
      <c r="I250">
        <v>71.86</v>
      </c>
      <c r="J250">
        <v>3</v>
      </c>
      <c r="K250" s="8">
        <f>IF('Client'!$F250="Pro Monde",10%,IF(AND('Client'!$G250&gt;12,'Client'!$D250&gt;5),70%,IF(AND(OR('Client'!$G250&gt;=4,'Client'!$G250&lt;=12,'Client'!$D250&lt;5,(OR('Client'!$F250="Premium ")))),45%,0%)))</f>
        <v>0.1</v>
      </c>
      <c r="L250" s="4">
        <f>'Client'!$I250* ('Client'!$K250/100)</f>
        <v>7.1860000000000007E-2</v>
      </c>
    </row>
    <row r="251" spans="1:12" x14ac:dyDescent="0.3">
      <c r="A251" t="s">
        <v>292</v>
      </c>
      <c r="B251" t="s">
        <v>293</v>
      </c>
      <c r="C251" t="s">
        <v>10</v>
      </c>
      <c r="D251" t="str">
        <f>INT('Client'!$E251/12) &amp; " ans et " &amp; MOD('Client'!$E251,12) &amp; " mois"</f>
        <v>8 ans et 0 mois</v>
      </c>
      <c r="E251">
        <v>96</v>
      </c>
      <c r="F251" t="s">
        <v>22</v>
      </c>
      <c r="G251" s="7">
        <f>Client[[#This Row],[Duree_Cumulee_Panne_Min]]/1440</f>
        <v>0.2013888888888889</v>
      </c>
      <c r="H251">
        <v>290</v>
      </c>
      <c r="I251">
        <v>29</v>
      </c>
      <c r="J251">
        <v>3</v>
      </c>
      <c r="K251" s="8">
        <f>IF('Client'!$F251="Pro Monde",10%,IF(AND('Client'!$G251&gt;12,'Client'!$D251&gt;5),70%,IF(AND(OR('Client'!$G251&gt;=4,'Client'!$G251&lt;=12,'Client'!$D251&lt;5,(OR('Client'!$F251="Premium ")))),45%,0%)))</f>
        <v>0.45</v>
      </c>
      <c r="L251" s="4">
        <f>'Client'!$I251* ('Client'!$K251/100)</f>
        <v>0.1305</v>
      </c>
    </row>
    <row r="252" spans="1:12" x14ac:dyDescent="0.3">
      <c r="A252" t="s">
        <v>292</v>
      </c>
      <c r="B252" t="s">
        <v>294</v>
      </c>
      <c r="C252" t="s">
        <v>73</v>
      </c>
      <c r="D252" t="str">
        <f>INT('Client'!$E252/12) &amp; " ans et " &amp; MOD('Client'!$E252,12) &amp; " mois"</f>
        <v>4 ans et 0 mois</v>
      </c>
      <c r="E252">
        <v>48</v>
      </c>
      <c r="F252" t="s">
        <v>11</v>
      </c>
      <c r="G252" s="7">
        <f>Client[[#This Row],[Duree_Cumulee_Panne_Min]]/1440</f>
        <v>0.28888888888888886</v>
      </c>
      <c r="H252">
        <v>416</v>
      </c>
      <c r="I252">
        <v>81.260000000000005</v>
      </c>
      <c r="J252">
        <v>5</v>
      </c>
      <c r="K252" s="8">
        <f>IF('Client'!$F252="Pro Monde",10%,IF(AND('Client'!$G252&gt;12,'Client'!$D252&gt;5),70%,IF(AND(OR('Client'!$G252&gt;=4,'Client'!$G252&lt;=12,'Client'!$D252&lt;5,(OR('Client'!$F252="Premium ")))),45%,0%)))</f>
        <v>0.45</v>
      </c>
      <c r="L252" s="4">
        <f>'Client'!$I252* ('Client'!$K252/100)</f>
        <v>0.36567000000000005</v>
      </c>
    </row>
    <row r="253" spans="1:12" x14ac:dyDescent="0.3">
      <c r="A253" t="s">
        <v>292</v>
      </c>
      <c r="B253" t="s">
        <v>295</v>
      </c>
      <c r="C253" t="s">
        <v>31</v>
      </c>
      <c r="D253" t="str">
        <f>INT('Client'!$E253/12) &amp; " ans et " &amp; MOD('Client'!$E253,12) &amp; " mois"</f>
        <v>4 ans et 2 mois</v>
      </c>
      <c r="E253">
        <v>50</v>
      </c>
      <c r="F253" t="s">
        <v>14</v>
      </c>
      <c r="G253" s="7">
        <f>Client[[#This Row],[Duree_Cumulee_Panne_Min]]/1440</f>
        <v>7.4999999999999997E-2</v>
      </c>
      <c r="H253">
        <v>108</v>
      </c>
      <c r="I253">
        <v>43.81</v>
      </c>
      <c r="J253">
        <v>5</v>
      </c>
      <c r="K253" s="8">
        <f>IF('Client'!$F253="Pro Monde",10%,IF(AND('Client'!$G253&gt;12,'Client'!$D253&gt;5),70%,IF(AND(OR('Client'!$G253&gt;=4,'Client'!$G253&lt;=12,'Client'!$D253&lt;5,(OR('Client'!$F253="Premium ")))),45%,0%)))</f>
        <v>0.1</v>
      </c>
      <c r="L253" s="4">
        <f>'Client'!$I253* ('Client'!$K253/100)</f>
        <v>4.3810000000000002E-2</v>
      </c>
    </row>
    <row r="254" spans="1:12" x14ac:dyDescent="0.3">
      <c r="A254" t="s">
        <v>292</v>
      </c>
      <c r="B254" t="s">
        <v>296</v>
      </c>
      <c r="C254" t="s">
        <v>18</v>
      </c>
      <c r="D254" t="str">
        <f>INT('Client'!$E254/12) &amp; " ans et " &amp; MOD('Client'!$E254,12) &amp; " mois"</f>
        <v>5 ans et 3 mois</v>
      </c>
      <c r="E254">
        <v>63</v>
      </c>
      <c r="F254" t="s">
        <v>22</v>
      </c>
      <c r="G254" s="7">
        <f>Client[[#This Row],[Duree_Cumulee_Panne_Min]]/1440</f>
        <v>6.5972222222222224E-2</v>
      </c>
      <c r="H254">
        <v>95</v>
      </c>
      <c r="I254">
        <v>56.81</v>
      </c>
      <c r="J254">
        <v>0</v>
      </c>
      <c r="K254" s="8">
        <f>IF('Client'!$F254="Pro Monde",10%,IF(AND('Client'!$G254&gt;12,'Client'!$D254&gt;5),70%,IF(AND(OR('Client'!$G254&gt;=4,'Client'!$G254&lt;=12,'Client'!$D254&lt;5,(OR('Client'!$F254="Premium ")))),45%,0%)))</f>
        <v>0.45</v>
      </c>
      <c r="L254" s="4">
        <f>'Client'!$I254* ('Client'!$K254/100)</f>
        <v>0.25564500000000007</v>
      </c>
    </row>
    <row r="255" spans="1:12" x14ac:dyDescent="0.3">
      <c r="A255" t="s">
        <v>292</v>
      </c>
      <c r="B255" t="s">
        <v>297</v>
      </c>
      <c r="C255" t="s">
        <v>10</v>
      </c>
      <c r="D255" t="str">
        <f>INT('Client'!$E255/12) &amp; " ans et " &amp; MOD('Client'!$E255,12) &amp; " mois"</f>
        <v>3 ans et 4 mois</v>
      </c>
      <c r="E255">
        <v>40</v>
      </c>
      <c r="F255" t="s">
        <v>11</v>
      </c>
      <c r="G255" s="7">
        <f>Client[[#This Row],[Duree_Cumulee_Panne_Min]]/1440</f>
        <v>7.0833333333333331E-2</v>
      </c>
      <c r="H255">
        <v>102</v>
      </c>
      <c r="I255">
        <v>96.59</v>
      </c>
      <c r="J255">
        <v>5</v>
      </c>
      <c r="K255" s="8">
        <f>IF('Client'!$F255="Pro Monde",10%,IF(AND('Client'!$G255&gt;12,'Client'!$D255&gt;5),70%,IF(AND(OR('Client'!$G255&gt;=4,'Client'!$G255&lt;=12,'Client'!$D255&lt;5,(OR('Client'!$F255="Premium ")))),45%,0%)))</f>
        <v>0.45</v>
      </c>
      <c r="L255" s="4">
        <f>'Client'!$I255* ('Client'!$K255/100)</f>
        <v>0.43465500000000007</v>
      </c>
    </row>
    <row r="256" spans="1:12" x14ac:dyDescent="0.3">
      <c r="A256" t="s">
        <v>292</v>
      </c>
      <c r="B256" t="s">
        <v>298</v>
      </c>
      <c r="C256" t="s">
        <v>137</v>
      </c>
      <c r="D256" t="str">
        <f>INT('Client'!$E256/12) &amp; " ans et " &amp; MOD('Client'!$E256,12) &amp; " mois"</f>
        <v>6 ans et 11 mois</v>
      </c>
      <c r="E256">
        <v>83</v>
      </c>
      <c r="F256" t="s">
        <v>22</v>
      </c>
      <c r="G256" s="7">
        <f>Client[[#This Row],[Duree_Cumulee_Panne_Min]]/1440</f>
        <v>2.0833333333333332E-2</v>
      </c>
      <c r="H256">
        <v>30</v>
      </c>
      <c r="I256">
        <v>33.93</v>
      </c>
      <c r="J256">
        <v>3</v>
      </c>
      <c r="K256" s="8">
        <f>IF('Client'!$F256="Pro Monde",10%,IF(AND('Client'!$G256&gt;12,'Client'!$D256&gt;5),70%,IF(AND(OR('Client'!$G256&gt;=4,'Client'!$G256&lt;=12,'Client'!$D256&lt;5,(OR('Client'!$F256="Premium ")))),45%,0%)))</f>
        <v>0.45</v>
      </c>
      <c r="L256" s="4">
        <f>'Client'!$I256* ('Client'!$K256/100)</f>
        <v>0.15268500000000002</v>
      </c>
    </row>
    <row r="257" spans="1:12" x14ac:dyDescent="0.3">
      <c r="A257" t="s">
        <v>292</v>
      </c>
      <c r="B257" t="s">
        <v>299</v>
      </c>
      <c r="C257" t="s">
        <v>44</v>
      </c>
      <c r="D257" t="str">
        <f>INT('Client'!$E257/12) &amp; " ans et " &amp; MOD('Client'!$E257,12) &amp; " mois"</f>
        <v>6 ans et 4 mois</v>
      </c>
      <c r="E257">
        <v>76</v>
      </c>
      <c r="F257" t="s">
        <v>22</v>
      </c>
      <c r="G257" s="7">
        <f>Client[[#This Row],[Duree_Cumulee_Panne_Min]]/1440</f>
        <v>0.26597222222222222</v>
      </c>
      <c r="H257">
        <v>383</v>
      </c>
      <c r="I257">
        <v>53.73</v>
      </c>
      <c r="J257">
        <v>2</v>
      </c>
      <c r="K257" s="8">
        <f>IF('Client'!$F257="Pro Monde",10%,IF(AND('Client'!$G257&gt;12,'Client'!$D257&gt;5),70%,IF(AND(OR('Client'!$G257&gt;=4,'Client'!$G257&lt;=12,'Client'!$D257&lt;5,(OR('Client'!$F257="Premium ")))),45%,0%)))</f>
        <v>0.45</v>
      </c>
      <c r="L257" s="4">
        <f>'Client'!$I257* ('Client'!$K257/100)</f>
        <v>0.24178500000000003</v>
      </c>
    </row>
    <row r="258" spans="1:12" x14ac:dyDescent="0.3">
      <c r="A258" t="s">
        <v>292</v>
      </c>
      <c r="B258" t="s">
        <v>300</v>
      </c>
      <c r="C258" t="s">
        <v>24</v>
      </c>
      <c r="D258" t="str">
        <f>INT('Client'!$E258/12) &amp; " ans et " &amp; MOD('Client'!$E258,12) &amp; " mois"</f>
        <v>0 ans et 10 mois</v>
      </c>
      <c r="E258">
        <v>10</v>
      </c>
      <c r="F258" t="s">
        <v>19</v>
      </c>
      <c r="G258" s="7">
        <f>Client[[#This Row],[Duree_Cumulee_Panne_Min]]/1440</f>
        <v>6.458333333333334E-2</v>
      </c>
      <c r="H258">
        <v>93</v>
      </c>
      <c r="I258">
        <v>78.12</v>
      </c>
      <c r="J258">
        <v>4</v>
      </c>
      <c r="K258" s="8">
        <f>IF('Client'!$F258="Pro Monde",10%,IF(AND('Client'!$G258&gt;12,'Client'!$D258&gt;5),70%,IF(AND(OR('Client'!$G258&gt;=4,'Client'!$G258&lt;=12,'Client'!$D258&lt;5,(OR('Client'!$F258="Premium ")))),45%,0%)))</f>
        <v>0.45</v>
      </c>
      <c r="L258" s="4">
        <f>'Client'!$I258* ('Client'!$K258/100)</f>
        <v>0.35154000000000007</v>
      </c>
    </row>
    <row r="259" spans="1:12" x14ac:dyDescent="0.3">
      <c r="A259" t="s">
        <v>292</v>
      </c>
      <c r="B259" t="s">
        <v>301</v>
      </c>
      <c r="C259" t="s">
        <v>64</v>
      </c>
      <c r="D259" t="str">
        <f>INT('Client'!$E259/12) &amp; " ans et " &amp; MOD('Client'!$E259,12) &amp; " mois"</f>
        <v>9 ans et 6 mois</v>
      </c>
      <c r="E259">
        <v>114</v>
      </c>
      <c r="F259" t="s">
        <v>19</v>
      </c>
      <c r="G259" s="7">
        <f>Client[[#This Row],[Duree_Cumulee_Panne_Min]]/1440</f>
        <v>0.26944444444444443</v>
      </c>
      <c r="H259">
        <v>388</v>
      </c>
      <c r="I259">
        <v>40.29</v>
      </c>
      <c r="J259">
        <v>5</v>
      </c>
      <c r="K259" s="8">
        <f>IF('Client'!$F259="Pro Monde",10%,IF(AND('Client'!$G259&gt;12,'Client'!$D259&gt;5),70%,IF(AND(OR('Client'!$G259&gt;=4,'Client'!$G259&lt;=12,'Client'!$D259&lt;5,(OR('Client'!$F259="Premium ")))),45%,0%)))</f>
        <v>0.45</v>
      </c>
      <c r="L259" s="4">
        <f>'Client'!$I259* ('Client'!$K259/100)</f>
        <v>0.18130500000000002</v>
      </c>
    </row>
    <row r="260" spans="1:12" x14ac:dyDescent="0.3">
      <c r="A260" t="s">
        <v>292</v>
      </c>
      <c r="B260" t="s">
        <v>302</v>
      </c>
      <c r="C260" t="s">
        <v>137</v>
      </c>
      <c r="D260" t="str">
        <f>INT('Client'!$E260/12) &amp; " ans et " &amp; MOD('Client'!$E260,12) &amp; " mois"</f>
        <v>0 ans et 5 mois</v>
      </c>
      <c r="E260">
        <v>5</v>
      </c>
      <c r="F260" t="s">
        <v>14</v>
      </c>
      <c r="G260" s="7">
        <f>Client[[#This Row],[Duree_Cumulee_Panne_Min]]/1440</f>
        <v>6.805555555555555E-2</v>
      </c>
      <c r="H260">
        <v>98</v>
      </c>
      <c r="I260">
        <v>71.37</v>
      </c>
      <c r="J260">
        <v>1</v>
      </c>
      <c r="K260" s="8">
        <f>IF('Client'!$F260="Pro Monde",10%,IF(AND('Client'!$G260&gt;12,'Client'!$D260&gt;5),70%,IF(AND(OR('Client'!$G260&gt;=4,'Client'!$G260&lt;=12,'Client'!$D260&lt;5,(OR('Client'!$F260="Premium ")))),45%,0%)))</f>
        <v>0.1</v>
      </c>
      <c r="L260" s="4">
        <f>'Client'!$I260* ('Client'!$K260/100)</f>
        <v>7.1370000000000003E-2</v>
      </c>
    </row>
    <row r="261" spans="1:12" x14ac:dyDescent="0.3">
      <c r="A261" t="s">
        <v>292</v>
      </c>
      <c r="B261" t="s">
        <v>303</v>
      </c>
      <c r="C261" t="s">
        <v>131</v>
      </c>
      <c r="D261" t="str">
        <f>INT('Client'!$E261/12) &amp; " ans et " &amp; MOD('Client'!$E261,12) &amp; " mois"</f>
        <v>9 ans et 10 mois</v>
      </c>
      <c r="E261">
        <v>118</v>
      </c>
      <c r="F261" t="s">
        <v>14</v>
      </c>
      <c r="G261" s="7">
        <f>Client[[#This Row],[Duree_Cumulee_Panne_Min]]/1440</f>
        <v>9.166666666666666E-2</v>
      </c>
      <c r="H261">
        <v>132</v>
      </c>
      <c r="I261">
        <v>40.880000000000003</v>
      </c>
      <c r="J261">
        <v>4</v>
      </c>
      <c r="K261" s="8">
        <f>IF('Client'!$F261="Pro Monde",10%,IF(AND('Client'!$G261&gt;12,'Client'!$D261&gt;5),70%,IF(AND(OR('Client'!$G261&gt;=4,'Client'!$G261&lt;=12,'Client'!$D261&lt;5,(OR('Client'!$F261="Premium ")))),45%,0%)))</f>
        <v>0.1</v>
      </c>
      <c r="L261" s="4">
        <f>'Client'!$I261* ('Client'!$K261/100)</f>
        <v>4.0880000000000007E-2</v>
      </c>
    </row>
    <row r="262" spans="1:12" x14ac:dyDescent="0.3">
      <c r="A262" t="s">
        <v>292</v>
      </c>
      <c r="B262" t="s">
        <v>304</v>
      </c>
      <c r="C262" t="s">
        <v>10</v>
      </c>
      <c r="D262" t="str">
        <f>INT('Client'!$E262/12) &amp; " ans et " &amp; MOD('Client'!$E262,12) &amp; " mois"</f>
        <v>1 ans et 4 mois</v>
      </c>
      <c r="E262">
        <v>16</v>
      </c>
      <c r="F262" t="s">
        <v>19</v>
      </c>
      <c r="G262" s="7">
        <f>Client[[#This Row],[Duree_Cumulee_Panne_Min]]/1440</f>
        <v>0.32013888888888886</v>
      </c>
      <c r="H262">
        <v>461</v>
      </c>
      <c r="I262">
        <v>38.369999999999997</v>
      </c>
      <c r="J262">
        <v>4</v>
      </c>
      <c r="K262" s="8">
        <f>IF('Client'!$F262="Pro Monde",10%,IF(AND('Client'!$G262&gt;12,'Client'!$D262&gt;5),70%,IF(AND(OR('Client'!$G262&gt;=4,'Client'!$G262&lt;=12,'Client'!$D262&lt;5,(OR('Client'!$F262="Premium ")))),45%,0%)))</f>
        <v>0.45</v>
      </c>
      <c r="L262" s="4">
        <f>'Client'!$I262* ('Client'!$K262/100)</f>
        <v>0.17266500000000001</v>
      </c>
    </row>
    <row r="263" spans="1:12" x14ac:dyDescent="0.3">
      <c r="A263" t="s">
        <v>292</v>
      </c>
      <c r="B263" t="s">
        <v>305</v>
      </c>
      <c r="C263" t="s">
        <v>40</v>
      </c>
      <c r="D263" t="str">
        <f>INT('Client'!$E263/12) &amp; " ans et " &amp; MOD('Client'!$E263,12) &amp; " mois"</f>
        <v>4 ans et 2 mois</v>
      </c>
      <c r="E263">
        <v>50</v>
      </c>
      <c r="F263" t="s">
        <v>22</v>
      </c>
      <c r="G263" s="7">
        <f>Client[[#This Row],[Duree_Cumulee_Panne_Min]]/1440</f>
        <v>0.30972222222222223</v>
      </c>
      <c r="H263">
        <v>446</v>
      </c>
      <c r="I263">
        <v>31.56</v>
      </c>
      <c r="J263">
        <v>5</v>
      </c>
      <c r="K263" s="8">
        <f>IF('Client'!$F263="Pro Monde",10%,IF(AND('Client'!$G263&gt;12,'Client'!$D263&gt;5),70%,IF(AND(OR('Client'!$G263&gt;=4,'Client'!$G263&lt;=12,'Client'!$D263&lt;5,(OR('Client'!$F263="Premium ")))),45%,0%)))</f>
        <v>0.45</v>
      </c>
      <c r="L263" s="4">
        <f>'Client'!$I263* ('Client'!$K263/100)</f>
        <v>0.14202000000000001</v>
      </c>
    </row>
    <row r="264" spans="1:12" x14ac:dyDescent="0.3">
      <c r="A264" t="s">
        <v>292</v>
      </c>
      <c r="B264" t="s">
        <v>306</v>
      </c>
      <c r="C264" t="s">
        <v>137</v>
      </c>
      <c r="D264" t="str">
        <f>INT('Client'!$E264/12) &amp; " ans et " &amp; MOD('Client'!$E264,12) &amp; " mois"</f>
        <v>10 ans et 0 mois</v>
      </c>
      <c r="E264">
        <v>120</v>
      </c>
      <c r="F264" t="s">
        <v>14</v>
      </c>
      <c r="G264" s="7">
        <f>Client[[#This Row],[Duree_Cumulee_Panne_Min]]/1440</f>
        <v>0.1451388888888889</v>
      </c>
      <c r="H264">
        <v>209</v>
      </c>
      <c r="I264">
        <v>42.51</v>
      </c>
      <c r="J264">
        <v>4</v>
      </c>
      <c r="K264" s="8">
        <f>IF('Client'!$F264="Pro Monde",10%,IF(AND('Client'!$G264&gt;12,'Client'!$D264&gt;5),70%,IF(AND(OR('Client'!$G264&gt;=4,'Client'!$G264&lt;=12,'Client'!$D264&lt;5,(OR('Client'!$F264="Premium ")))),45%,0%)))</f>
        <v>0.1</v>
      </c>
      <c r="L264" s="4">
        <f>'Client'!$I264* ('Client'!$K264/100)</f>
        <v>4.2509999999999999E-2</v>
      </c>
    </row>
    <row r="265" spans="1:12" x14ac:dyDescent="0.3">
      <c r="A265" t="s">
        <v>292</v>
      </c>
      <c r="B265" t="s">
        <v>307</v>
      </c>
      <c r="C265" t="s">
        <v>35</v>
      </c>
      <c r="D265" t="str">
        <f>INT('Client'!$E265/12) &amp; " ans et " &amp; MOD('Client'!$E265,12) &amp; " mois"</f>
        <v>6 ans et 1 mois</v>
      </c>
      <c r="E265">
        <v>73</v>
      </c>
      <c r="F265" t="s">
        <v>22</v>
      </c>
      <c r="G265" s="7">
        <f>Client[[#This Row],[Duree_Cumulee_Panne_Min]]/1440</f>
        <v>0.15625</v>
      </c>
      <c r="H265">
        <v>225</v>
      </c>
      <c r="I265">
        <v>45.86</v>
      </c>
      <c r="J265">
        <v>0</v>
      </c>
      <c r="K265" s="8">
        <f>IF('Client'!$F265="Pro Monde",10%,IF(AND('Client'!$G265&gt;12,'Client'!$D265&gt;5),70%,IF(AND(OR('Client'!$G265&gt;=4,'Client'!$G265&lt;=12,'Client'!$D265&lt;5,(OR('Client'!$F265="Premium ")))),45%,0%)))</f>
        <v>0.45</v>
      </c>
      <c r="L265" s="4">
        <f>'Client'!$I265* ('Client'!$K265/100)</f>
        <v>0.20637000000000003</v>
      </c>
    </row>
    <row r="266" spans="1:12" x14ac:dyDescent="0.3">
      <c r="A266" t="s">
        <v>292</v>
      </c>
      <c r="B266" t="s">
        <v>308</v>
      </c>
      <c r="C266" t="s">
        <v>31</v>
      </c>
      <c r="D266" t="str">
        <f>INT('Client'!$E266/12) &amp; " ans et " &amp; MOD('Client'!$E266,12) &amp; " mois"</f>
        <v>1 ans et 9 mois</v>
      </c>
      <c r="E266">
        <v>21</v>
      </c>
      <c r="F266" t="s">
        <v>14</v>
      </c>
      <c r="G266" s="7">
        <f>Client[[#This Row],[Duree_Cumulee_Panne_Min]]/1440</f>
        <v>0.22222222222222221</v>
      </c>
      <c r="H266">
        <v>320</v>
      </c>
      <c r="I266">
        <v>64.97</v>
      </c>
      <c r="J266">
        <v>1</v>
      </c>
      <c r="K266" s="8">
        <f>IF('Client'!$F266="Pro Monde",10%,IF(AND('Client'!$G266&gt;12,'Client'!$D266&gt;5),70%,IF(AND(OR('Client'!$G266&gt;=4,'Client'!$G266&lt;=12,'Client'!$D266&lt;5,(OR('Client'!$F266="Premium ")))),45%,0%)))</f>
        <v>0.1</v>
      </c>
      <c r="L266" s="4">
        <f>'Client'!$I266* ('Client'!$K266/100)</f>
        <v>6.497E-2</v>
      </c>
    </row>
    <row r="267" spans="1:12" x14ac:dyDescent="0.3">
      <c r="A267" t="s">
        <v>292</v>
      </c>
      <c r="B267" t="s">
        <v>309</v>
      </c>
      <c r="C267" t="s">
        <v>60</v>
      </c>
      <c r="D267" t="str">
        <f>INT('Client'!$E267/12) &amp; " ans et " &amp; MOD('Client'!$E267,12) &amp; " mois"</f>
        <v>2 ans et 1 mois</v>
      </c>
      <c r="E267">
        <v>25</v>
      </c>
      <c r="F267" t="s">
        <v>11</v>
      </c>
      <c r="G267" s="7">
        <f>Client[[#This Row],[Duree_Cumulee_Panne_Min]]/1440</f>
        <v>0.32430555555555557</v>
      </c>
      <c r="H267">
        <v>467</v>
      </c>
      <c r="I267">
        <v>97.78</v>
      </c>
      <c r="J267">
        <v>3</v>
      </c>
      <c r="K267" s="8">
        <f>IF('Client'!$F267="Pro Monde",10%,IF(AND('Client'!$G267&gt;12,'Client'!$D267&gt;5),70%,IF(AND(OR('Client'!$G267&gt;=4,'Client'!$G267&lt;=12,'Client'!$D267&lt;5,(OR('Client'!$F267="Premium ")))),45%,0%)))</f>
        <v>0.45</v>
      </c>
      <c r="L267" s="4">
        <f>'Client'!$I267* ('Client'!$K267/100)</f>
        <v>0.44001000000000007</v>
      </c>
    </row>
    <row r="268" spans="1:12" x14ac:dyDescent="0.3">
      <c r="A268" t="s">
        <v>292</v>
      </c>
      <c r="B268" t="s">
        <v>310</v>
      </c>
      <c r="C268" t="s">
        <v>44</v>
      </c>
      <c r="D268" t="str">
        <f>INT('Client'!$E268/12) &amp; " ans et " &amp; MOD('Client'!$E268,12) &amp; " mois"</f>
        <v>8 ans et 2 mois</v>
      </c>
      <c r="E268">
        <v>98</v>
      </c>
      <c r="F268" t="s">
        <v>11</v>
      </c>
      <c r="G268" s="7">
        <f>Client[[#This Row],[Duree_Cumulee_Panne_Min]]/1440</f>
        <v>0.22152777777777777</v>
      </c>
      <c r="H268">
        <v>319</v>
      </c>
      <c r="I268">
        <v>88.58</v>
      </c>
      <c r="J268">
        <v>0</v>
      </c>
      <c r="K268" s="8">
        <f>IF('Client'!$F268="Pro Monde",10%,IF(AND('Client'!$G268&gt;12,'Client'!$D268&gt;5),70%,IF(AND(OR('Client'!$G268&gt;=4,'Client'!$G268&lt;=12,'Client'!$D268&lt;5,(OR('Client'!$F268="Premium ")))),45%,0%)))</f>
        <v>0.45</v>
      </c>
      <c r="L268" s="4">
        <f>'Client'!$I268* ('Client'!$K268/100)</f>
        <v>0.39861000000000002</v>
      </c>
    </row>
    <row r="269" spans="1:12" x14ac:dyDescent="0.3">
      <c r="A269" t="s">
        <v>292</v>
      </c>
      <c r="B269" t="s">
        <v>311</v>
      </c>
      <c r="C269" t="s">
        <v>60</v>
      </c>
      <c r="D269" t="str">
        <f>INT('Client'!$E269/12) &amp; " ans et " &amp; MOD('Client'!$E269,12) &amp; " mois"</f>
        <v>4 ans et 8 mois</v>
      </c>
      <c r="E269">
        <v>56</v>
      </c>
      <c r="F269" t="s">
        <v>14</v>
      </c>
      <c r="G269" s="7">
        <f>Client[[#This Row],[Duree_Cumulee_Panne_Min]]/1440</f>
        <v>3.8194444444444448E-2</v>
      </c>
      <c r="H269">
        <v>55</v>
      </c>
      <c r="I269">
        <v>82.56</v>
      </c>
      <c r="J269">
        <v>2</v>
      </c>
      <c r="K269" s="8">
        <f>IF('Client'!$F269="Pro Monde",10%,IF(AND('Client'!$G269&gt;12,'Client'!$D269&gt;5),70%,IF(AND(OR('Client'!$G269&gt;=4,'Client'!$G269&lt;=12,'Client'!$D269&lt;5,(OR('Client'!$F269="Premium ")))),45%,0%)))</f>
        <v>0.1</v>
      </c>
      <c r="L269" s="4">
        <f>'Client'!$I269* ('Client'!$K269/100)</f>
        <v>8.2560000000000008E-2</v>
      </c>
    </row>
    <row r="270" spans="1:12" x14ac:dyDescent="0.3">
      <c r="A270" t="s">
        <v>292</v>
      </c>
      <c r="B270" t="s">
        <v>312</v>
      </c>
      <c r="C270" t="s">
        <v>18</v>
      </c>
      <c r="D270" t="str">
        <f>INT('Client'!$E270/12) &amp; " ans et " &amp; MOD('Client'!$E270,12) &amp; " mois"</f>
        <v>2 ans et 9 mois</v>
      </c>
      <c r="E270">
        <v>33</v>
      </c>
      <c r="F270" t="s">
        <v>11</v>
      </c>
      <c r="G270" s="7">
        <f>Client[[#This Row],[Duree_Cumulee_Panne_Min]]/1440</f>
        <v>0.30833333333333335</v>
      </c>
      <c r="H270">
        <v>444</v>
      </c>
      <c r="I270">
        <v>10.28</v>
      </c>
      <c r="J270">
        <v>5</v>
      </c>
      <c r="K270" s="8">
        <f>IF('Client'!$F270="Pro Monde",10%,IF(AND('Client'!$G270&gt;12,'Client'!$D270&gt;5),70%,IF(AND(OR('Client'!$G270&gt;=4,'Client'!$G270&lt;=12,'Client'!$D270&lt;5,(OR('Client'!$F270="Premium ")))),45%,0%)))</f>
        <v>0.45</v>
      </c>
      <c r="L270" s="4">
        <f>'Client'!$I270* ('Client'!$K270/100)</f>
        <v>4.6260000000000003E-2</v>
      </c>
    </row>
    <row r="271" spans="1:12" x14ac:dyDescent="0.3">
      <c r="A271" t="s">
        <v>292</v>
      </c>
      <c r="B271" t="s">
        <v>313</v>
      </c>
      <c r="C271" t="s">
        <v>29</v>
      </c>
      <c r="D271" t="str">
        <f>INT('Client'!$E271/12) &amp; " ans et " &amp; MOD('Client'!$E271,12) &amp; " mois"</f>
        <v>8 ans et 3 mois</v>
      </c>
      <c r="E271">
        <v>99</v>
      </c>
      <c r="F271" t="s">
        <v>14</v>
      </c>
      <c r="G271" s="7">
        <f>Client[[#This Row],[Duree_Cumulee_Panne_Min]]/1440</f>
        <v>0.22569444444444445</v>
      </c>
      <c r="H271">
        <v>325</v>
      </c>
      <c r="I271">
        <v>88.35</v>
      </c>
      <c r="J271">
        <v>4</v>
      </c>
      <c r="K271" s="8">
        <f>IF('Client'!$F271="Pro Monde",10%,IF(AND('Client'!$G271&gt;12,'Client'!$D271&gt;5),70%,IF(AND(OR('Client'!$G271&gt;=4,'Client'!$G271&lt;=12,'Client'!$D271&lt;5,(OR('Client'!$F271="Premium ")))),45%,0%)))</f>
        <v>0.1</v>
      </c>
      <c r="L271" s="4">
        <f>'Client'!$I271* ('Client'!$K271/100)</f>
        <v>8.8349999999999998E-2</v>
      </c>
    </row>
    <row r="272" spans="1:12" x14ac:dyDescent="0.3">
      <c r="A272" t="s">
        <v>292</v>
      </c>
      <c r="B272" t="s">
        <v>314</v>
      </c>
      <c r="C272" t="s">
        <v>67</v>
      </c>
      <c r="D272" t="str">
        <f>INT('Client'!$E272/12) &amp; " ans et " &amp; MOD('Client'!$E272,12) &amp; " mois"</f>
        <v>9 ans et 9 mois</v>
      </c>
      <c r="E272">
        <v>117</v>
      </c>
      <c r="F272" t="s">
        <v>19</v>
      </c>
      <c r="G272" s="7">
        <f>Client[[#This Row],[Duree_Cumulee_Panne_Min]]/1440</f>
        <v>5.9027777777777776E-2</v>
      </c>
      <c r="H272">
        <v>85</v>
      </c>
      <c r="I272">
        <v>46.16</v>
      </c>
      <c r="J272">
        <v>3</v>
      </c>
      <c r="K272" s="8">
        <f>IF('Client'!$F272="Pro Monde",10%,IF(AND('Client'!$G272&gt;12,'Client'!$D272&gt;5),70%,IF(AND(OR('Client'!$G272&gt;=4,'Client'!$G272&lt;=12,'Client'!$D272&lt;5,(OR('Client'!$F272="Premium ")))),45%,0%)))</f>
        <v>0.45</v>
      </c>
      <c r="L272" s="4">
        <f>'Client'!$I272* ('Client'!$K272/100)</f>
        <v>0.20772000000000002</v>
      </c>
    </row>
    <row r="273" spans="1:12" x14ac:dyDescent="0.3">
      <c r="A273" t="s">
        <v>292</v>
      </c>
      <c r="B273" t="s">
        <v>315</v>
      </c>
      <c r="C273" t="s">
        <v>131</v>
      </c>
      <c r="D273" t="str">
        <f>INT('Client'!$E273/12) &amp; " ans et " &amp; MOD('Client'!$E273,12) &amp; " mois"</f>
        <v>8 ans et 1 mois</v>
      </c>
      <c r="E273">
        <v>97</v>
      </c>
      <c r="F273" t="s">
        <v>19</v>
      </c>
      <c r="G273" s="7">
        <f>Client[[#This Row],[Duree_Cumulee_Panne_Min]]/1440</f>
        <v>2.7777777777777776E-2</v>
      </c>
      <c r="H273">
        <v>40</v>
      </c>
      <c r="I273">
        <v>85.19</v>
      </c>
      <c r="J273">
        <v>1</v>
      </c>
      <c r="K273" s="8">
        <f>IF('Client'!$F273="Pro Monde",10%,IF(AND('Client'!$G273&gt;12,'Client'!$D273&gt;5),70%,IF(AND(OR('Client'!$G273&gt;=4,'Client'!$G273&lt;=12,'Client'!$D273&lt;5,(OR('Client'!$F273="Premium ")))),45%,0%)))</f>
        <v>0.45</v>
      </c>
      <c r="L273" s="4">
        <f>'Client'!$I273* ('Client'!$K273/100)</f>
        <v>0.38335500000000006</v>
      </c>
    </row>
    <row r="274" spans="1:12" x14ac:dyDescent="0.3">
      <c r="A274" t="s">
        <v>292</v>
      </c>
      <c r="B274" t="s">
        <v>316</v>
      </c>
      <c r="C274" t="s">
        <v>127</v>
      </c>
      <c r="D274" t="str">
        <f>INT('Client'!$E274/12) &amp; " ans et " &amp; MOD('Client'!$E274,12) &amp; " mois"</f>
        <v>7 ans et 9 mois</v>
      </c>
      <c r="E274">
        <v>93</v>
      </c>
      <c r="F274" t="s">
        <v>11</v>
      </c>
      <c r="G274" s="7">
        <f>Client[[#This Row],[Duree_Cumulee_Panne_Min]]/1440</f>
        <v>0.10416666666666667</v>
      </c>
      <c r="H274">
        <v>150</v>
      </c>
      <c r="I274">
        <v>93.25</v>
      </c>
      <c r="J274">
        <v>3</v>
      </c>
      <c r="K274" s="8">
        <f>IF('Client'!$F274="Pro Monde",10%,IF(AND('Client'!$G274&gt;12,'Client'!$D274&gt;5),70%,IF(AND(OR('Client'!$G274&gt;=4,'Client'!$G274&lt;=12,'Client'!$D274&lt;5,(OR('Client'!$F274="Premium ")))),45%,0%)))</f>
        <v>0.45</v>
      </c>
      <c r="L274" s="4">
        <f>'Client'!$I274* ('Client'!$K274/100)</f>
        <v>0.41962500000000003</v>
      </c>
    </row>
    <row r="275" spans="1:12" x14ac:dyDescent="0.3">
      <c r="A275" t="s">
        <v>292</v>
      </c>
      <c r="B275" t="s">
        <v>317</v>
      </c>
      <c r="C275" t="s">
        <v>35</v>
      </c>
      <c r="D275" t="str">
        <f>INT('Client'!$E275/12) &amp; " ans et " &amp; MOD('Client'!$E275,12) &amp; " mois"</f>
        <v>3 ans et 9 mois</v>
      </c>
      <c r="E275">
        <v>45</v>
      </c>
      <c r="F275" t="s">
        <v>22</v>
      </c>
      <c r="G275" s="7">
        <f>Client[[#This Row],[Duree_Cumulee_Panne_Min]]/1440</f>
        <v>2.9861111111111113E-2</v>
      </c>
      <c r="H275">
        <v>43</v>
      </c>
      <c r="I275">
        <v>12.31</v>
      </c>
      <c r="J275">
        <v>0</v>
      </c>
      <c r="K275" s="8">
        <f>IF('Client'!$F275="Pro Monde",10%,IF(AND('Client'!$G275&gt;12,'Client'!$D275&gt;5),70%,IF(AND(OR('Client'!$G275&gt;=4,'Client'!$G275&lt;=12,'Client'!$D275&lt;5,(OR('Client'!$F275="Premium ")))),45%,0%)))</f>
        <v>0.45</v>
      </c>
      <c r="L275" s="4">
        <f>'Client'!$I275* ('Client'!$K275/100)</f>
        <v>5.5395000000000007E-2</v>
      </c>
    </row>
    <row r="276" spans="1:12" x14ac:dyDescent="0.3">
      <c r="A276" t="s">
        <v>292</v>
      </c>
      <c r="B276" t="s">
        <v>318</v>
      </c>
      <c r="C276" t="s">
        <v>127</v>
      </c>
      <c r="D276" t="str">
        <f>INT('Client'!$E276/12) &amp; " ans et " &amp; MOD('Client'!$E276,12) &amp; " mois"</f>
        <v>5 ans et 6 mois</v>
      </c>
      <c r="E276">
        <v>66</v>
      </c>
      <c r="F276" t="s">
        <v>11</v>
      </c>
      <c r="G276" s="7">
        <f>Client[[#This Row],[Duree_Cumulee_Panne_Min]]/1440</f>
        <v>0.13402777777777777</v>
      </c>
      <c r="H276">
        <v>193</v>
      </c>
      <c r="I276">
        <v>21.06</v>
      </c>
      <c r="J276">
        <v>3</v>
      </c>
      <c r="K276" s="8">
        <f>IF('Client'!$F276="Pro Monde",10%,IF(AND('Client'!$G276&gt;12,'Client'!$D276&gt;5),70%,IF(AND(OR('Client'!$G276&gt;=4,'Client'!$G276&lt;=12,'Client'!$D276&lt;5,(OR('Client'!$F276="Premium ")))),45%,0%)))</f>
        <v>0.45</v>
      </c>
      <c r="L276" s="4">
        <f>'Client'!$I276* ('Client'!$K276/100)</f>
        <v>9.4770000000000007E-2</v>
      </c>
    </row>
    <row r="277" spans="1:12" x14ac:dyDescent="0.3">
      <c r="A277" t="s">
        <v>292</v>
      </c>
      <c r="B277" t="s">
        <v>319</v>
      </c>
      <c r="C277" t="s">
        <v>35</v>
      </c>
      <c r="D277" t="str">
        <f>INT('Client'!$E277/12) &amp; " ans et " &amp; MOD('Client'!$E277,12) &amp; " mois"</f>
        <v>7 ans et 7 mois</v>
      </c>
      <c r="E277">
        <v>91</v>
      </c>
      <c r="F277" t="s">
        <v>22</v>
      </c>
      <c r="G277" s="7">
        <f>Client[[#This Row],[Duree_Cumulee_Panne_Min]]/1440</f>
        <v>4.3749999999999997E-2</v>
      </c>
      <c r="H277">
        <v>63</v>
      </c>
      <c r="I277">
        <v>57.76</v>
      </c>
      <c r="J277">
        <v>5</v>
      </c>
      <c r="K277" s="8">
        <f>IF('Client'!$F277="Pro Monde",10%,IF(AND('Client'!$G277&gt;12,'Client'!$D277&gt;5),70%,IF(AND(OR('Client'!$G277&gt;=4,'Client'!$G277&lt;=12,'Client'!$D277&lt;5,(OR('Client'!$F277="Premium ")))),45%,0%)))</f>
        <v>0.45</v>
      </c>
      <c r="L277" s="4">
        <f>'Client'!$I277* ('Client'!$K277/100)</f>
        <v>0.25992000000000004</v>
      </c>
    </row>
    <row r="278" spans="1:12" x14ac:dyDescent="0.3">
      <c r="A278" t="s">
        <v>292</v>
      </c>
      <c r="B278" t="s">
        <v>320</v>
      </c>
      <c r="C278" t="s">
        <v>131</v>
      </c>
      <c r="D278" t="str">
        <f>INT('Client'!$E278/12) &amp; " ans et " &amp; MOD('Client'!$E278,12) &amp; " mois"</f>
        <v>5 ans et 3 mois</v>
      </c>
      <c r="E278">
        <v>63</v>
      </c>
      <c r="F278" t="s">
        <v>14</v>
      </c>
      <c r="G278" s="7">
        <f>Client[[#This Row],[Duree_Cumulee_Panne_Min]]/1440</f>
        <v>9.7916666666666666E-2</v>
      </c>
      <c r="H278">
        <v>141</v>
      </c>
      <c r="I278">
        <v>95.6</v>
      </c>
      <c r="J278">
        <v>4</v>
      </c>
      <c r="K278" s="8">
        <f>IF('Client'!$F278="Pro Monde",10%,IF(AND('Client'!$G278&gt;12,'Client'!$D278&gt;5),70%,IF(AND(OR('Client'!$G278&gt;=4,'Client'!$G278&lt;=12,'Client'!$D278&lt;5,(OR('Client'!$F278="Premium ")))),45%,0%)))</f>
        <v>0.1</v>
      </c>
      <c r="L278" s="4">
        <f>'Client'!$I278* ('Client'!$K278/100)</f>
        <v>9.5599999999999991E-2</v>
      </c>
    </row>
    <row r="279" spans="1:12" x14ac:dyDescent="0.3">
      <c r="A279" t="s">
        <v>292</v>
      </c>
      <c r="B279" t="s">
        <v>321</v>
      </c>
      <c r="C279" t="s">
        <v>60</v>
      </c>
      <c r="D279" t="str">
        <f>INT('Client'!$E279/12) &amp; " ans et " &amp; MOD('Client'!$E279,12) &amp; " mois"</f>
        <v>6 ans et 10 mois</v>
      </c>
      <c r="E279">
        <v>82</v>
      </c>
      <c r="F279" t="s">
        <v>11</v>
      </c>
      <c r="G279" s="7">
        <f>Client[[#This Row],[Duree_Cumulee_Panne_Min]]/1440</f>
        <v>2.2222222222222223E-2</v>
      </c>
      <c r="H279">
        <v>32</v>
      </c>
      <c r="I279">
        <v>77.63</v>
      </c>
      <c r="J279">
        <v>1</v>
      </c>
      <c r="K279" s="8">
        <f>IF('Client'!$F279="Pro Monde",10%,IF(AND('Client'!$G279&gt;12,'Client'!$D279&gt;5),70%,IF(AND(OR('Client'!$G279&gt;=4,'Client'!$G279&lt;=12,'Client'!$D279&lt;5,(OR('Client'!$F279="Premium ")))),45%,0%)))</f>
        <v>0.45</v>
      </c>
      <c r="L279" s="4">
        <f>'Client'!$I279* ('Client'!$K279/100)</f>
        <v>0.34933500000000001</v>
      </c>
    </row>
    <row r="280" spans="1:12" x14ac:dyDescent="0.3">
      <c r="A280" t="s">
        <v>292</v>
      </c>
      <c r="B280" t="s">
        <v>322</v>
      </c>
      <c r="C280" t="s">
        <v>31</v>
      </c>
      <c r="D280" t="str">
        <f>INT('Client'!$E280/12) &amp; " ans et " &amp; MOD('Client'!$E280,12) &amp; " mois"</f>
        <v>7 ans et 5 mois</v>
      </c>
      <c r="E280">
        <v>89</v>
      </c>
      <c r="F280" t="s">
        <v>19</v>
      </c>
      <c r="G280" s="7">
        <f>Client[[#This Row],[Duree_Cumulee_Panne_Min]]/1440</f>
        <v>0.12152777777777778</v>
      </c>
      <c r="H280">
        <v>175</v>
      </c>
      <c r="I280">
        <v>32.369999999999997</v>
      </c>
      <c r="J280">
        <v>1</v>
      </c>
      <c r="K280" s="8">
        <f>IF('Client'!$F280="Pro Monde",10%,IF(AND('Client'!$G280&gt;12,'Client'!$D280&gt;5),70%,IF(AND(OR('Client'!$G280&gt;=4,'Client'!$G280&lt;=12,'Client'!$D280&lt;5,(OR('Client'!$F280="Premium ")))),45%,0%)))</f>
        <v>0.45</v>
      </c>
      <c r="L280" s="4">
        <f>'Client'!$I280* ('Client'!$K280/100)</f>
        <v>0.14566500000000002</v>
      </c>
    </row>
    <row r="281" spans="1:12" x14ac:dyDescent="0.3">
      <c r="A281" t="s">
        <v>292</v>
      </c>
      <c r="B281" t="s">
        <v>323</v>
      </c>
      <c r="C281" t="s">
        <v>26</v>
      </c>
      <c r="D281" t="str">
        <f>INT('Client'!$E281/12) &amp; " ans et " &amp; MOD('Client'!$E281,12) &amp; " mois"</f>
        <v>4 ans et 0 mois</v>
      </c>
      <c r="E281">
        <v>48</v>
      </c>
      <c r="F281" t="s">
        <v>22</v>
      </c>
      <c r="G281" s="7">
        <f>Client[[#This Row],[Duree_Cumulee_Panne_Min]]/1440</f>
        <v>1.0416666666666666E-2</v>
      </c>
      <c r="H281">
        <v>15</v>
      </c>
      <c r="I281">
        <v>50.67</v>
      </c>
      <c r="J281">
        <v>1</v>
      </c>
      <c r="K281" s="8">
        <f>IF('Client'!$F281="Pro Monde",10%,IF(AND('Client'!$G281&gt;12,'Client'!$D281&gt;5),70%,IF(AND(OR('Client'!$G281&gt;=4,'Client'!$G281&lt;=12,'Client'!$D281&lt;5,(OR('Client'!$F281="Premium ")))),45%,0%)))</f>
        <v>0.45</v>
      </c>
      <c r="L281" s="4">
        <f>'Client'!$I281* ('Client'!$K281/100)</f>
        <v>0.22801500000000002</v>
      </c>
    </row>
    <row r="282" spans="1:12" x14ac:dyDescent="0.3">
      <c r="A282" t="s">
        <v>292</v>
      </c>
      <c r="B282" t="s">
        <v>324</v>
      </c>
      <c r="C282" t="s">
        <v>40</v>
      </c>
      <c r="D282" t="str">
        <f>INT('Client'!$E282/12) &amp; " ans et " &amp; MOD('Client'!$E282,12) &amp; " mois"</f>
        <v>7 ans et 6 mois</v>
      </c>
      <c r="E282">
        <v>90</v>
      </c>
      <c r="F282" t="s">
        <v>14</v>
      </c>
      <c r="G282" s="7">
        <f>Client[[#This Row],[Duree_Cumulee_Panne_Min]]/1440</f>
        <v>0.2076388888888889</v>
      </c>
      <c r="H282">
        <v>299</v>
      </c>
      <c r="I282">
        <v>71.760000000000005</v>
      </c>
      <c r="J282">
        <v>1</v>
      </c>
      <c r="K282" s="8">
        <f>IF('Client'!$F282="Pro Monde",10%,IF(AND('Client'!$G282&gt;12,'Client'!$D282&gt;5),70%,IF(AND(OR('Client'!$G282&gt;=4,'Client'!$G282&lt;=12,'Client'!$D282&lt;5,(OR('Client'!$F282="Premium ")))),45%,0%)))</f>
        <v>0.1</v>
      </c>
      <c r="L282" s="4">
        <f>'Client'!$I282* ('Client'!$K282/100)</f>
        <v>7.1760000000000004E-2</v>
      </c>
    </row>
    <row r="283" spans="1:12" x14ac:dyDescent="0.3">
      <c r="A283" t="s">
        <v>292</v>
      </c>
      <c r="B283" t="s">
        <v>325</v>
      </c>
      <c r="C283" t="s">
        <v>78</v>
      </c>
      <c r="D283" t="str">
        <f>INT('Client'!$E283/12) &amp; " ans et " &amp; MOD('Client'!$E283,12) &amp; " mois"</f>
        <v>0 ans et 8 mois</v>
      </c>
      <c r="E283">
        <v>8</v>
      </c>
      <c r="F283" t="s">
        <v>19</v>
      </c>
      <c r="G283" s="7">
        <f>Client[[#This Row],[Duree_Cumulee_Panne_Min]]/1440</f>
        <v>8.3333333333333329E-2</v>
      </c>
      <c r="H283">
        <v>120</v>
      </c>
      <c r="I283">
        <v>88.29</v>
      </c>
      <c r="J283">
        <v>5</v>
      </c>
      <c r="K283" s="8">
        <f>IF('Client'!$F283="Pro Monde",10%,IF(AND('Client'!$G283&gt;12,'Client'!$D283&gt;5),70%,IF(AND(OR('Client'!$G283&gt;=4,'Client'!$G283&lt;=12,'Client'!$D283&lt;5,(OR('Client'!$F283="Premium ")))),45%,0%)))</f>
        <v>0.45</v>
      </c>
      <c r="L283" s="4">
        <f>'Client'!$I283* ('Client'!$K283/100)</f>
        <v>0.39730500000000007</v>
      </c>
    </row>
    <row r="284" spans="1:12" x14ac:dyDescent="0.3">
      <c r="A284" t="s">
        <v>292</v>
      </c>
      <c r="B284" t="s">
        <v>326</v>
      </c>
      <c r="C284" t="s">
        <v>44</v>
      </c>
      <c r="D284" t="str">
        <f>INT('Client'!$E284/12) &amp; " ans et " &amp; MOD('Client'!$E284,12) &amp; " mois"</f>
        <v>7 ans et 0 mois</v>
      </c>
      <c r="E284">
        <v>84</v>
      </c>
      <c r="F284" t="s">
        <v>19</v>
      </c>
      <c r="G284" s="7">
        <f>Client[[#This Row],[Duree_Cumulee_Panne_Min]]/1440</f>
        <v>0.16944444444444445</v>
      </c>
      <c r="H284">
        <v>244</v>
      </c>
      <c r="I284">
        <v>56.34</v>
      </c>
      <c r="J284">
        <v>5</v>
      </c>
      <c r="K284" s="8">
        <f>IF('Client'!$F284="Pro Monde",10%,IF(AND('Client'!$G284&gt;12,'Client'!$D284&gt;5),70%,IF(AND(OR('Client'!$G284&gt;=4,'Client'!$G284&lt;=12,'Client'!$D284&lt;5,(OR('Client'!$F284="Premium ")))),45%,0%)))</f>
        <v>0.45</v>
      </c>
      <c r="L284" s="4">
        <f>'Client'!$I284* ('Client'!$K284/100)</f>
        <v>0.25353000000000003</v>
      </c>
    </row>
    <row r="285" spans="1:12" x14ac:dyDescent="0.3">
      <c r="A285" t="s">
        <v>292</v>
      </c>
      <c r="B285" t="s">
        <v>327</v>
      </c>
      <c r="C285" t="s">
        <v>37</v>
      </c>
      <c r="D285" t="str">
        <f>INT('Client'!$E285/12) &amp; " ans et " &amp; MOD('Client'!$E285,12) &amp; " mois"</f>
        <v>4 ans et 2 mois</v>
      </c>
      <c r="E285">
        <v>50</v>
      </c>
      <c r="F285" t="s">
        <v>19</v>
      </c>
      <c r="G285" s="7">
        <f>Client[[#This Row],[Duree_Cumulee_Panne_Min]]/1440</f>
        <v>0.17222222222222222</v>
      </c>
      <c r="H285">
        <v>248</v>
      </c>
      <c r="I285">
        <v>69.42</v>
      </c>
      <c r="J285">
        <v>0</v>
      </c>
      <c r="K285" s="8">
        <f>IF('Client'!$F285="Pro Monde",10%,IF(AND('Client'!$G285&gt;12,'Client'!$D285&gt;5),70%,IF(AND(OR('Client'!$G285&gt;=4,'Client'!$G285&lt;=12,'Client'!$D285&lt;5,(OR('Client'!$F285="Premium ")))),45%,0%)))</f>
        <v>0.45</v>
      </c>
      <c r="L285" s="4">
        <f>'Client'!$I285* ('Client'!$K285/100)</f>
        <v>0.31239000000000006</v>
      </c>
    </row>
    <row r="286" spans="1:12" x14ac:dyDescent="0.3">
      <c r="A286" t="s">
        <v>292</v>
      </c>
      <c r="B286" t="s">
        <v>328</v>
      </c>
      <c r="C286" t="s">
        <v>26</v>
      </c>
      <c r="D286" t="str">
        <f>INT('Client'!$E286/12) &amp; " ans et " &amp; MOD('Client'!$E286,12) &amp; " mois"</f>
        <v>9 ans et 11 mois</v>
      </c>
      <c r="E286">
        <v>119</v>
      </c>
      <c r="F286" t="s">
        <v>14</v>
      </c>
      <c r="G286" s="7">
        <f>Client[[#This Row],[Duree_Cumulee_Panne_Min]]/1440</f>
        <v>0.2388888888888889</v>
      </c>
      <c r="H286">
        <v>344</v>
      </c>
      <c r="I286">
        <v>10.28</v>
      </c>
      <c r="J286">
        <v>0</v>
      </c>
      <c r="K286" s="8">
        <f>IF('Client'!$F286="Pro Monde",10%,IF(AND('Client'!$G286&gt;12,'Client'!$D286&gt;5),70%,IF(AND(OR('Client'!$G286&gt;=4,'Client'!$G286&lt;=12,'Client'!$D286&lt;5,(OR('Client'!$F286="Premium ")))),45%,0%)))</f>
        <v>0.1</v>
      </c>
      <c r="L286" s="4">
        <f>'Client'!$I286* ('Client'!$K286/100)</f>
        <v>1.0279999999999999E-2</v>
      </c>
    </row>
    <row r="287" spans="1:12" x14ac:dyDescent="0.3">
      <c r="A287" t="s">
        <v>292</v>
      </c>
      <c r="B287" t="s">
        <v>329</v>
      </c>
      <c r="C287" t="s">
        <v>33</v>
      </c>
      <c r="D287" t="str">
        <f>INT('Client'!$E287/12) &amp; " ans et " &amp; MOD('Client'!$E287,12) &amp; " mois"</f>
        <v>4 ans et 7 mois</v>
      </c>
      <c r="E287">
        <v>55</v>
      </c>
      <c r="F287" t="s">
        <v>14</v>
      </c>
      <c r="G287" s="7">
        <f>Client[[#This Row],[Duree_Cumulee_Panne_Min]]/1440</f>
        <v>0.27013888888888887</v>
      </c>
      <c r="H287">
        <v>389</v>
      </c>
      <c r="I287">
        <v>67.430000000000007</v>
      </c>
      <c r="J287">
        <v>3</v>
      </c>
      <c r="K287" s="8">
        <f>IF('Client'!$F287="Pro Monde",10%,IF(AND('Client'!$G287&gt;12,'Client'!$D287&gt;5),70%,IF(AND(OR('Client'!$G287&gt;=4,'Client'!$G287&lt;=12,'Client'!$D287&lt;5,(OR('Client'!$F287="Premium ")))),45%,0%)))</f>
        <v>0.1</v>
      </c>
      <c r="L287" s="4">
        <f>'Client'!$I287* ('Client'!$K287/100)</f>
        <v>6.7430000000000004E-2</v>
      </c>
    </row>
    <row r="288" spans="1:12" x14ac:dyDescent="0.3">
      <c r="A288" t="s">
        <v>292</v>
      </c>
      <c r="B288" t="s">
        <v>330</v>
      </c>
      <c r="C288" t="s">
        <v>44</v>
      </c>
      <c r="D288" t="str">
        <f>INT('Client'!$E288/12) &amp; " ans et " &amp; MOD('Client'!$E288,12) &amp; " mois"</f>
        <v>7 ans et 11 mois</v>
      </c>
      <c r="E288">
        <v>95</v>
      </c>
      <c r="F288" t="s">
        <v>11</v>
      </c>
      <c r="G288" s="7">
        <f>Client[[#This Row],[Duree_Cumulee_Panne_Min]]/1440</f>
        <v>3.5416666666666666E-2</v>
      </c>
      <c r="H288">
        <v>51</v>
      </c>
      <c r="I288">
        <v>94.77</v>
      </c>
      <c r="J288">
        <v>5</v>
      </c>
      <c r="K288" s="8">
        <f>IF('Client'!$F288="Pro Monde",10%,IF(AND('Client'!$G288&gt;12,'Client'!$D288&gt;5),70%,IF(AND(OR('Client'!$G288&gt;=4,'Client'!$G288&lt;=12,'Client'!$D288&lt;5,(OR('Client'!$F288="Premium ")))),45%,0%)))</f>
        <v>0.45</v>
      </c>
      <c r="L288" s="4">
        <f>'Client'!$I288* ('Client'!$K288/100)</f>
        <v>0.42646500000000004</v>
      </c>
    </row>
    <row r="289" spans="1:12" x14ac:dyDescent="0.3">
      <c r="A289" t="s">
        <v>292</v>
      </c>
      <c r="B289" t="s">
        <v>331</v>
      </c>
      <c r="C289" t="s">
        <v>33</v>
      </c>
      <c r="D289" t="str">
        <f>INT('Client'!$E289/12) &amp; " ans et " &amp; MOD('Client'!$E289,12) &amp; " mois"</f>
        <v>2 ans et 8 mois</v>
      </c>
      <c r="E289">
        <v>32</v>
      </c>
      <c r="F289" t="s">
        <v>14</v>
      </c>
      <c r="G289" s="7">
        <f>Client[[#This Row],[Duree_Cumulee_Panne_Min]]/1440</f>
        <v>2.7777777777777779E-3</v>
      </c>
      <c r="H289">
        <v>4</v>
      </c>
      <c r="I289">
        <v>39</v>
      </c>
      <c r="J289">
        <v>0</v>
      </c>
      <c r="K289" s="8">
        <f>IF('Client'!$F289="Pro Monde",10%,IF(AND('Client'!$G289&gt;12,'Client'!$D289&gt;5),70%,IF(AND(OR('Client'!$G289&gt;=4,'Client'!$G289&lt;=12,'Client'!$D289&lt;5,(OR('Client'!$F289="Premium ")))),45%,0%)))</f>
        <v>0.1</v>
      </c>
      <c r="L289" s="4">
        <f>'Client'!$I289* ('Client'!$K289/100)</f>
        <v>3.9E-2</v>
      </c>
    </row>
    <row r="290" spans="1:12" x14ac:dyDescent="0.3">
      <c r="A290" t="s">
        <v>292</v>
      </c>
      <c r="B290" t="s">
        <v>332</v>
      </c>
      <c r="C290" t="s">
        <v>64</v>
      </c>
      <c r="D290" t="str">
        <f>INT('Client'!$E290/12) &amp; " ans et " &amp; MOD('Client'!$E290,12) &amp; " mois"</f>
        <v>2 ans et 8 mois</v>
      </c>
      <c r="E290">
        <v>32</v>
      </c>
      <c r="F290" t="s">
        <v>22</v>
      </c>
      <c r="G290" s="7">
        <f>Client[[#This Row],[Duree_Cumulee_Panne_Min]]/1440</f>
        <v>2.1527777777777778E-2</v>
      </c>
      <c r="H290">
        <v>31</v>
      </c>
      <c r="I290">
        <v>67.040000000000006</v>
      </c>
      <c r="J290">
        <v>1</v>
      </c>
      <c r="K290" s="8">
        <f>IF('Client'!$F290="Pro Monde",10%,IF(AND('Client'!$G290&gt;12,'Client'!$D290&gt;5),70%,IF(AND(OR('Client'!$G290&gt;=4,'Client'!$G290&lt;=12,'Client'!$D290&lt;5,(OR('Client'!$F290="Premium ")))),45%,0%)))</f>
        <v>0.45</v>
      </c>
      <c r="L290" s="4">
        <f>'Client'!$I290* ('Client'!$K290/100)</f>
        <v>0.30168000000000006</v>
      </c>
    </row>
    <row r="291" spans="1:12" x14ac:dyDescent="0.3">
      <c r="A291" t="s">
        <v>292</v>
      </c>
      <c r="B291" t="s">
        <v>333</v>
      </c>
      <c r="C291" t="s">
        <v>64</v>
      </c>
      <c r="D291" t="str">
        <f>INT('Client'!$E291/12) &amp; " ans et " &amp; MOD('Client'!$E291,12) &amp; " mois"</f>
        <v>5 ans et 2 mois</v>
      </c>
      <c r="E291">
        <v>62</v>
      </c>
      <c r="F291" t="s">
        <v>22</v>
      </c>
      <c r="G291" s="7">
        <f>Client[[#This Row],[Duree_Cumulee_Panne_Min]]/1440</f>
        <v>9.4444444444444442E-2</v>
      </c>
      <c r="H291">
        <v>136</v>
      </c>
      <c r="I291">
        <v>88.61</v>
      </c>
      <c r="J291">
        <v>2</v>
      </c>
      <c r="K291" s="8">
        <f>IF('Client'!$F291="Pro Monde",10%,IF(AND('Client'!$G291&gt;12,'Client'!$D291&gt;5),70%,IF(AND(OR('Client'!$G291&gt;=4,'Client'!$G291&lt;=12,'Client'!$D291&lt;5,(OR('Client'!$F291="Premium ")))),45%,0%)))</f>
        <v>0.45</v>
      </c>
      <c r="L291" s="4">
        <f>'Client'!$I291* ('Client'!$K291/100)</f>
        <v>0.39874500000000007</v>
      </c>
    </row>
    <row r="292" spans="1:12" x14ac:dyDescent="0.3">
      <c r="A292" t="s">
        <v>292</v>
      </c>
      <c r="B292" t="s">
        <v>334</v>
      </c>
      <c r="C292" t="s">
        <v>73</v>
      </c>
      <c r="D292" t="str">
        <f>INT('Client'!$E292/12) &amp; " ans et " &amp; MOD('Client'!$E292,12) &amp; " mois"</f>
        <v>0 ans et 5 mois</v>
      </c>
      <c r="E292">
        <v>5</v>
      </c>
      <c r="F292" t="s">
        <v>11</v>
      </c>
      <c r="G292" s="7">
        <f>Client[[#This Row],[Duree_Cumulee_Panne_Min]]/1440</f>
        <v>0.26666666666666666</v>
      </c>
      <c r="H292">
        <v>384</v>
      </c>
      <c r="I292">
        <v>97.26</v>
      </c>
      <c r="J292">
        <v>3</v>
      </c>
      <c r="K292" s="8">
        <f>IF('Client'!$F292="Pro Monde",10%,IF(AND('Client'!$G292&gt;12,'Client'!$D292&gt;5),70%,IF(AND(OR('Client'!$G292&gt;=4,'Client'!$G292&lt;=12,'Client'!$D292&lt;5,(OR('Client'!$F292="Premium ")))),45%,0%)))</f>
        <v>0.45</v>
      </c>
      <c r="L292" s="4">
        <f>'Client'!$I292* ('Client'!$K292/100)</f>
        <v>0.43767000000000006</v>
      </c>
    </row>
    <row r="293" spans="1:12" x14ac:dyDescent="0.3">
      <c r="A293" t="s">
        <v>292</v>
      </c>
      <c r="B293" t="s">
        <v>335</v>
      </c>
      <c r="C293" t="s">
        <v>18</v>
      </c>
      <c r="D293" t="str">
        <f>INT('Client'!$E293/12) &amp; " ans et " &amp; MOD('Client'!$E293,12) &amp; " mois"</f>
        <v>9 ans et 10 mois</v>
      </c>
      <c r="E293">
        <v>118</v>
      </c>
      <c r="F293" t="s">
        <v>22</v>
      </c>
      <c r="G293" s="7">
        <f>Client[[#This Row],[Duree_Cumulee_Panne_Min]]/1440</f>
        <v>0.33958333333333335</v>
      </c>
      <c r="H293">
        <v>489</v>
      </c>
      <c r="I293">
        <v>76.22</v>
      </c>
      <c r="J293">
        <v>2</v>
      </c>
      <c r="K293" s="8">
        <f>IF('Client'!$F293="Pro Monde",10%,IF(AND('Client'!$G293&gt;12,'Client'!$D293&gt;5),70%,IF(AND(OR('Client'!$G293&gt;=4,'Client'!$G293&lt;=12,'Client'!$D293&lt;5,(OR('Client'!$F293="Premium ")))),45%,0%)))</f>
        <v>0.45</v>
      </c>
      <c r="L293" s="4">
        <f>'Client'!$I293* ('Client'!$K293/100)</f>
        <v>0.34299000000000002</v>
      </c>
    </row>
    <row r="294" spans="1:12" x14ac:dyDescent="0.3">
      <c r="A294" t="s">
        <v>292</v>
      </c>
      <c r="B294" t="s">
        <v>336</v>
      </c>
      <c r="C294" t="s">
        <v>18</v>
      </c>
      <c r="D294" t="str">
        <f>INT('Client'!$E294/12) &amp; " ans et " &amp; MOD('Client'!$E294,12) &amp; " mois"</f>
        <v>8 ans et 9 mois</v>
      </c>
      <c r="E294">
        <v>105</v>
      </c>
      <c r="F294" t="s">
        <v>22</v>
      </c>
      <c r="G294" s="7">
        <f>Client[[#This Row],[Duree_Cumulee_Panne_Min]]/1440</f>
        <v>2.0833333333333333E-3</v>
      </c>
      <c r="H294">
        <v>3</v>
      </c>
      <c r="I294">
        <v>71.010000000000005</v>
      </c>
      <c r="J294">
        <v>1</v>
      </c>
      <c r="K294" s="8">
        <f>IF('Client'!$F294="Pro Monde",10%,IF(AND('Client'!$G294&gt;12,'Client'!$D294&gt;5),70%,IF(AND(OR('Client'!$G294&gt;=4,'Client'!$G294&lt;=12,'Client'!$D294&lt;5,(OR('Client'!$F294="Premium ")))),45%,0%)))</f>
        <v>0.45</v>
      </c>
      <c r="L294" s="4">
        <f>'Client'!$I294* ('Client'!$K294/100)</f>
        <v>0.31954500000000008</v>
      </c>
    </row>
    <row r="295" spans="1:12" x14ac:dyDescent="0.3">
      <c r="A295" t="s">
        <v>292</v>
      </c>
      <c r="B295" t="s">
        <v>337</v>
      </c>
      <c r="C295" t="s">
        <v>21</v>
      </c>
      <c r="D295" t="str">
        <f>INT('Client'!$E295/12) &amp; " ans et " &amp; MOD('Client'!$E295,12) &amp; " mois"</f>
        <v>3 ans et 11 mois</v>
      </c>
      <c r="E295">
        <v>47</v>
      </c>
      <c r="F295" t="s">
        <v>22</v>
      </c>
      <c r="G295" s="7">
        <f>Client[[#This Row],[Duree_Cumulee_Panne_Min]]/1440</f>
        <v>0.2361111111111111</v>
      </c>
      <c r="H295">
        <v>340</v>
      </c>
      <c r="I295">
        <v>31.02</v>
      </c>
      <c r="J295">
        <v>5</v>
      </c>
      <c r="K295" s="8">
        <f>IF('Client'!$F295="Pro Monde",10%,IF(AND('Client'!$G295&gt;12,'Client'!$D295&gt;5),70%,IF(AND(OR('Client'!$G295&gt;=4,'Client'!$G295&lt;=12,'Client'!$D295&lt;5,(OR('Client'!$F295="Premium ")))),45%,0%)))</f>
        <v>0.45</v>
      </c>
      <c r="L295" s="4">
        <f>'Client'!$I295* ('Client'!$K295/100)</f>
        <v>0.13959000000000002</v>
      </c>
    </row>
    <row r="296" spans="1:12" x14ac:dyDescent="0.3">
      <c r="A296" t="s">
        <v>292</v>
      </c>
      <c r="B296" t="s">
        <v>338</v>
      </c>
      <c r="C296" t="s">
        <v>26</v>
      </c>
      <c r="D296" t="str">
        <f>INT('Client'!$E296/12) &amp; " ans et " &amp; MOD('Client'!$E296,12) &amp; " mois"</f>
        <v>6 ans et 9 mois</v>
      </c>
      <c r="E296">
        <v>81</v>
      </c>
      <c r="F296" t="s">
        <v>14</v>
      </c>
      <c r="G296" s="7">
        <f>Client[[#This Row],[Duree_Cumulee_Panne_Min]]/1440</f>
        <v>0.20694444444444443</v>
      </c>
      <c r="H296">
        <v>298</v>
      </c>
      <c r="I296">
        <v>53.61</v>
      </c>
      <c r="J296">
        <v>2</v>
      </c>
      <c r="K296" s="8">
        <f>IF('Client'!$F296="Pro Monde",10%,IF(AND('Client'!$G296&gt;12,'Client'!$D296&gt;5),70%,IF(AND(OR('Client'!$G296&gt;=4,'Client'!$G296&lt;=12,'Client'!$D296&lt;5,(OR('Client'!$F296="Premium ")))),45%,0%)))</f>
        <v>0.1</v>
      </c>
      <c r="L296" s="4">
        <f>'Client'!$I296* ('Client'!$K296/100)</f>
        <v>5.3609999999999998E-2</v>
      </c>
    </row>
    <row r="297" spans="1:12" x14ac:dyDescent="0.3">
      <c r="A297" t="s">
        <v>292</v>
      </c>
      <c r="B297" t="s">
        <v>339</v>
      </c>
      <c r="C297" t="s">
        <v>131</v>
      </c>
      <c r="D297" t="str">
        <f>INT('Client'!$E297/12) &amp; " ans et " &amp; MOD('Client'!$E297,12) &amp; " mois"</f>
        <v>7 ans et 7 mois</v>
      </c>
      <c r="E297">
        <v>91</v>
      </c>
      <c r="F297" t="s">
        <v>22</v>
      </c>
      <c r="G297" s="7">
        <f>Client[[#This Row],[Duree_Cumulee_Panne_Min]]/1440</f>
        <v>0.28055555555555556</v>
      </c>
      <c r="H297">
        <v>404</v>
      </c>
      <c r="I297">
        <v>76.53</v>
      </c>
      <c r="J297">
        <v>5</v>
      </c>
      <c r="K297" s="8">
        <f>IF('Client'!$F297="Pro Monde",10%,IF(AND('Client'!$G297&gt;12,'Client'!$D297&gt;5),70%,IF(AND(OR('Client'!$G297&gt;=4,'Client'!$G297&lt;=12,'Client'!$D297&lt;5,(OR('Client'!$F297="Premium ")))),45%,0%)))</f>
        <v>0.45</v>
      </c>
      <c r="L297" s="4">
        <f>'Client'!$I297* ('Client'!$K297/100)</f>
        <v>0.34438500000000005</v>
      </c>
    </row>
    <row r="298" spans="1:12" x14ac:dyDescent="0.3">
      <c r="A298" t="s">
        <v>292</v>
      </c>
      <c r="B298" t="s">
        <v>340</v>
      </c>
      <c r="C298" t="s">
        <v>10</v>
      </c>
      <c r="D298" t="str">
        <f>INT('Client'!$E298/12) &amp; " ans et " &amp; MOD('Client'!$E298,12) &amp; " mois"</f>
        <v>7 ans et 3 mois</v>
      </c>
      <c r="E298">
        <v>87</v>
      </c>
      <c r="F298" t="s">
        <v>19</v>
      </c>
      <c r="G298" s="7">
        <f>Client[[#This Row],[Duree_Cumulee_Panne_Min]]/1440</f>
        <v>1.4583333333333334E-2</v>
      </c>
      <c r="H298">
        <v>21</v>
      </c>
      <c r="I298">
        <v>81.459999999999994</v>
      </c>
      <c r="J298">
        <v>3</v>
      </c>
      <c r="K298" s="8">
        <f>IF('Client'!$F298="Pro Monde",10%,IF(AND('Client'!$G298&gt;12,'Client'!$D298&gt;5),70%,IF(AND(OR('Client'!$G298&gt;=4,'Client'!$G298&lt;=12,'Client'!$D298&lt;5,(OR('Client'!$F298="Premium ")))),45%,0%)))</f>
        <v>0.45</v>
      </c>
      <c r="L298" s="4">
        <f>'Client'!$I298* ('Client'!$K298/100)</f>
        <v>0.36657000000000001</v>
      </c>
    </row>
    <row r="299" spans="1:12" x14ac:dyDescent="0.3">
      <c r="A299" t="s">
        <v>292</v>
      </c>
      <c r="B299" t="s">
        <v>341</v>
      </c>
      <c r="C299" t="s">
        <v>131</v>
      </c>
      <c r="D299" t="str">
        <f>INT('Client'!$E299/12) &amp; " ans et " &amp; MOD('Client'!$E299,12) &amp; " mois"</f>
        <v>0 ans et 4 mois</v>
      </c>
      <c r="E299">
        <v>4</v>
      </c>
      <c r="F299" t="s">
        <v>14</v>
      </c>
      <c r="G299" s="7">
        <f>Client[[#This Row],[Duree_Cumulee_Panne_Min]]/1440</f>
        <v>3.4027777777777775E-2</v>
      </c>
      <c r="H299">
        <v>49</v>
      </c>
      <c r="I299">
        <v>41.35</v>
      </c>
      <c r="J299">
        <v>5</v>
      </c>
      <c r="K299" s="8">
        <f>IF('Client'!$F299="Pro Monde",10%,IF(AND('Client'!$G299&gt;12,'Client'!$D299&gt;5),70%,IF(AND(OR('Client'!$G299&gt;=4,'Client'!$G299&lt;=12,'Client'!$D299&lt;5,(OR('Client'!$F299="Premium ")))),45%,0%)))</f>
        <v>0.1</v>
      </c>
      <c r="L299" s="4">
        <f>'Client'!$I299* ('Client'!$K299/100)</f>
        <v>4.1350000000000005E-2</v>
      </c>
    </row>
    <row r="300" spans="1:12" x14ac:dyDescent="0.3">
      <c r="A300" t="s">
        <v>342</v>
      </c>
      <c r="B300" t="s">
        <v>343</v>
      </c>
      <c r="C300" t="s">
        <v>16</v>
      </c>
      <c r="D300" t="str">
        <f>INT('Client'!$E300/12) &amp; " ans et " &amp; MOD('Client'!$E300,12) &amp; " mois"</f>
        <v>6 ans et 4 mois</v>
      </c>
      <c r="E300">
        <v>76</v>
      </c>
      <c r="F300" t="s">
        <v>19</v>
      </c>
      <c r="G300" s="7">
        <f>Client[[#This Row],[Duree_Cumulee_Panne_Min]]/1440</f>
        <v>0.13333333333333333</v>
      </c>
      <c r="H300">
        <v>192</v>
      </c>
      <c r="I300">
        <v>68.53</v>
      </c>
      <c r="J300">
        <v>0</v>
      </c>
      <c r="K300" s="8">
        <f>IF('Client'!$F300="Pro Monde",10%,IF(AND('Client'!$G300&gt;12,'Client'!$D300&gt;5),70%,IF(AND(OR('Client'!$G300&gt;=4,'Client'!$G300&lt;=12,'Client'!$D300&lt;5,(OR('Client'!$F300="Premium ")))),45%,0%)))</f>
        <v>0.45</v>
      </c>
      <c r="L300" s="4">
        <f>'Client'!$I300* ('Client'!$K300/100)</f>
        <v>0.30838500000000002</v>
      </c>
    </row>
    <row r="301" spans="1:12" x14ac:dyDescent="0.3">
      <c r="A301" t="s">
        <v>342</v>
      </c>
      <c r="B301" t="s">
        <v>344</v>
      </c>
      <c r="C301" t="s">
        <v>18</v>
      </c>
      <c r="D301" t="str">
        <f>INT('Client'!$E301/12) &amp; " ans et " &amp; MOD('Client'!$E301,12) &amp; " mois"</f>
        <v>5 ans et 9 mois</v>
      </c>
      <c r="E301">
        <v>69</v>
      </c>
      <c r="F301" t="s">
        <v>11</v>
      </c>
      <c r="G301" s="7">
        <f>Client[[#This Row],[Duree_Cumulee_Panne_Min]]/1440</f>
        <v>0.33750000000000002</v>
      </c>
      <c r="H301">
        <v>486</v>
      </c>
      <c r="I301">
        <v>34.770000000000003</v>
      </c>
      <c r="J301">
        <v>0</v>
      </c>
      <c r="K301" s="8">
        <f>IF('Client'!$F301="Pro Monde",10%,IF(AND('Client'!$G301&gt;12,'Client'!$D301&gt;5),70%,IF(AND(OR('Client'!$G301&gt;=4,'Client'!$G301&lt;=12,'Client'!$D301&lt;5,(OR('Client'!$F301="Premium ")))),45%,0%)))</f>
        <v>0.45</v>
      </c>
      <c r="L301" s="4">
        <f>'Client'!$I301* ('Client'!$K301/100)</f>
        <v>0.15646500000000002</v>
      </c>
    </row>
    <row r="302" spans="1:12" x14ac:dyDescent="0.3">
      <c r="A302" t="s">
        <v>342</v>
      </c>
      <c r="B302" t="s">
        <v>345</v>
      </c>
      <c r="C302" t="s">
        <v>26</v>
      </c>
      <c r="D302" t="str">
        <f>INT('Client'!$E302/12) &amp; " ans et " &amp; MOD('Client'!$E302,12) &amp; " mois"</f>
        <v>2 ans et 1 mois</v>
      </c>
      <c r="E302">
        <v>25</v>
      </c>
      <c r="F302" t="s">
        <v>14</v>
      </c>
      <c r="G302" s="7">
        <f>Client[[#This Row],[Duree_Cumulee_Panne_Min]]/1440</f>
        <v>0.15138888888888888</v>
      </c>
      <c r="H302">
        <v>218</v>
      </c>
      <c r="I302">
        <v>68.790000000000006</v>
      </c>
      <c r="J302">
        <v>0</v>
      </c>
      <c r="K302" s="8">
        <f>IF('Client'!$F302="Pro Monde",10%,IF(AND('Client'!$G302&gt;12,'Client'!$D302&gt;5),70%,IF(AND(OR('Client'!$G302&gt;=4,'Client'!$G302&lt;=12,'Client'!$D302&lt;5,(OR('Client'!$F302="Premium ")))),45%,0%)))</f>
        <v>0.1</v>
      </c>
      <c r="L302" s="4">
        <f>'Client'!$I302* ('Client'!$K302/100)</f>
        <v>6.8790000000000004E-2</v>
      </c>
    </row>
    <row r="303" spans="1:12" x14ac:dyDescent="0.3">
      <c r="A303" t="s">
        <v>342</v>
      </c>
      <c r="B303" t="s">
        <v>346</v>
      </c>
      <c r="C303" t="s">
        <v>40</v>
      </c>
      <c r="D303" t="str">
        <f>INT('Client'!$E303/12) &amp; " ans et " &amp; MOD('Client'!$E303,12) &amp; " mois"</f>
        <v>9 ans et 1 mois</v>
      </c>
      <c r="E303">
        <v>109</v>
      </c>
      <c r="F303" t="s">
        <v>22</v>
      </c>
      <c r="G303" s="7">
        <f>Client[[#This Row],[Duree_Cumulee_Panne_Min]]/1440</f>
        <v>0.24097222222222223</v>
      </c>
      <c r="H303">
        <v>347</v>
      </c>
      <c r="I303">
        <v>43.06</v>
      </c>
      <c r="J303">
        <v>4</v>
      </c>
      <c r="K303" s="8">
        <f>IF('Client'!$F303="Pro Monde",10%,IF(AND('Client'!$G303&gt;12,'Client'!$D303&gt;5),70%,IF(AND(OR('Client'!$G303&gt;=4,'Client'!$G303&lt;=12,'Client'!$D303&lt;5,(OR('Client'!$F303="Premium ")))),45%,0%)))</f>
        <v>0.45</v>
      </c>
      <c r="L303" s="4">
        <f>'Client'!$I303* ('Client'!$K303/100)</f>
        <v>0.19377000000000003</v>
      </c>
    </row>
    <row r="304" spans="1:12" x14ac:dyDescent="0.3">
      <c r="A304" t="s">
        <v>342</v>
      </c>
      <c r="B304" t="s">
        <v>347</v>
      </c>
      <c r="C304" t="s">
        <v>24</v>
      </c>
      <c r="D304" t="str">
        <f>INT('Client'!$E304/12) &amp; " ans et " &amp; MOD('Client'!$E304,12) &amp; " mois"</f>
        <v>4 ans et 2 mois</v>
      </c>
      <c r="E304">
        <v>50</v>
      </c>
      <c r="F304" t="s">
        <v>14</v>
      </c>
      <c r="G304" s="7">
        <f>Client[[#This Row],[Duree_Cumulee_Panne_Min]]/1440</f>
        <v>0.2986111111111111</v>
      </c>
      <c r="H304">
        <v>430</v>
      </c>
      <c r="I304">
        <v>20.8</v>
      </c>
      <c r="J304">
        <v>2</v>
      </c>
      <c r="K304" s="8">
        <f>IF('Client'!$F304="Pro Monde",10%,IF(AND('Client'!$G304&gt;12,'Client'!$D304&gt;5),70%,IF(AND(OR('Client'!$G304&gt;=4,'Client'!$G304&lt;=12,'Client'!$D304&lt;5,(OR('Client'!$F304="Premium ")))),45%,0%)))</f>
        <v>0.1</v>
      </c>
      <c r="L304" s="4">
        <f>'Client'!$I304* ('Client'!$K304/100)</f>
        <v>2.0800000000000003E-2</v>
      </c>
    </row>
    <row r="305" spans="1:12" x14ac:dyDescent="0.3">
      <c r="A305" t="s">
        <v>342</v>
      </c>
      <c r="B305" t="s">
        <v>348</v>
      </c>
      <c r="C305" t="s">
        <v>37</v>
      </c>
      <c r="D305" t="str">
        <f>INT('Client'!$E305/12) &amp; " ans et " &amp; MOD('Client'!$E305,12) &amp; " mois"</f>
        <v>4 ans et 7 mois</v>
      </c>
      <c r="E305">
        <v>55</v>
      </c>
      <c r="F305" t="s">
        <v>11</v>
      </c>
      <c r="G305" s="7">
        <f>Client[[#This Row],[Duree_Cumulee_Panne_Min]]/1440</f>
        <v>5.9722222222222225E-2</v>
      </c>
      <c r="H305">
        <v>86</v>
      </c>
      <c r="I305">
        <v>17.440000000000001</v>
      </c>
      <c r="J305">
        <v>2</v>
      </c>
      <c r="K305" s="8">
        <f>IF('Client'!$F305="Pro Monde",10%,IF(AND('Client'!$G305&gt;12,'Client'!$D305&gt;5),70%,IF(AND(OR('Client'!$G305&gt;=4,'Client'!$G305&lt;=12,'Client'!$D305&lt;5,(OR('Client'!$F305="Premium ")))),45%,0%)))</f>
        <v>0.45</v>
      </c>
      <c r="L305" s="4">
        <f>'Client'!$I305* ('Client'!$K305/100)</f>
        <v>7.8480000000000008E-2</v>
      </c>
    </row>
    <row r="306" spans="1:12" x14ac:dyDescent="0.3">
      <c r="A306" t="s">
        <v>342</v>
      </c>
      <c r="B306" t="s">
        <v>349</v>
      </c>
      <c r="C306" t="s">
        <v>78</v>
      </c>
      <c r="D306" t="str">
        <f>INT('Client'!$E306/12) &amp; " ans et " &amp; MOD('Client'!$E306,12) &amp; " mois"</f>
        <v>3 ans et 5 mois</v>
      </c>
      <c r="E306">
        <v>41</v>
      </c>
      <c r="F306" t="s">
        <v>14</v>
      </c>
      <c r="G306" s="7">
        <f>Client[[#This Row],[Duree_Cumulee_Panne_Min]]/1440</f>
        <v>0.32916666666666666</v>
      </c>
      <c r="H306">
        <v>474</v>
      </c>
      <c r="I306">
        <v>54.03</v>
      </c>
      <c r="J306">
        <v>4</v>
      </c>
      <c r="K306" s="8">
        <f>IF('Client'!$F306="Pro Monde",10%,IF(AND('Client'!$G306&gt;12,'Client'!$D306&gt;5),70%,IF(AND(OR('Client'!$G306&gt;=4,'Client'!$G306&lt;=12,'Client'!$D306&lt;5,(OR('Client'!$F306="Premium ")))),45%,0%)))</f>
        <v>0.1</v>
      </c>
      <c r="L306" s="4">
        <f>'Client'!$I306* ('Client'!$K306/100)</f>
        <v>5.4030000000000002E-2</v>
      </c>
    </row>
    <row r="307" spans="1:12" x14ac:dyDescent="0.3">
      <c r="A307" t="s">
        <v>342</v>
      </c>
      <c r="B307" t="s">
        <v>350</v>
      </c>
      <c r="C307" t="s">
        <v>57</v>
      </c>
      <c r="D307" t="str">
        <f>INT('Client'!$E307/12) &amp; " ans et " &amp; MOD('Client'!$E307,12) &amp; " mois"</f>
        <v>8 ans et 3 mois</v>
      </c>
      <c r="E307">
        <v>99</v>
      </c>
      <c r="F307" t="s">
        <v>19</v>
      </c>
      <c r="G307" s="7">
        <f>Client[[#This Row],[Duree_Cumulee_Panne_Min]]/1440</f>
        <v>1.9444444444444445E-2</v>
      </c>
      <c r="H307">
        <v>28</v>
      </c>
      <c r="I307">
        <v>70.19</v>
      </c>
      <c r="J307">
        <v>1</v>
      </c>
      <c r="K307" s="8">
        <f>IF('Client'!$F307="Pro Monde",10%,IF(AND('Client'!$G307&gt;12,'Client'!$D307&gt;5),70%,IF(AND(OR('Client'!$G307&gt;=4,'Client'!$G307&lt;=12,'Client'!$D307&lt;5,(OR('Client'!$F307="Premium ")))),45%,0%)))</f>
        <v>0.45</v>
      </c>
      <c r="L307" s="4">
        <f>'Client'!$I307* ('Client'!$K307/100)</f>
        <v>0.31585500000000005</v>
      </c>
    </row>
    <row r="308" spans="1:12" x14ac:dyDescent="0.3">
      <c r="A308" t="s">
        <v>342</v>
      </c>
      <c r="B308" t="s">
        <v>351</v>
      </c>
      <c r="C308" t="s">
        <v>89</v>
      </c>
      <c r="D308" t="str">
        <f>INT('Client'!$E308/12) &amp; " ans et " &amp; MOD('Client'!$E308,12) &amp; " mois"</f>
        <v>3 ans et 11 mois</v>
      </c>
      <c r="E308">
        <v>47</v>
      </c>
      <c r="F308" t="s">
        <v>11</v>
      </c>
      <c r="G308" s="7">
        <f>Client[[#This Row],[Duree_Cumulee_Panne_Min]]/1440</f>
        <v>3.4027777777777775E-2</v>
      </c>
      <c r="H308">
        <v>49</v>
      </c>
      <c r="I308">
        <v>55.88</v>
      </c>
      <c r="J308">
        <v>3</v>
      </c>
      <c r="K308" s="8">
        <f>IF('Client'!$F308="Pro Monde",10%,IF(AND('Client'!$G308&gt;12,'Client'!$D308&gt;5),70%,IF(AND(OR('Client'!$G308&gt;=4,'Client'!$G308&lt;=12,'Client'!$D308&lt;5,(OR('Client'!$F308="Premium ")))),45%,0%)))</f>
        <v>0.45</v>
      </c>
      <c r="L308" s="4">
        <f>'Client'!$I308* ('Client'!$K308/100)</f>
        <v>0.25146000000000002</v>
      </c>
    </row>
    <row r="309" spans="1:12" x14ac:dyDescent="0.3">
      <c r="A309" t="s">
        <v>342</v>
      </c>
      <c r="B309" t="s">
        <v>352</v>
      </c>
      <c r="C309" t="s">
        <v>137</v>
      </c>
      <c r="D309" t="str">
        <f>INT('Client'!$E309/12) &amp; " ans et " &amp; MOD('Client'!$E309,12) &amp; " mois"</f>
        <v>8 ans et 7 mois</v>
      </c>
      <c r="E309">
        <v>103</v>
      </c>
      <c r="F309" t="s">
        <v>22</v>
      </c>
      <c r="G309" s="7">
        <f>Client[[#This Row],[Duree_Cumulee_Panne_Min]]/1440</f>
        <v>0.12638888888888888</v>
      </c>
      <c r="H309">
        <v>182</v>
      </c>
      <c r="I309">
        <v>12.07</v>
      </c>
      <c r="J309">
        <v>5</v>
      </c>
      <c r="K309" s="8">
        <f>IF('Client'!$F309="Pro Monde",10%,IF(AND('Client'!$G309&gt;12,'Client'!$D309&gt;5),70%,IF(AND(OR('Client'!$G309&gt;=4,'Client'!$G309&lt;=12,'Client'!$D309&lt;5,(OR('Client'!$F309="Premium ")))),45%,0%)))</f>
        <v>0.45</v>
      </c>
      <c r="L309" s="4">
        <f>'Client'!$I309* ('Client'!$K309/100)</f>
        <v>5.4315000000000009E-2</v>
      </c>
    </row>
    <row r="310" spans="1:12" x14ac:dyDescent="0.3">
      <c r="A310" t="s">
        <v>342</v>
      </c>
      <c r="B310" t="s">
        <v>353</v>
      </c>
      <c r="C310" t="s">
        <v>31</v>
      </c>
      <c r="D310" t="str">
        <f>INT('Client'!$E310/12) &amp; " ans et " &amp; MOD('Client'!$E310,12) &amp; " mois"</f>
        <v>7 ans et 3 mois</v>
      </c>
      <c r="E310">
        <v>87</v>
      </c>
      <c r="F310" t="s">
        <v>22</v>
      </c>
      <c r="G310" s="7">
        <f>Client[[#This Row],[Duree_Cumulee_Panne_Min]]/1440</f>
        <v>0.34583333333333333</v>
      </c>
      <c r="H310">
        <v>498</v>
      </c>
      <c r="I310">
        <v>61.57</v>
      </c>
      <c r="J310">
        <v>0</v>
      </c>
      <c r="K310" s="8">
        <f>IF('Client'!$F310="Pro Monde",10%,IF(AND('Client'!$G310&gt;12,'Client'!$D310&gt;5),70%,IF(AND(OR('Client'!$G310&gt;=4,'Client'!$G310&lt;=12,'Client'!$D310&lt;5,(OR('Client'!$F310="Premium ")))),45%,0%)))</f>
        <v>0.45</v>
      </c>
      <c r="L310" s="4">
        <f>'Client'!$I310* ('Client'!$K310/100)</f>
        <v>0.27706500000000006</v>
      </c>
    </row>
    <row r="311" spans="1:12" x14ac:dyDescent="0.3">
      <c r="A311" t="s">
        <v>342</v>
      </c>
      <c r="B311" t="s">
        <v>354</v>
      </c>
      <c r="C311" t="s">
        <v>40</v>
      </c>
      <c r="D311" t="str">
        <f>INT('Client'!$E311/12) &amp; " ans et " &amp; MOD('Client'!$E311,12) &amp; " mois"</f>
        <v>10 ans et 0 mois</v>
      </c>
      <c r="E311">
        <v>120</v>
      </c>
      <c r="F311" t="s">
        <v>22</v>
      </c>
      <c r="G311" s="7">
        <f>Client[[#This Row],[Duree_Cumulee_Panne_Min]]/1440</f>
        <v>0.16805555555555557</v>
      </c>
      <c r="H311">
        <v>242</v>
      </c>
      <c r="I311">
        <v>61.54</v>
      </c>
      <c r="J311">
        <v>1</v>
      </c>
      <c r="K311" s="8">
        <f>IF('Client'!$F311="Pro Monde",10%,IF(AND('Client'!$G311&gt;12,'Client'!$D311&gt;5),70%,IF(AND(OR('Client'!$G311&gt;=4,'Client'!$G311&lt;=12,'Client'!$D311&lt;5,(OR('Client'!$F311="Premium ")))),45%,0%)))</f>
        <v>0.45</v>
      </c>
      <c r="L311" s="4">
        <f>'Client'!$I311* ('Client'!$K311/100)</f>
        <v>0.27693000000000001</v>
      </c>
    </row>
    <row r="312" spans="1:12" x14ac:dyDescent="0.3">
      <c r="A312" t="s">
        <v>342</v>
      </c>
      <c r="B312" t="s">
        <v>355</v>
      </c>
      <c r="C312" t="s">
        <v>16</v>
      </c>
      <c r="D312" t="str">
        <f>INT('Client'!$E312/12) &amp; " ans et " &amp; MOD('Client'!$E312,12) &amp; " mois"</f>
        <v>8 ans et 6 mois</v>
      </c>
      <c r="E312">
        <v>102</v>
      </c>
      <c r="F312" t="s">
        <v>19</v>
      </c>
      <c r="G312" s="7">
        <f>Client[[#This Row],[Duree_Cumulee_Panne_Min]]/1440</f>
        <v>6.3194444444444442E-2</v>
      </c>
      <c r="H312">
        <v>91</v>
      </c>
      <c r="I312">
        <v>34.64</v>
      </c>
      <c r="J312">
        <v>2</v>
      </c>
      <c r="K312" s="8">
        <f>IF('Client'!$F312="Pro Monde",10%,IF(AND('Client'!$G312&gt;12,'Client'!$D312&gt;5),70%,IF(AND(OR('Client'!$G312&gt;=4,'Client'!$G312&lt;=12,'Client'!$D312&lt;5,(OR('Client'!$F312="Premium ")))),45%,0%)))</f>
        <v>0.45</v>
      </c>
      <c r="L312" s="4">
        <f>'Client'!$I312* ('Client'!$K312/100)</f>
        <v>0.15588000000000002</v>
      </c>
    </row>
    <row r="313" spans="1:12" x14ac:dyDescent="0.3">
      <c r="A313" t="s">
        <v>342</v>
      </c>
      <c r="B313" t="s">
        <v>356</v>
      </c>
      <c r="C313" t="s">
        <v>78</v>
      </c>
      <c r="D313" t="str">
        <f>INT('Client'!$E313/12) &amp; " ans et " &amp; MOD('Client'!$E313,12) &amp; " mois"</f>
        <v>1 ans et 5 mois</v>
      </c>
      <c r="E313">
        <v>17</v>
      </c>
      <c r="F313" t="s">
        <v>22</v>
      </c>
      <c r="G313" s="7">
        <f>Client[[#This Row],[Duree_Cumulee_Panne_Min]]/1440</f>
        <v>0.33541666666666664</v>
      </c>
      <c r="H313">
        <v>483</v>
      </c>
      <c r="I313">
        <v>77.08</v>
      </c>
      <c r="J313">
        <v>0</v>
      </c>
      <c r="K313" s="8">
        <f>IF('Client'!$F313="Pro Monde",10%,IF(AND('Client'!$G313&gt;12,'Client'!$D313&gt;5),70%,IF(AND(OR('Client'!$G313&gt;=4,'Client'!$G313&lt;=12,'Client'!$D313&lt;5,(OR('Client'!$F313="Premium ")))),45%,0%)))</f>
        <v>0.45</v>
      </c>
      <c r="L313" s="4">
        <f>'Client'!$I313* ('Client'!$K313/100)</f>
        <v>0.34686000000000006</v>
      </c>
    </row>
    <row r="314" spans="1:12" x14ac:dyDescent="0.3">
      <c r="A314" t="s">
        <v>342</v>
      </c>
      <c r="B314" t="s">
        <v>357</v>
      </c>
      <c r="C314" t="s">
        <v>131</v>
      </c>
      <c r="D314" t="str">
        <f>INT('Client'!$E314/12) &amp; " ans et " &amp; MOD('Client'!$E314,12) &amp; " mois"</f>
        <v>5 ans et 7 mois</v>
      </c>
      <c r="E314">
        <v>67</v>
      </c>
      <c r="F314" t="s">
        <v>14</v>
      </c>
      <c r="G314" s="7">
        <f>Client[[#This Row],[Duree_Cumulee_Panne_Min]]/1440</f>
        <v>1.8055555555555554E-2</v>
      </c>
      <c r="H314">
        <v>26</v>
      </c>
      <c r="I314">
        <v>81.489999999999995</v>
      </c>
      <c r="J314">
        <v>4</v>
      </c>
      <c r="K314" s="8">
        <f>IF('Client'!$F314="Pro Monde",10%,IF(AND('Client'!$G314&gt;12,'Client'!$D314&gt;5),70%,IF(AND(OR('Client'!$G314&gt;=4,'Client'!$G314&lt;=12,'Client'!$D314&lt;5,(OR('Client'!$F314="Premium ")))),45%,0%)))</f>
        <v>0.1</v>
      </c>
      <c r="L314" s="4">
        <f>'Client'!$I314* ('Client'!$K314/100)</f>
        <v>8.1489999999999993E-2</v>
      </c>
    </row>
    <row r="315" spans="1:12" x14ac:dyDescent="0.3">
      <c r="A315" t="s">
        <v>342</v>
      </c>
      <c r="B315" t="s">
        <v>358</v>
      </c>
      <c r="C315" t="s">
        <v>37</v>
      </c>
      <c r="D315" t="str">
        <f>INT('Client'!$E315/12) &amp; " ans et " &amp; MOD('Client'!$E315,12) &amp; " mois"</f>
        <v>7 ans et 1 mois</v>
      </c>
      <c r="E315">
        <v>85</v>
      </c>
      <c r="F315" t="s">
        <v>14</v>
      </c>
      <c r="G315" s="7">
        <f>Client[[#This Row],[Duree_Cumulee_Panne_Min]]/1440</f>
        <v>4.1666666666666664E-2</v>
      </c>
      <c r="H315">
        <v>60</v>
      </c>
      <c r="I315">
        <v>26.3</v>
      </c>
      <c r="J315">
        <v>2</v>
      </c>
      <c r="K315" s="8">
        <f>IF('Client'!$F315="Pro Monde",10%,IF(AND('Client'!$G315&gt;12,'Client'!$D315&gt;5),70%,IF(AND(OR('Client'!$G315&gt;=4,'Client'!$G315&lt;=12,'Client'!$D315&lt;5,(OR('Client'!$F315="Premium ")))),45%,0%)))</f>
        <v>0.1</v>
      </c>
      <c r="L315" s="4">
        <f>'Client'!$I315* ('Client'!$K315/100)</f>
        <v>2.63E-2</v>
      </c>
    </row>
    <row r="316" spans="1:12" x14ac:dyDescent="0.3">
      <c r="A316" t="s">
        <v>342</v>
      </c>
      <c r="B316" t="s">
        <v>359</v>
      </c>
      <c r="C316" t="s">
        <v>18</v>
      </c>
      <c r="D316" t="str">
        <f>INT('Client'!$E316/12) &amp; " ans et " &amp; MOD('Client'!$E316,12) &amp; " mois"</f>
        <v>6 ans et 6 mois</v>
      </c>
      <c r="E316">
        <v>78</v>
      </c>
      <c r="F316" t="s">
        <v>11</v>
      </c>
      <c r="G316" s="7">
        <f>Client[[#This Row],[Duree_Cumulee_Panne_Min]]/1440</f>
        <v>0.18263888888888888</v>
      </c>
      <c r="H316">
        <v>263</v>
      </c>
      <c r="I316">
        <v>53.58</v>
      </c>
      <c r="J316">
        <v>5</v>
      </c>
      <c r="K316" s="8">
        <f>IF('Client'!$F316="Pro Monde",10%,IF(AND('Client'!$G316&gt;12,'Client'!$D316&gt;5),70%,IF(AND(OR('Client'!$G316&gt;=4,'Client'!$G316&lt;=12,'Client'!$D316&lt;5,(OR('Client'!$F316="Premium ")))),45%,0%)))</f>
        <v>0.45</v>
      </c>
      <c r="L316" s="4">
        <f>'Client'!$I316* ('Client'!$K316/100)</f>
        <v>0.24111000000000002</v>
      </c>
    </row>
    <row r="317" spans="1:12" x14ac:dyDescent="0.3">
      <c r="A317" t="s">
        <v>342</v>
      </c>
      <c r="B317" t="s">
        <v>360</v>
      </c>
      <c r="C317" t="s">
        <v>18</v>
      </c>
      <c r="D317" t="str">
        <f>INT('Client'!$E317/12) &amp; " ans et " &amp; MOD('Client'!$E317,12) &amp; " mois"</f>
        <v>6 ans et 4 mois</v>
      </c>
      <c r="E317">
        <v>76</v>
      </c>
      <c r="F317" t="s">
        <v>22</v>
      </c>
      <c r="G317" s="7">
        <f>Client[[#This Row],[Duree_Cumulee_Panne_Min]]/1440</f>
        <v>0.23055555555555557</v>
      </c>
      <c r="H317">
        <v>332</v>
      </c>
      <c r="I317">
        <v>68.010000000000005</v>
      </c>
      <c r="J317">
        <v>4</v>
      </c>
      <c r="K317" s="8">
        <f>IF('Client'!$F317="Pro Monde",10%,IF(AND('Client'!$G317&gt;12,'Client'!$D317&gt;5),70%,IF(AND(OR('Client'!$G317&gt;=4,'Client'!$G317&lt;=12,'Client'!$D317&lt;5,(OR('Client'!$F317="Premium ")))),45%,0%)))</f>
        <v>0.45</v>
      </c>
      <c r="L317" s="4">
        <f>'Client'!$I317* ('Client'!$K317/100)</f>
        <v>0.30604500000000007</v>
      </c>
    </row>
    <row r="318" spans="1:12" x14ac:dyDescent="0.3">
      <c r="A318" t="s">
        <v>342</v>
      </c>
      <c r="B318" t="s">
        <v>361</v>
      </c>
      <c r="C318" t="s">
        <v>18</v>
      </c>
      <c r="D318" t="str">
        <f>INT('Client'!$E318/12) &amp; " ans et " &amp; MOD('Client'!$E318,12) &amp; " mois"</f>
        <v>2 ans et 5 mois</v>
      </c>
      <c r="E318">
        <v>29</v>
      </c>
      <c r="F318" t="s">
        <v>19</v>
      </c>
      <c r="G318" s="7">
        <f>Client[[#This Row],[Duree_Cumulee_Panne_Min]]/1440</f>
        <v>0.12013888888888889</v>
      </c>
      <c r="H318">
        <v>173</v>
      </c>
      <c r="I318">
        <v>49.03</v>
      </c>
      <c r="J318">
        <v>3</v>
      </c>
      <c r="K318" s="8">
        <f>IF('Client'!$F318="Pro Monde",10%,IF(AND('Client'!$G318&gt;12,'Client'!$D318&gt;5),70%,IF(AND(OR('Client'!$G318&gt;=4,'Client'!$G318&lt;=12,'Client'!$D318&lt;5,(OR('Client'!$F318="Premium ")))),45%,0%)))</f>
        <v>0.45</v>
      </c>
      <c r="L318" s="4">
        <f>'Client'!$I318* ('Client'!$K318/100)</f>
        <v>0.22063500000000003</v>
      </c>
    </row>
    <row r="319" spans="1:12" x14ac:dyDescent="0.3">
      <c r="A319" t="s">
        <v>342</v>
      </c>
      <c r="B319" t="s">
        <v>362</v>
      </c>
      <c r="C319" t="s">
        <v>131</v>
      </c>
      <c r="D319" t="str">
        <f>INT('Client'!$E319/12) &amp; " ans et " &amp; MOD('Client'!$E319,12) &amp; " mois"</f>
        <v>1 ans et 2 mois</v>
      </c>
      <c r="E319">
        <v>14</v>
      </c>
      <c r="F319" t="s">
        <v>14</v>
      </c>
      <c r="G319" s="7">
        <f>Client[[#This Row],[Duree_Cumulee_Panne_Min]]/1440</f>
        <v>0.21041666666666667</v>
      </c>
      <c r="H319">
        <v>303</v>
      </c>
      <c r="I319">
        <v>61.43</v>
      </c>
      <c r="J319">
        <v>1</v>
      </c>
      <c r="K319" s="8">
        <f>IF('Client'!$F319="Pro Monde",10%,IF(AND('Client'!$G319&gt;12,'Client'!$D319&gt;5),70%,IF(AND(OR('Client'!$G319&gt;=4,'Client'!$G319&lt;=12,'Client'!$D319&lt;5,(OR('Client'!$F319="Premium ")))),45%,0%)))</f>
        <v>0.1</v>
      </c>
      <c r="L319" s="4">
        <f>'Client'!$I319* ('Client'!$K319/100)</f>
        <v>6.1429999999999998E-2</v>
      </c>
    </row>
    <row r="320" spans="1:12" x14ac:dyDescent="0.3">
      <c r="A320" t="s">
        <v>342</v>
      </c>
      <c r="B320" t="s">
        <v>363</v>
      </c>
      <c r="C320" t="s">
        <v>16</v>
      </c>
      <c r="D320" t="str">
        <f>INT('Client'!$E320/12) &amp; " ans et " &amp; MOD('Client'!$E320,12) &amp; " mois"</f>
        <v>4 ans et 3 mois</v>
      </c>
      <c r="E320">
        <v>51</v>
      </c>
      <c r="F320" t="s">
        <v>11</v>
      </c>
      <c r="G320" s="7">
        <f>Client[[#This Row],[Duree_Cumulee_Panne_Min]]/1440</f>
        <v>0.15416666666666667</v>
      </c>
      <c r="H320">
        <v>222</v>
      </c>
      <c r="I320">
        <v>18.95</v>
      </c>
      <c r="J320">
        <v>4</v>
      </c>
      <c r="K320" s="8">
        <f>IF('Client'!$F320="Pro Monde",10%,IF(AND('Client'!$G320&gt;12,'Client'!$D320&gt;5),70%,IF(AND(OR('Client'!$G320&gt;=4,'Client'!$G320&lt;=12,'Client'!$D320&lt;5,(OR('Client'!$F320="Premium ")))),45%,0%)))</f>
        <v>0.45</v>
      </c>
      <c r="L320" s="4">
        <f>'Client'!$I320* ('Client'!$K320/100)</f>
        <v>8.5275000000000004E-2</v>
      </c>
    </row>
    <row r="321" spans="1:12" x14ac:dyDescent="0.3">
      <c r="A321" t="s">
        <v>342</v>
      </c>
      <c r="B321" t="s">
        <v>364</v>
      </c>
      <c r="C321" t="s">
        <v>16</v>
      </c>
      <c r="D321" t="str">
        <f>INT('Client'!$E321/12) &amp; " ans et " &amp; MOD('Client'!$E321,12) &amp; " mois"</f>
        <v>0 ans et 2 mois</v>
      </c>
      <c r="E321">
        <v>2</v>
      </c>
      <c r="F321" t="s">
        <v>14</v>
      </c>
      <c r="G321" s="7">
        <f>Client[[#This Row],[Duree_Cumulee_Panne_Min]]/1440</f>
        <v>0.34444444444444444</v>
      </c>
      <c r="H321">
        <v>496</v>
      </c>
      <c r="I321">
        <v>15.71</v>
      </c>
      <c r="J321">
        <v>3</v>
      </c>
      <c r="K321" s="8">
        <f>IF('Client'!$F321="Pro Monde",10%,IF(AND('Client'!$G321&gt;12,'Client'!$D321&gt;5),70%,IF(AND(OR('Client'!$G321&gt;=4,'Client'!$G321&lt;=12,'Client'!$D321&lt;5,(OR('Client'!$F321="Premium ")))),45%,0%)))</f>
        <v>0.1</v>
      </c>
      <c r="L321" s="4">
        <f>'Client'!$I321* ('Client'!$K321/100)</f>
        <v>1.5710000000000002E-2</v>
      </c>
    </row>
    <row r="322" spans="1:12" x14ac:dyDescent="0.3">
      <c r="A322" t="s">
        <v>342</v>
      </c>
      <c r="B322" t="s">
        <v>365</v>
      </c>
      <c r="C322" t="s">
        <v>24</v>
      </c>
      <c r="D322" t="str">
        <f>INT('Client'!$E322/12) &amp; " ans et " &amp; MOD('Client'!$E322,12) &amp; " mois"</f>
        <v>5 ans et 9 mois</v>
      </c>
      <c r="E322">
        <v>69</v>
      </c>
      <c r="F322" t="s">
        <v>14</v>
      </c>
      <c r="G322" s="7">
        <f>Client[[#This Row],[Duree_Cumulee_Panne_Min]]/1440</f>
        <v>5.2777777777777778E-2</v>
      </c>
      <c r="H322">
        <v>76</v>
      </c>
      <c r="I322">
        <v>91.8</v>
      </c>
      <c r="J322">
        <v>5</v>
      </c>
      <c r="K322" s="8">
        <f>IF('Client'!$F322="Pro Monde",10%,IF(AND('Client'!$G322&gt;12,'Client'!$D322&gt;5),70%,IF(AND(OR('Client'!$G322&gt;=4,'Client'!$G322&lt;=12,'Client'!$D322&lt;5,(OR('Client'!$F322="Premium ")))),45%,0%)))</f>
        <v>0.1</v>
      </c>
      <c r="L322" s="4">
        <f>'Client'!$I322* ('Client'!$K322/100)</f>
        <v>9.1799999999999993E-2</v>
      </c>
    </row>
    <row r="323" spans="1:12" x14ac:dyDescent="0.3">
      <c r="A323" t="s">
        <v>342</v>
      </c>
      <c r="B323" t="s">
        <v>366</v>
      </c>
      <c r="C323" t="s">
        <v>60</v>
      </c>
      <c r="D323" t="str">
        <f>INT('Client'!$E323/12) &amp; " ans et " &amp; MOD('Client'!$E323,12) &amp; " mois"</f>
        <v>9 ans et 2 mois</v>
      </c>
      <c r="E323">
        <v>110</v>
      </c>
      <c r="F323" t="s">
        <v>11</v>
      </c>
      <c r="G323" s="7">
        <f>Client[[#This Row],[Duree_Cumulee_Panne_Min]]/1440</f>
        <v>0.22291666666666668</v>
      </c>
      <c r="H323">
        <v>321</v>
      </c>
      <c r="I323">
        <v>81.569999999999993</v>
      </c>
      <c r="J323">
        <v>2</v>
      </c>
      <c r="K323" s="8">
        <f>IF('Client'!$F323="Pro Monde",10%,IF(AND('Client'!$G323&gt;12,'Client'!$D323&gt;5),70%,IF(AND(OR('Client'!$G323&gt;=4,'Client'!$G323&lt;=12,'Client'!$D323&lt;5,(OR('Client'!$F323="Premium ")))),45%,0%)))</f>
        <v>0.45</v>
      </c>
      <c r="L323" s="4">
        <f>'Client'!$I323* ('Client'!$K323/100)</f>
        <v>0.36706500000000003</v>
      </c>
    </row>
    <row r="324" spans="1:12" x14ac:dyDescent="0.3">
      <c r="A324" t="s">
        <v>342</v>
      </c>
      <c r="B324" t="s">
        <v>367</v>
      </c>
      <c r="C324" t="s">
        <v>10</v>
      </c>
      <c r="D324" t="str">
        <f>INT('Client'!$E324/12) &amp; " ans et " &amp; MOD('Client'!$E324,12) &amp; " mois"</f>
        <v>4 ans et 11 mois</v>
      </c>
      <c r="E324">
        <v>59</v>
      </c>
      <c r="F324" t="s">
        <v>14</v>
      </c>
      <c r="G324" s="7">
        <f>Client[[#This Row],[Duree_Cumulee_Panne_Min]]/1440</f>
        <v>0.25624999999999998</v>
      </c>
      <c r="H324">
        <v>369</v>
      </c>
      <c r="I324">
        <v>26.64</v>
      </c>
      <c r="J324">
        <v>4</v>
      </c>
      <c r="K324" s="8">
        <f>IF('Client'!$F324="Pro Monde",10%,IF(AND('Client'!$G324&gt;12,'Client'!$D324&gt;5),70%,IF(AND(OR('Client'!$G324&gt;=4,'Client'!$G324&lt;=12,'Client'!$D324&lt;5,(OR('Client'!$F324="Premium ")))),45%,0%)))</f>
        <v>0.1</v>
      </c>
      <c r="L324" s="4">
        <f>'Client'!$I324* ('Client'!$K324/100)</f>
        <v>2.664E-2</v>
      </c>
    </row>
    <row r="325" spans="1:12" x14ac:dyDescent="0.3">
      <c r="A325" t="s">
        <v>342</v>
      </c>
      <c r="B325" t="s">
        <v>368</v>
      </c>
      <c r="C325" t="s">
        <v>24</v>
      </c>
      <c r="D325" t="str">
        <f>INT('Client'!$E325/12) &amp; " ans et " &amp; MOD('Client'!$E325,12) &amp; " mois"</f>
        <v>3 ans et 5 mois</v>
      </c>
      <c r="E325">
        <v>41</v>
      </c>
      <c r="F325" t="s">
        <v>14</v>
      </c>
      <c r="G325" s="7">
        <f>Client[[#This Row],[Duree_Cumulee_Panne_Min]]/1440</f>
        <v>0.14305555555555555</v>
      </c>
      <c r="H325">
        <v>206</v>
      </c>
      <c r="I325">
        <v>83.16</v>
      </c>
      <c r="J325">
        <v>2</v>
      </c>
      <c r="K325" s="8">
        <f>IF('Client'!$F325="Pro Monde",10%,IF(AND('Client'!$G325&gt;12,'Client'!$D325&gt;5),70%,IF(AND(OR('Client'!$G325&gt;=4,'Client'!$G325&lt;=12,'Client'!$D325&lt;5,(OR('Client'!$F325="Premium ")))),45%,0%)))</f>
        <v>0.1</v>
      </c>
      <c r="L325" s="4">
        <f>'Client'!$I325* ('Client'!$K325/100)</f>
        <v>8.3159999999999998E-2</v>
      </c>
    </row>
    <row r="326" spans="1:12" x14ac:dyDescent="0.3">
      <c r="A326" t="s">
        <v>342</v>
      </c>
      <c r="B326" t="s">
        <v>369</v>
      </c>
      <c r="C326" t="s">
        <v>57</v>
      </c>
      <c r="D326" t="str">
        <f>INT('Client'!$E326/12) &amp; " ans et " &amp; MOD('Client'!$E326,12) &amp; " mois"</f>
        <v>1 ans et 7 mois</v>
      </c>
      <c r="E326">
        <v>19</v>
      </c>
      <c r="F326" t="s">
        <v>19</v>
      </c>
      <c r="G326" s="7">
        <f>Client[[#This Row],[Duree_Cumulee_Panne_Min]]/1440</f>
        <v>8.6805555555555552E-2</v>
      </c>
      <c r="H326">
        <v>125</v>
      </c>
      <c r="I326">
        <v>11.78</v>
      </c>
      <c r="J326">
        <v>4</v>
      </c>
      <c r="K326" s="8">
        <f>IF('Client'!$F326="Pro Monde",10%,IF(AND('Client'!$G326&gt;12,'Client'!$D326&gt;5),70%,IF(AND(OR('Client'!$G326&gt;=4,'Client'!$G326&lt;=12,'Client'!$D326&lt;5,(OR('Client'!$F326="Premium ")))),45%,0%)))</f>
        <v>0.45</v>
      </c>
      <c r="L326" s="4">
        <f>'Client'!$I326* ('Client'!$K326/100)</f>
        <v>5.3010000000000002E-2</v>
      </c>
    </row>
    <row r="327" spans="1:12" x14ac:dyDescent="0.3">
      <c r="A327" t="s">
        <v>342</v>
      </c>
      <c r="B327" t="s">
        <v>370</v>
      </c>
      <c r="C327" t="s">
        <v>57</v>
      </c>
      <c r="D327" t="str">
        <f>INT('Client'!$E327/12) &amp; " ans et " &amp; MOD('Client'!$E327,12) &amp; " mois"</f>
        <v>8 ans et 9 mois</v>
      </c>
      <c r="E327">
        <v>105</v>
      </c>
      <c r="F327" t="s">
        <v>11</v>
      </c>
      <c r="G327" s="7">
        <f>Client[[#This Row],[Duree_Cumulee_Panne_Min]]/1440</f>
        <v>1.1805555555555555E-2</v>
      </c>
      <c r="H327">
        <v>17</v>
      </c>
      <c r="I327">
        <v>60.05</v>
      </c>
      <c r="J327">
        <v>4</v>
      </c>
      <c r="K327" s="8">
        <f>IF('Client'!$F327="Pro Monde",10%,IF(AND('Client'!$G327&gt;12,'Client'!$D327&gt;5),70%,IF(AND(OR('Client'!$G327&gt;=4,'Client'!$G327&lt;=12,'Client'!$D327&lt;5,(OR('Client'!$F327="Premium ")))),45%,0%)))</f>
        <v>0.45</v>
      </c>
      <c r="L327" s="4">
        <f>'Client'!$I327* ('Client'!$K327/100)</f>
        <v>0.27022499999999999</v>
      </c>
    </row>
    <row r="328" spans="1:12" x14ac:dyDescent="0.3">
      <c r="A328" t="s">
        <v>342</v>
      </c>
      <c r="B328" t="s">
        <v>371</v>
      </c>
      <c r="C328" t="s">
        <v>67</v>
      </c>
      <c r="D328" t="str">
        <f>INT('Client'!$E328/12) &amp; " ans et " &amp; MOD('Client'!$E328,12) &amp; " mois"</f>
        <v>3 ans et 2 mois</v>
      </c>
      <c r="E328">
        <v>38</v>
      </c>
      <c r="F328" t="s">
        <v>11</v>
      </c>
      <c r="G328" s="7">
        <f>Client[[#This Row],[Duree_Cumulee_Panne_Min]]/1440</f>
        <v>4.1666666666666664E-2</v>
      </c>
      <c r="H328">
        <v>60</v>
      </c>
      <c r="I328">
        <v>58.28</v>
      </c>
      <c r="J328">
        <v>4</v>
      </c>
      <c r="K328" s="8">
        <f>IF('Client'!$F328="Pro Monde",10%,IF(AND('Client'!$G328&gt;12,'Client'!$D328&gt;5),70%,IF(AND(OR('Client'!$G328&gt;=4,'Client'!$G328&lt;=12,'Client'!$D328&lt;5,(OR('Client'!$F328="Premium ")))),45%,0%)))</f>
        <v>0.45</v>
      </c>
      <c r="L328" s="4">
        <f>'Client'!$I328* ('Client'!$K328/100)</f>
        <v>0.26226000000000005</v>
      </c>
    </row>
    <row r="329" spans="1:12" x14ac:dyDescent="0.3">
      <c r="A329" t="s">
        <v>342</v>
      </c>
      <c r="B329" t="s">
        <v>372</v>
      </c>
      <c r="C329" t="s">
        <v>51</v>
      </c>
      <c r="D329" t="str">
        <f>INT('Client'!$E329/12) &amp; " ans et " &amp; MOD('Client'!$E329,12) &amp; " mois"</f>
        <v>9 ans et 0 mois</v>
      </c>
      <c r="E329">
        <v>108</v>
      </c>
      <c r="F329" t="s">
        <v>22</v>
      </c>
      <c r="G329" s="7">
        <f>Client[[#This Row],[Duree_Cumulee_Panne_Min]]/1440</f>
        <v>8.5416666666666669E-2</v>
      </c>
      <c r="H329">
        <v>123</v>
      </c>
      <c r="I329">
        <v>83.1</v>
      </c>
      <c r="J329">
        <v>1</v>
      </c>
      <c r="K329" s="8">
        <f>IF('Client'!$F329="Pro Monde",10%,IF(AND('Client'!$G329&gt;12,'Client'!$D329&gt;5),70%,IF(AND(OR('Client'!$G329&gt;=4,'Client'!$G329&lt;=12,'Client'!$D329&lt;5,(OR('Client'!$F329="Premium ")))),45%,0%)))</f>
        <v>0.45</v>
      </c>
      <c r="L329" s="4">
        <f>'Client'!$I329* ('Client'!$K329/100)</f>
        <v>0.37395</v>
      </c>
    </row>
    <row r="330" spans="1:12" x14ac:dyDescent="0.3">
      <c r="A330" t="s">
        <v>342</v>
      </c>
      <c r="B330" t="s">
        <v>373</v>
      </c>
      <c r="C330" t="s">
        <v>35</v>
      </c>
      <c r="D330" t="str">
        <f>INT('Client'!$E330/12) &amp; " ans et " &amp; MOD('Client'!$E330,12) &amp; " mois"</f>
        <v>2 ans et 5 mois</v>
      </c>
      <c r="E330">
        <v>29</v>
      </c>
      <c r="F330" t="s">
        <v>14</v>
      </c>
      <c r="G330" s="7">
        <f>Client[[#This Row],[Duree_Cumulee_Panne_Min]]/1440</f>
        <v>0.14097222222222222</v>
      </c>
      <c r="H330">
        <v>203</v>
      </c>
      <c r="I330">
        <v>53.97</v>
      </c>
      <c r="J330">
        <v>5</v>
      </c>
      <c r="K330" s="8">
        <f>IF('Client'!$F330="Pro Monde",10%,IF(AND('Client'!$G330&gt;12,'Client'!$D330&gt;5),70%,IF(AND(OR('Client'!$G330&gt;=4,'Client'!$G330&lt;=12,'Client'!$D330&lt;5,(OR('Client'!$F330="Premium ")))),45%,0%)))</f>
        <v>0.1</v>
      </c>
      <c r="L330" s="4">
        <f>'Client'!$I330* ('Client'!$K330/100)</f>
        <v>5.3969999999999997E-2</v>
      </c>
    </row>
    <row r="331" spans="1:12" x14ac:dyDescent="0.3">
      <c r="A331" t="s">
        <v>342</v>
      </c>
      <c r="B331" t="s">
        <v>374</v>
      </c>
      <c r="C331" t="s">
        <v>40</v>
      </c>
      <c r="D331" t="str">
        <f>INT('Client'!$E331/12) &amp; " ans et " &amp; MOD('Client'!$E331,12) &amp; " mois"</f>
        <v>5 ans et 4 mois</v>
      </c>
      <c r="E331">
        <v>64</v>
      </c>
      <c r="F331" t="s">
        <v>19</v>
      </c>
      <c r="G331" s="7">
        <f>Client[[#This Row],[Duree_Cumulee_Panne_Min]]/1440</f>
        <v>0.1736111111111111</v>
      </c>
      <c r="H331">
        <v>250</v>
      </c>
      <c r="I331">
        <v>56.7</v>
      </c>
      <c r="J331">
        <v>0</v>
      </c>
      <c r="K331" s="8">
        <f>IF('Client'!$F331="Pro Monde",10%,IF(AND('Client'!$G331&gt;12,'Client'!$D331&gt;5),70%,IF(AND(OR('Client'!$G331&gt;=4,'Client'!$G331&lt;=12,'Client'!$D331&lt;5,(OR('Client'!$F331="Premium ")))),45%,0%)))</f>
        <v>0.45</v>
      </c>
      <c r="L331" s="4">
        <f>'Client'!$I331* ('Client'!$K331/100)</f>
        <v>0.25515000000000004</v>
      </c>
    </row>
    <row r="332" spans="1:12" x14ac:dyDescent="0.3">
      <c r="A332" t="s">
        <v>342</v>
      </c>
      <c r="B332" t="s">
        <v>375</v>
      </c>
      <c r="C332" t="s">
        <v>51</v>
      </c>
      <c r="D332" t="str">
        <f>INT('Client'!$E332/12) &amp; " ans et " &amp; MOD('Client'!$E332,12) &amp; " mois"</f>
        <v>7 ans et 4 mois</v>
      </c>
      <c r="E332">
        <v>88</v>
      </c>
      <c r="F332" t="s">
        <v>22</v>
      </c>
      <c r="G332" s="7">
        <f>Client[[#This Row],[Duree_Cumulee_Panne_Min]]/1440</f>
        <v>0.10694444444444444</v>
      </c>
      <c r="H332">
        <v>154</v>
      </c>
      <c r="I332">
        <v>62.62</v>
      </c>
      <c r="J332">
        <v>5</v>
      </c>
      <c r="K332" s="8">
        <f>IF('Client'!$F332="Pro Monde",10%,IF(AND('Client'!$G332&gt;12,'Client'!$D332&gt;5),70%,IF(AND(OR('Client'!$G332&gt;=4,'Client'!$G332&lt;=12,'Client'!$D332&lt;5,(OR('Client'!$F332="Premium ")))),45%,0%)))</f>
        <v>0.45</v>
      </c>
      <c r="L332" s="4">
        <f>'Client'!$I332* ('Client'!$K332/100)</f>
        <v>0.28179000000000004</v>
      </c>
    </row>
    <row r="333" spans="1:12" x14ac:dyDescent="0.3">
      <c r="A333" t="s">
        <v>342</v>
      </c>
      <c r="B333" t="s">
        <v>376</v>
      </c>
      <c r="C333" t="s">
        <v>40</v>
      </c>
      <c r="D333" t="str">
        <f>INT('Client'!$E333/12) &amp; " ans et " &amp; MOD('Client'!$E333,12) &amp; " mois"</f>
        <v>4 ans et 11 mois</v>
      </c>
      <c r="E333">
        <v>59</v>
      </c>
      <c r="F333" t="s">
        <v>11</v>
      </c>
      <c r="G333" s="7">
        <f>Client[[#This Row],[Duree_Cumulee_Panne_Min]]/1440</f>
        <v>0.24444444444444444</v>
      </c>
      <c r="H333">
        <v>352</v>
      </c>
      <c r="I333">
        <v>74.239999999999995</v>
      </c>
      <c r="J333">
        <v>0</v>
      </c>
      <c r="K333" s="8">
        <f>IF('Client'!$F333="Pro Monde",10%,IF(AND('Client'!$G333&gt;12,'Client'!$D333&gt;5),70%,IF(AND(OR('Client'!$G333&gt;=4,'Client'!$G333&lt;=12,'Client'!$D333&lt;5,(OR('Client'!$F333="Premium ")))),45%,0%)))</f>
        <v>0.45</v>
      </c>
      <c r="L333" s="4">
        <f>'Client'!$I333* ('Client'!$K333/100)</f>
        <v>0.33408000000000004</v>
      </c>
    </row>
    <row r="334" spans="1:12" x14ac:dyDescent="0.3">
      <c r="A334" t="s">
        <v>342</v>
      </c>
      <c r="B334" t="s">
        <v>377</v>
      </c>
      <c r="C334" t="s">
        <v>78</v>
      </c>
      <c r="D334" t="str">
        <f>INT('Client'!$E334/12) &amp; " ans et " &amp; MOD('Client'!$E334,12) &amp; " mois"</f>
        <v>1 ans et 7 mois</v>
      </c>
      <c r="E334">
        <v>19</v>
      </c>
      <c r="F334" t="s">
        <v>19</v>
      </c>
      <c r="G334" s="7">
        <f>Client[[#This Row],[Duree_Cumulee_Panne_Min]]/1440</f>
        <v>0.21180555555555555</v>
      </c>
      <c r="H334">
        <v>305</v>
      </c>
      <c r="I334">
        <v>81.11</v>
      </c>
      <c r="J334">
        <v>1</v>
      </c>
      <c r="K334" s="8">
        <f>IF('Client'!$F334="Pro Monde",10%,IF(AND('Client'!$G334&gt;12,'Client'!$D334&gt;5),70%,IF(AND(OR('Client'!$G334&gt;=4,'Client'!$G334&lt;=12,'Client'!$D334&lt;5,(OR('Client'!$F334="Premium ")))),45%,0%)))</f>
        <v>0.45</v>
      </c>
      <c r="L334" s="4">
        <f>'Client'!$I334* ('Client'!$K334/100)</f>
        <v>0.36499500000000001</v>
      </c>
    </row>
    <row r="335" spans="1:12" x14ac:dyDescent="0.3">
      <c r="A335" t="s">
        <v>342</v>
      </c>
      <c r="B335" t="s">
        <v>378</v>
      </c>
      <c r="C335" t="s">
        <v>18</v>
      </c>
      <c r="D335" t="str">
        <f>INT('Client'!$E335/12) &amp; " ans et " &amp; MOD('Client'!$E335,12) &amp; " mois"</f>
        <v>6 ans et 5 mois</v>
      </c>
      <c r="E335">
        <v>77</v>
      </c>
      <c r="F335" t="s">
        <v>11</v>
      </c>
      <c r="G335" s="7">
        <f>Client[[#This Row],[Duree_Cumulee_Panne_Min]]/1440</f>
        <v>0.33888888888888891</v>
      </c>
      <c r="H335">
        <v>488</v>
      </c>
      <c r="I335">
        <v>21.17</v>
      </c>
      <c r="J335">
        <v>0</v>
      </c>
      <c r="K335" s="8">
        <f>IF('Client'!$F335="Pro Monde",10%,IF(AND('Client'!$G335&gt;12,'Client'!$D335&gt;5),70%,IF(AND(OR('Client'!$G335&gt;=4,'Client'!$G335&lt;=12,'Client'!$D335&lt;5,(OR('Client'!$F335="Premium ")))),45%,0%)))</f>
        <v>0.45</v>
      </c>
      <c r="L335" s="4">
        <f>'Client'!$I335* ('Client'!$K335/100)</f>
        <v>9.5265000000000016E-2</v>
      </c>
    </row>
    <row r="336" spans="1:12" x14ac:dyDescent="0.3">
      <c r="A336" t="s">
        <v>342</v>
      </c>
      <c r="B336" t="s">
        <v>379</v>
      </c>
      <c r="C336" t="s">
        <v>89</v>
      </c>
      <c r="D336" t="str">
        <f>INT('Client'!$E336/12) &amp; " ans et " &amp; MOD('Client'!$E336,12) &amp; " mois"</f>
        <v>3 ans et 1 mois</v>
      </c>
      <c r="E336">
        <v>37</v>
      </c>
      <c r="F336" t="s">
        <v>14</v>
      </c>
      <c r="G336" s="7">
        <f>Client[[#This Row],[Duree_Cumulee_Panne_Min]]/1440</f>
        <v>6.1111111111111109E-2</v>
      </c>
      <c r="H336">
        <v>88</v>
      </c>
      <c r="I336">
        <v>77.77</v>
      </c>
      <c r="J336">
        <v>1</v>
      </c>
      <c r="K336" s="8">
        <f>IF('Client'!$F336="Pro Monde",10%,IF(AND('Client'!$G336&gt;12,'Client'!$D336&gt;5),70%,IF(AND(OR('Client'!$G336&gt;=4,'Client'!$G336&lt;=12,'Client'!$D336&lt;5,(OR('Client'!$F336="Premium ")))),45%,0%)))</f>
        <v>0.1</v>
      </c>
      <c r="L336" s="4">
        <f>'Client'!$I336* ('Client'!$K336/100)</f>
        <v>7.7769999999999992E-2</v>
      </c>
    </row>
    <row r="337" spans="1:12" x14ac:dyDescent="0.3">
      <c r="A337" t="s">
        <v>342</v>
      </c>
      <c r="B337" t="s">
        <v>380</v>
      </c>
      <c r="C337" t="s">
        <v>33</v>
      </c>
      <c r="D337" t="str">
        <f>INT('Client'!$E337/12) &amp; " ans et " &amp; MOD('Client'!$E337,12) &amp; " mois"</f>
        <v>1 ans et 7 mois</v>
      </c>
      <c r="E337">
        <v>19</v>
      </c>
      <c r="F337" t="s">
        <v>22</v>
      </c>
      <c r="G337" s="7">
        <f>Client[[#This Row],[Duree_Cumulee_Panne_Min]]/1440</f>
        <v>0.23194444444444445</v>
      </c>
      <c r="H337">
        <v>334</v>
      </c>
      <c r="I337">
        <v>96.91</v>
      </c>
      <c r="J337">
        <v>1</v>
      </c>
      <c r="K337" s="8">
        <f>IF('Client'!$F337="Pro Monde",10%,IF(AND('Client'!$G337&gt;12,'Client'!$D337&gt;5),70%,IF(AND(OR('Client'!$G337&gt;=4,'Client'!$G337&lt;=12,'Client'!$D337&lt;5,(OR('Client'!$F337="Premium ")))),45%,0%)))</f>
        <v>0.45</v>
      </c>
      <c r="L337" s="4">
        <f>'Client'!$I337* ('Client'!$K337/100)</f>
        <v>0.43609500000000001</v>
      </c>
    </row>
    <row r="338" spans="1:12" x14ac:dyDescent="0.3">
      <c r="A338" t="s">
        <v>342</v>
      </c>
      <c r="B338" t="s">
        <v>381</v>
      </c>
      <c r="C338" t="s">
        <v>18</v>
      </c>
      <c r="D338" t="str">
        <f>INT('Client'!$E338/12) &amp; " ans et " &amp; MOD('Client'!$E338,12) &amp; " mois"</f>
        <v>8 ans et 0 mois</v>
      </c>
      <c r="E338">
        <v>96</v>
      </c>
      <c r="F338" t="s">
        <v>22</v>
      </c>
      <c r="G338" s="7">
        <f>Client[[#This Row],[Duree_Cumulee_Panne_Min]]/1440</f>
        <v>0.26458333333333334</v>
      </c>
      <c r="H338">
        <v>381</v>
      </c>
      <c r="I338">
        <v>90.78</v>
      </c>
      <c r="J338">
        <v>2</v>
      </c>
      <c r="K338" s="8">
        <f>IF('Client'!$F338="Pro Monde",10%,IF(AND('Client'!$G338&gt;12,'Client'!$D338&gt;5),70%,IF(AND(OR('Client'!$G338&gt;=4,'Client'!$G338&lt;=12,'Client'!$D338&lt;5,(OR('Client'!$F338="Premium ")))),45%,0%)))</f>
        <v>0.45</v>
      </c>
      <c r="L338" s="4">
        <f>'Client'!$I338* ('Client'!$K338/100)</f>
        <v>0.40851000000000004</v>
      </c>
    </row>
    <row r="339" spans="1:12" x14ac:dyDescent="0.3">
      <c r="A339" t="s">
        <v>342</v>
      </c>
      <c r="B339" t="s">
        <v>382</v>
      </c>
      <c r="C339" t="s">
        <v>51</v>
      </c>
      <c r="D339" t="str">
        <f>INT('Client'!$E339/12) &amp; " ans et " &amp; MOD('Client'!$E339,12) &amp; " mois"</f>
        <v>7 ans et 2 mois</v>
      </c>
      <c r="E339">
        <v>86</v>
      </c>
      <c r="F339" t="s">
        <v>14</v>
      </c>
      <c r="G339" s="7">
        <f>Client[[#This Row],[Duree_Cumulee_Panne_Min]]/1440</f>
        <v>0.13333333333333333</v>
      </c>
      <c r="H339">
        <v>192</v>
      </c>
      <c r="I339">
        <v>26.26</v>
      </c>
      <c r="J339">
        <v>1</v>
      </c>
      <c r="K339" s="8">
        <f>IF('Client'!$F339="Pro Monde",10%,IF(AND('Client'!$G339&gt;12,'Client'!$D339&gt;5),70%,IF(AND(OR('Client'!$G339&gt;=4,'Client'!$G339&lt;=12,'Client'!$D339&lt;5,(OR('Client'!$F339="Premium ")))),45%,0%)))</f>
        <v>0.1</v>
      </c>
      <c r="L339" s="4">
        <f>'Client'!$I339* ('Client'!$K339/100)</f>
        <v>2.6260000000000002E-2</v>
      </c>
    </row>
    <row r="340" spans="1:12" x14ac:dyDescent="0.3">
      <c r="A340" t="s">
        <v>342</v>
      </c>
      <c r="B340" t="s">
        <v>383</v>
      </c>
      <c r="C340" t="s">
        <v>89</v>
      </c>
      <c r="D340" t="str">
        <f>INT('Client'!$E340/12) &amp; " ans et " &amp; MOD('Client'!$E340,12) &amp; " mois"</f>
        <v>9 ans et 1 mois</v>
      </c>
      <c r="E340">
        <v>109</v>
      </c>
      <c r="F340" t="s">
        <v>14</v>
      </c>
      <c r="G340" s="7">
        <f>Client[[#This Row],[Duree_Cumulee_Panne_Min]]/1440</f>
        <v>0.27569444444444446</v>
      </c>
      <c r="H340">
        <v>397</v>
      </c>
      <c r="I340">
        <v>63.92</v>
      </c>
      <c r="J340">
        <v>1</v>
      </c>
      <c r="K340" s="8">
        <f>IF('Client'!$F340="Pro Monde",10%,IF(AND('Client'!$G340&gt;12,'Client'!$D340&gt;5),70%,IF(AND(OR('Client'!$G340&gt;=4,'Client'!$G340&lt;=12,'Client'!$D340&lt;5,(OR('Client'!$F340="Premium ")))),45%,0%)))</f>
        <v>0.1</v>
      </c>
      <c r="L340" s="4">
        <f>'Client'!$I340* ('Client'!$K340/100)</f>
        <v>6.3920000000000005E-2</v>
      </c>
    </row>
    <row r="341" spans="1:12" x14ac:dyDescent="0.3">
      <c r="A341" t="s">
        <v>342</v>
      </c>
      <c r="B341" t="s">
        <v>384</v>
      </c>
      <c r="C341" t="s">
        <v>21</v>
      </c>
      <c r="D341" t="str">
        <f>INT('Client'!$E341/12) &amp; " ans et " &amp; MOD('Client'!$E341,12) &amp; " mois"</f>
        <v>8 ans et 7 mois</v>
      </c>
      <c r="E341">
        <v>103</v>
      </c>
      <c r="F341" t="s">
        <v>11</v>
      </c>
      <c r="G341" s="7">
        <f>Client[[#This Row],[Duree_Cumulee_Panne_Min]]/1440</f>
        <v>0.24583333333333332</v>
      </c>
      <c r="H341">
        <v>354</v>
      </c>
      <c r="I341">
        <v>26.19</v>
      </c>
      <c r="J341">
        <v>4</v>
      </c>
      <c r="K341" s="8">
        <f>IF('Client'!$F341="Pro Monde",10%,IF(AND('Client'!$G341&gt;12,'Client'!$D341&gt;5),70%,IF(AND(OR('Client'!$G341&gt;=4,'Client'!$G341&lt;=12,'Client'!$D341&lt;5,(OR('Client'!$F341="Premium ")))),45%,0%)))</f>
        <v>0.45</v>
      </c>
      <c r="L341" s="4">
        <f>'Client'!$I341* ('Client'!$K341/100)</f>
        <v>0.11785500000000002</v>
      </c>
    </row>
    <row r="342" spans="1:12" x14ac:dyDescent="0.3">
      <c r="A342" t="s">
        <v>342</v>
      </c>
      <c r="B342" t="s">
        <v>385</v>
      </c>
      <c r="C342" t="s">
        <v>44</v>
      </c>
      <c r="D342" t="str">
        <f>INT('Client'!$E342/12) &amp; " ans et " &amp; MOD('Client'!$E342,12) &amp; " mois"</f>
        <v>8 ans et 10 mois</v>
      </c>
      <c r="E342">
        <v>106</v>
      </c>
      <c r="F342" t="s">
        <v>22</v>
      </c>
      <c r="G342" s="7">
        <f>Client[[#This Row],[Duree_Cumulee_Panne_Min]]/1440</f>
        <v>0.28263888888888888</v>
      </c>
      <c r="H342">
        <v>407</v>
      </c>
      <c r="I342">
        <v>59.92</v>
      </c>
      <c r="J342">
        <v>4</v>
      </c>
      <c r="K342" s="8">
        <f>IF('Client'!$F342="Pro Monde",10%,IF(AND('Client'!$G342&gt;12,'Client'!$D342&gt;5),70%,IF(AND(OR('Client'!$G342&gt;=4,'Client'!$G342&lt;=12,'Client'!$D342&lt;5,(OR('Client'!$F342="Premium ")))),45%,0%)))</f>
        <v>0.45</v>
      </c>
      <c r="L342" s="4">
        <f>'Client'!$I342* ('Client'!$K342/100)</f>
        <v>0.26964000000000005</v>
      </c>
    </row>
    <row r="343" spans="1:12" x14ac:dyDescent="0.3">
      <c r="A343" t="s">
        <v>342</v>
      </c>
      <c r="B343" t="s">
        <v>386</v>
      </c>
      <c r="C343" t="s">
        <v>78</v>
      </c>
      <c r="D343" t="str">
        <f>INT('Client'!$E343/12) &amp; " ans et " &amp; MOD('Client'!$E343,12) &amp; " mois"</f>
        <v>7 ans et 6 mois</v>
      </c>
      <c r="E343">
        <v>90</v>
      </c>
      <c r="F343" t="s">
        <v>22</v>
      </c>
      <c r="G343" s="7">
        <f>Client[[#This Row],[Duree_Cumulee_Panne_Min]]/1440</f>
        <v>0.23819444444444443</v>
      </c>
      <c r="H343">
        <v>343</v>
      </c>
      <c r="I343">
        <v>82.05</v>
      </c>
      <c r="J343">
        <v>1</v>
      </c>
      <c r="K343" s="8">
        <f>IF('Client'!$F343="Pro Monde",10%,IF(AND('Client'!$G343&gt;12,'Client'!$D343&gt;5),70%,IF(AND(OR('Client'!$G343&gt;=4,'Client'!$G343&lt;=12,'Client'!$D343&lt;5,(OR('Client'!$F343="Premium ")))),45%,0%)))</f>
        <v>0.45</v>
      </c>
      <c r="L343" s="4">
        <f>'Client'!$I343* ('Client'!$K343/100)</f>
        <v>0.36922500000000003</v>
      </c>
    </row>
    <row r="344" spans="1:12" x14ac:dyDescent="0.3">
      <c r="A344" t="s">
        <v>342</v>
      </c>
      <c r="B344" t="s">
        <v>387</v>
      </c>
      <c r="C344" t="s">
        <v>131</v>
      </c>
      <c r="D344" t="str">
        <f>INT('Client'!$E344/12) &amp; " ans et " &amp; MOD('Client'!$E344,12) &amp; " mois"</f>
        <v>0 ans et 5 mois</v>
      </c>
      <c r="E344">
        <v>5</v>
      </c>
      <c r="F344" t="s">
        <v>22</v>
      </c>
      <c r="G344" s="7">
        <f>Client[[#This Row],[Duree_Cumulee_Panne_Min]]/1440</f>
        <v>0.23402777777777778</v>
      </c>
      <c r="H344">
        <v>337</v>
      </c>
      <c r="I344">
        <v>21.07</v>
      </c>
      <c r="J344">
        <v>4</v>
      </c>
      <c r="K344" s="8">
        <f>IF('Client'!$F344="Pro Monde",10%,IF(AND('Client'!$G344&gt;12,'Client'!$D344&gt;5),70%,IF(AND(OR('Client'!$G344&gt;=4,'Client'!$G344&lt;=12,'Client'!$D344&lt;5,(OR('Client'!$F344="Premium ")))),45%,0%)))</f>
        <v>0.45</v>
      </c>
      <c r="L344" s="4">
        <f>'Client'!$I344* ('Client'!$K344/100)</f>
        <v>9.481500000000001E-2</v>
      </c>
    </row>
    <row r="345" spans="1:12" x14ac:dyDescent="0.3">
      <c r="A345" t="s">
        <v>342</v>
      </c>
      <c r="B345" t="s">
        <v>388</v>
      </c>
      <c r="C345" t="s">
        <v>89</v>
      </c>
      <c r="D345" t="str">
        <f>INT('Client'!$E345/12) &amp; " ans et " &amp; MOD('Client'!$E345,12) &amp; " mois"</f>
        <v>6 ans et 5 mois</v>
      </c>
      <c r="E345">
        <v>77</v>
      </c>
      <c r="F345" t="s">
        <v>22</v>
      </c>
      <c r="G345" s="7">
        <f>Client[[#This Row],[Duree_Cumulee_Panne_Min]]/1440</f>
        <v>3.125E-2</v>
      </c>
      <c r="H345">
        <v>45</v>
      </c>
      <c r="I345">
        <v>21.59</v>
      </c>
      <c r="J345">
        <v>2</v>
      </c>
      <c r="K345" s="8">
        <f>IF('Client'!$F345="Pro Monde",10%,IF(AND('Client'!$G345&gt;12,'Client'!$D345&gt;5),70%,IF(AND(OR('Client'!$G345&gt;=4,'Client'!$G345&lt;=12,'Client'!$D345&lt;5,(OR('Client'!$F345="Premium ")))),45%,0%)))</f>
        <v>0.45</v>
      </c>
      <c r="L345" s="4">
        <f>'Client'!$I345* ('Client'!$K345/100)</f>
        <v>9.7155000000000005E-2</v>
      </c>
    </row>
    <row r="346" spans="1:12" x14ac:dyDescent="0.3">
      <c r="A346" t="s">
        <v>342</v>
      </c>
      <c r="B346" t="s">
        <v>389</v>
      </c>
      <c r="C346" t="s">
        <v>18</v>
      </c>
      <c r="D346" t="str">
        <f>INT('Client'!$E346/12) &amp; " ans et " &amp; MOD('Client'!$E346,12) &amp; " mois"</f>
        <v>3 ans et 5 mois</v>
      </c>
      <c r="E346">
        <v>41</v>
      </c>
      <c r="F346" t="s">
        <v>19</v>
      </c>
      <c r="G346" s="7">
        <f>Client[[#This Row],[Duree_Cumulee_Panne_Min]]/1440</f>
        <v>0.27638888888888891</v>
      </c>
      <c r="H346">
        <v>398</v>
      </c>
      <c r="I346">
        <v>28.56</v>
      </c>
      <c r="J346">
        <v>2</v>
      </c>
      <c r="K346" s="8">
        <f>IF('Client'!$F346="Pro Monde",10%,IF(AND('Client'!$G346&gt;12,'Client'!$D346&gt;5),70%,IF(AND(OR('Client'!$G346&gt;=4,'Client'!$G346&lt;=12,'Client'!$D346&lt;5,(OR('Client'!$F346="Premium ")))),45%,0%)))</f>
        <v>0.45</v>
      </c>
      <c r="L346" s="4">
        <f>'Client'!$I346* ('Client'!$K346/100)</f>
        <v>0.12852000000000002</v>
      </c>
    </row>
    <row r="347" spans="1:12" x14ac:dyDescent="0.3">
      <c r="A347" t="s">
        <v>342</v>
      </c>
      <c r="B347" t="s">
        <v>390</v>
      </c>
      <c r="C347" t="s">
        <v>64</v>
      </c>
      <c r="D347" t="str">
        <f>INT('Client'!$E347/12) &amp; " ans et " &amp; MOD('Client'!$E347,12) &amp; " mois"</f>
        <v>3 ans et 4 mois</v>
      </c>
      <c r="E347">
        <v>40</v>
      </c>
      <c r="F347" t="s">
        <v>11</v>
      </c>
      <c r="G347" s="7">
        <f>Client[[#This Row],[Duree_Cumulee_Panne_Min]]/1440</f>
        <v>0.16458333333333333</v>
      </c>
      <c r="H347">
        <v>237</v>
      </c>
      <c r="I347">
        <v>24.51</v>
      </c>
      <c r="J347">
        <v>1</v>
      </c>
      <c r="K347" s="8">
        <f>IF('Client'!$F347="Pro Monde",10%,IF(AND('Client'!$G347&gt;12,'Client'!$D347&gt;5),70%,IF(AND(OR('Client'!$G347&gt;=4,'Client'!$G347&lt;=12,'Client'!$D347&lt;5,(OR('Client'!$F347="Premium ")))),45%,0%)))</f>
        <v>0.45</v>
      </c>
      <c r="L347" s="4">
        <f>'Client'!$I347* ('Client'!$K347/100)</f>
        <v>0.11029500000000002</v>
      </c>
    </row>
    <row r="348" spans="1:12" x14ac:dyDescent="0.3">
      <c r="A348" t="s">
        <v>342</v>
      </c>
      <c r="B348" t="s">
        <v>391</v>
      </c>
      <c r="C348" t="s">
        <v>35</v>
      </c>
      <c r="D348" t="str">
        <f>INT('Client'!$E348/12) &amp; " ans et " &amp; MOD('Client'!$E348,12) &amp; " mois"</f>
        <v>5 ans et 5 mois</v>
      </c>
      <c r="E348">
        <v>65</v>
      </c>
      <c r="F348" t="s">
        <v>19</v>
      </c>
      <c r="G348" s="7">
        <f>Client[[#This Row],[Duree_Cumulee_Panne_Min]]/1440</f>
        <v>0.30694444444444446</v>
      </c>
      <c r="H348">
        <v>442</v>
      </c>
      <c r="I348">
        <v>60.62</v>
      </c>
      <c r="J348">
        <v>5</v>
      </c>
      <c r="K348" s="8">
        <f>IF('Client'!$F348="Pro Monde",10%,IF(AND('Client'!$G348&gt;12,'Client'!$D348&gt;5),70%,IF(AND(OR('Client'!$G348&gt;=4,'Client'!$G348&lt;=12,'Client'!$D348&lt;5,(OR('Client'!$F348="Premium ")))),45%,0%)))</f>
        <v>0.45</v>
      </c>
      <c r="L348" s="4">
        <f>'Client'!$I348* ('Client'!$K348/100)</f>
        <v>0.27279000000000003</v>
      </c>
    </row>
    <row r="349" spans="1:12" x14ac:dyDescent="0.3">
      <c r="A349" t="s">
        <v>342</v>
      </c>
      <c r="B349" t="s">
        <v>392</v>
      </c>
      <c r="C349" t="s">
        <v>62</v>
      </c>
      <c r="D349" t="str">
        <f>INT('Client'!$E349/12) &amp; " ans et " &amp; MOD('Client'!$E349,12) &amp; " mois"</f>
        <v>7 ans et 5 mois</v>
      </c>
      <c r="E349">
        <v>89</v>
      </c>
      <c r="F349" t="s">
        <v>22</v>
      </c>
      <c r="G349" s="7">
        <f>Client[[#This Row],[Duree_Cumulee_Panne_Min]]/1440</f>
        <v>0.2902777777777778</v>
      </c>
      <c r="H349">
        <v>418</v>
      </c>
      <c r="I349">
        <v>86.63</v>
      </c>
      <c r="J349">
        <v>4</v>
      </c>
      <c r="K349" s="8">
        <f>IF('Client'!$F349="Pro Monde",10%,IF(AND('Client'!$G349&gt;12,'Client'!$D349&gt;5),70%,IF(AND(OR('Client'!$G349&gt;=4,'Client'!$G349&lt;=12,'Client'!$D349&lt;5,(OR('Client'!$F349="Premium ")))),45%,0%)))</f>
        <v>0.45</v>
      </c>
      <c r="L349" s="4">
        <f>'Client'!$I349* ('Client'!$K349/100)</f>
        <v>0.38983500000000004</v>
      </c>
    </row>
    <row r="350" spans="1:12" x14ac:dyDescent="0.3">
      <c r="A350" t="s">
        <v>393</v>
      </c>
      <c r="B350" t="s">
        <v>394</v>
      </c>
      <c r="C350" t="s">
        <v>67</v>
      </c>
      <c r="D350" t="str">
        <f>INT('Client'!$E350/12) &amp; " ans et " &amp; MOD('Client'!$E350,12) &amp; " mois"</f>
        <v>1 ans et 0 mois</v>
      </c>
      <c r="E350">
        <v>12</v>
      </c>
      <c r="F350" t="s">
        <v>14</v>
      </c>
      <c r="G350" s="7">
        <f>Client[[#This Row],[Duree_Cumulee_Panne_Min]]/1440</f>
        <v>8.6805555555555552E-2</v>
      </c>
      <c r="H350">
        <v>125</v>
      </c>
      <c r="I350">
        <v>36.93</v>
      </c>
      <c r="J350">
        <v>0</v>
      </c>
      <c r="K350" s="8">
        <f>IF('Client'!$F350="Pro Monde",10%,IF(AND('Client'!$G350&gt;12,'Client'!$D350&gt;5),70%,IF(AND(OR('Client'!$G350&gt;=4,'Client'!$G350&lt;=12,'Client'!$D350&lt;5,(OR('Client'!$F350="Premium ")))),45%,0%)))</f>
        <v>0.1</v>
      </c>
      <c r="L350" s="4">
        <f>'Client'!$I350* ('Client'!$K350/100)</f>
        <v>3.6929999999999998E-2</v>
      </c>
    </row>
    <row r="351" spans="1:12" x14ac:dyDescent="0.3">
      <c r="A351" t="s">
        <v>393</v>
      </c>
      <c r="B351" t="s">
        <v>395</v>
      </c>
      <c r="C351" t="s">
        <v>131</v>
      </c>
      <c r="D351" t="str">
        <f>INT('Client'!$E351/12) &amp; " ans et " &amp; MOD('Client'!$E351,12) &amp; " mois"</f>
        <v>3 ans et 11 mois</v>
      </c>
      <c r="E351">
        <v>47</v>
      </c>
      <c r="F351" t="s">
        <v>14</v>
      </c>
      <c r="G351" s="7">
        <f>Client[[#This Row],[Duree_Cumulee_Panne_Min]]/1440</f>
        <v>0.26250000000000001</v>
      </c>
      <c r="H351">
        <v>378</v>
      </c>
      <c r="I351">
        <v>36.42</v>
      </c>
      <c r="J351">
        <v>1</v>
      </c>
      <c r="K351" s="8">
        <f>IF('Client'!$F351="Pro Monde",10%,IF(AND('Client'!$G351&gt;12,'Client'!$D351&gt;5),70%,IF(AND(OR('Client'!$G351&gt;=4,'Client'!$G351&lt;=12,'Client'!$D351&lt;5,(OR('Client'!$F351="Premium ")))),45%,0%)))</f>
        <v>0.1</v>
      </c>
      <c r="L351" s="4">
        <f>'Client'!$I351* ('Client'!$K351/100)</f>
        <v>3.6420000000000001E-2</v>
      </c>
    </row>
    <row r="352" spans="1:12" x14ac:dyDescent="0.3">
      <c r="A352" t="s">
        <v>393</v>
      </c>
      <c r="B352" t="s">
        <v>396</v>
      </c>
      <c r="C352" t="s">
        <v>16</v>
      </c>
      <c r="D352" t="str">
        <f>INT('Client'!$E352/12) &amp; " ans et " &amp; MOD('Client'!$E352,12) &amp; " mois"</f>
        <v>9 ans et 9 mois</v>
      </c>
      <c r="E352">
        <v>117</v>
      </c>
      <c r="F352" t="s">
        <v>22</v>
      </c>
      <c r="G352" s="7">
        <f>Client[[#This Row],[Duree_Cumulee_Panne_Min]]/1440</f>
        <v>0.23472222222222222</v>
      </c>
      <c r="H352">
        <v>338</v>
      </c>
      <c r="I352">
        <v>29.18</v>
      </c>
      <c r="J352">
        <v>5</v>
      </c>
      <c r="K352" s="8">
        <f>IF('Client'!$F352="Pro Monde",10%,IF(AND('Client'!$G352&gt;12,'Client'!$D352&gt;5),70%,IF(AND(OR('Client'!$G352&gt;=4,'Client'!$G352&lt;=12,'Client'!$D352&lt;5,(OR('Client'!$F352="Premium ")))),45%,0%)))</f>
        <v>0.45</v>
      </c>
      <c r="L352" s="4">
        <f>'Client'!$I352* ('Client'!$K352/100)</f>
        <v>0.13131000000000001</v>
      </c>
    </row>
    <row r="353" spans="1:12" x14ac:dyDescent="0.3">
      <c r="A353" t="s">
        <v>393</v>
      </c>
      <c r="B353" t="s">
        <v>397</v>
      </c>
      <c r="C353" t="s">
        <v>29</v>
      </c>
      <c r="D353" t="str">
        <f>INT('Client'!$E353/12) &amp; " ans et " &amp; MOD('Client'!$E353,12) &amp; " mois"</f>
        <v>3 ans et 7 mois</v>
      </c>
      <c r="E353">
        <v>43</v>
      </c>
      <c r="F353" t="s">
        <v>11</v>
      </c>
      <c r="G353" s="7">
        <f>Client[[#This Row],[Duree_Cumulee_Panne_Min]]/1440</f>
        <v>0.33750000000000002</v>
      </c>
      <c r="H353">
        <v>486</v>
      </c>
      <c r="I353">
        <v>76.42</v>
      </c>
      <c r="J353">
        <v>1</v>
      </c>
      <c r="K353" s="8">
        <f>IF('Client'!$F353="Pro Monde",10%,IF(AND('Client'!$G353&gt;12,'Client'!$D353&gt;5),70%,IF(AND(OR('Client'!$G353&gt;=4,'Client'!$G353&lt;=12,'Client'!$D353&lt;5,(OR('Client'!$F353="Premium ")))),45%,0%)))</f>
        <v>0.45</v>
      </c>
      <c r="L353" s="4">
        <f>'Client'!$I353* ('Client'!$K353/100)</f>
        <v>0.34389000000000003</v>
      </c>
    </row>
    <row r="354" spans="1:12" x14ac:dyDescent="0.3">
      <c r="A354" t="s">
        <v>393</v>
      </c>
      <c r="B354" t="s">
        <v>398</v>
      </c>
      <c r="C354" t="s">
        <v>131</v>
      </c>
      <c r="D354" t="str">
        <f>INT('Client'!$E354/12) &amp; " ans et " &amp; MOD('Client'!$E354,12) &amp; " mois"</f>
        <v>8 ans et 4 mois</v>
      </c>
      <c r="E354">
        <v>100</v>
      </c>
      <c r="F354" t="s">
        <v>19</v>
      </c>
      <c r="G354" s="7">
        <f>Client[[#This Row],[Duree_Cumulee_Panne_Min]]/1440</f>
        <v>0.32708333333333334</v>
      </c>
      <c r="H354">
        <v>471</v>
      </c>
      <c r="I354">
        <v>61.2</v>
      </c>
      <c r="J354">
        <v>3</v>
      </c>
      <c r="K354" s="8">
        <f>IF('Client'!$F354="Pro Monde",10%,IF(AND('Client'!$G354&gt;12,'Client'!$D354&gt;5),70%,IF(AND(OR('Client'!$G354&gt;=4,'Client'!$G354&lt;=12,'Client'!$D354&lt;5,(OR('Client'!$F354="Premium ")))),45%,0%)))</f>
        <v>0.45</v>
      </c>
      <c r="L354" s="4">
        <f>'Client'!$I354* ('Client'!$K354/100)</f>
        <v>0.27540000000000003</v>
      </c>
    </row>
    <row r="355" spans="1:12" x14ac:dyDescent="0.3">
      <c r="A355" t="s">
        <v>393</v>
      </c>
      <c r="B355" t="s">
        <v>399</v>
      </c>
      <c r="C355" t="s">
        <v>127</v>
      </c>
      <c r="D355" t="str">
        <f>INT('Client'!$E355/12) &amp; " ans et " &amp; MOD('Client'!$E355,12) &amp; " mois"</f>
        <v>2 ans et 11 mois</v>
      </c>
      <c r="E355">
        <v>35</v>
      </c>
      <c r="F355" t="s">
        <v>22</v>
      </c>
      <c r="G355" s="7">
        <f>Client[[#This Row],[Duree_Cumulee_Panne_Min]]/1440</f>
        <v>0.29236111111111113</v>
      </c>
      <c r="H355">
        <v>421</v>
      </c>
      <c r="I355">
        <v>29.57</v>
      </c>
      <c r="J355">
        <v>5</v>
      </c>
      <c r="K355" s="8">
        <f>IF('Client'!$F355="Pro Monde",10%,IF(AND('Client'!$G355&gt;12,'Client'!$D355&gt;5),70%,IF(AND(OR('Client'!$G355&gt;=4,'Client'!$G355&lt;=12,'Client'!$D355&lt;5,(OR('Client'!$F355="Premium ")))),45%,0%)))</f>
        <v>0.45</v>
      </c>
      <c r="L355" s="4">
        <f>'Client'!$I355* ('Client'!$K355/100)</f>
        <v>0.13306500000000002</v>
      </c>
    </row>
    <row r="356" spans="1:12" x14ac:dyDescent="0.3">
      <c r="A356" t="s">
        <v>393</v>
      </c>
      <c r="B356" t="s">
        <v>400</v>
      </c>
      <c r="C356" t="s">
        <v>40</v>
      </c>
      <c r="D356" t="str">
        <f>INT('Client'!$E356/12) &amp; " ans et " &amp; MOD('Client'!$E356,12) &amp; " mois"</f>
        <v>1 ans et 7 mois</v>
      </c>
      <c r="E356">
        <v>19</v>
      </c>
      <c r="F356" t="s">
        <v>22</v>
      </c>
      <c r="G356" s="7">
        <f>Client[[#This Row],[Duree_Cumulee_Panne_Min]]/1440</f>
        <v>0.3125</v>
      </c>
      <c r="H356">
        <v>450</v>
      </c>
      <c r="I356">
        <v>37.43</v>
      </c>
      <c r="J356">
        <v>2</v>
      </c>
      <c r="K356" s="8">
        <f>IF('Client'!$F356="Pro Monde",10%,IF(AND('Client'!$G356&gt;12,'Client'!$D356&gt;5),70%,IF(AND(OR('Client'!$G356&gt;=4,'Client'!$G356&lt;=12,'Client'!$D356&lt;5,(OR('Client'!$F356="Premium ")))),45%,0%)))</f>
        <v>0.45</v>
      </c>
      <c r="L356" s="4">
        <f>'Client'!$I356* ('Client'!$K356/100)</f>
        <v>0.16843500000000003</v>
      </c>
    </row>
    <row r="357" spans="1:12" x14ac:dyDescent="0.3">
      <c r="A357" t="s">
        <v>393</v>
      </c>
      <c r="B357" t="s">
        <v>401</v>
      </c>
      <c r="C357" t="s">
        <v>67</v>
      </c>
      <c r="D357" t="str">
        <f>INT('Client'!$E357/12) &amp; " ans et " &amp; MOD('Client'!$E357,12) &amp; " mois"</f>
        <v>9 ans et 4 mois</v>
      </c>
      <c r="E357">
        <v>112</v>
      </c>
      <c r="F357" t="s">
        <v>22</v>
      </c>
      <c r="G357" s="7">
        <f>Client[[#This Row],[Duree_Cumulee_Panne_Min]]/1440</f>
        <v>0.33541666666666664</v>
      </c>
      <c r="H357">
        <v>483</v>
      </c>
      <c r="I357">
        <v>93.98</v>
      </c>
      <c r="J357">
        <v>0</v>
      </c>
      <c r="K357" s="8">
        <f>IF('Client'!$F357="Pro Monde",10%,IF(AND('Client'!$G357&gt;12,'Client'!$D357&gt;5),70%,IF(AND(OR('Client'!$G357&gt;=4,'Client'!$G357&lt;=12,'Client'!$D357&lt;5,(OR('Client'!$F357="Premium ")))),45%,0%)))</f>
        <v>0.45</v>
      </c>
      <c r="L357" s="4">
        <f>'Client'!$I357* ('Client'!$K357/100)</f>
        <v>0.42291000000000006</v>
      </c>
    </row>
    <row r="358" spans="1:12" x14ac:dyDescent="0.3">
      <c r="A358" t="s">
        <v>393</v>
      </c>
      <c r="B358" t="s">
        <v>402</v>
      </c>
      <c r="C358" t="s">
        <v>13</v>
      </c>
      <c r="D358" t="str">
        <f>INT('Client'!$E358/12) &amp; " ans et " &amp; MOD('Client'!$E358,12) &amp; " mois"</f>
        <v>8 ans et 7 mois</v>
      </c>
      <c r="E358">
        <v>103</v>
      </c>
      <c r="F358" t="s">
        <v>14</v>
      </c>
      <c r="G358" s="7">
        <f>Client[[#This Row],[Duree_Cumulee_Panne_Min]]/1440</f>
        <v>0.1875</v>
      </c>
      <c r="H358">
        <v>270</v>
      </c>
      <c r="I358">
        <v>67.87</v>
      </c>
      <c r="J358">
        <v>3</v>
      </c>
      <c r="K358" s="8">
        <f>IF('Client'!$F358="Pro Monde",10%,IF(AND('Client'!$G358&gt;12,'Client'!$D358&gt;5),70%,IF(AND(OR('Client'!$G358&gt;=4,'Client'!$G358&lt;=12,'Client'!$D358&lt;5,(OR('Client'!$F358="Premium ")))),45%,0%)))</f>
        <v>0.1</v>
      </c>
      <c r="L358" s="4">
        <f>'Client'!$I358* ('Client'!$K358/100)</f>
        <v>6.787E-2</v>
      </c>
    </row>
    <row r="359" spans="1:12" x14ac:dyDescent="0.3">
      <c r="A359" t="s">
        <v>393</v>
      </c>
      <c r="B359" t="s">
        <v>403</v>
      </c>
      <c r="C359" t="s">
        <v>10</v>
      </c>
      <c r="D359" t="str">
        <f>INT('Client'!$E359/12) &amp; " ans et " &amp; MOD('Client'!$E359,12) &amp; " mois"</f>
        <v>2 ans et 5 mois</v>
      </c>
      <c r="E359">
        <v>29</v>
      </c>
      <c r="F359" t="s">
        <v>11</v>
      </c>
      <c r="G359" s="7">
        <f>Client[[#This Row],[Duree_Cumulee_Panne_Min]]/1440</f>
        <v>0.24305555555555555</v>
      </c>
      <c r="H359">
        <v>350</v>
      </c>
      <c r="I359">
        <v>84.32</v>
      </c>
      <c r="J359">
        <v>3</v>
      </c>
      <c r="K359" s="8">
        <f>IF('Client'!$F359="Pro Monde",10%,IF(AND('Client'!$G359&gt;12,'Client'!$D359&gt;5),70%,IF(AND(OR('Client'!$G359&gt;=4,'Client'!$G359&lt;=12,'Client'!$D359&lt;5,(OR('Client'!$F359="Premium ")))),45%,0%)))</f>
        <v>0.45</v>
      </c>
      <c r="L359" s="4">
        <f>'Client'!$I359* ('Client'!$K359/100)</f>
        <v>0.37944</v>
      </c>
    </row>
    <row r="360" spans="1:12" x14ac:dyDescent="0.3">
      <c r="A360" t="s">
        <v>393</v>
      </c>
      <c r="B360" t="s">
        <v>404</v>
      </c>
      <c r="C360" t="s">
        <v>37</v>
      </c>
      <c r="D360" t="str">
        <f>INT('Client'!$E360/12) &amp; " ans et " &amp; MOD('Client'!$E360,12) &amp; " mois"</f>
        <v>3 ans et 0 mois</v>
      </c>
      <c r="E360">
        <v>36</v>
      </c>
      <c r="F360" t="s">
        <v>19</v>
      </c>
      <c r="G360" s="7">
        <f>Client[[#This Row],[Duree_Cumulee_Panne_Min]]/1440</f>
        <v>0.21597222222222223</v>
      </c>
      <c r="H360">
        <v>311</v>
      </c>
      <c r="I360">
        <v>13.19</v>
      </c>
      <c r="J360">
        <v>4</v>
      </c>
      <c r="K360" s="8">
        <f>IF('Client'!$F360="Pro Monde",10%,IF(AND('Client'!$G360&gt;12,'Client'!$D360&gt;5),70%,IF(AND(OR('Client'!$G360&gt;=4,'Client'!$G360&lt;=12,'Client'!$D360&lt;5,(OR('Client'!$F360="Premium ")))),45%,0%)))</f>
        <v>0.45</v>
      </c>
      <c r="L360" s="4">
        <f>'Client'!$I360* ('Client'!$K360/100)</f>
        <v>5.9355000000000005E-2</v>
      </c>
    </row>
    <row r="361" spans="1:12" x14ac:dyDescent="0.3">
      <c r="A361" t="s">
        <v>393</v>
      </c>
      <c r="B361" t="s">
        <v>405</v>
      </c>
      <c r="C361" t="s">
        <v>44</v>
      </c>
      <c r="D361" t="str">
        <f>INT('Client'!$E361/12) &amp; " ans et " &amp; MOD('Client'!$E361,12) &amp; " mois"</f>
        <v>0 ans et 2 mois</v>
      </c>
      <c r="E361">
        <v>2</v>
      </c>
      <c r="F361" t="s">
        <v>11</v>
      </c>
      <c r="G361" s="7">
        <f>Client[[#This Row],[Duree_Cumulee_Panne_Min]]/1440</f>
        <v>1.4583333333333334E-2</v>
      </c>
      <c r="H361">
        <v>21</v>
      </c>
      <c r="I361">
        <v>51.68</v>
      </c>
      <c r="J361">
        <v>3</v>
      </c>
      <c r="K361" s="8">
        <f>IF('Client'!$F361="Pro Monde",10%,IF(AND('Client'!$G361&gt;12,'Client'!$D361&gt;5),70%,IF(AND(OR('Client'!$G361&gt;=4,'Client'!$G361&lt;=12,'Client'!$D361&lt;5,(OR('Client'!$F361="Premium ")))),45%,0%)))</f>
        <v>0.45</v>
      </c>
      <c r="L361" s="4">
        <f>'Client'!$I361* ('Client'!$K361/100)</f>
        <v>0.23256000000000002</v>
      </c>
    </row>
    <row r="362" spans="1:12" x14ac:dyDescent="0.3">
      <c r="A362" t="s">
        <v>393</v>
      </c>
      <c r="B362" t="s">
        <v>406</v>
      </c>
      <c r="C362" t="s">
        <v>60</v>
      </c>
      <c r="D362" t="str">
        <f>INT('Client'!$E362/12) &amp; " ans et " &amp; MOD('Client'!$E362,12) &amp; " mois"</f>
        <v>1 ans et 1 mois</v>
      </c>
      <c r="E362">
        <v>13</v>
      </c>
      <c r="F362" t="s">
        <v>22</v>
      </c>
      <c r="G362" s="7">
        <f>Client[[#This Row],[Duree_Cumulee_Panne_Min]]/1440</f>
        <v>0.21527777777777779</v>
      </c>
      <c r="H362">
        <v>310</v>
      </c>
      <c r="I362">
        <v>65.599999999999994</v>
      </c>
      <c r="J362">
        <v>5</v>
      </c>
      <c r="K362" s="8">
        <f>IF('Client'!$F362="Pro Monde",10%,IF(AND('Client'!$G362&gt;12,'Client'!$D362&gt;5),70%,IF(AND(OR('Client'!$G362&gt;=4,'Client'!$G362&lt;=12,'Client'!$D362&lt;5,(OR('Client'!$F362="Premium ")))),45%,0%)))</f>
        <v>0.45</v>
      </c>
      <c r="L362" s="4">
        <f>'Client'!$I362* ('Client'!$K362/100)</f>
        <v>0.29520000000000002</v>
      </c>
    </row>
    <row r="363" spans="1:12" x14ac:dyDescent="0.3">
      <c r="A363" t="s">
        <v>393</v>
      </c>
      <c r="B363" t="s">
        <v>407</v>
      </c>
      <c r="C363" t="s">
        <v>33</v>
      </c>
      <c r="D363" t="str">
        <f>INT('Client'!$E363/12) &amp; " ans et " &amp; MOD('Client'!$E363,12) &amp; " mois"</f>
        <v>4 ans et 1 mois</v>
      </c>
      <c r="E363">
        <v>49</v>
      </c>
      <c r="F363" t="s">
        <v>14</v>
      </c>
      <c r="G363" s="7">
        <f>Client[[#This Row],[Duree_Cumulee_Panne_Min]]/1440</f>
        <v>0.15902777777777777</v>
      </c>
      <c r="H363">
        <v>229</v>
      </c>
      <c r="I363">
        <v>53.94</v>
      </c>
      <c r="J363">
        <v>5</v>
      </c>
      <c r="K363" s="8">
        <f>IF('Client'!$F363="Pro Monde",10%,IF(AND('Client'!$G363&gt;12,'Client'!$D363&gt;5),70%,IF(AND(OR('Client'!$G363&gt;=4,'Client'!$G363&lt;=12,'Client'!$D363&lt;5,(OR('Client'!$F363="Premium ")))),45%,0%)))</f>
        <v>0.1</v>
      </c>
      <c r="L363" s="4">
        <f>'Client'!$I363* ('Client'!$K363/100)</f>
        <v>5.3940000000000002E-2</v>
      </c>
    </row>
    <row r="364" spans="1:12" x14ac:dyDescent="0.3">
      <c r="A364" t="s">
        <v>393</v>
      </c>
      <c r="B364" t="s">
        <v>408</v>
      </c>
      <c r="C364" t="s">
        <v>40</v>
      </c>
      <c r="D364" t="str">
        <f>INT('Client'!$E364/12) &amp; " ans et " &amp; MOD('Client'!$E364,12) &amp; " mois"</f>
        <v>2 ans et 5 mois</v>
      </c>
      <c r="E364">
        <v>29</v>
      </c>
      <c r="F364" t="s">
        <v>14</v>
      </c>
      <c r="G364" s="7">
        <f>Client[[#This Row],[Duree_Cumulee_Panne_Min]]/1440</f>
        <v>0.34236111111111112</v>
      </c>
      <c r="H364">
        <v>493</v>
      </c>
      <c r="I364">
        <v>42.02</v>
      </c>
      <c r="J364">
        <v>1</v>
      </c>
      <c r="K364" s="8">
        <f>IF('Client'!$F364="Pro Monde",10%,IF(AND('Client'!$G364&gt;12,'Client'!$D364&gt;5),70%,IF(AND(OR('Client'!$G364&gt;=4,'Client'!$G364&lt;=12,'Client'!$D364&lt;5,(OR('Client'!$F364="Premium ")))),45%,0%)))</f>
        <v>0.1</v>
      </c>
      <c r="L364" s="4">
        <f>'Client'!$I364* ('Client'!$K364/100)</f>
        <v>4.2020000000000002E-2</v>
      </c>
    </row>
    <row r="365" spans="1:12" x14ac:dyDescent="0.3">
      <c r="A365" t="s">
        <v>393</v>
      </c>
      <c r="B365" t="s">
        <v>409</v>
      </c>
      <c r="C365" t="s">
        <v>16</v>
      </c>
      <c r="D365" t="str">
        <f>INT('Client'!$E365/12) &amp; " ans et " &amp; MOD('Client'!$E365,12) &amp; " mois"</f>
        <v>4 ans et 1 mois</v>
      </c>
      <c r="E365">
        <v>49</v>
      </c>
      <c r="F365" t="s">
        <v>22</v>
      </c>
      <c r="G365" s="7">
        <f>Client[[#This Row],[Duree_Cumulee_Panne_Min]]/1440</f>
        <v>5.9722222222222225E-2</v>
      </c>
      <c r="H365">
        <v>86</v>
      </c>
      <c r="I365">
        <v>65.400000000000006</v>
      </c>
      <c r="J365">
        <v>2</v>
      </c>
      <c r="K365" s="8">
        <f>IF('Client'!$F365="Pro Monde",10%,IF(AND('Client'!$G365&gt;12,'Client'!$D365&gt;5),70%,IF(AND(OR('Client'!$G365&gt;=4,'Client'!$G365&lt;=12,'Client'!$D365&lt;5,(OR('Client'!$F365="Premium ")))),45%,0%)))</f>
        <v>0.45</v>
      </c>
      <c r="L365" s="4">
        <f>'Client'!$I365* ('Client'!$K365/100)</f>
        <v>0.29430000000000006</v>
      </c>
    </row>
    <row r="366" spans="1:12" x14ac:dyDescent="0.3">
      <c r="A366" t="s">
        <v>393</v>
      </c>
      <c r="B366" t="s">
        <v>410</v>
      </c>
      <c r="C366" t="s">
        <v>18</v>
      </c>
      <c r="D366" t="str">
        <f>INT('Client'!$E366/12) &amp; " ans et " &amp; MOD('Client'!$E366,12) &amp; " mois"</f>
        <v>1 ans et 2 mois</v>
      </c>
      <c r="E366">
        <v>14</v>
      </c>
      <c r="F366" t="s">
        <v>14</v>
      </c>
      <c r="G366" s="7">
        <f>Client[[#This Row],[Duree_Cumulee_Panne_Min]]/1440</f>
        <v>0.23958333333333334</v>
      </c>
      <c r="H366">
        <v>345</v>
      </c>
      <c r="I366">
        <v>39.57</v>
      </c>
      <c r="J366">
        <v>3</v>
      </c>
      <c r="K366" s="8">
        <f>IF('Client'!$F366="Pro Monde",10%,IF(AND('Client'!$G366&gt;12,'Client'!$D366&gt;5),70%,IF(AND(OR('Client'!$G366&gt;=4,'Client'!$G366&lt;=12,'Client'!$D366&lt;5,(OR('Client'!$F366="Premium ")))),45%,0%)))</f>
        <v>0.1</v>
      </c>
      <c r="L366" s="4">
        <f>'Client'!$I366* ('Client'!$K366/100)</f>
        <v>3.9570000000000001E-2</v>
      </c>
    </row>
    <row r="367" spans="1:12" x14ac:dyDescent="0.3">
      <c r="A367" t="s">
        <v>393</v>
      </c>
      <c r="B367" t="s">
        <v>411</v>
      </c>
      <c r="C367" t="s">
        <v>67</v>
      </c>
      <c r="D367" t="str">
        <f>INT('Client'!$E367/12) &amp; " ans et " &amp; MOD('Client'!$E367,12) &amp; " mois"</f>
        <v>8 ans et 5 mois</v>
      </c>
      <c r="E367">
        <v>101</v>
      </c>
      <c r="F367" t="s">
        <v>11</v>
      </c>
      <c r="G367" s="7">
        <f>Client[[#This Row],[Duree_Cumulee_Panne_Min]]/1440</f>
        <v>0.33055555555555555</v>
      </c>
      <c r="H367">
        <v>476</v>
      </c>
      <c r="I367">
        <v>41.85</v>
      </c>
      <c r="J367">
        <v>4</v>
      </c>
      <c r="K367" s="8">
        <f>IF('Client'!$F367="Pro Monde",10%,IF(AND('Client'!$G367&gt;12,'Client'!$D367&gt;5),70%,IF(AND(OR('Client'!$G367&gt;=4,'Client'!$G367&lt;=12,'Client'!$D367&lt;5,(OR('Client'!$F367="Premium ")))),45%,0%)))</f>
        <v>0.45</v>
      </c>
      <c r="L367" s="4">
        <f>'Client'!$I367* ('Client'!$K367/100)</f>
        <v>0.18832500000000002</v>
      </c>
    </row>
    <row r="368" spans="1:12" x14ac:dyDescent="0.3">
      <c r="A368" t="s">
        <v>393</v>
      </c>
      <c r="B368" t="s">
        <v>412</v>
      </c>
      <c r="C368" t="s">
        <v>16</v>
      </c>
      <c r="D368" t="str">
        <f>INT('Client'!$E368/12) &amp; " ans et " &amp; MOD('Client'!$E368,12) &amp; " mois"</f>
        <v>9 ans et 11 mois</v>
      </c>
      <c r="E368">
        <v>119</v>
      </c>
      <c r="F368" t="s">
        <v>14</v>
      </c>
      <c r="G368" s="7">
        <f>Client[[#This Row],[Duree_Cumulee_Panne_Min]]/1440</f>
        <v>0.31319444444444444</v>
      </c>
      <c r="H368">
        <v>451</v>
      </c>
      <c r="I368">
        <v>10.46</v>
      </c>
      <c r="J368">
        <v>5</v>
      </c>
      <c r="K368" s="8">
        <f>IF('Client'!$F368="Pro Monde",10%,IF(AND('Client'!$G368&gt;12,'Client'!$D368&gt;5),70%,IF(AND(OR('Client'!$G368&gt;=4,'Client'!$G368&lt;=12,'Client'!$D368&lt;5,(OR('Client'!$F368="Premium ")))),45%,0%)))</f>
        <v>0.1</v>
      </c>
      <c r="L368" s="4">
        <f>'Client'!$I368* ('Client'!$K368/100)</f>
        <v>1.0460000000000001E-2</v>
      </c>
    </row>
    <row r="369" spans="1:12" x14ac:dyDescent="0.3">
      <c r="A369" t="s">
        <v>393</v>
      </c>
      <c r="B369" t="s">
        <v>413</v>
      </c>
      <c r="C369" t="s">
        <v>37</v>
      </c>
      <c r="D369" t="str">
        <f>INT('Client'!$E369/12) &amp; " ans et " &amp; MOD('Client'!$E369,12) &amp; " mois"</f>
        <v>1 ans et 4 mois</v>
      </c>
      <c r="E369">
        <v>16</v>
      </c>
      <c r="F369" t="s">
        <v>11</v>
      </c>
      <c r="G369" s="7">
        <f>Client[[#This Row],[Duree_Cumulee_Panne_Min]]/1440</f>
        <v>0.27152777777777776</v>
      </c>
      <c r="H369">
        <v>391</v>
      </c>
      <c r="I369">
        <v>90.12</v>
      </c>
      <c r="J369">
        <v>5</v>
      </c>
      <c r="K369" s="8">
        <f>IF('Client'!$F369="Pro Monde",10%,IF(AND('Client'!$G369&gt;12,'Client'!$D369&gt;5),70%,IF(AND(OR('Client'!$G369&gt;=4,'Client'!$G369&lt;=12,'Client'!$D369&lt;5,(OR('Client'!$F369="Premium ")))),45%,0%)))</f>
        <v>0.45</v>
      </c>
      <c r="L369" s="4">
        <f>'Client'!$I369* ('Client'!$K369/100)</f>
        <v>0.40554000000000007</v>
      </c>
    </row>
    <row r="370" spans="1:12" x14ac:dyDescent="0.3">
      <c r="A370" t="s">
        <v>393</v>
      </c>
      <c r="B370" t="s">
        <v>414</v>
      </c>
      <c r="C370" t="s">
        <v>16</v>
      </c>
      <c r="D370" t="str">
        <f>INT('Client'!$E370/12) &amp; " ans et " &amp; MOD('Client'!$E370,12) &amp; " mois"</f>
        <v>1 ans et 11 mois</v>
      </c>
      <c r="E370">
        <v>23</v>
      </c>
      <c r="F370" t="s">
        <v>11</v>
      </c>
      <c r="G370" s="7">
        <f>Client[[#This Row],[Duree_Cumulee_Panne_Min]]/1440</f>
        <v>0.18611111111111112</v>
      </c>
      <c r="H370">
        <v>268</v>
      </c>
      <c r="I370">
        <v>26.75</v>
      </c>
      <c r="J370">
        <v>3</v>
      </c>
      <c r="K370" s="8">
        <f>IF('Client'!$F370="Pro Monde",10%,IF(AND('Client'!$G370&gt;12,'Client'!$D370&gt;5),70%,IF(AND(OR('Client'!$G370&gt;=4,'Client'!$G370&lt;=12,'Client'!$D370&lt;5,(OR('Client'!$F370="Premium ")))),45%,0%)))</f>
        <v>0.45</v>
      </c>
      <c r="L370" s="4">
        <f>'Client'!$I370* ('Client'!$K370/100)</f>
        <v>0.12037500000000001</v>
      </c>
    </row>
    <row r="371" spans="1:12" x14ac:dyDescent="0.3">
      <c r="A371" t="s">
        <v>393</v>
      </c>
      <c r="B371" t="s">
        <v>415</v>
      </c>
      <c r="C371" t="s">
        <v>33</v>
      </c>
      <c r="D371" t="str">
        <f>INT('Client'!$E371/12) &amp; " ans et " &amp; MOD('Client'!$E371,12) &amp; " mois"</f>
        <v>5 ans et 8 mois</v>
      </c>
      <c r="E371">
        <v>68</v>
      </c>
      <c r="F371" t="s">
        <v>14</v>
      </c>
      <c r="G371" s="7">
        <f>Client[[#This Row],[Duree_Cumulee_Panne_Min]]/1440</f>
        <v>0.32083333333333336</v>
      </c>
      <c r="H371">
        <v>462</v>
      </c>
      <c r="I371">
        <v>41.91</v>
      </c>
      <c r="J371">
        <v>1</v>
      </c>
      <c r="K371" s="8">
        <f>IF('Client'!$F371="Pro Monde",10%,IF(AND('Client'!$G371&gt;12,'Client'!$D371&gt;5),70%,IF(AND(OR('Client'!$G371&gt;=4,'Client'!$G371&lt;=12,'Client'!$D371&lt;5,(OR('Client'!$F371="Premium ")))),45%,0%)))</f>
        <v>0.1</v>
      </c>
      <c r="L371" s="4">
        <f>'Client'!$I371* ('Client'!$K371/100)</f>
        <v>4.1909999999999996E-2</v>
      </c>
    </row>
    <row r="372" spans="1:12" x14ac:dyDescent="0.3">
      <c r="A372" t="s">
        <v>393</v>
      </c>
      <c r="B372" t="s">
        <v>416</v>
      </c>
      <c r="C372" t="s">
        <v>37</v>
      </c>
      <c r="D372" t="str">
        <f>INT('Client'!$E372/12) &amp; " ans et " &amp; MOD('Client'!$E372,12) &amp; " mois"</f>
        <v>7 ans et 10 mois</v>
      </c>
      <c r="E372">
        <v>94</v>
      </c>
      <c r="F372" t="s">
        <v>22</v>
      </c>
      <c r="G372" s="7">
        <f>Client[[#This Row],[Duree_Cumulee_Panne_Min]]/1440</f>
        <v>7.9861111111111105E-2</v>
      </c>
      <c r="H372">
        <v>115</v>
      </c>
      <c r="I372">
        <v>19.12</v>
      </c>
      <c r="J372">
        <v>0</v>
      </c>
      <c r="K372" s="8">
        <f>IF('Client'!$F372="Pro Monde",10%,IF(AND('Client'!$G372&gt;12,'Client'!$D372&gt;5),70%,IF(AND(OR('Client'!$G372&gt;=4,'Client'!$G372&lt;=12,'Client'!$D372&lt;5,(OR('Client'!$F372="Premium ")))),45%,0%)))</f>
        <v>0.45</v>
      </c>
      <c r="L372" s="4">
        <f>'Client'!$I372* ('Client'!$K372/100)</f>
        <v>8.6040000000000019E-2</v>
      </c>
    </row>
    <row r="373" spans="1:12" x14ac:dyDescent="0.3">
      <c r="A373" t="s">
        <v>393</v>
      </c>
      <c r="B373" t="s">
        <v>417</v>
      </c>
      <c r="C373" t="s">
        <v>21</v>
      </c>
      <c r="D373" t="str">
        <f>INT('Client'!$E373/12) &amp; " ans et " &amp; MOD('Client'!$E373,12) &amp; " mois"</f>
        <v>9 ans et 5 mois</v>
      </c>
      <c r="E373">
        <v>113</v>
      </c>
      <c r="F373" t="s">
        <v>11</v>
      </c>
      <c r="G373" s="7">
        <f>Client[[#This Row],[Duree_Cumulee_Panne_Min]]/1440</f>
        <v>6.1805555555555558E-2</v>
      </c>
      <c r="H373">
        <v>89</v>
      </c>
      <c r="I373">
        <v>54.28</v>
      </c>
      <c r="J373">
        <v>0</v>
      </c>
      <c r="K373" s="8">
        <f>IF('Client'!$F373="Pro Monde",10%,IF(AND('Client'!$G373&gt;12,'Client'!$D373&gt;5),70%,IF(AND(OR('Client'!$G373&gt;=4,'Client'!$G373&lt;=12,'Client'!$D373&lt;5,(OR('Client'!$F373="Premium ")))),45%,0%)))</f>
        <v>0.45</v>
      </c>
      <c r="L373" s="4">
        <f>'Client'!$I373* ('Client'!$K373/100)</f>
        <v>0.24426000000000003</v>
      </c>
    </row>
    <row r="374" spans="1:12" x14ac:dyDescent="0.3">
      <c r="A374" t="s">
        <v>393</v>
      </c>
      <c r="B374" t="s">
        <v>418</v>
      </c>
      <c r="C374" t="s">
        <v>89</v>
      </c>
      <c r="D374" t="str">
        <f>INT('Client'!$E374/12) &amp; " ans et " &amp; MOD('Client'!$E374,12) &amp; " mois"</f>
        <v>3 ans et 4 mois</v>
      </c>
      <c r="E374">
        <v>40</v>
      </c>
      <c r="F374" t="s">
        <v>19</v>
      </c>
      <c r="G374" s="7">
        <f>Client[[#This Row],[Duree_Cumulee_Panne_Min]]/1440</f>
        <v>2.6388888888888889E-2</v>
      </c>
      <c r="H374">
        <v>38</v>
      </c>
      <c r="I374">
        <v>17.63</v>
      </c>
      <c r="J374">
        <v>0</v>
      </c>
      <c r="K374" s="8">
        <f>IF('Client'!$F374="Pro Monde",10%,IF(AND('Client'!$G374&gt;12,'Client'!$D374&gt;5),70%,IF(AND(OR('Client'!$G374&gt;=4,'Client'!$G374&lt;=12,'Client'!$D374&lt;5,(OR('Client'!$F374="Premium ")))),45%,0%)))</f>
        <v>0.45</v>
      </c>
      <c r="L374" s="4">
        <f>'Client'!$I374* ('Client'!$K374/100)</f>
        <v>7.9335000000000003E-2</v>
      </c>
    </row>
    <row r="375" spans="1:12" x14ac:dyDescent="0.3">
      <c r="A375" t="s">
        <v>393</v>
      </c>
      <c r="B375" t="s">
        <v>419</v>
      </c>
      <c r="C375" t="s">
        <v>13</v>
      </c>
      <c r="D375" t="str">
        <f>INT('Client'!$E375/12) &amp; " ans et " &amp; MOD('Client'!$E375,12) &amp; " mois"</f>
        <v>6 ans et 4 mois</v>
      </c>
      <c r="E375">
        <v>76</v>
      </c>
      <c r="F375" t="s">
        <v>11</v>
      </c>
      <c r="G375" s="7">
        <f>Client[[#This Row],[Duree_Cumulee_Panne_Min]]/1440</f>
        <v>0.12986111111111112</v>
      </c>
      <c r="H375">
        <v>187</v>
      </c>
      <c r="I375">
        <v>56.29</v>
      </c>
      <c r="J375">
        <v>1</v>
      </c>
      <c r="K375" s="8">
        <f>IF('Client'!$F375="Pro Monde",10%,IF(AND('Client'!$G375&gt;12,'Client'!$D375&gt;5),70%,IF(AND(OR('Client'!$G375&gt;=4,'Client'!$G375&lt;=12,'Client'!$D375&lt;5,(OR('Client'!$F375="Premium ")))),45%,0%)))</f>
        <v>0.45</v>
      </c>
      <c r="L375" s="4">
        <f>'Client'!$I375* ('Client'!$K375/100)</f>
        <v>0.253305</v>
      </c>
    </row>
    <row r="376" spans="1:12" x14ac:dyDescent="0.3">
      <c r="A376" t="s">
        <v>393</v>
      </c>
      <c r="B376" t="s">
        <v>420</v>
      </c>
      <c r="C376" t="s">
        <v>16</v>
      </c>
      <c r="D376" t="str">
        <f>INT('Client'!$E376/12) &amp; " ans et " &amp; MOD('Client'!$E376,12) &amp; " mois"</f>
        <v>8 ans et 10 mois</v>
      </c>
      <c r="E376">
        <v>106</v>
      </c>
      <c r="F376" t="s">
        <v>14</v>
      </c>
      <c r="G376" s="7">
        <f>Client[[#This Row],[Duree_Cumulee_Panne_Min]]/1440</f>
        <v>0.29791666666666666</v>
      </c>
      <c r="H376">
        <v>429</v>
      </c>
      <c r="I376">
        <v>23.83</v>
      </c>
      <c r="J376">
        <v>1</v>
      </c>
      <c r="K376" s="8">
        <f>IF('Client'!$F376="Pro Monde",10%,IF(AND('Client'!$G376&gt;12,'Client'!$D376&gt;5),70%,IF(AND(OR('Client'!$G376&gt;=4,'Client'!$G376&lt;=12,'Client'!$D376&lt;5,(OR('Client'!$F376="Premium ")))),45%,0%)))</f>
        <v>0.1</v>
      </c>
      <c r="L376" s="4">
        <f>'Client'!$I376* ('Client'!$K376/100)</f>
        <v>2.383E-2</v>
      </c>
    </row>
    <row r="377" spans="1:12" x14ac:dyDescent="0.3">
      <c r="A377" t="s">
        <v>393</v>
      </c>
      <c r="B377" t="s">
        <v>421</v>
      </c>
      <c r="C377" t="s">
        <v>73</v>
      </c>
      <c r="D377" t="str">
        <f>INT('Client'!$E377/12) &amp; " ans et " &amp; MOD('Client'!$E377,12) &amp; " mois"</f>
        <v>8 ans et 8 mois</v>
      </c>
      <c r="E377">
        <v>104</v>
      </c>
      <c r="F377" t="s">
        <v>11</v>
      </c>
      <c r="G377" s="7">
        <f>Client[[#This Row],[Duree_Cumulee_Panne_Min]]/1440</f>
        <v>4.7222222222222221E-2</v>
      </c>
      <c r="H377">
        <v>68</v>
      </c>
      <c r="I377">
        <v>21.15</v>
      </c>
      <c r="J377">
        <v>2</v>
      </c>
      <c r="K377" s="8">
        <f>IF('Client'!$F377="Pro Monde",10%,IF(AND('Client'!$G377&gt;12,'Client'!$D377&gt;5),70%,IF(AND(OR('Client'!$G377&gt;=4,'Client'!$G377&lt;=12,'Client'!$D377&lt;5,(OR('Client'!$F377="Premium ")))),45%,0%)))</f>
        <v>0.45</v>
      </c>
      <c r="L377" s="4">
        <f>'Client'!$I377* ('Client'!$K377/100)</f>
        <v>9.517500000000001E-2</v>
      </c>
    </row>
    <row r="378" spans="1:12" x14ac:dyDescent="0.3">
      <c r="A378" t="s">
        <v>393</v>
      </c>
      <c r="B378" t="s">
        <v>422</v>
      </c>
      <c r="C378" t="s">
        <v>31</v>
      </c>
      <c r="D378" t="str">
        <f>INT('Client'!$E378/12) &amp; " ans et " &amp; MOD('Client'!$E378,12) &amp; " mois"</f>
        <v>5 ans et 3 mois</v>
      </c>
      <c r="E378">
        <v>63</v>
      </c>
      <c r="F378" t="s">
        <v>19</v>
      </c>
      <c r="G378" s="7">
        <f>Client[[#This Row],[Duree_Cumulee_Panne_Min]]/1440</f>
        <v>0.18263888888888888</v>
      </c>
      <c r="H378">
        <v>263</v>
      </c>
      <c r="I378">
        <v>53.87</v>
      </c>
      <c r="J378">
        <v>4</v>
      </c>
      <c r="K378" s="8">
        <f>IF('Client'!$F378="Pro Monde",10%,IF(AND('Client'!$G378&gt;12,'Client'!$D378&gt;5),70%,IF(AND(OR('Client'!$G378&gt;=4,'Client'!$G378&lt;=12,'Client'!$D378&lt;5,(OR('Client'!$F378="Premium ")))),45%,0%)))</f>
        <v>0.45</v>
      </c>
      <c r="L378" s="4">
        <f>'Client'!$I378* ('Client'!$K378/100)</f>
        <v>0.24241500000000002</v>
      </c>
    </row>
    <row r="379" spans="1:12" x14ac:dyDescent="0.3">
      <c r="A379" t="s">
        <v>393</v>
      </c>
      <c r="B379" t="s">
        <v>423</v>
      </c>
      <c r="C379" t="s">
        <v>29</v>
      </c>
      <c r="D379" t="str">
        <f>INT('Client'!$E379/12) &amp; " ans et " &amp; MOD('Client'!$E379,12) &amp; " mois"</f>
        <v>1 ans et 1 mois</v>
      </c>
      <c r="E379">
        <v>13</v>
      </c>
      <c r="F379" t="s">
        <v>19</v>
      </c>
      <c r="G379" s="7">
        <f>Client[[#This Row],[Duree_Cumulee_Panne_Min]]/1440</f>
        <v>0.125</v>
      </c>
      <c r="H379">
        <v>180</v>
      </c>
      <c r="I379">
        <v>24.01</v>
      </c>
      <c r="J379">
        <v>0</v>
      </c>
      <c r="K379" s="8">
        <f>IF('Client'!$F379="Pro Monde",10%,IF(AND('Client'!$G379&gt;12,'Client'!$D379&gt;5),70%,IF(AND(OR('Client'!$G379&gt;=4,'Client'!$G379&lt;=12,'Client'!$D379&lt;5,(OR('Client'!$F379="Premium ")))),45%,0%)))</f>
        <v>0.45</v>
      </c>
      <c r="L379" s="4">
        <f>'Client'!$I379* ('Client'!$K379/100)</f>
        <v>0.10804500000000002</v>
      </c>
    </row>
    <row r="380" spans="1:12" x14ac:dyDescent="0.3">
      <c r="A380" t="s">
        <v>393</v>
      </c>
      <c r="B380" t="s">
        <v>424</v>
      </c>
      <c r="C380" t="s">
        <v>10</v>
      </c>
      <c r="D380" t="str">
        <f>INT('Client'!$E380/12) &amp; " ans et " &amp; MOD('Client'!$E380,12) &amp; " mois"</f>
        <v>5 ans et 8 mois</v>
      </c>
      <c r="E380">
        <v>68</v>
      </c>
      <c r="F380" t="s">
        <v>19</v>
      </c>
      <c r="G380" s="7">
        <f>Client[[#This Row],[Duree_Cumulee_Panne_Min]]/1440</f>
        <v>0.33819444444444446</v>
      </c>
      <c r="H380">
        <v>487</v>
      </c>
      <c r="I380">
        <v>69.099999999999994</v>
      </c>
      <c r="J380">
        <v>5</v>
      </c>
      <c r="K380" s="8">
        <f>IF('Client'!$F380="Pro Monde",10%,IF(AND('Client'!$G380&gt;12,'Client'!$D380&gt;5),70%,IF(AND(OR('Client'!$G380&gt;=4,'Client'!$G380&lt;=12,'Client'!$D380&lt;5,(OR('Client'!$F380="Premium ")))),45%,0%)))</f>
        <v>0.45</v>
      </c>
      <c r="L380" s="4">
        <f>'Client'!$I380* ('Client'!$K380/100)</f>
        <v>0.31095</v>
      </c>
    </row>
    <row r="381" spans="1:12" x14ac:dyDescent="0.3">
      <c r="A381" t="s">
        <v>393</v>
      </c>
      <c r="B381" t="s">
        <v>425</v>
      </c>
      <c r="C381" t="s">
        <v>44</v>
      </c>
      <c r="D381" t="str">
        <f>INT('Client'!$E381/12) &amp; " ans et " &amp; MOD('Client'!$E381,12) &amp; " mois"</f>
        <v>3 ans et 9 mois</v>
      </c>
      <c r="E381">
        <v>45</v>
      </c>
      <c r="F381" t="s">
        <v>22</v>
      </c>
      <c r="G381" s="7">
        <f>Client[[#This Row],[Duree_Cumulee_Panne_Min]]/1440</f>
        <v>1.8055555555555554E-2</v>
      </c>
      <c r="H381">
        <v>26</v>
      </c>
      <c r="I381">
        <v>30.35</v>
      </c>
      <c r="J381">
        <v>1</v>
      </c>
      <c r="K381" s="8">
        <f>IF('Client'!$F381="Pro Monde",10%,IF(AND('Client'!$G381&gt;12,'Client'!$D381&gt;5),70%,IF(AND(OR('Client'!$G381&gt;=4,'Client'!$G381&lt;=12,'Client'!$D381&lt;5,(OR('Client'!$F381="Premium ")))),45%,0%)))</f>
        <v>0.45</v>
      </c>
      <c r="L381" s="4">
        <f>'Client'!$I381* ('Client'!$K381/100)</f>
        <v>0.13657500000000003</v>
      </c>
    </row>
    <row r="382" spans="1:12" x14ac:dyDescent="0.3">
      <c r="A382" t="s">
        <v>393</v>
      </c>
      <c r="B382" t="s">
        <v>426</v>
      </c>
      <c r="C382" t="s">
        <v>78</v>
      </c>
      <c r="D382" t="str">
        <f>INT('Client'!$E382/12) &amp; " ans et " &amp; MOD('Client'!$E382,12) &amp; " mois"</f>
        <v>7 ans et 6 mois</v>
      </c>
      <c r="E382">
        <v>90</v>
      </c>
      <c r="F382" t="s">
        <v>19</v>
      </c>
      <c r="G382" s="7">
        <f>Client[[#This Row],[Duree_Cumulee_Panne_Min]]/1440</f>
        <v>0.15</v>
      </c>
      <c r="H382">
        <v>216</v>
      </c>
      <c r="I382">
        <v>45.58</v>
      </c>
      <c r="J382">
        <v>0</v>
      </c>
      <c r="K382" s="8">
        <f>IF('Client'!$F382="Pro Monde",10%,IF(AND('Client'!$G382&gt;12,'Client'!$D382&gt;5),70%,IF(AND(OR('Client'!$G382&gt;=4,'Client'!$G382&lt;=12,'Client'!$D382&lt;5,(OR('Client'!$F382="Premium ")))),45%,0%)))</f>
        <v>0.45</v>
      </c>
      <c r="L382" s="4">
        <f>'Client'!$I382* ('Client'!$K382/100)</f>
        <v>0.20511000000000001</v>
      </c>
    </row>
    <row r="383" spans="1:12" x14ac:dyDescent="0.3">
      <c r="A383" t="s">
        <v>393</v>
      </c>
      <c r="B383" t="s">
        <v>427</v>
      </c>
      <c r="C383" t="s">
        <v>24</v>
      </c>
      <c r="D383" t="str">
        <f>INT('Client'!$E383/12) &amp; " ans et " &amp; MOD('Client'!$E383,12) &amp; " mois"</f>
        <v>6 ans et 2 mois</v>
      </c>
      <c r="E383">
        <v>74</v>
      </c>
      <c r="F383" t="s">
        <v>22</v>
      </c>
      <c r="G383" s="7">
        <f>Client[[#This Row],[Duree_Cumulee_Panne_Min]]/1440</f>
        <v>0.17569444444444443</v>
      </c>
      <c r="H383">
        <v>253</v>
      </c>
      <c r="I383">
        <v>36.94</v>
      </c>
      <c r="J383">
        <v>5</v>
      </c>
      <c r="K383" s="8">
        <f>IF('Client'!$F383="Pro Monde",10%,IF(AND('Client'!$G383&gt;12,'Client'!$D383&gt;5),70%,IF(AND(OR('Client'!$G383&gt;=4,'Client'!$G383&lt;=12,'Client'!$D383&lt;5,(OR('Client'!$F383="Premium ")))),45%,0%)))</f>
        <v>0.45</v>
      </c>
      <c r="L383" s="4">
        <f>'Client'!$I383* ('Client'!$K383/100)</f>
        <v>0.16623000000000002</v>
      </c>
    </row>
    <row r="384" spans="1:12" x14ac:dyDescent="0.3">
      <c r="A384" t="s">
        <v>393</v>
      </c>
      <c r="B384" t="s">
        <v>428</v>
      </c>
      <c r="C384" t="s">
        <v>10</v>
      </c>
      <c r="D384" t="str">
        <f>INT('Client'!$E384/12) &amp; " ans et " &amp; MOD('Client'!$E384,12) &amp; " mois"</f>
        <v>9 ans et 3 mois</v>
      </c>
      <c r="E384">
        <v>111</v>
      </c>
      <c r="F384" t="s">
        <v>19</v>
      </c>
      <c r="G384" s="7">
        <f>Client[[#This Row],[Duree_Cumulee_Panne_Min]]/1440</f>
        <v>0.13472222222222222</v>
      </c>
      <c r="H384">
        <v>194</v>
      </c>
      <c r="I384">
        <v>48.55</v>
      </c>
      <c r="J384">
        <v>2</v>
      </c>
      <c r="K384" s="8">
        <f>IF('Client'!$F384="Pro Monde",10%,IF(AND('Client'!$G384&gt;12,'Client'!$D384&gt;5),70%,IF(AND(OR('Client'!$G384&gt;=4,'Client'!$G384&lt;=12,'Client'!$D384&lt;5,(OR('Client'!$F384="Premium ")))),45%,0%)))</f>
        <v>0.45</v>
      </c>
      <c r="L384" s="4">
        <f>'Client'!$I384* ('Client'!$K384/100)</f>
        <v>0.218475</v>
      </c>
    </row>
    <row r="385" spans="1:12" x14ac:dyDescent="0.3">
      <c r="A385" t="s">
        <v>393</v>
      </c>
      <c r="B385" t="s">
        <v>429</v>
      </c>
      <c r="C385" t="s">
        <v>131</v>
      </c>
      <c r="D385" t="str">
        <f>INT('Client'!$E385/12) &amp; " ans et " &amp; MOD('Client'!$E385,12) &amp; " mois"</f>
        <v>3 ans et 1 mois</v>
      </c>
      <c r="E385">
        <v>37</v>
      </c>
      <c r="F385" t="s">
        <v>19</v>
      </c>
      <c r="G385" s="7">
        <f>Client[[#This Row],[Duree_Cumulee_Panne_Min]]/1440</f>
        <v>6.0416666666666667E-2</v>
      </c>
      <c r="H385">
        <v>87</v>
      </c>
      <c r="I385">
        <v>26.4</v>
      </c>
      <c r="J385">
        <v>3</v>
      </c>
      <c r="K385" s="8">
        <f>IF('Client'!$F385="Pro Monde",10%,IF(AND('Client'!$G385&gt;12,'Client'!$D385&gt;5),70%,IF(AND(OR('Client'!$G385&gt;=4,'Client'!$G385&lt;=12,'Client'!$D385&lt;5,(OR('Client'!$F385="Premium ")))),45%,0%)))</f>
        <v>0.45</v>
      </c>
      <c r="L385" s="4">
        <f>'Client'!$I385* ('Client'!$K385/100)</f>
        <v>0.1188</v>
      </c>
    </row>
    <row r="386" spans="1:12" x14ac:dyDescent="0.3">
      <c r="A386" t="s">
        <v>393</v>
      </c>
      <c r="B386" t="s">
        <v>430</v>
      </c>
      <c r="C386" t="s">
        <v>64</v>
      </c>
      <c r="D386" t="str">
        <f>INT('Client'!$E386/12) &amp; " ans et " &amp; MOD('Client'!$E386,12) &amp; " mois"</f>
        <v>5 ans et 11 mois</v>
      </c>
      <c r="E386">
        <v>71</v>
      </c>
      <c r="F386" t="s">
        <v>11</v>
      </c>
      <c r="G386" s="7">
        <f>Client[[#This Row],[Duree_Cumulee_Panne_Min]]/1440</f>
        <v>0.13263888888888889</v>
      </c>
      <c r="H386">
        <v>191</v>
      </c>
      <c r="I386">
        <v>83.04</v>
      </c>
      <c r="J386">
        <v>4</v>
      </c>
      <c r="K386" s="8">
        <f>IF('Client'!$F386="Pro Monde",10%,IF(AND('Client'!$G386&gt;12,'Client'!$D386&gt;5),70%,IF(AND(OR('Client'!$G386&gt;=4,'Client'!$G386&lt;=12,'Client'!$D386&lt;5,(OR('Client'!$F386="Premium ")))),45%,0%)))</f>
        <v>0.45</v>
      </c>
      <c r="L386" s="4">
        <f>'Client'!$I386* ('Client'!$K386/100)</f>
        <v>0.37368000000000007</v>
      </c>
    </row>
    <row r="387" spans="1:12" x14ac:dyDescent="0.3">
      <c r="A387" t="s">
        <v>393</v>
      </c>
      <c r="B387" t="s">
        <v>431</v>
      </c>
      <c r="C387" t="s">
        <v>31</v>
      </c>
      <c r="D387" t="str">
        <f>INT('Client'!$E387/12) &amp; " ans et " &amp; MOD('Client'!$E387,12) &amp; " mois"</f>
        <v>2 ans et 11 mois</v>
      </c>
      <c r="E387">
        <v>35</v>
      </c>
      <c r="F387" t="s">
        <v>14</v>
      </c>
      <c r="G387" s="7">
        <f>Client[[#This Row],[Duree_Cumulee_Panne_Min]]/1440</f>
        <v>0.34444444444444444</v>
      </c>
      <c r="H387">
        <v>496</v>
      </c>
      <c r="I387">
        <v>19.78</v>
      </c>
      <c r="J387">
        <v>5</v>
      </c>
      <c r="K387" s="8">
        <f>IF('Client'!$F387="Pro Monde",10%,IF(AND('Client'!$G387&gt;12,'Client'!$D387&gt;5),70%,IF(AND(OR('Client'!$G387&gt;=4,'Client'!$G387&lt;=12,'Client'!$D387&lt;5,(OR('Client'!$F387="Premium ")))),45%,0%)))</f>
        <v>0.1</v>
      </c>
      <c r="L387" s="4">
        <f>'Client'!$I387* ('Client'!$K387/100)</f>
        <v>1.9780000000000002E-2</v>
      </c>
    </row>
    <row r="388" spans="1:12" x14ac:dyDescent="0.3">
      <c r="A388" t="s">
        <v>393</v>
      </c>
      <c r="B388" t="s">
        <v>432</v>
      </c>
      <c r="C388" t="s">
        <v>57</v>
      </c>
      <c r="D388" t="str">
        <f>INT('Client'!$E388/12) &amp; " ans et " &amp; MOD('Client'!$E388,12) &amp; " mois"</f>
        <v>6 ans et 6 mois</v>
      </c>
      <c r="E388">
        <v>78</v>
      </c>
      <c r="F388" t="s">
        <v>19</v>
      </c>
      <c r="G388" s="7">
        <f>Client[[#This Row],[Duree_Cumulee_Panne_Min]]/1440</f>
        <v>3.9583333333333331E-2</v>
      </c>
      <c r="H388">
        <v>57</v>
      </c>
      <c r="I388">
        <v>49.47</v>
      </c>
      <c r="J388">
        <v>0</v>
      </c>
      <c r="K388" s="8">
        <f>IF('Client'!$F388="Pro Monde",10%,IF(AND('Client'!$G388&gt;12,'Client'!$D388&gt;5),70%,IF(AND(OR('Client'!$G388&gt;=4,'Client'!$G388&lt;=12,'Client'!$D388&lt;5,(OR('Client'!$F388="Premium ")))),45%,0%)))</f>
        <v>0.45</v>
      </c>
      <c r="L388" s="4">
        <f>'Client'!$I388* ('Client'!$K388/100)</f>
        <v>0.22261500000000001</v>
      </c>
    </row>
    <row r="389" spans="1:12" x14ac:dyDescent="0.3">
      <c r="A389" t="s">
        <v>393</v>
      </c>
      <c r="B389" t="s">
        <v>433</v>
      </c>
      <c r="C389" t="s">
        <v>40</v>
      </c>
      <c r="D389" t="str">
        <f>INT('Client'!$E389/12) &amp; " ans et " &amp; MOD('Client'!$E389,12) &amp; " mois"</f>
        <v>1 ans et 1 mois</v>
      </c>
      <c r="E389">
        <v>13</v>
      </c>
      <c r="F389" t="s">
        <v>14</v>
      </c>
      <c r="G389" s="7">
        <f>Client[[#This Row],[Duree_Cumulee_Panne_Min]]/1440</f>
        <v>0.12013888888888889</v>
      </c>
      <c r="H389">
        <v>173</v>
      </c>
      <c r="I389">
        <v>85.54</v>
      </c>
      <c r="J389">
        <v>3</v>
      </c>
      <c r="K389" s="8">
        <f>IF('Client'!$F389="Pro Monde",10%,IF(AND('Client'!$G389&gt;12,'Client'!$D389&gt;5),70%,IF(AND(OR('Client'!$G389&gt;=4,'Client'!$G389&lt;=12,'Client'!$D389&lt;5,(OR('Client'!$F389="Premium ")))),45%,0%)))</f>
        <v>0.1</v>
      </c>
      <c r="L389" s="4">
        <f>'Client'!$I389* ('Client'!$K389/100)</f>
        <v>8.5540000000000005E-2</v>
      </c>
    </row>
    <row r="390" spans="1:12" x14ac:dyDescent="0.3">
      <c r="A390" t="s">
        <v>393</v>
      </c>
      <c r="B390" t="s">
        <v>434</v>
      </c>
      <c r="C390" t="s">
        <v>67</v>
      </c>
      <c r="D390" t="str">
        <f>INT('Client'!$E390/12) &amp; " ans et " &amp; MOD('Client'!$E390,12) &amp; " mois"</f>
        <v>9 ans et 7 mois</v>
      </c>
      <c r="E390">
        <v>115</v>
      </c>
      <c r="F390" t="s">
        <v>22</v>
      </c>
      <c r="G390" s="7">
        <f>Client[[#This Row],[Duree_Cumulee_Panne_Min]]/1440</f>
        <v>0.32430555555555557</v>
      </c>
      <c r="H390">
        <v>467</v>
      </c>
      <c r="I390">
        <v>24.57</v>
      </c>
      <c r="J390">
        <v>3</v>
      </c>
      <c r="K390" s="8">
        <f>IF('Client'!$F390="Pro Monde",10%,IF(AND('Client'!$G390&gt;12,'Client'!$D390&gt;5),70%,IF(AND(OR('Client'!$G390&gt;=4,'Client'!$G390&lt;=12,'Client'!$D390&lt;5,(OR('Client'!$F390="Premium ")))),45%,0%)))</f>
        <v>0.45</v>
      </c>
      <c r="L390" s="4">
        <f>'Client'!$I390* ('Client'!$K390/100)</f>
        <v>0.11056500000000001</v>
      </c>
    </row>
    <row r="391" spans="1:12" x14ac:dyDescent="0.3">
      <c r="A391" t="s">
        <v>393</v>
      </c>
      <c r="B391" t="s">
        <v>435</v>
      </c>
      <c r="C391" t="s">
        <v>51</v>
      </c>
      <c r="D391" t="str">
        <f>INT('Client'!$E391/12) &amp; " ans et " &amp; MOD('Client'!$E391,12) &amp; " mois"</f>
        <v>0 ans et 7 mois</v>
      </c>
      <c r="E391">
        <v>7</v>
      </c>
      <c r="F391" t="s">
        <v>14</v>
      </c>
      <c r="G391" s="7">
        <f>Client[[#This Row],[Duree_Cumulee_Panne_Min]]/1440</f>
        <v>0.24097222222222223</v>
      </c>
      <c r="H391">
        <v>347</v>
      </c>
      <c r="I391">
        <v>41.84</v>
      </c>
      <c r="J391">
        <v>2</v>
      </c>
      <c r="K391" s="8">
        <f>IF('Client'!$F391="Pro Monde",10%,IF(AND('Client'!$G391&gt;12,'Client'!$D391&gt;5),70%,IF(AND(OR('Client'!$G391&gt;=4,'Client'!$G391&lt;=12,'Client'!$D391&lt;5,(OR('Client'!$F391="Premium ")))),45%,0%)))</f>
        <v>0.1</v>
      </c>
      <c r="L391" s="4">
        <f>'Client'!$I391* ('Client'!$K391/100)</f>
        <v>4.1840000000000002E-2</v>
      </c>
    </row>
    <row r="392" spans="1:12" x14ac:dyDescent="0.3">
      <c r="A392" t="s">
        <v>393</v>
      </c>
      <c r="B392" t="s">
        <v>436</v>
      </c>
      <c r="C392" t="s">
        <v>60</v>
      </c>
      <c r="D392" t="str">
        <f>INT('Client'!$E392/12) &amp; " ans et " &amp; MOD('Client'!$E392,12) &amp; " mois"</f>
        <v>1 ans et 10 mois</v>
      </c>
      <c r="E392">
        <v>22</v>
      </c>
      <c r="F392" t="s">
        <v>14</v>
      </c>
      <c r="G392" s="7">
        <f>Client[[#This Row],[Duree_Cumulee_Panne_Min]]/1440</f>
        <v>8.819444444444445E-2</v>
      </c>
      <c r="H392">
        <v>127</v>
      </c>
      <c r="I392">
        <v>49.06</v>
      </c>
      <c r="J392">
        <v>2</v>
      </c>
      <c r="K392" s="8">
        <f>IF('Client'!$F392="Pro Monde",10%,IF(AND('Client'!$G392&gt;12,'Client'!$D392&gt;5),70%,IF(AND(OR('Client'!$G392&gt;=4,'Client'!$G392&lt;=12,'Client'!$D392&lt;5,(OR('Client'!$F392="Premium ")))),45%,0%)))</f>
        <v>0.1</v>
      </c>
      <c r="L392" s="4">
        <f>'Client'!$I392* ('Client'!$K392/100)</f>
        <v>4.9060000000000006E-2</v>
      </c>
    </row>
    <row r="393" spans="1:12" x14ac:dyDescent="0.3">
      <c r="A393" t="s">
        <v>393</v>
      </c>
      <c r="B393" t="s">
        <v>437</v>
      </c>
      <c r="C393" t="s">
        <v>51</v>
      </c>
      <c r="D393" t="str">
        <f>INT('Client'!$E393/12) &amp; " ans et " &amp; MOD('Client'!$E393,12) &amp; " mois"</f>
        <v>3 ans et 5 mois</v>
      </c>
      <c r="E393">
        <v>41</v>
      </c>
      <c r="F393" t="s">
        <v>19</v>
      </c>
      <c r="G393" s="7">
        <f>Client[[#This Row],[Duree_Cumulee_Panne_Min]]/1440</f>
        <v>0.2951388888888889</v>
      </c>
      <c r="H393">
        <v>425</v>
      </c>
      <c r="I393">
        <v>42.33</v>
      </c>
      <c r="J393">
        <v>3</v>
      </c>
      <c r="K393" s="8">
        <f>IF('Client'!$F393="Pro Monde",10%,IF(AND('Client'!$G393&gt;12,'Client'!$D393&gt;5),70%,IF(AND(OR('Client'!$G393&gt;=4,'Client'!$G393&lt;=12,'Client'!$D393&lt;5,(OR('Client'!$F393="Premium ")))),45%,0%)))</f>
        <v>0.45</v>
      </c>
      <c r="L393" s="4">
        <f>'Client'!$I393* ('Client'!$K393/100)</f>
        <v>0.19048500000000002</v>
      </c>
    </row>
    <row r="394" spans="1:12" x14ac:dyDescent="0.3">
      <c r="A394" t="s">
        <v>393</v>
      </c>
      <c r="B394" t="s">
        <v>438</v>
      </c>
      <c r="C394" t="s">
        <v>13</v>
      </c>
      <c r="D394" t="str">
        <f>INT('Client'!$E394/12) &amp; " ans et " &amp; MOD('Client'!$E394,12) &amp; " mois"</f>
        <v>8 ans et 1 mois</v>
      </c>
      <c r="E394">
        <v>97</v>
      </c>
      <c r="F394" t="s">
        <v>14</v>
      </c>
      <c r="G394" s="7">
        <f>Client[[#This Row],[Duree_Cumulee_Panne_Min]]/1440</f>
        <v>0.19166666666666668</v>
      </c>
      <c r="H394">
        <v>276</v>
      </c>
      <c r="I394">
        <v>88.35</v>
      </c>
      <c r="J394">
        <v>0</v>
      </c>
      <c r="K394" s="8">
        <f>IF('Client'!$F394="Pro Monde",10%,IF(AND('Client'!$G394&gt;12,'Client'!$D394&gt;5),70%,IF(AND(OR('Client'!$G394&gt;=4,'Client'!$G394&lt;=12,'Client'!$D394&lt;5,(OR('Client'!$F394="Premium ")))),45%,0%)))</f>
        <v>0.1</v>
      </c>
      <c r="L394" s="4">
        <f>'Client'!$I394* ('Client'!$K394/100)</f>
        <v>8.8349999999999998E-2</v>
      </c>
    </row>
    <row r="395" spans="1:12" x14ac:dyDescent="0.3">
      <c r="A395" t="s">
        <v>393</v>
      </c>
      <c r="B395" t="s">
        <v>439</v>
      </c>
      <c r="C395" t="s">
        <v>60</v>
      </c>
      <c r="D395" t="str">
        <f>INT('Client'!$E395/12) &amp; " ans et " &amp; MOD('Client'!$E395,12) &amp; " mois"</f>
        <v>4 ans et 2 mois</v>
      </c>
      <c r="E395">
        <v>50</v>
      </c>
      <c r="F395" t="s">
        <v>19</v>
      </c>
      <c r="G395" s="7">
        <f>Client[[#This Row],[Duree_Cumulee_Panne_Min]]/1440</f>
        <v>0.30208333333333331</v>
      </c>
      <c r="H395">
        <v>435</v>
      </c>
      <c r="I395">
        <v>27.86</v>
      </c>
      <c r="J395">
        <v>3</v>
      </c>
      <c r="K395" s="8">
        <f>IF('Client'!$F395="Pro Monde",10%,IF(AND('Client'!$G395&gt;12,'Client'!$D395&gt;5),70%,IF(AND(OR('Client'!$G395&gt;=4,'Client'!$G395&lt;=12,'Client'!$D395&lt;5,(OR('Client'!$F395="Premium ")))),45%,0%)))</f>
        <v>0.45</v>
      </c>
      <c r="L395" s="4">
        <f>'Client'!$I395* ('Client'!$K395/100)</f>
        <v>0.12537000000000001</v>
      </c>
    </row>
    <row r="396" spans="1:12" x14ac:dyDescent="0.3">
      <c r="A396" t="s">
        <v>393</v>
      </c>
      <c r="B396" t="s">
        <v>440</v>
      </c>
      <c r="C396" t="s">
        <v>10</v>
      </c>
      <c r="D396" t="str">
        <f>INT('Client'!$E396/12) &amp; " ans et " &amp; MOD('Client'!$E396,12) &amp; " mois"</f>
        <v>2 ans et 0 mois</v>
      </c>
      <c r="E396">
        <v>24</v>
      </c>
      <c r="F396" t="s">
        <v>22</v>
      </c>
      <c r="G396" s="7">
        <f>Client[[#This Row],[Duree_Cumulee_Panne_Min]]/1440</f>
        <v>0.2722222222222222</v>
      </c>
      <c r="H396">
        <v>392</v>
      </c>
      <c r="I396">
        <v>27.06</v>
      </c>
      <c r="J396">
        <v>1</v>
      </c>
      <c r="K396" s="8">
        <f>IF('Client'!$F396="Pro Monde",10%,IF(AND('Client'!$G396&gt;12,'Client'!$D396&gt;5),70%,IF(AND(OR('Client'!$G396&gt;=4,'Client'!$G396&lt;=12,'Client'!$D396&lt;5,(OR('Client'!$F396="Premium ")))),45%,0%)))</f>
        <v>0.45</v>
      </c>
      <c r="L396" s="4">
        <f>'Client'!$I396* ('Client'!$K396/100)</f>
        <v>0.12177</v>
      </c>
    </row>
    <row r="397" spans="1:12" x14ac:dyDescent="0.3">
      <c r="A397" t="s">
        <v>393</v>
      </c>
      <c r="B397" t="s">
        <v>441</v>
      </c>
      <c r="C397" t="s">
        <v>40</v>
      </c>
      <c r="D397" t="str">
        <f>INT('Client'!$E397/12) &amp; " ans et " &amp; MOD('Client'!$E397,12) &amp; " mois"</f>
        <v>3 ans et 9 mois</v>
      </c>
      <c r="E397">
        <v>45</v>
      </c>
      <c r="F397" t="s">
        <v>19</v>
      </c>
      <c r="G397" s="7">
        <f>Client[[#This Row],[Duree_Cumulee_Panne_Min]]/1440</f>
        <v>0.30486111111111114</v>
      </c>
      <c r="H397">
        <v>439</v>
      </c>
      <c r="I397">
        <v>13.62</v>
      </c>
      <c r="J397">
        <v>4</v>
      </c>
      <c r="K397" s="8">
        <f>IF('Client'!$F397="Pro Monde",10%,IF(AND('Client'!$G397&gt;12,'Client'!$D397&gt;5),70%,IF(AND(OR('Client'!$G397&gt;=4,'Client'!$G397&lt;=12,'Client'!$D397&lt;5,(OR('Client'!$F397="Premium ")))),45%,0%)))</f>
        <v>0.45</v>
      </c>
      <c r="L397" s="4">
        <f>'Client'!$I397* ('Client'!$K397/100)</f>
        <v>6.1290000000000004E-2</v>
      </c>
    </row>
    <row r="398" spans="1:12" x14ac:dyDescent="0.3">
      <c r="A398" t="s">
        <v>393</v>
      </c>
      <c r="B398" t="s">
        <v>442</v>
      </c>
      <c r="C398" t="s">
        <v>78</v>
      </c>
      <c r="D398" t="str">
        <f>INT('Client'!$E398/12) &amp; " ans et " &amp; MOD('Client'!$E398,12) &amp; " mois"</f>
        <v>8 ans et 8 mois</v>
      </c>
      <c r="E398">
        <v>104</v>
      </c>
      <c r="F398" t="s">
        <v>14</v>
      </c>
      <c r="G398" s="7">
        <f>Client[[#This Row],[Duree_Cumulee_Panne_Min]]/1440</f>
        <v>4.1666666666666664E-2</v>
      </c>
      <c r="H398">
        <v>60</v>
      </c>
      <c r="I398">
        <v>45.51</v>
      </c>
      <c r="J398">
        <v>1</v>
      </c>
      <c r="K398" s="8">
        <f>IF('Client'!$F398="Pro Monde",10%,IF(AND('Client'!$G398&gt;12,'Client'!$D398&gt;5),70%,IF(AND(OR('Client'!$G398&gt;=4,'Client'!$G398&lt;=12,'Client'!$D398&lt;5,(OR('Client'!$F398="Premium ")))),45%,0%)))</f>
        <v>0.1</v>
      </c>
      <c r="L398" s="4">
        <f>'Client'!$I398* ('Client'!$K398/100)</f>
        <v>4.5510000000000002E-2</v>
      </c>
    </row>
    <row r="399" spans="1:12" x14ac:dyDescent="0.3">
      <c r="A399" t="s">
        <v>393</v>
      </c>
      <c r="B399" t="s">
        <v>443</v>
      </c>
      <c r="C399" t="s">
        <v>16</v>
      </c>
      <c r="D399" t="str">
        <f>INT('Client'!$E399/12) &amp; " ans et " &amp; MOD('Client'!$E399,12) &amp; " mois"</f>
        <v>7 ans et 11 mois</v>
      </c>
      <c r="E399">
        <v>95</v>
      </c>
      <c r="F399" t="s">
        <v>11</v>
      </c>
      <c r="G399" s="7">
        <f>Client[[#This Row],[Duree_Cumulee_Panne_Min]]/1440</f>
        <v>0.10277777777777777</v>
      </c>
      <c r="H399">
        <v>148</v>
      </c>
      <c r="I399">
        <v>76.95</v>
      </c>
      <c r="J399">
        <v>5</v>
      </c>
      <c r="K399" s="8">
        <f>IF('Client'!$F399="Pro Monde",10%,IF(AND('Client'!$G399&gt;12,'Client'!$D399&gt;5),70%,IF(AND(OR('Client'!$G399&gt;=4,'Client'!$G399&lt;=12,'Client'!$D399&lt;5,(OR('Client'!$F399="Premium ")))),45%,0%)))</f>
        <v>0.45</v>
      </c>
      <c r="L399" s="4">
        <f>'Client'!$I399* ('Client'!$K399/100)</f>
        <v>0.34627500000000005</v>
      </c>
    </row>
    <row r="400" spans="1:12" x14ac:dyDescent="0.3">
      <c r="A400" t="s">
        <v>444</v>
      </c>
      <c r="B400" t="s">
        <v>445</v>
      </c>
      <c r="C400" t="s">
        <v>51</v>
      </c>
      <c r="D400" t="str">
        <f>INT('Client'!$E400/12) &amp; " ans et " &amp; MOD('Client'!$E400,12) &amp; " mois"</f>
        <v>6 ans et 11 mois</v>
      </c>
      <c r="E400">
        <v>83</v>
      </c>
      <c r="F400" t="s">
        <v>11</v>
      </c>
      <c r="G400" s="7">
        <f>Client[[#This Row],[Duree_Cumulee_Panne_Min]]/1440</f>
        <v>7.2916666666666671E-2</v>
      </c>
      <c r="H400">
        <v>105</v>
      </c>
      <c r="I400">
        <v>20.46</v>
      </c>
      <c r="J400">
        <v>1</v>
      </c>
      <c r="K400" s="8">
        <f>IF('Client'!$F400="Pro Monde",10%,IF(AND('Client'!$G400&gt;12,'Client'!$D400&gt;5),70%,IF(AND(OR('Client'!$G400&gt;=4,'Client'!$G400&lt;=12,'Client'!$D400&lt;5,(OR('Client'!$F400="Premium ")))),45%,0%)))</f>
        <v>0.45</v>
      </c>
      <c r="L400" s="4">
        <f>'Client'!$I400* ('Client'!$K400/100)</f>
        <v>9.2070000000000013E-2</v>
      </c>
    </row>
    <row r="401" spans="1:12" x14ac:dyDescent="0.3">
      <c r="A401" t="s">
        <v>444</v>
      </c>
      <c r="B401" t="s">
        <v>446</v>
      </c>
      <c r="C401" t="s">
        <v>67</v>
      </c>
      <c r="D401" t="str">
        <f>INT('Client'!$E401/12) &amp; " ans et " &amp; MOD('Client'!$E401,12) &amp; " mois"</f>
        <v>0 ans et 7 mois</v>
      </c>
      <c r="E401">
        <v>7</v>
      </c>
      <c r="F401" t="s">
        <v>22</v>
      </c>
      <c r="G401" s="7">
        <f>Client[[#This Row],[Duree_Cumulee_Panne_Min]]/1440</f>
        <v>6.5277777777777782E-2</v>
      </c>
      <c r="H401">
        <v>94</v>
      </c>
      <c r="I401">
        <v>68.38</v>
      </c>
      <c r="J401">
        <v>3</v>
      </c>
      <c r="K401" s="8">
        <f>IF('Client'!$F401="Pro Monde",10%,IF(AND('Client'!$G401&gt;12,'Client'!$D401&gt;5),70%,IF(AND(OR('Client'!$G401&gt;=4,'Client'!$G401&lt;=12,'Client'!$D401&lt;5,(OR('Client'!$F401="Premium ")))),45%,0%)))</f>
        <v>0.45</v>
      </c>
      <c r="L401" s="4">
        <f>'Client'!$I401* ('Client'!$K401/100)</f>
        <v>0.30771000000000004</v>
      </c>
    </row>
    <row r="402" spans="1:12" x14ac:dyDescent="0.3">
      <c r="A402" t="s">
        <v>444</v>
      </c>
      <c r="B402" t="s">
        <v>447</v>
      </c>
      <c r="C402" t="s">
        <v>37</v>
      </c>
      <c r="D402" t="str">
        <f>INT('Client'!$E402/12) &amp; " ans et " &amp; MOD('Client'!$E402,12) &amp; " mois"</f>
        <v>3 ans et 3 mois</v>
      </c>
      <c r="E402">
        <v>39</v>
      </c>
      <c r="F402" t="s">
        <v>11</v>
      </c>
      <c r="G402" s="7">
        <f>Client[[#This Row],[Duree_Cumulee_Panne_Min]]/1440</f>
        <v>6.9444444444444447E-4</v>
      </c>
      <c r="H402">
        <v>1</v>
      </c>
      <c r="I402">
        <v>66.94</v>
      </c>
      <c r="J402">
        <v>5</v>
      </c>
      <c r="K402" s="8">
        <f>IF('Client'!$F402="Pro Monde",10%,IF(AND('Client'!$G402&gt;12,'Client'!$D402&gt;5),70%,IF(AND(OR('Client'!$G402&gt;=4,'Client'!$G402&lt;=12,'Client'!$D402&lt;5,(OR('Client'!$F402="Premium ")))),45%,0%)))</f>
        <v>0.45</v>
      </c>
      <c r="L402" s="4">
        <f>'Client'!$I402* ('Client'!$K402/100)</f>
        <v>0.30123</v>
      </c>
    </row>
    <row r="403" spans="1:12" x14ac:dyDescent="0.3">
      <c r="A403" t="s">
        <v>444</v>
      </c>
      <c r="B403" t="s">
        <v>448</v>
      </c>
      <c r="C403" t="s">
        <v>57</v>
      </c>
      <c r="D403" t="str">
        <f>INT('Client'!$E403/12) &amp; " ans et " &amp; MOD('Client'!$E403,12) &amp; " mois"</f>
        <v>1 ans et 3 mois</v>
      </c>
      <c r="E403">
        <v>15</v>
      </c>
      <c r="F403" t="s">
        <v>22</v>
      </c>
      <c r="G403" s="7">
        <f>Client[[#This Row],[Duree_Cumulee_Panne_Min]]/1440</f>
        <v>5.6250000000000001E-2</v>
      </c>
      <c r="H403">
        <v>81</v>
      </c>
      <c r="I403">
        <v>97.5</v>
      </c>
      <c r="J403">
        <v>4</v>
      </c>
      <c r="K403" s="8">
        <f>IF('Client'!$F403="Pro Monde",10%,IF(AND('Client'!$G403&gt;12,'Client'!$D403&gt;5),70%,IF(AND(OR('Client'!$G403&gt;=4,'Client'!$G403&lt;=12,'Client'!$D403&lt;5,(OR('Client'!$F403="Premium ")))),45%,0%)))</f>
        <v>0.45</v>
      </c>
      <c r="L403" s="4">
        <f>'Client'!$I403* ('Client'!$K403/100)</f>
        <v>0.43875000000000003</v>
      </c>
    </row>
    <row r="404" spans="1:12" x14ac:dyDescent="0.3">
      <c r="A404" t="s">
        <v>444</v>
      </c>
      <c r="B404" t="s">
        <v>449</v>
      </c>
      <c r="C404" t="s">
        <v>13</v>
      </c>
      <c r="D404" t="str">
        <f>INT('Client'!$E404/12) &amp; " ans et " &amp; MOD('Client'!$E404,12) &amp; " mois"</f>
        <v>2 ans et 11 mois</v>
      </c>
      <c r="E404">
        <v>35</v>
      </c>
      <c r="F404" t="s">
        <v>14</v>
      </c>
      <c r="G404" s="7">
        <f>Client[[#This Row],[Duree_Cumulee_Panne_Min]]/1440</f>
        <v>0.20277777777777778</v>
      </c>
      <c r="H404">
        <v>292</v>
      </c>
      <c r="I404">
        <v>39.21</v>
      </c>
      <c r="J404">
        <v>1</v>
      </c>
      <c r="K404" s="8">
        <f>IF('Client'!$F404="Pro Monde",10%,IF(AND('Client'!$G404&gt;12,'Client'!$D404&gt;5),70%,IF(AND(OR('Client'!$G404&gt;=4,'Client'!$G404&lt;=12,'Client'!$D404&lt;5,(OR('Client'!$F404="Premium ")))),45%,0%)))</f>
        <v>0.1</v>
      </c>
      <c r="L404" s="4">
        <f>'Client'!$I404* ('Client'!$K404/100)</f>
        <v>3.9210000000000002E-2</v>
      </c>
    </row>
    <row r="405" spans="1:12" x14ac:dyDescent="0.3">
      <c r="A405" t="s">
        <v>444</v>
      </c>
      <c r="B405" t="s">
        <v>450</v>
      </c>
      <c r="C405" t="s">
        <v>10</v>
      </c>
      <c r="D405" t="str">
        <f>INT('Client'!$E405/12) &amp; " ans et " &amp; MOD('Client'!$E405,12) &amp; " mois"</f>
        <v>3 ans et 11 mois</v>
      </c>
      <c r="E405">
        <v>47</v>
      </c>
      <c r="F405" t="s">
        <v>19</v>
      </c>
      <c r="G405" s="7">
        <f>Client[[#This Row],[Duree_Cumulee_Panne_Min]]/1440</f>
        <v>7.7083333333333337E-2</v>
      </c>
      <c r="H405">
        <v>111</v>
      </c>
      <c r="I405">
        <v>95.18</v>
      </c>
      <c r="J405">
        <v>0</v>
      </c>
      <c r="K405" s="8">
        <f>IF('Client'!$F405="Pro Monde",10%,IF(AND('Client'!$G405&gt;12,'Client'!$D405&gt;5),70%,IF(AND(OR('Client'!$G405&gt;=4,'Client'!$G405&lt;=12,'Client'!$D405&lt;5,(OR('Client'!$F405="Premium ")))),45%,0%)))</f>
        <v>0.45</v>
      </c>
      <c r="L405" s="4">
        <f>'Client'!$I405* ('Client'!$K405/100)</f>
        <v>0.42831000000000008</v>
      </c>
    </row>
    <row r="406" spans="1:12" x14ac:dyDescent="0.3">
      <c r="A406" t="s">
        <v>444</v>
      </c>
      <c r="B406" t="s">
        <v>451</v>
      </c>
      <c r="C406" t="s">
        <v>33</v>
      </c>
      <c r="D406" t="str">
        <f>INT('Client'!$E406/12) &amp; " ans et " &amp; MOD('Client'!$E406,12) &amp; " mois"</f>
        <v>3 ans et 0 mois</v>
      </c>
      <c r="E406">
        <v>36</v>
      </c>
      <c r="F406" t="s">
        <v>19</v>
      </c>
      <c r="G406" s="7">
        <f>Client[[#This Row],[Duree_Cumulee_Panne_Min]]/1440</f>
        <v>0.21041666666666667</v>
      </c>
      <c r="H406">
        <v>303</v>
      </c>
      <c r="I406">
        <v>89.56</v>
      </c>
      <c r="J406">
        <v>1</v>
      </c>
      <c r="K406" s="8">
        <f>IF('Client'!$F406="Pro Monde",10%,IF(AND('Client'!$G406&gt;12,'Client'!$D406&gt;5),70%,IF(AND(OR('Client'!$G406&gt;=4,'Client'!$G406&lt;=12,'Client'!$D406&lt;5,(OR('Client'!$F406="Premium ")))),45%,0%)))</f>
        <v>0.45</v>
      </c>
      <c r="L406" s="4">
        <f>'Client'!$I406* ('Client'!$K406/100)</f>
        <v>0.40302000000000004</v>
      </c>
    </row>
    <row r="407" spans="1:12" x14ac:dyDescent="0.3">
      <c r="A407" t="s">
        <v>444</v>
      </c>
      <c r="B407" t="s">
        <v>452</v>
      </c>
      <c r="C407" t="s">
        <v>26</v>
      </c>
      <c r="D407" t="str">
        <f>INT('Client'!$E407/12) &amp; " ans et " &amp; MOD('Client'!$E407,12) &amp; " mois"</f>
        <v>3 ans et 9 mois</v>
      </c>
      <c r="E407">
        <v>45</v>
      </c>
      <c r="F407" t="s">
        <v>22</v>
      </c>
      <c r="G407" s="7">
        <f>Client[[#This Row],[Duree_Cumulee_Panne_Min]]/1440</f>
        <v>0.24722222222222223</v>
      </c>
      <c r="H407">
        <v>356</v>
      </c>
      <c r="I407">
        <v>33.76</v>
      </c>
      <c r="J407">
        <v>0</v>
      </c>
      <c r="K407" s="8">
        <f>IF('Client'!$F407="Pro Monde",10%,IF(AND('Client'!$G407&gt;12,'Client'!$D407&gt;5),70%,IF(AND(OR('Client'!$G407&gt;=4,'Client'!$G407&lt;=12,'Client'!$D407&lt;5,(OR('Client'!$F407="Premium ")))),45%,0%)))</f>
        <v>0.45</v>
      </c>
      <c r="L407" s="4">
        <f>'Client'!$I407* ('Client'!$K407/100)</f>
        <v>0.15192</v>
      </c>
    </row>
    <row r="408" spans="1:12" x14ac:dyDescent="0.3">
      <c r="A408" t="s">
        <v>444</v>
      </c>
      <c r="B408" t="s">
        <v>453</v>
      </c>
      <c r="C408" t="s">
        <v>37</v>
      </c>
      <c r="D408" t="str">
        <f>INT('Client'!$E408/12) &amp; " ans et " &amp; MOD('Client'!$E408,12) &amp; " mois"</f>
        <v>7 ans et 8 mois</v>
      </c>
      <c r="E408">
        <v>92</v>
      </c>
      <c r="F408" t="s">
        <v>19</v>
      </c>
      <c r="G408" s="7">
        <f>Client[[#This Row],[Duree_Cumulee_Panne_Min]]/1440</f>
        <v>2.7777777777777779E-3</v>
      </c>
      <c r="H408">
        <v>4</v>
      </c>
      <c r="I408">
        <v>22.03</v>
      </c>
      <c r="J408">
        <v>3</v>
      </c>
      <c r="K408" s="8">
        <f>IF('Client'!$F408="Pro Monde",10%,IF(AND('Client'!$G408&gt;12,'Client'!$D408&gt;5),70%,IF(AND(OR('Client'!$G408&gt;=4,'Client'!$G408&lt;=12,'Client'!$D408&lt;5,(OR('Client'!$F408="Premium ")))),45%,0%)))</f>
        <v>0.45</v>
      </c>
      <c r="L408" s="4">
        <f>'Client'!$I408* ('Client'!$K408/100)</f>
        <v>9.9135000000000015E-2</v>
      </c>
    </row>
    <row r="409" spans="1:12" x14ac:dyDescent="0.3">
      <c r="A409" t="s">
        <v>444</v>
      </c>
      <c r="B409" t="s">
        <v>454</v>
      </c>
      <c r="C409" t="s">
        <v>24</v>
      </c>
      <c r="D409" t="str">
        <f>INT('Client'!$E409/12) &amp; " ans et " &amp; MOD('Client'!$E409,12) &amp; " mois"</f>
        <v>4 ans et 6 mois</v>
      </c>
      <c r="E409">
        <v>54</v>
      </c>
      <c r="F409" t="s">
        <v>19</v>
      </c>
      <c r="G409" s="7">
        <f>Client[[#This Row],[Duree_Cumulee_Panne_Min]]/1440</f>
        <v>0.3125</v>
      </c>
      <c r="H409">
        <v>450</v>
      </c>
      <c r="I409">
        <v>90.85</v>
      </c>
      <c r="J409">
        <v>1</v>
      </c>
      <c r="K409" s="8">
        <f>IF('Client'!$F409="Pro Monde",10%,IF(AND('Client'!$G409&gt;12,'Client'!$D409&gt;5),70%,IF(AND(OR('Client'!$G409&gt;=4,'Client'!$G409&lt;=12,'Client'!$D409&lt;5,(OR('Client'!$F409="Premium ")))),45%,0%)))</f>
        <v>0.45</v>
      </c>
      <c r="L409" s="4">
        <f>'Client'!$I409* ('Client'!$K409/100)</f>
        <v>0.40882500000000005</v>
      </c>
    </row>
    <row r="410" spans="1:12" x14ac:dyDescent="0.3">
      <c r="A410" t="s">
        <v>444</v>
      </c>
      <c r="B410" t="s">
        <v>455</v>
      </c>
      <c r="C410" t="s">
        <v>24</v>
      </c>
      <c r="D410" t="str">
        <f>INT('Client'!$E410/12) &amp; " ans et " &amp; MOD('Client'!$E410,12) &amp; " mois"</f>
        <v>2 ans et 8 mois</v>
      </c>
      <c r="E410">
        <v>32</v>
      </c>
      <c r="F410" t="s">
        <v>22</v>
      </c>
      <c r="G410" s="7">
        <f>Client[[#This Row],[Duree_Cumulee_Panne_Min]]/1440</f>
        <v>0.3298611111111111</v>
      </c>
      <c r="H410">
        <v>475</v>
      </c>
      <c r="I410">
        <v>36.54</v>
      </c>
      <c r="J410">
        <v>3</v>
      </c>
      <c r="K410" s="8">
        <f>IF('Client'!$F410="Pro Monde",10%,IF(AND('Client'!$G410&gt;12,'Client'!$D410&gt;5),70%,IF(AND(OR('Client'!$G410&gt;=4,'Client'!$G410&lt;=12,'Client'!$D410&lt;5,(OR('Client'!$F410="Premium ")))),45%,0%)))</f>
        <v>0.45</v>
      </c>
      <c r="L410" s="4">
        <f>'Client'!$I410* ('Client'!$K410/100)</f>
        <v>0.16443000000000002</v>
      </c>
    </row>
    <row r="411" spans="1:12" x14ac:dyDescent="0.3">
      <c r="A411" t="s">
        <v>444</v>
      </c>
      <c r="B411" t="s">
        <v>456</v>
      </c>
      <c r="C411" t="s">
        <v>51</v>
      </c>
      <c r="D411" t="str">
        <f>INT('Client'!$E411/12) &amp; " ans et " &amp; MOD('Client'!$E411,12) &amp; " mois"</f>
        <v>3 ans et 5 mois</v>
      </c>
      <c r="E411">
        <v>41</v>
      </c>
      <c r="F411" t="s">
        <v>22</v>
      </c>
      <c r="G411" s="7">
        <f>Client[[#This Row],[Duree_Cumulee_Panne_Min]]/1440</f>
        <v>0.28055555555555556</v>
      </c>
      <c r="H411">
        <v>404</v>
      </c>
      <c r="I411">
        <v>98.67</v>
      </c>
      <c r="J411">
        <v>5</v>
      </c>
      <c r="K411" s="8">
        <f>IF('Client'!$F411="Pro Monde",10%,IF(AND('Client'!$G411&gt;12,'Client'!$D411&gt;5),70%,IF(AND(OR('Client'!$G411&gt;=4,'Client'!$G411&lt;=12,'Client'!$D411&lt;5,(OR('Client'!$F411="Premium ")))),45%,0%)))</f>
        <v>0.45</v>
      </c>
      <c r="L411" s="4">
        <f>'Client'!$I411* ('Client'!$K411/100)</f>
        <v>0.44401500000000005</v>
      </c>
    </row>
    <row r="412" spans="1:12" x14ac:dyDescent="0.3">
      <c r="A412" t="s">
        <v>444</v>
      </c>
      <c r="B412" t="s">
        <v>457</v>
      </c>
      <c r="C412" t="s">
        <v>37</v>
      </c>
      <c r="D412" t="str">
        <f>INT('Client'!$E412/12) &amp; " ans et " &amp; MOD('Client'!$E412,12) &amp; " mois"</f>
        <v>9 ans et 7 mois</v>
      </c>
      <c r="E412">
        <v>115</v>
      </c>
      <c r="F412" t="s">
        <v>14</v>
      </c>
      <c r="G412" s="7">
        <f>Client[[#This Row],[Duree_Cumulee_Panne_Min]]/1440</f>
        <v>0.18194444444444444</v>
      </c>
      <c r="H412">
        <v>262</v>
      </c>
      <c r="I412">
        <v>66.34</v>
      </c>
      <c r="J412">
        <v>3</v>
      </c>
      <c r="K412" s="8">
        <f>IF('Client'!$F412="Pro Monde",10%,IF(AND('Client'!$G412&gt;12,'Client'!$D412&gt;5),70%,IF(AND(OR('Client'!$G412&gt;=4,'Client'!$G412&lt;=12,'Client'!$D412&lt;5,(OR('Client'!$F412="Premium ")))),45%,0%)))</f>
        <v>0.1</v>
      </c>
      <c r="L412" s="4">
        <f>'Client'!$I412* ('Client'!$K412/100)</f>
        <v>6.634000000000001E-2</v>
      </c>
    </row>
    <row r="413" spans="1:12" x14ac:dyDescent="0.3">
      <c r="A413" t="s">
        <v>444</v>
      </c>
      <c r="B413" t="s">
        <v>458</v>
      </c>
      <c r="C413" t="s">
        <v>18</v>
      </c>
      <c r="D413" t="str">
        <f>INT('Client'!$E413/12) &amp; " ans et " &amp; MOD('Client'!$E413,12) &amp; " mois"</f>
        <v>0 ans et 7 mois</v>
      </c>
      <c r="E413">
        <v>7</v>
      </c>
      <c r="F413" t="s">
        <v>19</v>
      </c>
      <c r="G413" s="7">
        <f>Client[[#This Row],[Duree_Cumulee_Panne_Min]]/1440</f>
        <v>0.16180555555555556</v>
      </c>
      <c r="H413">
        <v>233</v>
      </c>
      <c r="I413">
        <v>10.94</v>
      </c>
      <c r="J413">
        <v>0</v>
      </c>
      <c r="K413" s="8">
        <f>IF('Client'!$F413="Pro Monde",10%,IF(AND('Client'!$G413&gt;12,'Client'!$D413&gt;5),70%,IF(AND(OR('Client'!$G413&gt;=4,'Client'!$G413&lt;=12,'Client'!$D413&lt;5,(OR('Client'!$F413="Premium ")))),45%,0%)))</f>
        <v>0.45</v>
      </c>
      <c r="L413" s="4">
        <f>'Client'!$I413* ('Client'!$K413/100)</f>
        <v>4.9230000000000003E-2</v>
      </c>
    </row>
    <row r="414" spans="1:12" x14ac:dyDescent="0.3">
      <c r="A414" t="s">
        <v>444</v>
      </c>
      <c r="B414" t="s">
        <v>459</v>
      </c>
      <c r="C414" t="s">
        <v>73</v>
      </c>
      <c r="D414" t="str">
        <f>INT('Client'!$E414/12) &amp; " ans et " &amp; MOD('Client'!$E414,12) &amp; " mois"</f>
        <v>2 ans et 0 mois</v>
      </c>
      <c r="E414">
        <v>24</v>
      </c>
      <c r="F414" t="s">
        <v>19</v>
      </c>
      <c r="G414" s="7">
        <f>Client[[#This Row],[Duree_Cumulee_Panne_Min]]/1440</f>
        <v>0.17847222222222223</v>
      </c>
      <c r="H414">
        <v>257</v>
      </c>
      <c r="I414">
        <v>41.99</v>
      </c>
      <c r="J414">
        <v>5</v>
      </c>
      <c r="K414" s="8">
        <f>IF('Client'!$F414="Pro Monde",10%,IF(AND('Client'!$G414&gt;12,'Client'!$D414&gt;5),70%,IF(AND(OR('Client'!$G414&gt;=4,'Client'!$G414&lt;=12,'Client'!$D414&lt;5,(OR('Client'!$F414="Premium ")))),45%,0%)))</f>
        <v>0.45</v>
      </c>
      <c r="L414" s="4">
        <f>'Client'!$I414* ('Client'!$K414/100)</f>
        <v>0.18895500000000004</v>
      </c>
    </row>
    <row r="415" spans="1:12" x14ac:dyDescent="0.3">
      <c r="A415" t="s">
        <v>444</v>
      </c>
      <c r="B415" t="s">
        <v>460</v>
      </c>
      <c r="C415" t="s">
        <v>31</v>
      </c>
      <c r="D415" t="str">
        <f>INT('Client'!$E415/12) &amp; " ans et " &amp; MOD('Client'!$E415,12) &amp; " mois"</f>
        <v>0 ans et 6 mois</v>
      </c>
      <c r="E415">
        <v>6</v>
      </c>
      <c r="F415" t="s">
        <v>11</v>
      </c>
      <c r="G415" s="7">
        <f>Client[[#This Row],[Duree_Cumulee_Panne_Min]]/1440</f>
        <v>0.25138888888888888</v>
      </c>
      <c r="H415">
        <v>362</v>
      </c>
      <c r="I415">
        <v>75.739999999999995</v>
      </c>
      <c r="J415">
        <v>4</v>
      </c>
      <c r="K415" s="8">
        <f>IF('Client'!$F415="Pro Monde",10%,IF(AND('Client'!$G415&gt;12,'Client'!$D415&gt;5),70%,IF(AND(OR('Client'!$G415&gt;=4,'Client'!$G415&lt;=12,'Client'!$D415&lt;5,(OR('Client'!$F415="Premium ")))),45%,0%)))</f>
        <v>0.45</v>
      </c>
      <c r="L415" s="4">
        <f>'Client'!$I415* ('Client'!$K415/100)</f>
        <v>0.34083000000000002</v>
      </c>
    </row>
    <row r="416" spans="1:12" x14ac:dyDescent="0.3">
      <c r="A416" t="s">
        <v>444</v>
      </c>
      <c r="B416" t="s">
        <v>461</v>
      </c>
      <c r="C416" t="s">
        <v>29</v>
      </c>
      <c r="D416" t="str">
        <f>INT('Client'!$E416/12) &amp; " ans et " &amp; MOD('Client'!$E416,12) &amp; " mois"</f>
        <v>0 ans et 1 mois</v>
      </c>
      <c r="E416">
        <v>1</v>
      </c>
      <c r="F416" t="s">
        <v>11</v>
      </c>
      <c r="G416" s="7">
        <f>Client[[#This Row],[Duree_Cumulee_Panne_Min]]/1440</f>
        <v>0.25555555555555554</v>
      </c>
      <c r="H416">
        <v>368</v>
      </c>
      <c r="I416">
        <v>35.17</v>
      </c>
      <c r="J416">
        <v>1</v>
      </c>
      <c r="K416" s="8">
        <f>IF('Client'!$F416="Pro Monde",10%,IF(AND('Client'!$G416&gt;12,'Client'!$D416&gt;5),70%,IF(AND(OR('Client'!$G416&gt;=4,'Client'!$G416&lt;=12,'Client'!$D416&lt;5,(OR('Client'!$F416="Premium ")))),45%,0%)))</f>
        <v>0.45</v>
      </c>
      <c r="L416" s="4">
        <f>'Client'!$I416* ('Client'!$K416/100)</f>
        <v>0.15826500000000002</v>
      </c>
    </row>
    <row r="417" spans="1:12" x14ac:dyDescent="0.3">
      <c r="A417" t="s">
        <v>444</v>
      </c>
      <c r="B417" t="s">
        <v>462</v>
      </c>
      <c r="C417" t="s">
        <v>33</v>
      </c>
      <c r="D417" t="str">
        <f>INT('Client'!$E417/12) &amp; " ans et " &amp; MOD('Client'!$E417,12) &amp; " mois"</f>
        <v>0 ans et 7 mois</v>
      </c>
      <c r="E417">
        <v>7</v>
      </c>
      <c r="F417" t="s">
        <v>14</v>
      </c>
      <c r="G417" s="7">
        <f>Client[[#This Row],[Duree_Cumulee_Panne_Min]]/1440</f>
        <v>0.18611111111111112</v>
      </c>
      <c r="H417">
        <v>268</v>
      </c>
      <c r="I417">
        <v>33.04</v>
      </c>
      <c r="J417">
        <v>5</v>
      </c>
      <c r="K417" s="8">
        <f>IF('Client'!$F417="Pro Monde",10%,IF(AND('Client'!$G417&gt;12,'Client'!$D417&gt;5),70%,IF(AND(OR('Client'!$G417&gt;=4,'Client'!$G417&lt;=12,'Client'!$D417&lt;5,(OR('Client'!$F417="Premium ")))),45%,0%)))</f>
        <v>0.1</v>
      </c>
      <c r="L417" s="4">
        <f>'Client'!$I417* ('Client'!$K417/100)</f>
        <v>3.304E-2</v>
      </c>
    </row>
    <row r="418" spans="1:12" x14ac:dyDescent="0.3">
      <c r="A418" t="s">
        <v>444</v>
      </c>
      <c r="B418" t="s">
        <v>463</v>
      </c>
      <c r="C418" t="s">
        <v>89</v>
      </c>
      <c r="D418" t="str">
        <f>INT('Client'!$E418/12) &amp; " ans et " &amp; MOD('Client'!$E418,12) &amp; " mois"</f>
        <v>7 ans et 1 mois</v>
      </c>
      <c r="E418">
        <v>85</v>
      </c>
      <c r="F418" t="s">
        <v>22</v>
      </c>
      <c r="G418" s="7">
        <f>Client[[#This Row],[Duree_Cumulee_Panne_Min]]/1440</f>
        <v>9.166666666666666E-2</v>
      </c>
      <c r="H418">
        <v>132</v>
      </c>
      <c r="I418">
        <v>11.41</v>
      </c>
      <c r="J418">
        <v>0</v>
      </c>
      <c r="K418" s="8">
        <f>IF('Client'!$F418="Pro Monde",10%,IF(AND('Client'!$G418&gt;12,'Client'!$D418&gt;5),70%,IF(AND(OR('Client'!$G418&gt;=4,'Client'!$G418&lt;=12,'Client'!$D418&lt;5,(OR('Client'!$F418="Premium ")))),45%,0%)))</f>
        <v>0.45</v>
      </c>
      <c r="L418" s="4">
        <f>'Client'!$I418* ('Client'!$K418/100)</f>
        <v>5.1345000000000009E-2</v>
      </c>
    </row>
    <row r="419" spans="1:12" x14ac:dyDescent="0.3">
      <c r="A419" t="s">
        <v>444</v>
      </c>
      <c r="B419" t="s">
        <v>464</v>
      </c>
      <c r="C419" t="s">
        <v>16</v>
      </c>
      <c r="D419" t="str">
        <f>INT('Client'!$E419/12) &amp; " ans et " &amp; MOD('Client'!$E419,12) &amp; " mois"</f>
        <v>8 ans et 0 mois</v>
      </c>
      <c r="E419">
        <v>96</v>
      </c>
      <c r="F419" t="s">
        <v>22</v>
      </c>
      <c r="G419" s="7">
        <f>Client[[#This Row],[Duree_Cumulee_Panne_Min]]/1440</f>
        <v>0.1076388888888889</v>
      </c>
      <c r="H419">
        <v>155</v>
      </c>
      <c r="I419">
        <v>69.16</v>
      </c>
      <c r="J419">
        <v>4</v>
      </c>
      <c r="K419" s="8">
        <f>IF('Client'!$F419="Pro Monde",10%,IF(AND('Client'!$G419&gt;12,'Client'!$D419&gt;5),70%,IF(AND(OR('Client'!$G419&gt;=4,'Client'!$G419&lt;=12,'Client'!$D419&lt;5,(OR('Client'!$F419="Premium ")))),45%,0%)))</f>
        <v>0.45</v>
      </c>
      <c r="L419" s="4">
        <f>'Client'!$I419* ('Client'!$K419/100)</f>
        <v>0.31122</v>
      </c>
    </row>
    <row r="420" spans="1:12" x14ac:dyDescent="0.3">
      <c r="A420" t="s">
        <v>444</v>
      </c>
      <c r="B420" t="s">
        <v>465</v>
      </c>
      <c r="C420" t="s">
        <v>16</v>
      </c>
      <c r="D420" t="str">
        <f>INT('Client'!$E420/12) &amp; " ans et " &amp; MOD('Client'!$E420,12) &amp; " mois"</f>
        <v>3 ans et 6 mois</v>
      </c>
      <c r="E420">
        <v>42</v>
      </c>
      <c r="F420" t="s">
        <v>19</v>
      </c>
      <c r="G420" s="7">
        <f>Client[[#This Row],[Duree_Cumulee_Panne_Min]]/1440</f>
        <v>0.30277777777777776</v>
      </c>
      <c r="H420">
        <v>436</v>
      </c>
      <c r="I420">
        <v>88.12</v>
      </c>
      <c r="J420">
        <v>0</v>
      </c>
      <c r="K420" s="8">
        <f>IF('Client'!$F420="Pro Monde",10%,IF(AND('Client'!$G420&gt;12,'Client'!$D420&gt;5),70%,IF(AND(OR('Client'!$G420&gt;=4,'Client'!$G420&lt;=12,'Client'!$D420&lt;5,(OR('Client'!$F420="Premium ")))),45%,0%)))</f>
        <v>0.45</v>
      </c>
      <c r="L420" s="4">
        <f>'Client'!$I420* ('Client'!$K420/100)</f>
        <v>0.39654000000000006</v>
      </c>
    </row>
    <row r="421" spans="1:12" x14ac:dyDescent="0.3">
      <c r="A421" t="s">
        <v>444</v>
      </c>
      <c r="B421" t="s">
        <v>466</v>
      </c>
      <c r="C421" t="s">
        <v>44</v>
      </c>
      <c r="D421" t="str">
        <f>INT('Client'!$E421/12) &amp; " ans et " &amp; MOD('Client'!$E421,12) &amp; " mois"</f>
        <v>2 ans et 4 mois</v>
      </c>
      <c r="E421">
        <v>28</v>
      </c>
      <c r="F421" t="s">
        <v>22</v>
      </c>
      <c r="G421" s="7">
        <f>Client[[#This Row],[Duree_Cumulee_Panne_Min]]/1440</f>
        <v>7.7777777777777779E-2</v>
      </c>
      <c r="H421">
        <v>112</v>
      </c>
      <c r="I421">
        <v>94.51</v>
      </c>
      <c r="J421">
        <v>3</v>
      </c>
      <c r="K421" s="8">
        <f>IF('Client'!$F421="Pro Monde",10%,IF(AND('Client'!$G421&gt;12,'Client'!$D421&gt;5),70%,IF(AND(OR('Client'!$G421&gt;=4,'Client'!$G421&lt;=12,'Client'!$D421&lt;5,(OR('Client'!$F421="Premium ")))),45%,0%)))</f>
        <v>0.45</v>
      </c>
      <c r="L421" s="4">
        <f>'Client'!$I421* ('Client'!$K421/100)</f>
        <v>0.42529500000000009</v>
      </c>
    </row>
    <row r="422" spans="1:12" x14ac:dyDescent="0.3">
      <c r="A422" t="s">
        <v>444</v>
      </c>
      <c r="B422" t="s">
        <v>467</v>
      </c>
      <c r="C422" t="s">
        <v>57</v>
      </c>
      <c r="D422" t="str">
        <f>INT('Client'!$E422/12) &amp; " ans et " &amp; MOD('Client'!$E422,12) &amp; " mois"</f>
        <v>3 ans et 1 mois</v>
      </c>
      <c r="E422">
        <v>37</v>
      </c>
      <c r="F422" t="s">
        <v>22</v>
      </c>
      <c r="G422" s="7">
        <f>Client[[#This Row],[Duree_Cumulee_Panne_Min]]/1440</f>
        <v>0.10486111111111111</v>
      </c>
      <c r="H422">
        <v>151</v>
      </c>
      <c r="I422">
        <v>62.49</v>
      </c>
      <c r="J422">
        <v>3</v>
      </c>
      <c r="K422" s="8">
        <f>IF('Client'!$F422="Pro Monde",10%,IF(AND('Client'!$G422&gt;12,'Client'!$D422&gt;5),70%,IF(AND(OR('Client'!$G422&gt;=4,'Client'!$G422&lt;=12,'Client'!$D422&lt;5,(OR('Client'!$F422="Premium ")))),45%,0%)))</f>
        <v>0.45</v>
      </c>
      <c r="L422" s="4">
        <f>'Client'!$I422* ('Client'!$K422/100)</f>
        <v>0.28120500000000004</v>
      </c>
    </row>
    <row r="423" spans="1:12" x14ac:dyDescent="0.3">
      <c r="A423" t="s">
        <v>444</v>
      </c>
      <c r="B423" t="s">
        <v>468</v>
      </c>
      <c r="C423" t="s">
        <v>51</v>
      </c>
      <c r="D423" t="str">
        <f>INT('Client'!$E423/12) &amp; " ans et " &amp; MOD('Client'!$E423,12) &amp; " mois"</f>
        <v>5 ans et 1 mois</v>
      </c>
      <c r="E423">
        <v>61</v>
      </c>
      <c r="F423" t="s">
        <v>14</v>
      </c>
      <c r="G423" s="7">
        <f>Client[[#This Row],[Duree_Cumulee_Panne_Min]]/1440</f>
        <v>0.25138888888888888</v>
      </c>
      <c r="H423">
        <v>362</v>
      </c>
      <c r="I423">
        <v>75.03</v>
      </c>
      <c r="J423">
        <v>0</v>
      </c>
      <c r="K423" s="8">
        <f>IF('Client'!$F423="Pro Monde",10%,IF(AND('Client'!$G423&gt;12,'Client'!$D423&gt;5),70%,IF(AND(OR('Client'!$G423&gt;=4,'Client'!$G423&lt;=12,'Client'!$D423&lt;5,(OR('Client'!$F423="Premium ")))),45%,0%)))</f>
        <v>0.1</v>
      </c>
      <c r="L423" s="4">
        <f>'Client'!$I423* ('Client'!$K423/100)</f>
        <v>7.5029999999999999E-2</v>
      </c>
    </row>
    <row r="424" spans="1:12" x14ac:dyDescent="0.3">
      <c r="A424" t="s">
        <v>444</v>
      </c>
      <c r="B424" t="s">
        <v>469</v>
      </c>
      <c r="C424" t="s">
        <v>44</v>
      </c>
      <c r="D424" t="str">
        <f>INT('Client'!$E424/12) &amp; " ans et " &amp; MOD('Client'!$E424,12) &amp; " mois"</f>
        <v>3 ans et 0 mois</v>
      </c>
      <c r="E424">
        <v>36</v>
      </c>
      <c r="F424" t="s">
        <v>11</v>
      </c>
      <c r="G424" s="7">
        <f>Client[[#This Row],[Duree_Cumulee_Panne_Min]]/1440</f>
        <v>9.5138888888888884E-2</v>
      </c>
      <c r="H424">
        <v>137</v>
      </c>
      <c r="I424">
        <v>71.930000000000007</v>
      </c>
      <c r="J424">
        <v>0</v>
      </c>
      <c r="K424" s="8">
        <f>IF('Client'!$F424="Pro Monde",10%,IF(AND('Client'!$G424&gt;12,'Client'!$D424&gt;5),70%,IF(AND(OR('Client'!$G424&gt;=4,'Client'!$G424&lt;=12,'Client'!$D424&lt;5,(OR('Client'!$F424="Premium ")))),45%,0%)))</f>
        <v>0.45</v>
      </c>
      <c r="L424" s="4">
        <f>'Client'!$I424* ('Client'!$K424/100)</f>
        <v>0.32368500000000006</v>
      </c>
    </row>
    <row r="425" spans="1:12" x14ac:dyDescent="0.3">
      <c r="A425" t="s">
        <v>444</v>
      </c>
      <c r="B425" t="s">
        <v>470</v>
      </c>
      <c r="C425" t="s">
        <v>131</v>
      </c>
      <c r="D425" t="str">
        <f>INT('Client'!$E425/12) &amp; " ans et " &amp; MOD('Client'!$E425,12) &amp; " mois"</f>
        <v>9 ans et 9 mois</v>
      </c>
      <c r="E425">
        <v>117</v>
      </c>
      <c r="F425" t="s">
        <v>11</v>
      </c>
      <c r="G425" s="7">
        <f>Client[[#This Row],[Duree_Cumulee_Panne_Min]]/1440</f>
        <v>0.19583333333333333</v>
      </c>
      <c r="H425">
        <v>282</v>
      </c>
      <c r="I425">
        <v>95.11</v>
      </c>
      <c r="J425">
        <v>0</v>
      </c>
      <c r="K425" s="8">
        <f>IF('Client'!$F425="Pro Monde",10%,IF(AND('Client'!$G425&gt;12,'Client'!$D425&gt;5),70%,IF(AND(OR('Client'!$G425&gt;=4,'Client'!$G425&lt;=12,'Client'!$D425&lt;5,(OR('Client'!$F425="Premium ")))),45%,0%)))</f>
        <v>0.45</v>
      </c>
      <c r="L425" s="4">
        <f>'Client'!$I425* ('Client'!$K425/100)</f>
        <v>0.42799500000000007</v>
      </c>
    </row>
    <row r="426" spans="1:12" x14ac:dyDescent="0.3">
      <c r="A426" t="s">
        <v>444</v>
      </c>
      <c r="B426" t="s">
        <v>471</v>
      </c>
      <c r="C426" t="s">
        <v>62</v>
      </c>
      <c r="D426" t="str">
        <f>INT('Client'!$E426/12) &amp; " ans et " &amp; MOD('Client'!$E426,12) &amp; " mois"</f>
        <v>6 ans et 6 mois</v>
      </c>
      <c r="E426">
        <v>78</v>
      </c>
      <c r="F426" t="s">
        <v>11</v>
      </c>
      <c r="G426" s="7">
        <f>Client[[#This Row],[Duree_Cumulee_Panne_Min]]/1440</f>
        <v>4.1666666666666664E-2</v>
      </c>
      <c r="H426">
        <v>60</v>
      </c>
      <c r="I426">
        <v>33.159999999999997</v>
      </c>
      <c r="J426">
        <v>5</v>
      </c>
      <c r="K426" s="8">
        <f>IF('Client'!$F426="Pro Monde",10%,IF(AND('Client'!$G426&gt;12,'Client'!$D426&gt;5),70%,IF(AND(OR('Client'!$G426&gt;=4,'Client'!$G426&lt;=12,'Client'!$D426&lt;5,(OR('Client'!$F426="Premium ")))),45%,0%)))</f>
        <v>0.45</v>
      </c>
      <c r="L426" s="4">
        <f>'Client'!$I426* ('Client'!$K426/100)</f>
        <v>0.14921999999999999</v>
      </c>
    </row>
    <row r="427" spans="1:12" x14ac:dyDescent="0.3">
      <c r="A427" t="s">
        <v>444</v>
      </c>
      <c r="B427" t="s">
        <v>472</v>
      </c>
      <c r="C427" t="s">
        <v>67</v>
      </c>
      <c r="D427" t="str">
        <f>INT('Client'!$E427/12) &amp; " ans et " &amp; MOD('Client'!$E427,12) &amp; " mois"</f>
        <v>1 ans et 1 mois</v>
      </c>
      <c r="E427">
        <v>13</v>
      </c>
      <c r="F427" t="s">
        <v>14</v>
      </c>
      <c r="G427" s="7">
        <f>Client[[#This Row],[Duree_Cumulee_Panne_Min]]/1440</f>
        <v>6.0416666666666667E-2</v>
      </c>
      <c r="H427">
        <v>87</v>
      </c>
      <c r="I427">
        <v>66.36</v>
      </c>
      <c r="J427">
        <v>0</v>
      </c>
      <c r="K427" s="8">
        <f>IF('Client'!$F427="Pro Monde",10%,IF(AND('Client'!$G427&gt;12,'Client'!$D427&gt;5),70%,IF(AND(OR('Client'!$G427&gt;=4,'Client'!$G427&lt;=12,'Client'!$D427&lt;5,(OR('Client'!$F427="Premium ")))),45%,0%)))</f>
        <v>0.1</v>
      </c>
      <c r="L427" s="4">
        <f>'Client'!$I427* ('Client'!$K427/100)</f>
        <v>6.6360000000000002E-2</v>
      </c>
    </row>
    <row r="428" spans="1:12" x14ac:dyDescent="0.3">
      <c r="A428" t="s">
        <v>444</v>
      </c>
      <c r="B428" t="s">
        <v>473</v>
      </c>
      <c r="C428" t="s">
        <v>33</v>
      </c>
      <c r="D428" t="str">
        <f>INT('Client'!$E428/12) &amp; " ans et " &amp; MOD('Client'!$E428,12) &amp; " mois"</f>
        <v>4 ans et 8 mois</v>
      </c>
      <c r="E428">
        <v>56</v>
      </c>
      <c r="F428" t="s">
        <v>19</v>
      </c>
      <c r="G428" s="7">
        <f>Client[[#This Row],[Duree_Cumulee_Panne_Min]]/1440</f>
        <v>7.9166666666666663E-2</v>
      </c>
      <c r="H428">
        <v>114</v>
      </c>
      <c r="I428">
        <v>64.39</v>
      </c>
      <c r="J428">
        <v>1</v>
      </c>
      <c r="K428" s="8">
        <f>IF('Client'!$F428="Pro Monde",10%,IF(AND('Client'!$G428&gt;12,'Client'!$D428&gt;5),70%,IF(AND(OR('Client'!$G428&gt;=4,'Client'!$G428&lt;=12,'Client'!$D428&lt;5,(OR('Client'!$F428="Premium ")))),45%,0%)))</f>
        <v>0.45</v>
      </c>
      <c r="L428" s="4">
        <f>'Client'!$I428* ('Client'!$K428/100)</f>
        <v>0.28975500000000004</v>
      </c>
    </row>
    <row r="429" spans="1:12" x14ac:dyDescent="0.3">
      <c r="A429" t="s">
        <v>444</v>
      </c>
      <c r="B429" t="s">
        <v>474</v>
      </c>
      <c r="C429" t="s">
        <v>44</v>
      </c>
      <c r="D429" t="str">
        <f>INT('Client'!$E429/12) &amp; " ans et " &amp; MOD('Client'!$E429,12) &amp; " mois"</f>
        <v>2 ans et 0 mois</v>
      </c>
      <c r="E429">
        <v>24</v>
      </c>
      <c r="F429" t="s">
        <v>14</v>
      </c>
      <c r="G429" s="7">
        <f>Client[[#This Row],[Duree_Cumulee_Panne_Min]]/1440</f>
        <v>1.5972222222222221E-2</v>
      </c>
      <c r="H429">
        <v>23</v>
      </c>
      <c r="I429">
        <v>28.55</v>
      </c>
      <c r="J429">
        <v>1</v>
      </c>
      <c r="K429" s="8">
        <f>IF('Client'!$F429="Pro Monde",10%,IF(AND('Client'!$G429&gt;12,'Client'!$D429&gt;5),70%,IF(AND(OR('Client'!$G429&gt;=4,'Client'!$G429&lt;=12,'Client'!$D429&lt;5,(OR('Client'!$F429="Premium ")))),45%,0%)))</f>
        <v>0.1</v>
      </c>
      <c r="L429" s="4">
        <f>'Client'!$I429* ('Client'!$K429/100)</f>
        <v>2.8550000000000002E-2</v>
      </c>
    </row>
    <row r="430" spans="1:12" x14ac:dyDescent="0.3">
      <c r="A430" t="s">
        <v>444</v>
      </c>
      <c r="B430" t="s">
        <v>475</v>
      </c>
      <c r="C430" t="s">
        <v>10</v>
      </c>
      <c r="D430" t="str">
        <f>INT('Client'!$E430/12) &amp; " ans et " &amp; MOD('Client'!$E430,12) &amp; " mois"</f>
        <v>2 ans et 9 mois</v>
      </c>
      <c r="E430">
        <v>33</v>
      </c>
      <c r="F430" t="s">
        <v>19</v>
      </c>
      <c r="G430" s="7">
        <f>Client[[#This Row],[Duree_Cumulee_Panne_Min]]/1440</f>
        <v>0.18958333333333333</v>
      </c>
      <c r="H430">
        <v>273</v>
      </c>
      <c r="I430">
        <v>49.8</v>
      </c>
      <c r="J430">
        <v>0</v>
      </c>
      <c r="K430" s="8">
        <f>IF('Client'!$F430="Pro Monde",10%,IF(AND('Client'!$G430&gt;12,'Client'!$D430&gt;5),70%,IF(AND(OR('Client'!$G430&gt;=4,'Client'!$G430&lt;=12,'Client'!$D430&lt;5,(OR('Client'!$F430="Premium ")))),45%,0%)))</f>
        <v>0.45</v>
      </c>
      <c r="L430" s="4">
        <f>'Client'!$I430* ('Client'!$K430/100)</f>
        <v>0.22410000000000002</v>
      </c>
    </row>
    <row r="431" spans="1:12" x14ac:dyDescent="0.3">
      <c r="A431" t="s">
        <v>444</v>
      </c>
      <c r="B431" t="s">
        <v>476</v>
      </c>
      <c r="C431" t="s">
        <v>64</v>
      </c>
      <c r="D431" t="str">
        <f>INT('Client'!$E431/12) &amp; " ans et " &amp; MOD('Client'!$E431,12) &amp; " mois"</f>
        <v>5 ans et 3 mois</v>
      </c>
      <c r="E431">
        <v>63</v>
      </c>
      <c r="F431" t="s">
        <v>14</v>
      </c>
      <c r="G431" s="7">
        <f>Client[[#This Row],[Duree_Cumulee_Panne_Min]]/1440</f>
        <v>8.4027777777777785E-2</v>
      </c>
      <c r="H431">
        <v>121</v>
      </c>
      <c r="I431">
        <v>39.18</v>
      </c>
      <c r="J431">
        <v>2</v>
      </c>
      <c r="K431" s="8">
        <f>IF('Client'!$F431="Pro Monde",10%,IF(AND('Client'!$G431&gt;12,'Client'!$D431&gt;5),70%,IF(AND(OR('Client'!$G431&gt;=4,'Client'!$G431&lt;=12,'Client'!$D431&lt;5,(OR('Client'!$F431="Premium ")))),45%,0%)))</f>
        <v>0.1</v>
      </c>
      <c r="L431" s="4">
        <f>'Client'!$I431* ('Client'!$K431/100)</f>
        <v>3.918E-2</v>
      </c>
    </row>
    <row r="432" spans="1:12" x14ac:dyDescent="0.3">
      <c r="A432" t="s">
        <v>444</v>
      </c>
      <c r="B432" t="s">
        <v>477</v>
      </c>
      <c r="C432" t="s">
        <v>31</v>
      </c>
      <c r="D432" t="str">
        <f>INT('Client'!$E432/12) &amp; " ans et " &amp; MOD('Client'!$E432,12) &amp; " mois"</f>
        <v>3 ans et 11 mois</v>
      </c>
      <c r="E432">
        <v>47</v>
      </c>
      <c r="F432" t="s">
        <v>14</v>
      </c>
      <c r="G432" s="7">
        <f>Client[[#This Row],[Duree_Cumulee_Panne_Min]]/1440</f>
        <v>0.10347222222222222</v>
      </c>
      <c r="H432">
        <v>149</v>
      </c>
      <c r="I432">
        <v>28.35</v>
      </c>
      <c r="J432">
        <v>1</v>
      </c>
      <c r="K432" s="8">
        <f>IF('Client'!$F432="Pro Monde",10%,IF(AND('Client'!$G432&gt;12,'Client'!$D432&gt;5),70%,IF(AND(OR('Client'!$G432&gt;=4,'Client'!$G432&lt;=12,'Client'!$D432&lt;5,(OR('Client'!$F432="Premium ")))),45%,0%)))</f>
        <v>0.1</v>
      </c>
      <c r="L432" s="4">
        <f>'Client'!$I432* ('Client'!$K432/100)</f>
        <v>2.8350000000000004E-2</v>
      </c>
    </row>
    <row r="433" spans="1:12" x14ac:dyDescent="0.3">
      <c r="A433" t="s">
        <v>444</v>
      </c>
      <c r="B433" t="s">
        <v>478</v>
      </c>
      <c r="C433" t="s">
        <v>33</v>
      </c>
      <c r="D433" t="str">
        <f>INT('Client'!$E433/12) &amp; " ans et " &amp; MOD('Client'!$E433,12) &amp; " mois"</f>
        <v>3 ans et 7 mois</v>
      </c>
      <c r="E433">
        <v>43</v>
      </c>
      <c r="F433" t="s">
        <v>19</v>
      </c>
      <c r="G433" s="7">
        <f>Client[[#This Row],[Duree_Cumulee_Panne_Min]]/1440</f>
        <v>1.3888888888888888E-2</v>
      </c>
      <c r="H433">
        <v>20</v>
      </c>
      <c r="I433">
        <v>66.680000000000007</v>
      </c>
      <c r="J433">
        <v>5</v>
      </c>
      <c r="K433" s="8">
        <f>IF('Client'!$F433="Pro Monde",10%,IF(AND('Client'!$G433&gt;12,'Client'!$D433&gt;5),70%,IF(AND(OR('Client'!$G433&gt;=4,'Client'!$G433&lt;=12,'Client'!$D433&lt;5,(OR('Client'!$F433="Premium ")))),45%,0%)))</f>
        <v>0.45</v>
      </c>
      <c r="L433" s="4">
        <f>'Client'!$I433* ('Client'!$K433/100)</f>
        <v>0.30006000000000005</v>
      </c>
    </row>
    <row r="434" spans="1:12" x14ac:dyDescent="0.3">
      <c r="A434" t="s">
        <v>444</v>
      </c>
      <c r="B434" t="s">
        <v>479</v>
      </c>
      <c r="C434" t="s">
        <v>40</v>
      </c>
      <c r="D434" t="str">
        <f>INT('Client'!$E434/12) &amp; " ans et " &amp; MOD('Client'!$E434,12) &amp; " mois"</f>
        <v>3 ans et 3 mois</v>
      </c>
      <c r="E434">
        <v>39</v>
      </c>
      <c r="F434" t="s">
        <v>22</v>
      </c>
      <c r="G434" s="7">
        <f>Client[[#This Row],[Duree_Cumulee_Panne_Min]]/1440</f>
        <v>0.22708333333333333</v>
      </c>
      <c r="H434">
        <v>327</v>
      </c>
      <c r="I434">
        <v>87.24</v>
      </c>
      <c r="J434">
        <v>4</v>
      </c>
      <c r="K434" s="8">
        <f>IF('Client'!$F434="Pro Monde",10%,IF(AND('Client'!$G434&gt;12,'Client'!$D434&gt;5),70%,IF(AND(OR('Client'!$G434&gt;=4,'Client'!$G434&lt;=12,'Client'!$D434&lt;5,(OR('Client'!$F434="Premium ")))),45%,0%)))</f>
        <v>0.45</v>
      </c>
      <c r="L434" s="4">
        <f>'Client'!$I434* ('Client'!$K434/100)</f>
        <v>0.39258000000000004</v>
      </c>
    </row>
    <row r="435" spans="1:12" x14ac:dyDescent="0.3">
      <c r="A435" t="s">
        <v>444</v>
      </c>
      <c r="B435" t="s">
        <v>480</v>
      </c>
      <c r="C435" t="s">
        <v>62</v>
      </c>
      <c r="D435" t="str">
        <f>INT('Client'!$E435/12) &amp; " ans et " &amp; MOD('Client'!$E435,12) &amp; " mois"</f>
        <v>1 ans et 3 mois</v>
      </c>
      <c r="E435">
        <v>15</v>
      </c>
      <c r="F435" t="s">
        <v>11</v>
      </c>
      <c r="G435" s="7">
        <f>Client[[#This Row],[Duree_Cumulee_Panne_Min]]/1440</f>
        <v>5.2083333333333336E-2</v>
      </c>
      <c r="H435">
        <v>75</v>
      </c>
      <c r="I435">
        <v>45.59</v>
      </c>
      <c r="J435">
        <v>0</v>
      </c>
      <c r="K435" s="8">
        <f>IF('Client'!$F435="Pro Monde",10%,IF(AND('Client'!$G435&gt;12,'Client'!$D435&gt;5),70%,IF(AND(OR('Client'!$G435&gt;=4,'Client'!$G435&lt;=12,'Client'!$D435&lt;5,(OR('Client'!$F435="Premium ")))),45%,0%)))</f>
        <v>0.45</v>
      </c>
      <c r="L435" s="4">
        <f>'Client'!$I435* ('Client'!$K435/100)</f>
        <v>0.20515500000000003</v>
      </c>
    </row>
    <row r="436" spans="1:12" x14ac:dyDescent="0.3">
      <c r="A436" t="s">
        <v>444</v>
      </c>
      <c r="B436" t="s">
        <v>481</v>
      </c>
      <c r="C436" t="s">
        <v>131</v>
      </c>
      <c r="D436" t="str">
        <f>INT('Client'!$E436/12) &amp; " ans et " &amp; MOD('Client'!$E436,12) &amp; " mois"</f>
        <v>1 ans et 1 mois</v>
      </c>
      <c r="E436">
        <v>13</v>
      </c>
      <c r="F436" t="s">
        <v>22</v>
      </c>
      <c r="G436" s="7">
        <f>Client[[#This Row],[Duree_Cumulee_Panne_Min]]/1440</f>
        <v>0.3347222222222222</v>
      </c>
      <c r="H436">
        <v>482</v>
      </c>
      <c r="I436">
        <v>50.15</v>
      </c>
      <c r="J436">
        <v>0</v>
      </c>
      <c r="K436" s="8">
        <f>IF('Client'!$F436="Pro Monde",10%,IF(AND('Client'!$G436&gt;12,'Client'!$D436&gt;5),70%,IF(AND(OR('Client'!$G436&gt;=4,'Client'!$G436&lt;=12,'Client'!$D436&lt;5,(OR('Client'!$F436="Premium ")))),45%,0%)))</f>
        <v>0.45</v>
      </c>
      <c r="L436" s="4">
        <f>'Client'!$I436* ('Client'!$K436/100)</f>
        <v>0.22567500000000001</v>
      </c>
    </row>
    <row r="437" spans="1:12" x14ac:dyDescent="0.3">
      <c r="A437" t="s">
        <v>444</v>
      </c>
      <c r="B437" t="s">
        <v>482</v>
      </c>
      <c r="C437" t="s">
        <v>10</v>
      </c>
      <c r="D437" t="str">
        <f>INT('Client'!$E437/12) &amp; " ans et " &amp; MOD('Client'!$E437,12) &amp; " mois"</f>
        <v>7 ans et 2 mois</v>
      </c>
      <c r="E437">
        <v>86</v>
      </c>
      <c r="F437" t="s">
        <v>11</v>
      </c>
      <c r="G437" s="7">
        <f>Client[[#This Row],[Duree_Cumulee_Panne_Min]]/1440</f>
        <v>0.31388888888888888</v>
      </c>
      <c r="H437">
        <v>452</v>
      </c>
      <c r="I437">
        <v>75.680000000000007</v>
      </c>
      <c r="J437">
        <v>0</v>
      </c>
      <c r="K437" s="8">
        <f>IF('Client'!$F437="Pro Monde",10%,IF(AND('Client'!$G437&gt;12,'Client'!$D437&gt;5),70%,IF(AND(OR('Client'!$G437&gt;=4,'Client'!$G437&lt;=12,'Client'!$D437&lt;5,(OR('Client'!$F437="Premium ")))),45%,0%)))</f>
        <v>0.45</v>
      </c>
      <c r="L437" s="4">
        <f>'Client'!$I437* ('Client'!$K437/100)</f>
        <v>0.34056000000000008</v>
      </c>
    </row>
    <row r="438" spans="1:12" x14ac:dyDescent="0.3">
      <c r="A438" t="s">
        <v>444</v>
      </c>
      <c r="B438" t="s">
        <v>483</v>
      </c>
      <c r="C438" t="s">
        <v>73</v>
      </c>
      <c r="D438" t="str">
        <f>INT('Client'!$E438/12) &amp; " ans et " &amp; MOD('Client'!$E438,12) &amp; " mois"</f>
        <v>0 ans et 2 mois</v>
      </c>
      <c r="E438">
        <v>2</v>
      </c>
      <c r="F438" t="s">
        <v>19</v>
      </c>
      <c r="G438" s="7">
        <f>Client[[#This Row],[Duree_Cumulee_Panne_Min]]/1440</f>
        <v>9.8611111111111108E-2</v>
      </c>
      <c r="H438">
        <v>142</v>
      </c>
      <c r="I438">
        <v>49.05</v>
      </c>
      <c r="J438">
        <v>4</v>
      </c>
      <c r="K438" s="8">
        <f>IF('Client'!$F438="Pro Monde",10%,IF(AND('Client'!$G438&gt;12,'Client'!$D438&gt;5),70%,IF(AND(OR('Client'!$G438&gt;=4,'Client'!$G438&lt;=12,'Client'!$D438&lt;5,(OR('Client'!$F438="Premium ")))),45%,0%)))</f>
        <v>0.45</v>
      </c>
      <c r="L438" s="4">
        <f>'Client'!$I438* ('Client'!$K438/100)</f>
        <v>0.220725</v>
      </c>
    </row>
    <row r="439" spans="1:12" x14ac:dyDescent="0.3">
      <c r="A439" t="s">
        <v>444</v>
      </c>
      <c r="B439" t="s">
        <v>484</v>
      </c>
      <c r="C439" t="s">
        <v>35</v>
      </c>
      <c r="D439" t="str">
        <f>INT('Client'!$E439/12) &amp; " ans et " &amp; MOD('Client'!$E439,12) &amp; " mois"</f>
        <v>7 ans et 4 mois</v>
      </c>
      <c r="E439">
        <v>88</v>
      </c>
      <c r="F439" t="s">
        <v>19</v>
      </c>
      <c r="G439" s="7">
        <f>Client[[#This Row],[Duree_Cumulee_Panne_Min]]/1440</f>
        <v>0.32916666666666666</v>
      </c>
      <c r="H439">
        <v>474</v>
      </c>
      <c r="I439">
        <v>23.35</v>
      </c>
      <c r="J439">
        <v>5</v>
      </c>
      <c r="K439" s="8">
        <f>IF('Client'!$F439="Pro Monde",10%,IF(AND('Client'!$G439&gt;12,'Client'!$D439&gt;5),70%,IF(AND(OR('Client'!$G439&gt;=4,'Client'!$G439&lt;=12,'Client'!$D439&lt;5,(OR('Client'!$F439="Premium ")))),45%,0%)))</f>
        <v>0.45</v>
      </c>
      <c r="L439" s="4">
        <f>'Client'!$I439* ('Client'!$K439/100)</f>
        <v>0.10507500000000002</v>
      </c>
    </row>
    <row r="440" spans="1:12" x14ac:dyDescent="0.3">
      <c r="A440" t="s">
        <v>444</v>
      </c>
      <c r="B440" t="s">
        <v>485</v>
      </c>
      <c r="C440" t="s">
        <v>37</v>
      </c>
      <c r="D440" t="str">
        <f>INT('Client'!$E440/12) &amp; " ans et " &amp; MOD('Client'!$E440,12) &amp; " mois"</f>
        <v>5 ans et 11 mois</v>
      </c>
      <c r="E440">
        <v>71</v>
      </c>
      <c r="F440" t="s">
        <v>22</v>
      </c>
      <c r="G440" s="7">
        <f>Client[[#This Row],[Duree_Cumulee_Panne_Min]]/1440</f>
        <v>4.7222222222222221E-2</v>
      </c>
      <c r="H440">
        <v>68</v>
      </c>
      <c r="I440">
        <v>53.11</v>
      </c>
      <c r="J440">
        <v>2</v>
      </c>
      <c r="K440" s="8">
        <f>IF('Client'!$F440="Pro Monde",10%,IF(AND('Client'!$G440&gt;12,'Client'!$D440&gt;5),70%,IF(AND(OR('Client'!$G440&gt;=4,'Client'!$G440&lt;=12,'Client'!$D440&lt;5,(OR('Client'!$F440="Premium ")))),45%,0%)))</f>
        <v>0.45</v>
      </c>
      <c r="L440" s="4">
        <f>'Client'!$I440* ('Client'!$K440/100)</f>
        <v>0.23899500000000001</v>
      </c>
    </row>
    <row r="441" spans="1:12" x14ac:dyDescent="0.3">
      <c r="A441" t="s">
        <v>444</v>
      </c>
      <c r="B441" t="s">
        <v>486</v>
      </c>
      <c r="C441" t="s">
        <v>16</v>
      </c>
      <c r="D441" t="str">
        <f>INT('Client'!$E441/12) &amp; " ans et " &amp; MOD('Client'!$E441,12) &amp; " mois"</f>
        <v>8 ans et 3 mois</v>
      </c>
      <c r="E441">
        <v>99</v>
      </c>
      <c r="F441" t="s">
        <v>14</v>
      </c>
      <c r="G441" s="7">
        <f>Client[[#This Row],[Duree_Cumulee_Panne_Min]]/1440</f>
        <v>9.583333333333334E-2</v>
      </c>
      <c r="H441">
        <v>138</v>
      </c>
      <c r="I441">
        <v>54.64</v>
      </c>
      <c r="J441">
        <v>5</v>
      </c>
      <c r="K441" s="8">
        <f>IF('Client'!$F441="Pro Monde",10%,IF(AND('Client'!$G441&gt;12,'Client'!$D441&gt;5),70%,IF(AND(OR('Client'!$G441&gt;=4,'Client'!$G441&lt;=12,'Client'!$D441&lt;5,(OR('Client'!$F441="Premium ")))),45%,0%)))</f>
        <v>0.1</v>
      </c>
      <c r="L441" s="4">
        <f>'Client'!$I441* ('Client'!$K441/100)</f>
        <v>5.4640000000000001E-2</v>
      </c>
    </row>
    <row r="442" spans="1:12" x14ac:dyDescent="0.3">
      <c r="A442" t="s">
        <v>444</v>
      </c>
      <c r="B442" t="s">
        <v>487</v>
      </c>
      <c r="C442" t="s">
        <v>57</v>
      </c>
      <c r="D442" t="str">
        <f>INT('Client'!$E442/12) &amp; " ans et " &amp; MOD('Client'!$E442,12) &amp; " mois"</f>
        <v>9 ans et 3 mois</v>
      </c>
      <c r="E442">
        <v>111</v>
      </c>
      <c r="F442" t="s">
        <v>14</v>
      </c>
      <c r="G442" s="7">
        <f>Client[[#This Row],[Duree_Cumulee_Panne_Min]]/1440</f>
        <v>0.31041666666666667</v>
      </c>
      <c r="H442">
        <v>447</v>
      </c>
      <c r="I442">
        <v>51.35</v>
      </c>
      <c r="J442">
        <v>0</v>
      </c>
      <c r="K442" s="8">
        <f>IF('Client'!$F442="Pro Monde",10%,IF(AND('Client'!$G442&gt;12,'Client'!$D442&gt;5),70%,IF(AND(OR('Client'!$G442&gt;=4,'Client'!$G442&lt;=12,'Client'!$D442&lt;5,(OR('Client'!$F442="Premium ")))),45%,0%)))</f>
        <v>0.1</v>
      </c>
      <c r="L442" s="4">
        <f>'Client'!$I442* ('Client'!$K442/100)</f>
        <v>5.135E-2</v>
      </c>
    </row>
    <row r="443" spans="1:12" x14ac:dyDescent="0.3">
      <c r="A443" t="s">
        <v>444</v>
      </c>
      <c r="B443" t="s">
        <v>488</v>
      </c>
      <c r="C443" t="s">
        <v>57</v>
      </c>
      <c r="D443" t="str">
        <f>INT('Client'!$E443/12) &amp; " ans et " &amp; MOD('Client'!$E443,12) &amp; " mois"</f>
        <v>1 ans et 5 mois</v>
      </c>
      <c r="E443">
        <v>17</v>
      </c>
      <c r="F443" t="s">
        <v>19</v>
      </c>
      <c r="G443" s="7">
        <f>Client[[#This Row],[Duree_Cumulee_Panne_Min]]/1440</f>
        <v>0.28055555555555556</v>
      </c>
      <c r="H443">
        <v>404</v>
      </c>
      <c r="I443">
        <v>83.4</v>
      </c>
      <c r="J443">
        <v>1</v>
      </c>
      <c r="K443" s="8">
        <f>IF('Client'!$F443="Pro Monde",10%,IF(AND('Client'!$G443&gt;12,'Client'!$D443&gt;5),70%,IF(AND(OR('Client'!$G443&gt;=4,'Client'!$G443&lt;=12,'Client'!$D443&lt;5,(OR('Client'!$F443="Premium ")))),45%,0%)))</f>
        <v>0.45</v>
      </c>
      <c r="L443" s="4">
        <f>'Client'!$I443* ('Client'!$K443/100)</f>
        <v>0.37530000000000008</v>
      </c>
    </row>
    <row r="444" spans="1:12" x14ac:dyDescent="0.3">
      <c r="A444" t="s">
        <v>444</v>
      </c>
      <c r="B444" t="s">
        <v>489</v>
      </c>
      <c r="C444" t="s">
        <v>78</v>
      </c>
      <c r="D444" t="str">
        <f>INT('Client'!$E444/12) &amp; " ans et " &amp; MOD('Client'!$E444,12) &amp; " mois"</f>
        <v>3 ans et 7 mois</v>
      </c>
      <c r="E444">
        <v>43</v>
      </c>
      <c r="F444" t="s">
        <v>22</v>
      </c>
      <c r="G444" s="7">
        <f>Client[[#This Row],[Duree_Cumulee_Panne_Min]]/1440</f>
        <v>1.8055555555555554E-2</v>
      </c>
      <c r="H444">
        <v>26</v>
      </c>
      <c r="I444">
        <v>25.85</v>
      </c>
      <c r="J444">
        <v>1</v>
      </c>
      <c r="K444" s="8">
        <f>IF('Client'!$F444="Pro Monde",10%,IF(AND('Client'!$G444&gt;12,'Client'!$D444&gt;5),70%,IF(AND(OR('Client'!$G444&gt;=4,'Client'!$G444&lt;=12,'Client'!$D444&lt;5,(OR('Client'!$F444="Premium ")))),45%,0%)))</f>
        <v>0.45</v>
      </c>
      <c r="L444" s="4">
        <f>'Client'!$I444* ('Client'!$K444/100)</f>
        <v>0.11632500000000003</v>
      </c>
    </row>
    <row r="445" spans="1:12" x14ac:dyDescent="0.3">
      <c r="A445" t="s">
        <v>444</v>
      </c>
      <c r="B445" t="s">
        <v>490</v>
      </c>
      <c r="C445" t="s">
        <v>10</v>
      </c>
      <c r="D445" t="str">
        <f>INT('Client'!$E445/12) &amp; " ans et " &amp; MOD('Client'!$E445,12) &amp; " mois"</f>
        <v>3 ans et 11 mois</v>
      </c>
      <c r="E445">
        <v>47</v>
      </c>
      <c r="F445" t="s">
        <v>14</v>
      </c>
      <c r="G445" s="7">
        <f>Client[[#This Row],[Duree_Cumulee_Panne_Min]]/1440</f>
        <v>0.22777777777777777</v>
      </c>
      <c r="H445">
        <v>328</v>
      </c>
      <c r="I445">
        <v>61.27</v>
      </c>
      <c r="J445">
        <v>3</v>
      </c>
      <c r="K445" s="8">
        <f>IF('Client'!$F445="Pro Monde",10%,IF(AND('Client'!$G445&gt;12,'Client'!$D445&gt;5),70%,IF(AND(OR('Client'!$G445&gt;=4,'Client'!$G445&lt;=12,'Client'!$D445&lt;5,(OR('Client'!$F445="Premium ")))),45%,0%)))</f>
        <v>0.1</v>
      </c>
      <c r="L445" s="4">
        <f>'Client'!$I445* ('Client'!$K445/100)</f>
        <v>6.1270000000000005E-2</v>
      </c>
    </row>
    <row r="446" spans="1:12" x14ac:dyDescent="0.3">
      <c r="A446" t="s">
        <v>444</v>
      </c>
      <c r="B446" t="s">
        <v>491</v>
      </c>
      <c r="C446" t="s">
        <v>26</v>
      </c>
      <c r="D446" t="str">
        <f>INT('Client'!$E446/12) &amp; " ans et " &amp; MOD('Client'!$E446,12) &amp; " mois"</f>
        <v>7 ans et 11 mois</v>
      </c>
      <c r="E446">
        <v>95</v>
      </c>
      <c r="F446" t="s">
        <v>14</v>
      </c>
      <c r="G446" s="7">
        <f>Client[[#This Row],[Duree_Cumulee_Panne_Min]]/1440</f>
        <v>8.819444444444445E-2</v>
      </c>
      <c r="H446">
        <v>127</v>
      </c>
      <c r="I446">
        <v>94.9</v>
      </c>
      <c r="J446">
        <v>4</v>
      </c>
      <c r="K446" s="8">
        <f>IF('Client'!$F446="Pro Monde",10%,IF(AND('Client'!$G446&gt;12,'Client'!$D446&gt;5),70%,IF(AND(OR('Client'!$G446&gt;=4,'Client'!$G446&lt;=12,'Client'!$D446&lt;5,(OR('Client'!$F446="Premium ")))),45%,0%)))</f>
        <v>0.1</v>
      </c>
      <c r="L446" s="4">
        <f>'Client'!$I446* ('Client'!$K446/100)</f>
        <v>9.4900000000000012E-2</v>
      </c>
    </row>
    <row r="447" spans="1:12" x14ac:dyDescent="0.3">
      <c r="A447" t="s">
        <v>444</v>
      </c>
      <c r="B447" t="s">
        <v>492</v>
      </c>
      <c r="C447" t="s">
        <v>62</v>
      </c>
      <c r="D447" t="str">
        <f>INT('Client'!$E447/12) &amp; " ans et " &amp; MOD('Client'!$E447,12) &amp; " mois"</f>
        <v>8 ans et 8 mois</v>
      </c>
      <c r="E447">
        <v>104</v>
      </c>
      <c r="F447" t="s">
        <v>14</v>
      </c>
      <c r="G447" s="7">
        <f>Client[[#This Row],[Duree_Cumulee_Panne_Min]]/1440</f>
        <v>0.29236111111111113</v>
      </c>
      <c r="H447">
        <v>421</v>
      </c>
      <c r="I447">
        <v>26.24</v>
      </c>
      <c r="J447">
        <v>3</v>
      </c>
      <c r="K447" s="8">
        <f>IF('Client'!$F447="Pro Monde",10%,IF(AND('Client'!$G447&gt;12,'Client'!$D447&gt;5),70%,IF(AND(OR('Client'!$G447&gt;=4,'Client'!$G447&lt;=12,'Client'!$D447&lt;5,(OR('Client'!$F447="Premium ")))),45%,0%)))</f>
        <v>0.1</v>
      </c>
      <c r="L447" s="4">
        <f>'Client'!$I447* ('Client'!$K447/100)</f>
        <v>2.6239999999999999E-2</v>
      </c>
    </row>
    <row r="448" spans="1:12" x14ac:dyDescent="0.3">
      <c r="A448" t="s">
        <v>444</v>
      </c>
      <c r="B448" t="s">
        <v>493</v>
      </c>
      <c r="C448" t="s">
        <v>73</v>
      </c>
      <c r="D448" t="str">
        <f>INT('Client'!$E448/12) &amp; " ans et " &amp; MOD('Client'!$E448,12) &amp; " mois"</f>
        <v>3 ans et 11 mois</v>
      </c>
      <c r="E448">
        <v>47</v>
      </c>
      <c r="F448" t="s">
        <v>14</v>
      </c>
      <c r="G448" s="7">
        <f>Client[[#This Row],[Duree_Cumulee_Panne_Min]]/1440</f>
        <v>7.4305555555555555E-2</v>
      </c>
      <c r="H448">
        <v>107</v>
      </c>
      <c r="I448">
        <v>35.380000000000003</v>
      </c>
      <c r="J448">
        <v>1</v>
      </c>
      <c r="K448" s="8">
        <f>IF('Client'!$F448="Pro Monde",10%,IF(AND('Client'!$G448&gt;12,'Client'!$D448&gt;5),70%,IF(AND(OR('Client'!$G448&gt;=4,'Client'!$G448&lt;=12,'Client'!$D448&lt;5,(OR('Client'!$F448="Premium ")))),45%,0%)))</f>
        <v>0.1</v>
      </c>
      <c r="L448" s="4">
        <f>'Client'!$I448* ('Client'!$K448/100)</f>
        <v>3.5380000000000002E-2</v>
      </c>
    </row>
    <row r="449" spans="1:12" x14ac:dyDescent="0.3">
      <c r="A449" t="s">
        <v>444</v>
      </c>
      <c r="B449" t="s">
        <v>494</v>
      </c>
      <c r="C449" t="s">
        <v>10</v>
      </c>
      <c r="D449" t="str">
        <f>INT('Client'!$E449/12) &amp; " ans et " &amp; MOD('Client'!$E449,12) &amp; " mois"</f>
        <v>8 ans et 0 mois</v>
      </c>
      <c r="E449">
        <v>96</v>
      </c>
      <c r="F449" t="s">
        <v>11</v>
      </c>
      <c r="G449" s="7">
        <f>Client[[#This Row],[Duree_Cumulee_Panne_Min]]/1440</f>
        <v>0.18958333333333333</v>
      </c>
      <c r="H449">
        <v>273</v>
      </c>
      <c r="I449">
        <v>37.909999999999997</v>
      </c>
      <c r="J449">
        <v>2</v>
      </c>
      <c r="K449" s="8">
        <f>IF('Client'!$F449="Pro Monde",10%,IF(AND('Client'!$G449&gt;12,'Client'!$D449&gt;5),70%,IF(AND(OR('Client'!$G449&gt;=4,'Client'!$G449&lt;=12,'Client'!$D449&lt;5,(OR('Client'!$F449="Premium ")))),45%,0%)))</f>
        <v>0.45</v>
      </c>
      <c r="L449" s="4">
        <f>'Client'!$I449* ('Client'!$K449/100)</f>
        <v>0.170595</v>
      </c>
    </row>
    <row r="450" spans="1:12" x14ac:dyDescent="0.3">
      <c r="A450" t="s">
        <v>495</v>
      </c>
      <c r="B450" t="s">
        <v>496</v>
      </c>
      <c r="C450" t="s">
        <v>60</v>
      </c>
      <c r="D450" t="str">
        <f>INT('Client'!$E450/12) &amp; " ans et " &amp; MOD('Client'!$E450,12) &amp; " mois"</f>
        <v>3 ans et 7 mois</v>
      </c>
      <c r="E450">
        <v>43</v>
      </c>
      <c r="F450" t="s">
        <v>11</v>
      </c>
      <c r="G450" s="7">
        <f>Client[[#This Row],[Duree_Cumulee_Panne_Min]]/1440</f>
        <v>0.13402777777777777</v>
      </c>
      <c r="H450">
        <v>193</v>
      </c>
      <c r="I450">
        <v>35.81</v>
      </c>
      <c r="J450">
        <v>0</v>
      </c>
      <c r="K450" s="8">
        <f>IF('Client'!$F450="Pro Monde",10%,IF(AND('Client'!$G450&gt;12,'Client'!$D450&gt;5),70%,IF(AND(OR('Client'!$G450&gt;=4,'Client'!$G450&lt;=12,'Client'!$D450&lt;5,(OR('Client'!$F450="Premium ")))),45%,0%)))</f>
        <v>0.45</v>
      </c>
      <c r="L450" s="4">
        <f>'Client'!$I450* ('Client'!$K450/100)</f>
        <v>0.16114500000000004</v>
      </c>
    </row>
    <row r="451" spans="1:12" x14ac:dyDescent="0.3">
      <c r="A451" t="s">
        <v>495</v>
      </c>
      <c r="B451" t="s">
        <v>497</v>
      </c>
      <c r="C451" t="s">
        <v>37</v>
      </c>
      <c r="D451" t="str">
        <f>INT('Client'!$E451/12) &amp; " ans et " &amp; MOD('Client'!$E451,12) &amp; " mois"</f>
        <v>6 ans et 5 mois</v>
      </c>
      <c r="E451">
        <v>77</v>
      </c>
      <c r="F451" t="s">
        <v>22</v>
      </c>
      <c r="G451" s="7">
        <f>Client[[#This Row],[Duree_Cumulee_Panne_Min]]/1440</f>
        <v>0.26041666666666669</v>
      </c>
      <c r="H451">
        <v>375</v>
      </c>
      <c r="I451">
        <v>24.03</v>
      </c>
      <c r="J451">
        <v>1</v>
      </c>
      <c r="K451" s="8">
        <f>IF('Client'!$F451="Pro Monde",10%,IF(AND('Client'!$G451&gt;12,'Client'!$D451&gt;5),70%,IF(AND(OR('Client'!$G451&gt;=4,'Client'!$G451&lt;=12,'Client'!$D451&lt;5,(OR('Client'!$F451="Premium ")))),45%,0%)))</f>
        <v>0.45</v>
      </c>
      <c r="L451" s="4">
        <f>'Client'!$I451* ('Client'!$K451/100)</f>
        <v>0.10813500000000002</v>
      </c>
    </row>
    <row r="452" spans="1:12" x14ac:dyDescent="0.3">
      <c r="A452" t="s">
        <v>495</v>
      </c>
      <c r="B452" t="s">
        <v>498</v>
      </c>
      <c r="C452" t="s">
        <v>67</v>
      </c>
      <c r="D452" t="str">
        <f>INT('Client'!$E452/12) &amp; " ans et " &amp; MOD('Client'!$E452,12) &amp; " mois"</f>
        <v>2 ans et 0 mois</v>
      </c>
      <c r="E452">
        <v>24</v>
      </c>
      <c r="F452" t="s">
        <v>19</v>
      </c>
      <c r="G452" s="7">
        <f>Client[[#This Row],[Duree_Cumulee_Panne_Min]]/1440</f>
        <v>9.0277777777777769E-3</v>
      </c>
      <c r="H452">
        <v>13</v>
      </c>
      <c r="I452">
        <v>89.3</v>
      </c>
      <c r="J452">
        <v>2</v>
      </c>
      <c r="K452" s="8">
        <f>IF('Client'!$F452="Pro Monde",10%,IF(AND('Client'!$G452&gt;12,'Client'!$D452&gt;5),70%,IF(AND(OR('Client'!$G452&gt;=4,'Client'!$G452&lt;=12,'Client'!$D452&lt;5,(OR('Client'!$F452="Premium ")))),45%,0%)))</f>
        <v>0.45</v>
      </c>
      <c r="L452" s="4">
        <f>'Client'!$I452* ('Client'!$K452/100)</f>
        <v>0.40185000000000004</v>
      </c>
    </row>
    <row r="453" spans="1:12" x14ac:dyDescent="0.3">
      <c r="A453" t="s">
        <v>495</v>
      </c>
      <c r="B453" t="s">
        <v>499</v>
      </c>
      <c r="C453" t="s">
        <v>16</v>
      </c>
      <c r="D453" t="str">
        <f>INT('Client'!$E453/12) &amp; " ans et " &amp; MOD('Client'!$E453,12) &amp; " mois"</f>
        <v>7 ans et 3 mois</v>
      </c>
      <c r="E453">
        <v>87</v>
      </c>
      <c r="F453" t="s">
        <v>11</v>
      </c>
      <c r="G453" s="7">
        <f>Client[[#This Row],[Duree_Cumulee_Panne_Min]]/1440</f>
        <v>0.24722222222222223</v>
      </c>
      <c r="H453">
        <v>356</v>
      </c>
      <c r="I453">
        <v>12.89</v>
      </c>
      <c r="J453">
        <v>0</v>
      </c>
      <c r="K453" s="8">
        <f>IF('Client'!$F453="Pro Monde",10%,IF(AND('Client'!$G453&gt;12,'Client'!$D453&gt;5),70%,IF(AND(OR('Client'!$G453&gt;=4,'Client'!$G453&lt;=12,'Client'!$D453&lt;5,(OR('Client'!$F453="Premium ")))),45%,0%)))</f>
        <v>0.45</v>
      </c>
      <c r="L453" s="4">
        <f>'Client'!$I453* ('Client'!$K453/100)</f>
        <v>5.8005000000000008E-2</v>
      </c>
    </row>
    <row r="454" spans="1:12" x14ac:dyDescent="0.3">
      <c r="A454" t="s">
        <v>495</v>
      </c>
      <c r="B454" t="s">
        <v>500</v>
      </c>
      <c r="C454" t="s">
        <v>60</v>
      </c>
      <c r="D454" t="str">
        <f>INT('Client'!$E454/12) &amp; " ans et " &amp; MOD('Client'!$E454,12) &amp; " mois"</f>
        <v>4 ans et 7 mois</v>
      </c>
      <c r="E454">
        <v>55</v>
      </c>
      <c r="F454" t="s">
        <v>22</v>
      </c>
      <c r="G454" s="7">
        <f>Client[[#This Row],[Duree_Cumulee_Panne_Min]]/1440</f>
        <v>0.34305555555555556</v>
      </c>
      <c r="H454">
        <v>494</v>
      </c>
      <c r="I454">
        <v>77.599999999999994</v>
      </c>
      <c r="J454">
        <v>4</v>
      </c>
      <c r="K454" s="8">
        <f>IF('Client'!$F454="Pro Monde",10%,IF(AND('Client'!$G454&gt;12,'Client'!$D454&gt;5),70%,IF(AND(OR('Client'!$G454&gt;=4,'Client'!$G454&lt;=12,'Client'!$D454&lt;5,(OR('Client'!$F454="Premium ")))),45%,0%)))</f>
        <v>0.45</v>
      </c>
      <c r="L454" s="4">
        <f>'Client'!$I454* ('Client'!$K454/100)</f>
        <v>0.34920000000000001</v>
      </c>
    </row>
    <row r="455" spans="1:12" x14ac:dyDescent="0.3">
      <c r="A455" t="s">
        <v>495</v>
      </c>
      <c r="B455" t="s">
        <v>501</v>
      </c>
      <c r="C455" t="s">
        <v>51</v>
      </c>
      <c r="D455" t="str">
        <f>INT('Client'!$E455/12) &amp; " ans et " &amp; MOD('Client'!$E455,12) &amp; " mois"</f>
        <v>1 ans et 8 mois</v>
      </c>
      <c r="E455">
        <v>20</v>
      </c>
      <c r="F455" t="s">
        <v>22</v>
      </c>
      <c r="G455" s="7">
        <f>Client[[#This Row],[Duree_Cumulee_Panne_Min]]/1440</f>
        <v>0.15069444444444444</v>
      </c>
      <c r="H455">
        <v>217</v>
      </c>
      <c r="I455">
        <v>55.3</v>
      </c>
      <c r="J455">
        <v>4</v>
      </c>
      <c r="K455" s="8">
        <f>IF('Client'!$F455="Pro Monde",10%,IF(AND('Client'!$G455&gt;12,'Client'!$D455&gt;5),70%,IF(AND(OR('Client'!$G455&gt;=4,'Client'!$G455&lt;=12,'Client'!$D455&lt;5,(OR('Client'!$F455="Premium ")))),45%,0%)))</f>
        <v>0.45</v>
      </c>
      <c r="L455" s="4">
        <f>'Client'!$I455* ('Client'!$K455/100)</f>
        <v>0.24885000000000002</v>
      </c>
    </row>
    <row r="456" spans="1:12" x14ac:dyDescent="0.3">
      <c r="A456" t="s">
        <v>495</v>
      </c>
      <c r="B456" t="s">
        <v>502</v>
      </c>
      <c r="C456" t="s">
        <v>64</v>
      </c>
      <c r="D456" t="str">
        <f>INT('Client'!$E456/12) &amp; " ans et " &amp; MOD('Client'!$E456,12) &amp; " mois"</f>
        <v>9 ans et 7 mois</v>
      </c>
      <c r="E456">
        <v>115</v>
      </c>
      <c r="F456" t="s">
        <v>14</v>
      </c>
      <c r="G456" s="7">
        <f>Client[[#This Row],[Duree_Cumulee_Panne_Min]]/1440</f>
        <v>0.13194444444444445</v>
      </c>
      <c r="H456">
        <v>190</v>
      </c>
      <c r="I456">
        <v>10.98</v>
      </c>
      <c r="J456">
        <v>0</v>
      </c>
      <c r="K456" s="8">
        <f>IF('Client'!$F456="Pro Monde",10%,IF(AND('Client'!$G456&gt;12,'Client'!$D456&gt;5),70%,IF(AND(OR('Client'!$G456&gt;=4,'Client'!$G456&lt;=12,'Client'!$D456&lt;5,(OR('Client'!$F456="Premium ")))),45%,0%)))</f>
        <v>0.1</v>
      </c>
      <c r="L456" s="4">
        <f>'Client'!$I456* ('Client'!$K456/100)</f>
        <v>1.098E-2</v>
      </c>
    </row>
    <row r="457" spans="1:12" x14ac:dyDescent="0.3">
      <c r="A457" t="s">
        <v>495</v>
      </c>
      <c r="B457" t="s">
        <v>503</v>
      </c>
      <c r="C457" t="s">
        <v>62</v>
      </c>
      <c r="D457" t="str">
        <f>INT('Client'!$E457/12) &amp; " ans et " &amp; MOD('Client'!$E457,12) &amp; " mois"</f>
        <v>7 ans et 2 mois</v>
      </c>
      <c r="E457">
        <v>86</v>
      </c>
      <c r="F457" t="s">
        <v>11</v>
      </c>
      <c r="G457" s="7">
        <f>Client[[#This Row],[Duree_Cumulee_Panne_Min]]/1440</f>
        <v>1.8749999999999999E-2</v>
      </c>
      <c r="H457">
        <v>27</v>
      </c>
      <c r="I457">
        <v>84.94</v>
      </c>
      <c r="J457">
        <v>4</v>
      </c>
      <c r="K457" s="8">
        <f>IF('Client'!$F457="Pro Monde",10%,IF(AND('Client'!$G457&gt;12,'Client'!$D457&gt;5),70%,IF(AND(OR('Client'!$G457&gt;=4,'Client'!$G457&lt;=12,'Client'!$D457&lt;5,(OR('Client'!$F457="Premium ")))),45%,0%)))</f>
        <v>0.45</v>
      </c>
      <c r="L457" s="4">
        <f>'Client'!$I457* ('Client'!$K457/100)</f>
        <v>0.38223000000000001</v>
      </c>
    </row>
    <row r="458" spans="1:12" x14ac:dyDescent="0.3">
      <c r="A458" t="s">
        <v>495</v>
      </c>
      <c r="B458" t="s">
        <v>504</v>
      </c>
      <c r="C458" t="s">
        <v>51</v>
      </c>
      <c r="D458" t="str">
        <f>INT('Client'!$E458/12) &amp; " ans et " &amp; MOD('Client'!$E458,12) &amp; " mois"</f>
        <v>7 ans et 4 mois</v>
      </c>
      <c r="E458">
        <v>88</v>
      </c>
      <c r="F458" t="s">
        <v>11</v>
      </c>
      <c r="G458" s="7">
        <f>Client[[#This Row],[Duree_Cumulee_Panne_Min]]/1440</f>
        <v>0.24930555555555556</v>
      </c>
      <c r="H458">
        <v>359</v>
      </c>
      <c r="I458">
        <v>71.19</v>
      </c>
      <c r="J458">
        <v>3</v>
      </c>
      <c r="K458" s="8">
        <f>IF('Client'!$F458="Pro Monde",10%,IF(AND('Client'!$G458&gt;12,'Client'!$D458&gt;5),70%,IF(AND(OR('Client'!$G458&gt;=4,'Client'!$G458&lt;=12,'Client'!$D458&lt;5,(OR('Client'!$F458="Premium ")))),45%,0%)))</f>
        <v>0.45</v>
      </c>
      <c r="L458" s="4">
        <f>'Client'!$I458* ('Client'!$K458/100)</f>
        <v>0.320355</v>
      </c>
    </row>
    <row r="459" spans="1:12" x14ac:dyDescent="0.3">
      <c r="A459" t="s">
        <v>495</v>
      </c>
      <c r="B459" t="s">
        <v>505</v>
      </c>
      <c r="C459" t="s">
        <v>60</v>
      </c>
      <c r="D459" t="str">
        <f>INT('Client'!$E459/12) &amp; " ans et " &amp; MOD('Client'!$E459,12) &amp; " mois"</f>
        <v>3 ans et 3 mois</v>
      </c>
      <c r="E459">
        <v>39</v>
      </c>
      <c r="F459" t="s">
        <v>14</v>
      </c>
      <c r="G459" s="7">
        <f>Client[[#This Row],[Duree_Cumulee_Panne_Min]]/1440</f>
        <v>3.7499999999999999E-2</v>
      </c>
      <c r="H459">
        <v>54</v>
      </c>
      <c r="I459">
        <v>88.84</v>
      </c>
      <c r="J459">
        <v>0</v>
      </c>
      <c r="K459" s="8">
        <f>IF('Client'!$F459="Pro Monde",10%,IF(AND('Client'!$G459&gt;12,'Client'!$D459&gt;5),70%,IF(AND(OR('Client'!$G459&gt;=4,'Client'!$G459&lt;=12,'Client'!$D459&lt;5,(OR('Client'!$F459="Premium ")))),45%,0%)))</f>
        <v>0.1</v>
      </c>
      <c r="L459" s="4">
        <f>'Client'!$I459* ('Client'!$K459/100)</f>
        <v>8.8840000000000002E-2</v>
      </c>
    </row>
    <row r="460" spans="1:12" x14ac:dyDescent="0.3">
      <c r="A460" t="s">
        <v>495</v>
      </c>
      <c r="B460" t="s">
        <v>506</v>
      </c>
      <c r="C460" t="s">
        <v>35</v>
      </c>
      <c r="D460" t="str">
        <f>INT('Client'!$E460/12) &amp; " ans et " &amp; MOD('Client'!$E460,12) &amp; " mois"</f>
        <v>6 ans et 8 mois</v>
      </c>
      <c r="E460">
        <v>80</v>
      </c>
      <c r="F460" t="s">
        <v>14</v>
      </c>
      <c r="G460" s="7">
        <f>Client[[#This Row],[Duree_Cumulee_Panne_Min]]/1440</f>
        <v>0.23541666666666666</v>
      </c>
      <c r="H460">
        <v>339</v>
      </c>
      <c r="I460">
        <v>59.87</v>
      </c>
      <c r="J460">
        <v>0</v>
      </c>
      <c r="K460" s="8">
        <f>IF('Client'!$F460="Pro Monde",10%,IF(AND('Client'!$G460&gt;12,'Client'!$D460&gt;5),70%,IF(AND(OR('Client'!$G460&gt;=4,'Client'!$G460&lt;=12,'Client'!$D460&lt;5,(OR('Client'!$F460="Premium ")))),45%,0%)))</f>
        <v>0.1</v>
      </c>
      <c r="L460" s="4">
        <f>'Client'!$I460* ('Client'!$K460/100)</f>
        <v>5.987E-2</v>
      </c>
    </row>
    <row r="461" spans="1:12" x14ac:dyDescent="0.3">
      <c r="A461" t="s">
        <v>495</v>
      </c>
      <c r="B461" t="s">
        <v>507</v>
      </c>
      <c r="C461" t="s">
        <v>51</v>
      </c>
      <c r="D461" t="str">
        <f>INT('Client'!$E461/12) &amp; " ans et " &amp; MOD('Client'!$E461,12) &amp; " mois"</f>
        <v>8 ans et 9 mois</v>
      </c>
      <c r="E461">
        <v>105</v>
      </c>
      <c r="F461" t="s">
        <v>14</v>
      </c>
      <c r="G461" s="7">
        <f>Client[[#This Row],[Duree_Cumulee_Panne_Min]]/1440</f>
        <v>0.20624999999999999</v>
      </c>
      <c r="H461">
        <v>297</v>
      </c>
      <c r="I461">
        <v>84.66</v>
      </c>
      <c r="J461">
        <v>2</v>
      </c>
      <c r="K461" s="8">
        <f>IF('Client'!$F461="Pro Monde",10%,IF(AND('Client'!$G461&gt;12,'Client'!$D461&gt;5),70%,IF(AND(OR('Client'!$G461&gt;=4,'Client'!$G461&lt;=12,'Client'!$D461&lt;5,(OR('Client'!$F461="Premium ")))),45%,0%)))</f>
        <v>0.1</v>
      </c>
      <c r="L461" s="4">
        <f>'Client'!$I461* ('Client'!$K461/100)</f>
        <v>8.4659999999999999E-2</v>
      </c>
    </row>
    <row r="462" spans="1:12" x14ac:dyDescent="0.3">
      <c r="A462" t="s">
        <v>495</v>
      </c>
      <c r="B462" t="s">
        <v>508</v>
      </c>
      <c r="C462" t="s">
        <v>73</v>
      </c>
      <c r="D462" t="str">
        <f>INT('Client'!$E462/12) &amp; " ans et " &amp; MOD('Client'!$E462,12) &amp; " mois"</f>
        <v>3 ans et 1 mois</v>
      </c>
      <c r="E462">
        <v>37</v>
      </c>
      <c r="F462" t="s">
        <v>14</v>
      </c>
      <c r="G462" s="7">
        <f>Client[[#This Row],[Duree_Cumulee_Panne_Min]]/1440</f>
        <v>2.5694444444444443E-2</v>
      </c>
      <c r="H462">
        <v>37</v>
      </c>
      <c r="I462">
        <v>92.72</v>
      </c>
      <c r="J462">
        <v>0</v>
      </c>
      <c r="K462" s="8">
        <f>IF('Client'!$F462="Pro Monde",10%,IF(AND('Client'!$G462&gt;12,'Client'!$D462&gt;5),70%,IF(AND(OR('Client'!$G462&gt;=4,'Client'!$G462&lt;=12,'Client'!$D462&lt;5,(OR('Client'!$F462="Premium ")))),45%,0%)))</f>
        <v>0.1</v>
      </c>
      <c r="L462" s="4">
        <f>'Client'!$I462* ('Client'!$K462/100)</f>
        <v>9.2719999999999997E-2</v>
      </c>
    </row>
    <row r="463" spans="1:12" x14ac:dyDescent="0.3">
      <c r="A463" t="s">
        <v>495</v>
      </c>
      <c r="B463" t="s">
        <v>509</v>
      </c>
      <c r="C463" t="s">
        <v>10</v>
      </c>
      <c r="D463" t="str">
        <f>INT('Client'!$E463/12) &amp; " ans et " &amp; MOD('Client'!$E463,12) &amp; " mois"</f>
        <v>3 ans et 9 mois</v>
      </c>
      <c r="E463">
        <v>45</v>
      </c>
      <c r="F463" t="s">
        <v>11</v>
      </c>
      <c r="G463" s="7">
        <f>Client[[#This Row],[Duree_Cumulee_Panne_Min]]/1440</f>
        <v>0.16944444444444445</v>
      </c>
      <c r="H463">
        <v>244</v>
      </c>
      <c r="I463">
        <v>55.17</v>
      </c>
      <c r="J463">
        <v>2</v>
      </c>
      <c r="K463" s="8">
        <f>IF('Client'!$F463="Pro Monde",10%,IF(AND('Client'!$G463&gt;12,'Client'!$D463&gt;5),70%,IF(AND(OR('Client'!$G463&gt;=4,'Client'!$G463&lt;=12,'Client'!$D463&lt;5,(OR('Client'!$F463="Premium ")))),45%,0%)))</f>
        <v>0.45</v>
      </c>
      <c r="L463" s="4">
        <f>'Client'!$I463* ('Client'!$K463/100)</f>
        <v>0.24826500000000004</v>
      </c>
    </row>
    <row r="464" spans="1:12" x14ac:dyDescent="0.3">
      <c r="A464" t="s">
        <v>495</v>
      </c>
      <c r="B464" t="s">
        <v>510</v>
      </c>
      <c r="C464" t="s">
        <v>44</v>
      </c>
      <c r="D464" t="str">
        <f>INT('Client'!$E464/12) &amp; " ans et " &amp; MOD('Client'!$E464,12) &amp; " mois"</f>
        <v>9 ans et 5 mois</v>
      </c>
      <c r="E464">
        <v>113</v>
      </c>
      <c r="F464" t="s">
        <v>22</v>
      </c>
      <c r="G464" s="7">
        <f>Client[[#This Row],[Duree_Cumulee_Panne_Min]]/1440</f>
        <v>0.29722222222222222</v>
      </c>
      <c r="H464">
        <v>428</v>
      </c>
      <c r="I464">
        <v>73.84</v>
      </c>
      <c r="J464">
        <v>0</v>
      </c>
      <c r="K464" s="8">
        <f>IF('Client'!$F464="Pro Monde",10%,IF(AND('Client'!$G464&gt;12,'Client'!$D464&gt;5),70%,IF(AND(OR('Client'!$G464&gt;=4,'Client'!$G464&lt;=12,'Client'!$D464&lt;5,(OR('Client'!$F464="Premium ")))),45%,0%)))</f>
        <v>0.45</v>
      </c>
      <c r="L464" s="4">
        <f>'Client'!$I464* ('Client'!$K464/100)</f>
        <v>0.33228000000000008</v>
      </c>
    </row>
    <row r="465" spans="1:12" x14ac:dyDescent="0.3">
      <c r="A465" t="s">
        <v>495</v>
      </c>
      <c r="B465" t="s">
        <v>511</v>
      </c>
      <c r="C465" t="s">
        <v>64</v>
      </c>
      <c r="D465" t="str">
        <f>INT('Client'!$E465/12) &amp; " ans et " &amp; MOD('Client'!$E465,12) &amp; " mois"</f>
        <v>1 ans et 2 mois</v>
      </c>
      <c r="E465">
        <v>14</v>
      </c>
      <c r="F465" t="s">
        <v>22</v>
      </c>
      <c r="G465" s="7">
        <f>Client[[#This Row],[Duree_Cumulee_Panne_Min]]/1440</f>
        <v>0.21111111111111111</v>
      </c>
      <c r="H465">
        <v>304</v>
      </c>
      <c r="I465">
        <v>48.13</v>
      </c>
      <c r="J465">
        <v>2</v>
      </c>
      <c r="K465" s="8">
        <f>IF('Client'!$F465="Pro Monde",10%,IF(AND('Client'!$G465&gt;12,'Client'!$D465&gt;5),70%,IF(AND(OR('Client'!$G465&gt;=4,'Client'!$G465&lt;=12,'Client'!$D465&lt;5,(OR('Client'!$F465="Premium ")))),45%,0%)))</f>
        <v>0.45</v>
      </c>
      <c r="L465" s="4">
        <f>'Client'!$I465* ('Client'!$K465/100)</f>
        <v>0.21658500000000003</v>
      </c>
    </row>
    <row r="466" spans="1:12" x14ac:dyDescent="0.3">
      <c r="A466" t="s">
        <v>495</v>
      </c>
      <c r="B466" t="s">
        <v>512</v>
      </c>
      <c r="C466" t="s">
        <v>57</v>
      </c>
      <c r="D466" t="str">
        <f>INT('Client'!$E466/12) &amp; " ans et " &amp; MOD('Client'!$E466,12) &amp; " mois"</f>
        <v>2 ans et 11 mois</v>
      </c>
      <c r="E466">
        <v>35</v>
      </c>
      <c r="F466" t="s">
        <v>14</v>
      </c>
      <c r="G466" s="7">
        <f>Client[[#This Row],[Duree_Cumulee_Panne_Min]]/1440</f>
        <v>0.30902777777777779</v>
      </c>
      <c r="H466">
        <v>445</v>
      </c>
      <c r="I466">
        <v>24.11</v>
      </c>
      <c r="J466">
        <v>2</v>
      </c>
      <c r="K466" s="8">
        <f>IF('Client'!$F466="Pro Monde",10%,IF(AND('Client'!$G466&gt;12,'Client'!$D466&gt;5),70%,IF(AND(OR('Client'!$G466&gt;=4,'Client'!$G466&lt;=12,'Client'!$D466&lt;5,(OR('Client'!$F466="Premium ")))),45%,0%)))</f>
        <v>0.1</v>
      </c>
      <c r="L466" s="4">
        <f>'Client'!$I466* ('Client'!$K466/100)</f>
        <v>2.4109999999999999E-2</v>
      </c>
    </row>
    <row r="467" spans="1:12" x14ac:dyDescent="0.3">
      <c r="A467" t="s">
        <v>495</v>
      </c>
      <c r="B467" t="s">
        <v>513</v>
      </c>
      <c r="C467" t="s">
        <v>64</v>
      </c>
      <c r="D467" t="str">
        <f>INT('Client'!$E467/12) &amp; " ans et " &amp; MOD('Client'!$E467,12) &amp; " mois"</f>
        <v>9 ans et 10 mois</v>
      </c>
      <c r="E467">
        <v>118</v>
      </c>
      <c r="F467" t="s">
        <v>14</v>
      </c>
      <c r="G467" s="7">
        <f>Client[[#This Row],[Duree_Cumulee_Panne_Min]]/1440</f>
        <v>5.5555555555555552E-2</v>
      </c>
      <c r="H467">
        <v>80</v>
      </c>
      <c r="I467">
        <v>97.58</v>
      </c>
      <c r="J467">
        <v>3</v>
      </c>
      <c r="K467" s="8">
        <f>IF('Client'!$F467="Pro Monde",10%,IF(AND('Client'!$G467&gt;12,'Client'!$D467&gt;5),70%,IF(AND(OR('Client'!$G467&gt;=4,'Client'!$G467&lt;=12,'Client'!$D467&lt;5,(OR('Client'!$F467="Premium ")))),45%,0%)))</f>
        <v>0.1</v>
      </c>
      <c r="L467" s="4">
        <f>'Client'!$I467* ('Client'!$K467/100)</f>
        <v>9.758E-2</v>
      </c>
    </row>
    <row r="468" spans="1:12" x14ac:dyDescent="0.3">
      <c r="A468" t="s">
        <v>495</v>
      </c>
      <c r="B468" t="s">
        <v>514</v>
      </c>
      <c r="C468" t="s">
        <v>57</v>
      </c>
      <c r="D468" t="str">
        <f>INT('Client'!$E468/12) &amp; " ans et " &amp; MOD('Client'!$E468,12) &amp; " mois"</f>
        <v>5 ans et 4 mois</v>
      </c>
      <c r="E468">
        <v>64</v>
      </c>
      <c r="F468" t="s">
        <v>14</v>
      </c>
      <c r="G468" s="7">
        <f>Client[[#This Row],[Duree_Cumulee_Panne_Min]]/1440</f>
        <v>1.0416666666666666E-2</v>
      </c>
      <c r="H468">
        <v>15</v>
      </c>
      <c r="I468">
        <v>56.94</v>
      </c>
      <c r="J468">
        <v>4</v>
      </c>
      <c r="K468" s="8">
        <f>IF('Client'!$F468="Pro Monde",10%,IF(AND('Client'!$G468&gt;12,'Client'!$D468&gt;5),70%,IF(AND(OR('Client'!$G468&gt;=4,'Client'!$G468&lt;=12,'Client'!$D468&lt;5,(OR('Client'!$F468="Premium ")))),45%,0%)))</f>
        <v>0.1</v>
      </c>
      <c r="L468" s="4">
        <f>'Client'!$I468* ('Client'!$K468/100)</f>
        <v>5.6939999999999998E-2</v>
      </c>
    </row>
    <row r="469" spans="1:12" x14ac:dyDescent="0.3">
      <c r="A469" t="s">
        <v>495</v>
      </c>
      <c r="B469" t="s">
        <v>515</v>
      </c>
      <c r="C469" t="s">
        <v>10</v>
      </c>
      <c r="D469" t="str">
        <f>INT('Client'!$E469/12) &amp; " ans et " &amp; MOD('Client'!$E469,12) &amp; " mois"</f>
        <v>7 ans et 1 mois</v>
      </c>
      <c r="E469">
        <v>85</v>
      </c>
      <c r="F469" t="s">
        <v>14</v>
      </c>
      <c r="G469" s="7">
        <f>Client[[#This Row],[Duree_Cumulee_Panne_Min]]/1440</f>
        <v>5.2083333333333336E-2</v>
      </c>
      <c r="H469">
        <v>75</v>
      </c>
      <c r="I469">
        <v>98.01</v>
      </c>
      <c r="J469">
        <v>1</v>
      </c>
      <c r="K469" s="8">
        <f>IF('Client'!$F469="Pro Monde",10%,IF(AND('Client'!$G469&gt;12,'Client'!$D469&gt;5),70%,IF(AND(OR('Client'!$G469&gt;=4,'Client'!$G469&lt;=12,'Client'!$D469&lt;5,(OR('Client'!$F469="Premium ")))),45%,0%)))</f>
        <v>0.1</v>
      </c>
      <c r="L469" s="4">
        <f>'Client'!$I469* ('Client'!$K469/100)</f>
        <v>9.8010000000000014E-2</v>
      </c>
    </row>
    <row r="470" spans="1:12" x14ac:dyDescent="0.3">
      <c r="A470" t="s">
        <v>495</v>
      </c>
      <c r="B470" t="s">
        <v>516</v>
      </c>
      <c r="C470" t="s">
        <v>131</v>
      </c>
      <c r="D470" t="str">
        <f>INT('Client'!$E470/12) &amp; " ans et " &amp; MOD('Client'!$E470,12) &amp; " mois"</f>
        <v>4 ans et 0 mois</v>
      </c>
      <c r="E470">
        <v>48</v>
      </c>
      <c r="F470" t="s">
        <v>22</v>
      </c>
      <c r="G470" s="7">
        <f>Client[[#This Row],[Duree_Cumulee_Panne_Min]]/1440</f>
        <v>0.12986111111111112</v>
      </c>
      <c r="H470">
        <v>187</v>
      </c>
      <c r="I470">
        <v>21.26</v>
      </c>
      <c r="J470">
        <v>2</v>
      </c>
      <c r="K470" s="8">
        <f>IF('Client'!$F470="Pro Monde",10%,IF(AND('Client'!$G470&gt;12,'Client'!$D470&gt;5),70%,IF(AND(OR('Client'!$G470&gt;=4,'Client'!$G470&lt;=12,'Client'!$D470&lt;5,(OR('Client'!$F470="Premium ")))),45%,0%)))</f>
        <v>0.45</v>
      </c>
      <c r="L470" s="4">
        <f>'Client'!$I470* ('Client'!$K470/100)</f>
        <v>9.5670000000000019E-2</v>
      </c>
    </row>
    <row r="471" spans="1:12" x14ac:dyDescent="0.3">
      <c r="A471" t="s">
        <v>495</v>
      </c>
      <c r="B471" t="s">
        <v>517</v>
      </c>
      <c r="C471" t="s">
        <v>44</v>
      </c>
      <c r="D471" t="str">
        <f>INT('Client'!$E471/12) &amp; " ans et " &amp; MOD('Client'!$E471,12) &amp; " mois"</f>
        <v>10 ans et 0 mois</v>
      </c>
      <c r="E471">
        <v>120</v>
      </c>
      <c r="F471" t="s">
        <v>14</v>
      </c>
      <c r="G471" s="7">
        <f>Client[[#This Row],[Duree_Cumulee_Panne_Min]]/1440</f>
        <v>0.05</v>
      </c>
      <c r="H471">
        <v>72</v>
      </c>
      <c r="I471">
        <v>29.07</v>
      </c>
      <c r="J471">
        <v>3</v>
      </c>
      <c r="K471" s="8">
        <f>IF('Client'!$F471="Pro Monde",10%,IF(AND('Client'!$G471&gt;12,'Client'!$D471&gt;5),70%,IF(AND(OR('Client'!$G471&gt;=4,'Client'!$G471&lt;=12,'Client'!$D471&lt;5,(OR('Client'!$F471="Premium ")))),45%,0%)))</f>
        <v>0.1</v>
      </c>
      <c r="L471" s="4">
        <f>'Client'!$I471* ('Client'!$K471/100)</f>
        <v>2.9070000000000002E-2</v>
      </c>
    </row>
    <row r="472" spans="1:12" x14ac:dyDescent="0.3">
      <c r="A472" t="s">
        <v>495</v>
      </c>
      <c r="B472" t="s">
        <v>518</v>
      </c>
      <c r="C472" t="s">
        <v>21</v>
      </c>
      <c r="D472" t="str">
        <f>INT('Client'!$E472/12) &amp; " ans et " &amp; MOD('Client'!$E472,12) &amp; " mois"</f>
        <v>2 ans et 10 mois</v>
      </c>
      <c r="E472">
        <v>34</v>
      </c>
      <c r="F472" t="s">
        <v>19</v>
      </c>
      <c r="G472" s="7">
        <f>Client[[#This Row],[Duree_Cumulee_Panne_Min]]/1440</f>
        <v>2.7777777777777776E-2</v>
      </c>
      <c r="H472">
        <v>40</v>
      </c>
      <c r="I472">
        <v>65.709999999999994</v>
      </c>
      <c r="J472">
        <v>5</v>
      </c>
      <c r="K472" s="8">
        <f>IF('Client'!$F472="Pro Monde",10%,IF(AND('Client'!$G472&gt;12,'Client'!$D472&gt;5),70%,IF(AND(OR('Client'!$G472&gt;=4,'Client'!$G472&lt;=12,'Client'!$D472&lt;5,(OR('Client'!$F472="Premium ")))),45%,0%)))</f>
        <v>0.45</v>
      </c>
      <c r="L472" s="4">
        <f>'Client'!$I472* ('Client'!$K472/100)</f>
        <v>0.29569499999999999</v>
      </c>
    </row>
    <row r="473" spans="1:12" x14ac:dyDescent="0.3">
      <c r="A473" t="s">
        <v>495</v>
      </c>
      <c r="B473" t="s">
        <v>519</v>
      </c>
      <c r="C473" t="s">
        <v>16</v>
      </c>
      <c r="D473" t="str">
        <f>INT('Client'!$E473/12) &amp; " ans et " &amp; MOD('Client'!$E473,12) &amp; " mois"</f>
        <v>8 ans et 8 mois</v>
      </c>
      <c r="E473">
        <v>104</v>
      </c>
      <c r="F473" t="s">
        <v>14</v>
      </c>
      <c r="G473" s="7">
        <f>Client[[#This Row],[Duree_Cumulee_Panne_Min]]/1440</f>
        <v>8.6805555555555552E-2</v>
      </c>
      <c r="H473">
        <v>125</v>
      </c>
      <c r="I473">
        <v>29.7</v>
      </c>
      <c r="J473">
        <v>2</v>
      </c>
      <c r="K473" s="8">
        <f>IF('Client'!$F473="Pro Monde",10%,IF(AND('Client'!$G473&gt;12,'Client'!$D473&gt;5),70%,IF(AND(OR('Client'!$G473&gt;=4,'Client'!$G473&lt;=12,'Client'!$D473&lt;5,(OR('Client'!$F473="Premium ")))),45%,0%)))</f>
        <v>0.1</v>
      </c>
      <c r="L473" s="4">
        <f>'Client'!$I473* ('Client'!$K473/100)</f>
        <v>2.9700000000000001E-2</v>
      </c>
    </row>
    <row r="474" spans="1:12" x14ac:dyDescent="0.3">
      <c r="A474" t="s">
        <v>495</v>
      </c>
      <c r="B474" t="s">
        <v>520</v>
      </c>
      <c r="C474" t="s">
        <v>35</v>
      </c>
      <c r="D474" t="str">
        <f>INT('Client'!$E474/12) &amp; " ans et " &amp; MOD('Client'!$E474,12) &amp; " mois"</f>
        <v>9 ans et 9 mois</v>
      </c>
      <c r="E474">
        <v>117</v>
      </c>
      <c r="F474" t="s">
        <v>22</v>
      </c>
      <c r="G474" s="7">
        <f>Client[[#This Row],[Duree_Cumulee_Panne_Min]]/1440</f>
        <v>2.7083333333333334E-2</v>
      </c>
      <c r="H474">
        <v>39</v>
      </c>
      <c r="I474">
        <v>26.53</v>
      </c>
      <c r="J474">
        <v>1</v>
      </c>
      <c r="K474" s="8">
        <f>IF('Client'!$F474="Pro Monde",10%,IF(AND('Client'!$G474&gt;12,'Client'!$D474&gt;5),70%,IF(AND(OR('Client'!$G474&gt;=4,'Client'!$G474&lt;=12,'Client'!$D474&lt;5,(OR('Client'!$F474="Premium ")))),45%,0%)))</f>
        <v>0.45</v>
      </c>
      <c r="L474" s="4">
        <f>'Client'!$I474* ('Client'!$K474/100)</f>
        <v>0.11938500000000002</v>
      </c>
    </row>
    <row r="475" spans="1:12" x14ac:dyDescent="0.3">
      <c r="A475" t="s">
        <v>495</v>
      </c>
      <c r="B475" t="s">
        <v>521</v>
      </c>
      <c r="C475" t="s">
        <v>57</v>
      </c>
      <c r="D475" t="str">
        <f>INT('Client'!$E475/12) &amp; " ans et " &amp; MOD('Client'!$E475,12) &amp; " mois"</f>
        <v>7 ans et 8 mois</v>
      </c>
      <c r="E475">
        <v>92</v>
      </c>
      <c r="F475" t="s">
        <v>19</v>
      </c>
      <c r="G475" s="7">
        <f>Client[[#This Row],[Duree_Cumulee_Panne_Min]]/1440</f>
        <v>4.1666666666666666E-3</v>
      </c>
      <c r="H475">
        <v>6</v>
      </c>
      <c r="I475">
        <v>77.14</v>
      </c>
      <c r="J475">
        <v>5</v>
      </c>
      <c r="K475" s="8">
        <f>IF('Client'!$F475="Pro Monde",10%,IF(AND('Client'!$G475&gt;12,'Client'!$D475&gt;5),70%,IF(AND(OR('Client'!$G475&gt;=4,'Client'!$G475&lt;=12,'Client'!$D475&lt;5,(OR('Client'!$F475="Premium ")))),45%,0%)))</f>
        <v>0.45</v>
      </c>
      <c r="L475" s="4">
        <f>'Client'!$I475* ('Client'!$K475/100)</f>
        <v>0.34713000000000005</v>
      </c>
    </row>
    <row r="476" spans="1:12" x14ac:dyDescent="0.3">
      <c r="A476" t="s">
        <v>495</v>
      </c>
      <c r="B476" t="s">
        <v>522</v>
      </c>
      <c r="C476" t="s">
        <v>13</v>
      </c>
      <c r="D476" t="str">
        <f>INT('Client'!$E476/12) &amp; " ans et " &amp; MOD('Client'!$E476,12) &amp; " mois"</f>
        <v>8 ans et 7 mois</v>
      </c>
      <c r="E476">
        <v>103</v>
      </c>
      <c r="F476" t="s">
        <v>22</v>
      </c>
      <c r="G476" s="7">
        <f>Client[[#This Row],[Duree_Cumulee_Panne_Min]]/1440</f>
        <v>0.20208333333333334</v>
      </c>
      <c r="H476">
        <v>291</v>
      </c>
      <c r="I476">
        <v>60.34</v>
      </c>
      <c r="J476">
        <v>5</v>
      </c>
      <c r="K476" s="8">
        <f>IF('Client'!$F476="Pro Monde",10%,IF(AND('Client'!$G476&gt;12,'Client'!$D476&gt;5),70%,IF(AND(OR('Client'!$G476&gt;=4,'Client'!$G476&lt;=12,'Client'!$D476&lt;5,(OR('Client'!$F476="Premium ")))),45%,0%)))</f>
        <v>0.45</v>
      </c>
      <c r="L476" s="4">
        <f>'Client'!$I476* ('Client'!$K476/100)</f>
        <v>0.27153000000000005</v>
      </c>
    </row>
    <row r="477" spans="1:12" x14ac:dyDescent="0.3">
      <c r="A477" t="s">
        <v>495</v>
      </c>
      <c r="B477" t="s">
        <v>523</v>
      </c>
      <c r="C477" t="s">
        <v>131</v>
      </c>
      <c r="D477" t="str">
        <f>INT('Client'!$E477/12) &amp; " ans et " &amp; MOD('Client'!$E477,12) &amp; " mois"</f>
        <v>0 ans et 10 mois</v>
      </c>
      <c r="E477">
        <v>10</v>
      </c>
      <c r="F477" t="s">
        <v>11</v>
      </c>
      <c r="G477" s="7">
        <f>Client[[#This Row],[Duree_Cumulee_Panne_Min]]/1440</f>
        <v>0.2951388888888889</v>
      </c>
      <c r="H477">
        <v>425</v>
      </c>
      <c r="I477">
        <v>85.75</v>
      </c>
      <c r="J477">
        <v>0</v>
      </c>
      <c r="K477" s="8">
        <f>IF('Client'!$F477="Pro Monde",10%,IF(AND('Client'!$G477&gt;12,'Client'!$D477&gt;5),70%,IF(AND(OR('Client'!$G477&gt;=4,'Client'!$G477&lt;=12,'Client'!$D477&lt;5,(OR('Client'!$F477="Premium ")))),45%,0%)))</f>
        <v>0.45</v>
      </c>
      <c r="L477" s="4">
        <f>'Client'!$I477* ('Client'!$K477/100)</f>
        <v>0.38587500000000002</v>
      </c>
    </row>
    <row r="478" spans="1:12" x14ac:dyDescent="0.3">
      <c r="A478" t="s">
        <v>495</v>
      </c>
      <c r="B478" t="s">
        <v>524</v>
      </c>
      <c r="C478" t="s">
        <v>13</v>
      </c>
      <c r="D478" t="str">
        <f>INT('Client'!$E478/12) &amp; " ans et " &amp; MOD('Client'!$E478,12) &amp; " mois"</f>
        <v>8 ans et 5 mois</v>
      </c>
      <c r="E478">
        <v>101</v>
      </c>
      <c r="F478" t="s">
        <v>19</v>
      </c>
      <c r="G478" s="7">
        <f>Client[[#This Row],[Duree_Cumulee_Panne_Min]]/1440</f>
        <v>0.28888888888888886</v>
      </c>
      <c r="H478">
        <v>416</v>
      </c>
      <c r="I478">
        <v>83.49</v>
      </c>
      <c r="J478">
        <v>2</v>
      </c>
      <c r="K478" s="8">
        <f>IF('Client'!$F478="Pro Monde",10%,IF(AND('Client'!$G478&gt;12,'Client'!$D478&gt;5),70%,IF(AND(OR('Client'!$G478&gt;=4,'Client'!$G478&lt;=12,'Client'!$D478&lt;5,(OR('Client'!$F478="Premium ")))),45%,0%)))</f>
        <v>0.45</v>
      </c>
      <c r="L478" s="4">
        <f>'Client'!$I478* ('Client'!$K478/100)</f>
        <v>0.37570500000000001</v>
      </c>
    </row>
    <row r="479" spans="1:12" x14ac:dyDescent="0.3">
      <c r="A479" t="s">
        <v>495</v>
      </c>
      <c r="B479" t="s">
        <v>525</v>
      </c>
      <c r="C479" t="s">
        <v>37</v>
      </c>
      <c r="D479" t="str">
        <f>INT('Client'!$E479/12) &amp; " ans et " &amp; MOD('Client'!$E479,12) &amp; " mois"</f>
        <v>0 ans et 1 mois</v>
      </c>
      <c r="E479">
        <v>1</v>
      </c>
      <c r="F479" t="s">
        <v>22</v>
      </c>
      <c r="G479" s="7">
        <f>Client[[#This Row],[Duree_Cumulee_Panne_Min]]/1440</f>
        <v>0.14791666666666667</v>
      </c>
      <c r="H479">
        <v>213</v>
      </c>
      <c r="I479">
        <v>52.16</v>
      </c>
      <c r="J479">
        <v>3</v>
      </c>
      <c r="K479" s="8">
        <f>IF('Client'!$F479="Pro Monde",10%,IF(AND('Client'!$G479&gt;12,'Client'!$D479&gt;5),70%,IF(AND(OR('Client'!$G479&gt;=4,'Client'!$G479&lt;=12,'Client'!$D479&lt;5,(OR('Client'!$F479="Premium ")))),45%,0%)))</f>
        <v>0.45</v>
      </c>
      <c r="L479" s="4">
        <f>'Client'!$I479* ('Client'!$K479/100)</f>
        <v>0.23472000000000001</v>
      </c>
    </row>
    <row r="480" spans="1:12" x14ac:dyDescent="0.3">
      <c r="A480" t="s">
        <v>495</v>
      </c>
      <c r="B480" t="s">
        <v>526</v>
      </c>
      <c r="C480" t="s">
        <v>51</v>
      </c>
      <c r="D480" t="str">
        <f>INT('Client'!$E480/12) &amp; " ans et " &amp; MOD('Client'!$E480,12) &amp; " mois"</f>
        <v>9 ans et 3 mois</v>
      </c>
      <c r="E480">
        <v>111</v>
      </c>
      <c r="F480" t="s">
        <v>19</v>
      </c>
      <c r="G480" s="7">
        <f>Client[[#This Row],[Duree_Cumulee_Panne_Min]]/1440</f>
        <v>5.2777777777777778E-2</v>
      </c>
      <c r="H480">
        <v>76</v>
      </c>
      <c r="I480">
        <v>38.19</v>
      </c>
      <c r="J480">
        <v>5</v>
      </c>
      <c r="K480" s="8">
        <f>IF('Client'!$F480="Pro Monde",10%,IF(AND('Client'!$G480&gt;12,'Client'!$D480&gt;5),70%,IF(AND(OR('Client'!$G480&gt;=4,'Client'!$G480&lt;=12,'Client'!$D480&lt;5,(OR('Client'!$F480="Premium ")))),45%,0%)))</f>
        <v>0.45</v>
      </c>
      <c r="L480" s="4">
        <f>'Client'!$I480* ('Client'!$K480/100)</f>
        <v>0.17185500000000001</v>
      </c>
    </row>
    <row r="481" spans="1:12" x14ac:dyDescent="0.3">
      <c r="A481" t="s">
        <v>495</v>
      </c>
      <c r="B481" t="s">
        <v>527</v>
      </c>
      <c r="C481" t="s">
        <v>26</v>
      </c>
      <c r="D481" t="str">
        <f>INT('Client'!$E481/12) &amp; " ans et " &amp; MOD('Client'!$E481,12) &amp; " mois"</f>
        <v>10 ans et 0 mois</v>
      </c>
      <c r="E481">
        <v>120</v>
      </c>
      <c r="F481" t="s">
        <v>11</v>
      </c>
      <c r="G481" s="7">
        <f>Client[[#This Row],[Duree_Cumulee_Panne_Min]]/1440</f>
        <v>0.27152777777777776</v>
      </c>
      <c r="H481">
        <v>391</v>
      </c>
      <c r="I481">
        <v>67.77</v>
      </c>
      <c r="J481">
        <v>4</v>
      </c>
      <c r="K481" s="8">
        <f>IF('Client'!$F481="Pro Monde",10%,IF(AND('Client'!$G481&gt;12,'Client'!$D481&gt;5),70%,IF(AND(OR('Client'!$G481&gt;=4,'Client'!$G481&lt;=12,'Client'!$D481&lt;5,(OR('Client'!$F481="Premium ")))),45%,0%)))</f>
        <v>0.45</v>
      </c>
      <c r="L481" s="4">
        <f>'Client'!$I481* ('Client'!$K481/100)</f>
        <v>0.30496500000000004</v>
      </c>
    </row>
    <row r="482" spans="1:12" x14ac:dyDescent="0.3">
      <c r="A482" t="s">
        <v>495</v>
      </c>
      <c r="B482" t="s">
        <v>528</v>
      </c>
      <c r="C482" t="s">
        <v>29</v>
      </c>
      <c r="D482" t="str">
        <f>INT('Client'!$E482/12) &amp; " ans et " &amp; MOD('Client'!$E482,12) &amp; " mois"</f>
        <v>1 ans et 8 mois</v>
      </c>
      <c r="E482">
        <v>20</v>
      </c>
      <c r="F482" t="s">
        <v>14</v>
      </c>
      <c r="G482" s="7">
        <f>Client[[#This Row],[Duree_Cumulee_Panne_Min]]/1440</f>
        <v>6.458333333333334E-2</v>
      </c>
      <c r="H482">
        <v>93</v>
      </c>
      <c r="I482">
        <v>84.45</v>
      </c>
      <c r="J482">
        <v>0</v>
      </c>
      <c r="K482" s="8">
        <f>IF('Client'!$F482="Pro Monde",10%,IF(AND('Client'!$G482&gt;12,'Client'!$D482&gt;5),70%,IF(AND(OR('Client'!$G482&gt;=4,'Client'!$G482&lt;=12,'Client'!$D482&lt;5,(OR('Client'!$F482="Premium ")))),45%,0%)))</f>
        <v>0.1</v>
      </c>
      <c r="L482" s="4">
        <f>'Client'!$I482* ('Client'!$K482/100)</f>
        <v>8.4450000000000011E-2</v>
      </c>
    </row>
    <row r="483" spans="1:12" x14ac:dyDescent="0.3">
      <c r="A483" t="s">
        <v>495</v>
      </c>
      <c r="B483" t="s">
        <v>529</v>
      </c>
      <c r="C483" t="s">
        <v>51</v>
      </c>
      <c r="D483" t="str">
        <f>INT('Client'!$E483/12) &amp; " ans et " &amp; MOD('Client'!$E483,12) &amp; " mois"</f>
        <v>8 ans et 4 mois</v>
      </c>
      <c r="E483">
        <v>100</v>
      </c>
      <c r="F483" t="s">
        <v>22</v>
      </c>
      <c r="G483" s="7">
        <f>Client[[#This Row],[Duree_Cumulee_Panne_Min]]/1440</f>
        <v>0.16666666666666666</v>
      </c>
      <c r="H483">
        <v>240</v>
      </c>
      <c r="I483">
        <v>24.83</v>
      </c>
      <c r="J483">
        <v>4</v>
      </c>
      <c r="K483" s="8">
        <f>IF('Client'!$F483="Pro Monde",10%,IF(AND('Client'!$G483&gt;12,'Client'!$D483&gt;5),70%,IF(AND(OR('Client'!$G483&gt;=4,'Client'!$G483&lt;=12,'Client'!$D483&lt;5,(OR('Client'!$F483="Premium ")))),45%,0%)))</f>
        <v>0.45</v>
      </c>
      <c r="L483" s="4">
        <f>'Client'!$I483* ('Client'!$K483/100)</f>
        <v>0.111735</v>
      </c>
    </row>
    <row r="484" spans="1:12" x14ac:dyDescent="0.3">
      <c r="A484" t="s">
        <v>495</v>
      </c>
      <c r="B484" t="s">
        <v>530</v>
      </c>
      <c r="C484" t="s">
        <v>57</v>
      </c>
      <c r="D484" t="str">
        <f>INT('Client'!$E484/12) &amp; " ans et " &amp; MOD('Client'!$E484,12) &amp; " mois"</f>
        <v>7 ans et 0 mois</v>
      </c>
      <c r="E484">
        <v>84</v>
      </c>
      <c r="F484" t="s">
        <v>19</v>
      </c>
      <c r="G484" s="7">
        <f>Client[[#This Row],[Duree_Cumulee_Panne_Min]]/1440</f>
        <v>0.2638888888888889</v>
      </c>
      <c r="H484">
        <v>380</v>
      </c>
      <c r="I484">
        <v>82.3</v>
      </c>
      <c r="J484">
        <v>1</v>
      </c>
      <c r="K484" s="8">
        <f>IF('Client'!$F484="Pro Monde",10%,IF(AND('Client'!$G484&gt;12,'Client'!$D484&gt;5),70%,IF(AND(OR('Client'!$G484&gt;=4,'Client'!$G484&lt;=12,'Client'!$D484&lt;5,(OR('Client'!$F484="Premium ")))),45%,0%)))</f>
        <v>0.45</v>
      </c>
      <c r="L484" s="4">
        <f>'Client'!$I484* ('Client'!$K484/100)</f>
        <v>0.37035000000000001</v>
      </c>
    </row>
    <row r="485" spans="1:12" x14ac:dyDescent="0.3">
      <c r="A485" t="s">
        <v>495</v>
      </c>
      <c r="B485" t="s">
        <v>531</v>
      </c>
      <c r="C485" t="s">
        <v>51</v>
      </c>
      <c r="D485" t="str">
        <f>INT('Client'!$E485/12) &amp; " ans et " &amp; MOD('Client'!$E485,12) &amp; " mois"</f>
        <v>1 ans et 7 mois</v>
      </c>
      <c r="E485">
        <v>19</v>
      </c>
      <c r="F485" t="s">
        <v>19</v>
      </c>
      <c r="G485" s="7">
        <f>Client[[#This Row],[Duree_Cumulee_Panne_Min]]/1440</f>
        <v>4.9305555555555554E-2</v>
      </c>
      <c r="H485">
        <v>71</v>
      </c>
      <c r="I485">
        <v>68.2</v>
      </c>
      <c r="J485">
        <v>0</v>
      </c>
      <c r="K485" s="8">
        <f>IF('Client'!$F485="Pro Monde",10%,IF(AND('Client'!$G485&gt;12,'Client'!$D485&gt;5),70%,IF(AND(OR('Client'!$G485&gt;=4,'Client'!$G485&lt;=12,'Client'!$D485&lt;5,(OR('Client'!$F485="Premium ")))),45%,0%)))</f>
        <v>0.45</v>
      </c>
      <c r="L485" s="4">
        <f>'Client'!$I485* ('Client'!$K485/100)</f>
        <v>0.30690000000000006</v>
      </c>
    </row>
    <row r="486" spans="1:12" x14ac:dyDescent="0.3">
      <c r="A486" t="s">
        <v>495</v>
      </c>
      <c r="B486" t="s">
        <v>532</v>
      </c>
      <c r="C486" t="s">
        <v>35</v>
      </c>
      <c r="D486" t="str">
        <f>INT('Client'!$E486/12) &amp; " ans et " &amp; MOD('Client'!$E486,12) &amp; " mois"</f>
        <v>3 ans et 5 mois</v>
      </c>
      <c r="E486">
        <v>41</v>
      </c>
      <c r="F486" t="s">
        <v>11</v>
      </c>
      <c r="G486" s="7">
        <f>Client[[#This Row],[Duree_Cumulee_Panne_Min]]/1440</f>
        <v>0.26597222222222222</v>
      </c>
      <c r="H486">
        <v>383</v>
      </c>
      <c r="I486">
        <v>27.53</v>
      </c>
      <c r="J486">
        <v>4</v>
      </c>
      <c r="K486" s="8">
        <f>IF('Client'!$F486="Pro Monde",10%,IF(AND('Client'!$G486&gt;12,'Client'!$D486&gt;5),70%,IF(AND(OR('Client'!$G486&gt;=4,'Client'!$G486&lt;=12,'Client'!$D486&lt;5,(OR('Client'!$F486="Premium ")))),45%,0%)))</f>
        <v>0.45</v>
      </c>
      <c r="L486" s="4">
        <f>'Client'!$I486* ('Client'!$K486/100)</f>
        <v>0.12388500000000002</v>
      </c>
    </row>
    <row r="487" spans="1:12" x14ac:dyDescent="0.3">
      <c r="A487" t="s">
        <v>495</v>
      </c>
      <c r="B487" t="s">
        <v>533</v>
      </c>
      <c r="C487" t="s">
        <v>21</v>
      </c>
      <c r="D487" t="str">
        <f>INT('Client'!$E487/12) &amp; " ans et " &amp; MOD('Client'!$E487,12) &amp; " mois"</f>
        <v>1 ans et 7 mois</v>
      </c>
      <c r="E487">
        <v>19</v>
      </c>
      <c r="F487" t="s">
        <v>11</v>
      </c>
      <c r="G487" s="7">
        <f>Client[[#This Row],[Duree_Cumulee_Panne_Min]]/1440</f>
        <v>0.1875</v>
      </c>
      <c r="H487">
        <v>270</v>
      </c>
      <c r="I487">
        <v>19.760000000000002</v>
      </c>
      <c r="J487">
        <v>3</v>
      </c>
      <c r="K487" s="8">
        <f>IF('Client'!$F487="Pro Monde",10%,IF(AND('Client'!$G487&gt;12,'Client'!$D487&gt;5),70%,IF(AND(OR('Client'!$G487&gt;=4,'Client'!$G487&lt;=12,'Client'!$D487&lt;5,(OR('Client'!$F487="Premium ")))),45%,0%)))</f>
        <v>0.45</v>
      </c>
      <c r="L487" s="4">
        <f>'Client'!$I487* ('Client'!$K487/100)</f>
        <v>8.8920000000000013E-2</v>
      </c>
    </row>
    <row r="488" spans="1:12" x14ac:dyDescent="0.3">
      <c r="A488" t="s">
        <v>495</v>
      </c>
      <c r="B488" t="s">
        <v>534</v>
      </c>
      <c r="C488" t="s">
        <v>40</v>
      </c>
      <c r="D488" t="str">
        <f>INT('Client'!$E488/12) &amp; " ans et " &amp; MOD('Client'!$E488,12) &amp; " mois"</f>
        <v>4 ans et 2 mois</v>
      </c>
      <c r="E488">
        <v>50</v>
      </c>
      <c r="F488" t="s">
        <v>22</v>
      </c>
      <c r="G488" s="7">
        <f>Client[[#This Row],[Duree_Cumulee_Panne_Min]]/1440</f>
        <v>0.24791666666666667</v>
      </c>
      <c r="H488">
        <v>357</v>
      </c>
      <c r="I488">
        <v>17</v>
      </c>
      <c r="J488">
        <v>3</v>
      </c>
      <c r="K488" s="8">
        <f>IF('Client'!$F488="Pro Monde",10%,IF(AND('Client'!$G488&gt;12,'Client'!$D488&gt;5),70%,IF(AND(OR('Client'!$G488&gt;=4,'Client'!$G488&lt;=12,'Client'!$D488&lt;5,(OR('Client'!$F488="Premium ")))),45%,0%)))</f>
        <v>0.45</v>
      </c>
      <c r="L488" s="4">
        <f>'Client'!$I488* ('Client'!$K488/100)</f>
        <v>7.6500000000000012E-2</v>
      </c>
    </row>
    <row r="489" spans="1:12" x14ac:dyDescent="0.3">
      <c r="A489" t="s">
        <v>495</v>
      </c>
      <c r="B489" t="s">
        <v>535</v>
      </c>
      <c r="C489" t="s">
        <v>31</v>
      </c>
      <c r="D489" t="str">
        <f>INT('Client'!$E489/12) &amp; " ans et " &amp; MOD('Client'!$E489,12) &amp; " mois"</f>
        <v>4 ans et 10 mois</v>
      </c>
      <c r="E489">
        <v>58</v>
      </c>
      <c r="F489" t="s">
        <v>11</v>
      </c>
      <c r="G489" s="7">
        <f>Client[[#This Row],[Duree_Cumulee_Panne_Min]]/1440</f>
        <v>0.33680555555555558</v>
      </c>
      <c r="H489">
        <v>485</v>
      </c>
      <c r="I489">
        <v>64.290000000000006</v>
      </c>
      <c r="J489">
        <v>4</v>
      </c>
      <c r="K489" s="8">
        <f>IF('Client'!$F489="Pro Monde",10%,IF(AND('Client'!$G489&gt;12,'Client'!$D489&gt;5),70%,IF(AND(OR('Client'!$G489&gt;=4,'Client'!$G489&lt;=12,'Client'!$D489&lt;5,(OR('Client'!$F489="Premium ")))),45%,0%)))</f>
        <v>0.45</v>
      </c>
      <c r="L489" s="4">
        <f>'Client'!$I489* ('Client'!$K489/100)</f>
        <v>0.28930500000000003</v>
      </c>
    </row>
    <row r="490" spans="1:12" x14ac:dyDescent="0.3">
      <c r="A490" t="s">
        <v>495</v>
      </c>
      <c r="B490" t="s">
        <v>536</v>
      </c>
      <c r="C490" t="s">
        <v>78</v>
      </c>
      <c r="D490" t="str">
        <f>INT('Client'!$E490/12) &amp; " ans et " &amp; MOD('Client'!$E490,12) &amp; " mois"</f>
        <v>7 ans et 9 mois</v>
      </c>
      <c r="E490">
        <v>93</v>
      </c>
      <c r="F490" t="s">
        <v>14</v>
      </c>
      <c r="G490" s="7">
        <f>Client[[#This Row],[Duree_Cumulee_Panne_Min]]/1440</f>
        <v>0.10625</v>
      </c>
      <c r="H490">
        <v>153</v>
      </c>
      <c r="I490">
        <v>86.19</v>
      </c>
      <c r="J490">
        <v>0</v>
      </c>
      <c r="K490" s="8">
        <f>IF('Client'!$F490="Pro Monde",10%,IF(AND('Client'!$G490&gt;12,'Client'!$D490&gt;5),70%,IF(AND(OR('Client'!$G490&gt;=4,'Client'!$G490&lt;=12,'Client'!$D490&lt;5,(OR('Client'!$F490="Premium ")))),45%,0%)))</f>
        <v>0.1</v>
      </c>
      <c r="L490" s="4">
        <f>'Client'!$I490* ('Client'!$K490/100)</f>
        <v>8.6190000000000003E-2</v>
      </c>
    </row>
    <row r="491" spans="1:12" x14ac:dyDescent="0.3">
      <c r="A491" t="s">
        <v>495</v>
      </c>
      <c r="B491" t="s">
        <v>537</v>
      </c>
      <c r="C491" t="s">
        <v>51</v>
      </c>
      <c r="D491" t="str">
        <f>INT('Client'!$E491/12) &amp; " ans et " &amp; MOD('Client'!$E491,12) &amp; " mois"</f>
        <v>8 ans et 6 mois</v>
      </c>
      <c r="E491">
        <v>102</v>
      </c>
      <c r="F491" t="s">
        <v>22</v>
      </c>
      <c r="G491" s="7">
        <f>Client[[#This Row],[Duree_Cumulee_Panne_Min]]/1440</f>
        <v>0.16666666666666666</v>
      </c>
      <c r="H491">
        <v>240</v>
      </c>
      <c r="I491">
        <v>12.52</v>
      </c>
      <c r="J491">
        <v>2</v>
      </c>
      <c r="K491" s="8">
        <f>IF('Client'!$F491="Pro Monde",10%,IF(AND('Client'!$G491&gt;12,'Client'!$D491&gt;5),70%,IF(AND(OR('Client'!$G491&gt;=4,'Client'!$G491&lt;=12,'Client'!$D491&lt;5,(OR('Client'!$F491="Premium ")))),45%,0%)))</f>
        <v>0.45</v>
      </c>
      <c r="L491" s="4">
        <f>'Client'!$I491* ('Client'!$K491/100)</f>
        <v>5.6340000000000008E-2</v>
      </c>
    </row>
    <row r="492" spans="1:12" x14ac:dyDescent="0.3">
      <c r="A492" t="s">
        <v>495</v>
      </c>
      <c r="B492" t="s">
        <v>538</v>
      </c>
      <c r="C492" t="s">
        <v>21</v>
      </c>
      <c r="D492" t="str">
        <f>INT('Client'!$E492/12) &amp; " ans et " &amp; MOD('Client'!$E492,12) &amp; " mois"</f>
        <v>8 ans et 5 mois</v>
      </c>
      <c r="E492">
        <v>101</v>
      </c>
      <c r="F492" t="s">
        <v>14</v>
      </c>
      <c r="G492" s="7">
        <f>Client[[#This Row],[Duree_Cumulee_Panne_Min]]/1440</f>
        <v>0.14583333333333334</v>
      </c>
      <c r="H492">
        <v>210</v>
      </c>
      <c r="I492">
        <v>35.4</v>
      </c>
      <c r="J492">
        <v>1</v>
      </c>
      <c r="K492" s="8">
        <f>IF('Client'!$F492="Pro Monde",10%,IF(AND('Client'!$G492&gt;12,'Client'!$D492&gt;5),70%,IF(AND(OR('Client'!$G492&gt;=4,'Client'!$G492&lt;=12,'Client'!$D492&lt;5,(OR('Client'!$F492="Premium ")))),45%,0%)))</f>
        <v>0.1</v>
      </c>
      <c r="L492" s="4">
        <f>'Client'!$I492* ('Client'!$K492/100)</f>
        <v>3.5400000000000001E-2</v>
      </c>
    </row>
    <row r="493" spans="1:12" x14ac:dyDescent="0.3">
      <c r="A493" t="s">
        <v>495</v>
      </c>
      <c r="B493" t="s">
        <v>539</v>
      </c>
      <c r="C493" t="s">
        <v>40</v>
      </c>
      <c r="D493" t="str">
        <f>INT('Client'!$E493/12) &amp; " ans et " &amp; MOD('Client'!$E493,12) &amp; " mois"</f>
        <v>5 ans et 2 mois</v>
      </c>
      <c r="E493">
        <v>62</v>
      </c>
      <c r="F493" t="s">
        <v>22</v>
      </c>
      <c r="G493" s="7">
        <f>Client[[#This Row],[Duree_Cumulee_Panne_Min]]/1440</f>
        <v>0.25624999999999998</v>
      </c>
      <c r="H493">
        <v>369</v>
      </c>
      <c r="I493">
        <v>58.74</v>
      </c>
      <c r="J493">
        <v>1</v>
      </c>
      <c r="K493" s="8">
        <f>IF('Client'!$F493="Pro Monde",10%,IF(AND('Client'!$G493&gt;12,'Client'!$D493&gt;5),70%,IF(AND(OR('Client'!$G493&gt;=4,'Client'!$G493&lt;=12,'Client'!$D493&lt;5,(OR('Client'!$F493="Premium ")))),45%,0%)))</f>
        <v>0.45</v>
      </c>
      <c r="L493" s="4">
        <f>'Client'!$I493* ('Client'!$K493/100)</f>
        <v>0.26433000000000006</v>
      </c>
    </row>
    <row r="494" spans="1:12" x14ac:dyDescent="0.3">
      <c r="A494" t="s">
        <v>495</v>
      </c>
      <c r="B494" t="s">
        <v>540</v>
      </c>
      <c r="C494" t="s">
        <v>62</v>
      </c>
      <c r="D494" t="str">
        <f>INT('Client'!$E494/12) &amp; " ans et " &amp; MOD('Client'!$E494,12) &amp; " mois"</f>
        <v>8 ans et 9 mois</v>
      </c>
      <c r="E494">
        <v>105</v>
      </c>
      <c r="F494" t="s">
        <v>22</v>
      </c>
      <c r="G494" s="7">
        <f>Client[[#This Row],[Duree_Cumulee_Panne_Min]]/1440</f>
        <v>0.11944444444444445</v>
      </c>
      <c r="H494">
        <v>172</v>
      </c>
      <c r="I494">
        <v>15.88</v>
      </c>
      <c r="J494">
        <v>5</v>
      </c>
      <c r="K494" s="8">
        <f>IF('Client'!$F494="Pro Monde",10%,IF(AND('Client'!$G494&gt;12,'Client'!$D494&gt;5),70%,IF(AND(OR('Client'!$G494&gt;=4,'Client'!$G494&lt;=12,'Client'!$D494&lt;5,(OR('Client'!$F494="Premium ")))),45%,0%)))</f>
        <v>0.45</v>
      </c>
      <c r="L494" s="4">
        <f>'Client'!$I494* ('Client'!$K494/100)</f>
        <v>7.146000000000001E-2</v>
      </c>
    </row>
    <row r="495" spans="1:12" x14ac:dyDescent="0.3">
      <c r="A495" t="s">
        <v>495</v>
      </c>
      <c r="B495" t="s">
        <v>541</v>
      </c>
      <c r="C495" t="s">
        <v>31</v>
      </c>
      <c r="D495" t="str">
        <f>INT('Client'!$E495/12) &amp; " ans et " &amp; MOD('Client'!$E495,12) &amp; " mois"</f>
        <v>0 ans et 9 mois</v>
      </c>
      <c r="E495">
        <v>9</v>
      </c>
      <c r="F495" t="s">
        <v>22</v>
      </c>
      <c r="G495" s="7">
        <f>Client[[#This Row],[Duree_Cumulee_Panne_Min]]/1440</f>
        <v>0.15763888888888888</v>
      </c>
      <c r="H495">
        <v>227</v>
      </c>
      <c r="I495">
        <v>63.74</v>
      </c>
      <c r="J495">
        <v>3</v>
      </c>
      <c r="K495" s="8">
        <f>IF('Client'!$F495="Pro Monde",10%,IF(AND('Client'!$G495&gt;12,'Client'!$D495&gt;5),70%,IF(AND(OR('Client'!$G495&gt;=4,'Client'!$G495&lt;=12,'Client'!$D495&lt;5,(OR('Client'!$F495="Premium ")))),45%,0%)))</f>
        <v>0.45</v>
      </c>
      <c r="L495" s="4">
        <f>'Client'!$I495* ('Client'!$K495/100)</f>
        <v>0.28683000000000003</v>
      </c>
    </row>
    <row r="496" spans="1:12" x14ac:dyDescent="0.3">
      <c r="A496" t="s">
        <v>495</v>
      </c>
      <c r="B496" t="s">
        <v>542</v>
      </c>
      <c r="C496" t="s">
        <v>44</v>
      </c>
      <c r="D496" t="str">
        <f>INT('Client'!$E496/12) &amp; " ans et " &amp; MOD('Client'!$E496,12) &amp; " mois"</f>
        <v>1 ans et 3 mois</v>
      </c>
      <c r="E496">
        <v>15</v>
      </c>
      <c r="F496" t="s">
        <v>19</v>
      </c>
      <c r="G496" s="7">
        <f>Client[[#This Row],[Duree_Cumulee_Panne_Min]]/1440</f>
        <v>0.27777777777777779</v>
      </c>
      <c r="H496">
        <v>400</v>
      </c>
      <c r="I496">
        <v>78.09</v>
      </c>
      <c r="J496">
        <v>0</v>
      </c>
      <c r="K496" s="8">
        <f>IF('Client'!$F496="Pro Monde",10%,IF(AND('Client'!$G496&gt;12,'Client'!$D496&gt;5),70%,IF(AND(OR('Client'!$G496&gt;=4,'Client'!$G496&lt;=12,'Client'!$D496&lt;5,(OR('Client'!$F496="Premium ")))),45%,0%)))</f>
        <v>0.45</v>
      </c>
      <c r="L496" s="4">
        <f>'Client'!$I496* ('Client'!$K496/100)</f>
        <v>0.35140500000000008</v>
      </c>
    </row>
    <row r="497" spans="1:12" x14ac:dyDescent="0.3">
      <c r="A497" t="s">
        <v>495</v>
      </c>
      <c r="B497" t="s">
        <v>543</v>
      </c>
      <c r="C497" t="s">
        <v>29</v>
      </c>
      <c r="D497" t="str">
        <f>INT('Client'!$E497/12) &amp; " ans et " &amp; MOD('Client'!$E497,12) &amp; " mois"</f>
        <v>6 ans et 2 mois</v>
      </c>
      <c r="E497">
        <v>74</v>
      </c>
      <c r="F497" t="s">
        <v>22</v>
      </c>
      <c r="G497" s="7">
        <f>Client[[#This Row],[Duree_Cumulee_Panne_Min]]/1440</f>
        <v>0.22916666666666666</v>
      </c>
      <c r="H497">
        <v>330</v>
      </c>
      <c r="I497">
        <v>37.82</v>
      </c>
      <c r="J497">
        <v>5</v>
      </c>
      <c r="K497" s="8">
        <f>IF('Client'!$F497="Pro Monde",10%,IF(AND('Client'!$G497&gt;12,'Client'!$D497&gt;5),70%,IF(AND(OR('Client'!$G497&gt;=4,'Client'!$G497&lt;=12,'Client'!$D497&lt;5,(OR('Client'!$F497="Premium ")))),45%,0%)))</f>
        <v>0.45</v>
      </c>
      <c r="L497" s="4">
        <f>'Client'!$I497* ('Client'!$K497/100)</f>
        <v>0.17019000000000001</v>
      </c>
    </row>
    <row r="498" spans="1:12" x14ac:dyDescent="0.3">
      <c r="A498" t="s">
        <v>495</v>
      </c>
      <c r="B498" t="s">
        <v>544</v>
      </c>
      <c r="C498" t="s">
        <v>10</v>
      </c>
      <c r="D498" t="str">
        <f>INT('Client'!$E498/12) &amp; " ans et " &amp; MOD('Client'!$E498,12) &amp; " mois"</f>
        <v>4 ans et 7 mois</v>
      </c>
      <c r="E498">
        <v>55</v>
      </c>
      <c r="F498" t="s">
        <v>19</v>
      </c>
      <c r="G498" s="7">
        <f>Client[[#This Row],[Duree_Cumulee_Panne_Min]]/1440</f>
        <v>0.24652777777777779</v>
      </c>
      <c r="H498">
        <v>355</v>
      </c>
      <c r="I498">
        <v>59.65</v>
      </c>
      <c r="J498">
        <v>0</v>
      </c>
      <c r="K498" s="8">
        <f>IF('Client'!$F498="Pro Monde",10%,IF(AND('Client'!$G498&gt;12,'Client'!$D498&gt;5),70%,IF(AND(OR('Client'!$G498&gt;=4,'Client'!$G498&lt;=12,'Client'!$D498&lt;5,(OR('Client'!$F498="Premium ")))),45%,0%)))</f>
        <v>0.45</v>
      </c>
      <c r="L498" s="4">
        <f>'Client'!$I498* ('Client'!$K498/100)</f>
        <v>0.26842500000000002</v>
      </c>
    </row>
    <row r="499" spans="1:12" x14ac:dyDescent="0.3">
      <c r="A499" t="s">
        <v>495</v>
      </c>
      <c r="B499" t="s">
        <v>545</v>
      </c>
      <c r="C499" t="s">
        <v>73</v>
      </c>
      <c r="D499" t="str">
        <f>INT('Client'!$E499/12) &amp; " ans et " &amp; MOD('Client'!$E499,12) &amp; " mois"</f>
        <v>7 ans et 10 mois</v>
      </c>
      <c r="E499">
        <v>94</v>
      </c>
      <c r="F499" t="s">
        <v>22</v>
      </c>
      <c r="G499" s="7">
        <f>Client[[#This Row],[Duree_Cumulee_Panne_Min]]/1440</f>
        <v>4.1666666666666666E-3</v>
      </c>
      <c r="H499">
        <v>6</v>
      </c>
      <c r="I499">
        <v>67.459999999999994</v>
      </c>
      <c r="J499">
        <v>5</v>
      </c>
      <c r="K499" s="8">
        <f>IF('Client'!$F499="Pro Monde",10%,IF(AND('Client'!$G499&gt;12,'Client'!$D499&gt;5),70%,IF(AND(OR('Client'!$G499&gt;=4,'Client'!$G499&lt;=12,'Client'!$D499&lt;5,(OR('Client'!$F499="Premium ")))),45%,0%)))</f>
        <v>0.45</v>
      </c>
      <c r="L499" s="4">
        <f>'Client'!$I499* ('Client'!$K499/100)</f>
        <v>0.30357000000000001</v>
      </c>
    </row>
    <row r="500" spans="1:12" x14ac:dyDescent="0.3">
      <c r="A500" t="s">
        <v>546</v>
      </c>
      <c r="B500" t="s">
        <v>547</v>
      </c>
      <c r="C500" t="s">
        <v>16</v>
      </c>
      <c r="D500" t="str">
        <f>INT('Client'!$E500/12) &amp; " ans et " &amp; MOD('Client'!$E500,12) &amp; " mois"</f>
        <v>10 ans et 0 mois</v>
      </c>
      <c r="E500">
        <v>120</v>
      </c>
      <c r="F500" t="s">
        <v>19</v>
      </c>
      <c r="G500" s="7">
        <f>Client[[#This Row],[Duree_Cumulee_Panne_Min]]/1440</f>
        <v>1.8749999999999999E-2</v>
      </c>
      <c r="H500">
        <v>27</v>
      </c>
      <c r="I500">
        <v>24.46</v>
      </c>
      <c r="J500">
        <v>3</v>
      </c>
      <c r="K500" s="8">
        <f>IF('Client'!$F500="Pro Monde",10%,IF(AND('Client'!$G500&gt;12,'Client'!$D500&gt;5),70%,IF(AND(OR('Client'!$G500&gt;=4,'Client'!$G500&lt;=12,'Client'!$D500&lt;5,(OR('Client'!$F500="Premium ")))),45%,0%)))</f>
        <v>0.45</v>
      </c>
      <c r="L500" s="4">
        <f>'Client'!$I500* ('Client'!$K500/100)</f>
        <v>0.11007000000000002</v>
      </c>
    </row>
    <row r="501" spans="1:12" x14ac:dyDescent="0.3">
      <c r="A501" t="s">
        <v>546</v>
      </c>
      <c r="B501" t="s">
        <v>548</v>
      </c>
      <c r="C501" t="s">
        <v>44</v>
      </c>
      <c r="D501" t="str">
        <f>INT('Client'!$E501/12) &amp; " ans et " &amp; MOD('Client'!$E501,12) &amp; " mois"</f>
        <v>3 ans et 2 mois</v>
      </c>
      <c r="E501">
        <v>38</v>
      </c>
      <c r="F501" t="s">
        <v>19</v>
      </c>
      <c r="G501" s="7">
        <f>Client[[#This Row],[Duree_Cumulee_Panne_Min]]/1440</f>
        <v>7.4999999999999997E-2</v>
      </c>
      <c r="H501">
        <v>108</v>
      </c>
      <c r="I501">
        <v>72.7</v>
      </c>
      <c r="J501">
        <v>3</v>
      </c>
      <c r="K501" s="8">
        <f>IF('Client'!$F501="Pro Monde",10%,IF(AND('Client'!$G501&gt;12,'Client'!$D501&gt;5),70%,IF(AND(OR('Client'!$G501&gt;=4,'Client'!$G501&lt;=12,'Client'!$D501&lt;5,(OR('Client'!$F501="Premium ")))),45%,0%)))</f>
        <v>0.45</v>
      </c>
      <c r="L501" s="4">
        <f>'Client'!$I501* ('Client'!$K501/100)</f>
        <v>0.32715000000000005</v>
      </c>
    </row>
    <row r="502" spans="1:12" x14ac:dyDescent="0.3">
      <c r="A502" t="s">
        <v>546</v>
      </c>
      <c r="B502" t="s">
        <v>549</v>
      </c>
      <c r="C502" t="s">
        <v>137</v>
      </c>
      <c r="D502" t="str">
        <f>INT('Client'!$E502/12) &amp; " ans et " &amp; MOD('Client'!$E502,12) &amp; " mois"</f>
        <v>1 ans et 9 mois</v>
      </c>
      <c r="E502">
        <v>21</v>
      </c>
      <c r="F502" t="s">
        <v>22</v>
      </c>
      <c r="G502" s="7">
        <f>Client[[#This Row],[Duree_Cumulee_Panne_Min]]/1440</f>
        <v>0.30833333333333335</v>
      </c>
      <c r="H502">
        <v>444</v>
      </c>
      <c r="I502">
        <v>41.92</v>
      </c>
      <c r="J502">
        <v>3</v>
      </c>
      <c r="K502" s="8">
        <f>IF('Client'!$F502="Pro Monde",10%,IF(AND('Client'!$G502&gt;12,'Client'!$D502&gt;5),70%,IF(AND(OR('Client'!$G502&gt;=4,'Client'!$G502&lt;=12,'Client'!$D502&lt;5,(OR('Client'!$F502="Premium ")))),45%,0%)))</f>
        <v>0.45</v>
      </c>
      <c r="L502" s="4">
        <f>'Client'!$I502* ('Client'!$K502/100)</f>
        <v>0.18864000000000003</v>
      </c>
    </row>
    <row r="503" spans="1:12" x14ac:dyDescent="0.3">
      <c r="A503" t="s">
        <v>546</v>
      </c>
      <c r="B503" t="s">
        <v>550</v>
      </c>
      <c r="C503" t="s">
        <v>37</v>
      </c>
      <c r="D503" t="str">
        <f>INT('Client'!$E503/12) &amp; " ans et " &amp; MOD('Client'!$E503,12) &amp; " mois"</f>
        <v>0 ans et 9 mois</v>
      </c>
      <c r="E503">
        <v>9</v>
      </c>
      <c r="F503" t="s">
        <v>19</v>
      </c>
      <c r="G503" s="7">
        <f>Client[[#This Row],[Duree_Cumulee_Panne_Min]]/1440</f>
        <v>7.6388888888888886E-3</v>
      </c>
      <c r="H503">
        <v>11</v>
      </c>
      <c r="I503">
        <v>72.36</v>
      </c>
      <c r="J503">
        <v>2</v>
      </c>
      <c r="K503" s="8">
        <f>IF('Client'!$F503="Pro Monde",10%,IF(AND('Client'!$G503&gt;12,'Client'!$D503&gt;5),70%,IF(AND(OR('Client'!$G503&gt;=4,'Client'!$G503&lt;=12,'Client'!$D503&lt;5,(OR('Client'!$F503="Premium ")))),45%,0%)))</f>
        <v>0.45</v>
      </c>
      <c r="L503" s="4">
        <f>'Client'!$I503* ('Client'!$K503/100)</f>
        <v>0.32562000000000002</v>
      </c>
    </row>
    <row r="504" spans="1:12" x14ac:dyDescent="0.3">
      <c r="A504" t="s">
        <v>546</v>
      </c>
      <c r="B504" t="s">
        <v>551</v>
      </c>
      <c r="C504" t="s">
        <v>29</v>
      </c>
      <c r="D504" t="str">
        <f>INT('Client'!$E504/12) &amp; " ans et " &amp; MOD('Client'!$E504,12) &amp; " mois"</f>
        <v>3 ans et 0 mois</v>
      </c>
      <c r="E504">
        <v>36</v>
      </c>
      <c r="F504" t="s">
        <v>22</v>
      </c>
      <c r="G504" s="7">
        <f>Client[[#This Row],[Duree_Cumulee_Panne_Min]]/1440</f>
        <v>0.33819444444444446</v>
      </c>
      <c r="H504">
        <v>487</v>
      </c>
      <c r="I504">
        <v>45.02</v>
      </c>
      <c r="J504">
        <v>2</v>
      </c>
      <c r="K504" s="8">
        <f>IF('Client'!$F504="Pro Monde",10%,IF(AND('Client'!$G504&gt;12,'Client'!$D504&gt;5),70%,IF(AND(OR('Client'!$G504&gt;=4,'Client'!$G504&lt;=12,'Client'!$D504&lt;5,(OR('Client'!$F504="Premium ")))),45%,0%)))</f>
        <v>0.45</v>
      </c>
      <c r="L504" s="4">
        <f>'Client'!$I504* ('Client'!$K504/100)</f>
        <v>0.20259000000000005</v>
      </c>
    </row>
    <row r="505" spans="1:12" x14ac:dyDescent="0.3">
      <c r="A505" t="s">
        <v>546</v>
      </c>
      <c r="B505" t="s">
        <v>552</v>
      </c>
      <c r="C505" t="s">
        <v>73</v>
      </c>
      <c r="D505" t="str">
        <f>INT('Client'!$E505/12) &amp; " ans et " &amp; MOD('Client'!$E505,12) &amp; " mois"</f>
        <v>6 ans et 2 mois</v>
      </c>
      <c r="E505">
        <v>74</v>
      </c>
      <c r="F505" t="s">
        <v>19</v>
      </c>
      <c r="G505" s="7">
        <f>Client[[#This Row],[Duree_Cumulee_Panne_Min]]/1440</f>
        <v>0.26944444444444443</v>
      </c>
      <c r="H505">
        <v>388</v>
      </c>
      <c r="I505">
        <v>10.89</v>
      </c>
      <c r="J505">
        <v>4</v>
      </c>
      <c r="K505" s="8">
        <f>IF('Client'!$F505="Pro Monde",10%,IF(AND('Client'!$G505&gt;12,'Client'!$D505&gt;5),70%,IF(AND(OR('Client'!$G505&gt;=4,'Client'!$G505&lt;=12,'Client'!$D505&lt;5,(OR('Client'!$F505="Premium ")))),45%,0%)))</f>
        <v>0.45</v>
      </c>
      <c r="L505" s="4">
        <f>'Client'!$I505* ('Client'!$K505/100)</f>
        <v>4.9005000000000007E-2</v>
      </c>
    </row>
    <row r="506" spans="1:12" x14ac:dyDescent="0.3">
      <c r="A506" t="s">
        <v>546</v>
      </c>
      <c r="B506" t="s">
        <v>553</v>
      </c>
      <c r="C506" t="s">
        <v>73</v>
      </c>
      <c r="D506" t="str">
        <f>INT('Client'!$E506/12) &amp; " ans et " &amp; MOD('Client'!$E506,12) &amp; " mois"</f>
        <v>3 ans et 11 mois</v>
      </c>
      <c r="E506">
        <v>47</v>
      </c>
      <c r="F506" t="s">
        <v>11</v>
      </c>
      <c r="G506" s="7">
        <f>Client[[#This Row],[Duree_Cumulee_Panne_Min]]/1440</f>
        <v>0.24305555555555555</v>
      </c>
      <c r="H506">
        <v>350</v>
      </c>
      <c r="I506">
        <v>80.48</v>
      </c>
      <c r="J506">
        <v>3</v>
      </c>
      <c r="K506" s="8">
        <f>IF('Client'!$F506="Pro Monde",10%,IF(AND('Client'!$G506&gt;12,'Client'!$D506&gt;5),70%,IF(AND(OR('Client'!$G506&gt;=4,'Client'!$G506&lt;=12,'Client'!$D506&lt;5,(OR('Client'!$F506="Premium ")))),45%,0%)))</f>
        <v>0.45</v>
      </c>
      <c r="L506" s="4">
        <f>'Client'!$I506* ('Client'!$K506/100)</f>
        <v>0.36216000000000004</v>
      </c>
    </row>
    <row r="507" spans="1:12" x14ac:dyDescent="0.3">
      <c r="A507" t="s">
        <v>546</v>
      </c>
      <c r="B507" t="s">
        <v>554</v>
      </c>
      <c r="C507" t="s">
        <v>18</v>
      </c>
      <c r="D507" t="str">
        <f>INT('Client'!$E507/12) &amp; " ans et " &amp; MOD('Client'!$E507,12) &amp; " mois"</f>
        <v>3 ans et 10 mois</v>
      </c>
      <c r="E507">
        <v>46</v>
      </c>
      <c r="F507" t="s">
        <v>14</v>
      </c>
      <c r="G507" s="7">
        <f>Client[[#This Row],[Duree_Cumulee_Panne_Min]]/1440</f>
        <v>0.15</v>
      </c>
      <c r="H507">
        <v>216</v>
      </c>
      <c r="I507">
        <v>63.74</v>
      </c>
      <c r="J507">
        <v>4</v>
      </c>
      <c r="K507" s="8">
        <f>IF('Client'!$F507="Pro Monde",10%,IF(AND('Client'!$G507&gt;12,'Client'!$D507&gt;5),70%,IF(AND(OR('Client'!$G507&gt;=4,'Client'!$G507&lt;=12,'Client'!$D507&lt;5,(OR('Client'!$F507="Premium ")))),45%,0%)))</f>
        <v>0.1</v>
      </c>
      <c r="L507" s="4">
        <f>'Client'!$I507* ('Client'!$K507/100)</f>
        <v>6.3740000000000005E-2</v>
      </c>
    </row>
    <row r="508" spans="1:12" x14ac:dyDescent="0.3">
      <c r="A508" t="s">
        <v>546</v>
      </c>
      <c r="B508" t="s">
        <v>555</v>
      </c>
      <c r="C508" t="s">
        <v>31</v>
      </c>
      <c r="D508" t="str">
        <f>INT('Client'!$E508/12) &amp; " ans et " &amp; MOD('Client'!$E508,12) &amp; " mois"</f>
        <v>1 ans et 0 mois</v>
      </c>
      <c r="E508">
        <v>12</v>
      </c>
      <c r="F508" t="s">
        <v>22</v>
      </c>
      <c r="G508" s="7">
        <f>Client[[#This Row],[Duree_Cumulee_Panne_Min]]/1440</f>
        <v>9.583333333333334E-2</v>
      </c>
      <c r="H508">
        <v>138</v>
      </c>
      <c r="I508">
        <v>17</v>
      </c>
      <c r="J508">
        <v>2</v>
      </c>
      <c r="K508" s="8">
        <f>IF('Client'!$F508="Pro Monde",10%,IF(AND('Client'!$G508&gt;12,'Client'!$D508&gt;5),70%,IF(AND(OR('Client'!$G508&gt;=4,'Client'!$G508&lt;=12,'Client'!$D508&lt;5,(OR('Client'!$F508="Premium ")))),45%,0%)))</f>
        <v>0.45</v>
      </c>
      <c r="L508" s="4">
        <f>'Client'!$I508* ('Client'!$K508/100)</f>
        <v>7.6500000000000012E-2</v>
      </c>
    </row>
    <row r="509" spans="1:12" x14ac:dyDescent="0.3">
      <c r="A509" t="s">
        <v>546</v>
      </c>
      <c r="B509" t="s">
        <v>556</v>
      </c>
      <c r="C509" t="s">
        <v>16</v>
      </c>
      <c r="D509" t="str">
        <f>INT('Client'!$E509/12) &amp; " ans et " &amp; MOD('Client'!$E509,12) &amp; " mois"</f>
        <v>0 ans et 10 mois</v>
      </c>
      <c r="E509">
        <v>10</v>
      </c>
      <c r="F509" t="s">
        <v>14</v>
      </c>
      <c r="G509" s="7">
        <f>Client[[#This Row],[Duree_Cumulee_Panne_Min]]/1440</f>
        <v>8.9583333333333334E-2</v>
      </c>
      <c r="H509">
        <v>129</v>
      </c>
      <c r="I509">
        <v>70.12</v>
      </c>
      <c r="J509">
        <v>0</v>
      </c>
      <c r="K509" s="8">
        <f>IF('Client'!$F509="Pro Monde",10%,IF(AND('Client'!$G509&gt;12,'Client'!$D509&gt;5),70%,IF(AND(OR('Client'!$G509&gt;=4,'Client'!$G509&lt;=12,'Client'!$D509&lt;5,(OR('Client'!$F509="Premium ")))),45%,0%)))</f>
        <v>0.1</v>
      </c>
      <c r="L509" s="4">
        <f>'Client'!$I509* ('Client'!$K509/100)</f>
        <v>7.0120000000000002E-2</v>
      </c>
    </row>
    <row r="510" spans="1:12" x14ac:dyDescent="0.3">
      <c r="A510" t="s">
        <v>546</v>
      </c>
      <c r="B510" t="s">
        <v>557</v>
      </c>
      <c r="C510" t="s">
        <v>73</v>
      </c>
      <c r="D510" t="str">
        <f>INT('Client'!$E510/12) &amp; " ans et " &amp; MOD('Client'!$E510,12) &amp; " mois"</f>
        <v>1 ans et 11 mois</v>
      </c>
      <c r="E510">
        <v>23</v>
      </c>
      <c r="F510" t="s">
        <v>19</v>
      </c>
      <c r="G510" s="7">
        <f>Client[[#This Row],[Duree_Cumulee_Panne_Min]]/1440</f>
        <v>0.22569444444444445</v>
      </c>
      <c r="H510">
        <v>325</v>
      </c>
      <c r="I510">
        <v>65.489999999999995</v>
      </c>
      <c r="J510">
        <v>1</v>
      </c>
      <c r="K510" s="8">
        <f>IF('Client'!$F510="Pro Monde",10%,IF(AND('Client'!$G510&gt;12,'Client'!$D510&gt;5),70%,IF(AND(OR('Client'!$G510&gt;=4,'Client'!$G510&lt;=12,'Client'!$D510&lt;5,(OR('Client'!$F510="Premium ")))),45%,0%)))</f>
        <v>0.45</v>
      </c>
      <c r="L510" s="4">
        <f>'Client'!$I510* ('Client'!$K510/100)</f>
        <v>0.29470499999999999</v>
      </c>
    </row>
    <row r="511" spans="1:12" x14ac:dyDescent="0.3">
      <c r="A511" t="s">
        <v>546</v>
      </c>
      <c r="B511" t="s">
        <v>558</v>
      </c>
      <c r="C511" t="s">
        <v>137</v>
      </c>
      <c r="D511" t="str">
        <f>INT('Client'!$E511/12) &amp; " ans et " &amp; MOD('Client'!$E511,12) &amp; " mois"</f>
        <v>7 ans et 7 mois</v>
      </c>
      <c r="E511">
        <v>91</v>
      </c>
      <c r="F511" t="s">
        <v>22</v>
      </c>
      <c r="G511" s="7">
        <f>Client[[#This Row],[Duree_Cumulee_Panne_Min]]/1440</f>
        <v>6.25E-2</v>
      </c>
      <c r="H511">
        <v>90</v>
      </c>
      <c r="I511">
        <v>39.14</v>
      </c>
      <c r="J511">
        <v>3</v>
      </c>
      <c r="K511" s="8">
        <f>IF('Client'!$F511="Pro Monde",10%,IF(AND('Client'!$G511&gt;12,'Client'!$D511&gt;5),70%,IF(AND(OR('Client'!$G511&gt;=4,'Client'!$G511&lt;=12,'Client'!$D511&lt;5,(OR('Client'!$F511="Premium ")))),45%,0%)))</f>
        <v>0.45</v>
      </c>
      <c r="L511" s="4">
        <f>'Client'!$I511* ('Client'!$K511/100)</f>
        <v>0.17613000000000004</v>
      </c>
    </row>
    <row r="512" spans="1:12" x14ac:dyDescent="0.3">
      <c r="A512" t="s">
        <v>546</v>
      </c>
      <c r="B512" t="s">
        <v>559</v>
      </c>
      <c r="C512" t="s">
        <v>78</v>
      </c>
      <c r="D512" t="str">
        <f>INT('Client'!$E512/12) &amp; " ans et " &amp; MOD('Client'!$E512,12) &amp; " mois"</f>
        <v>8 ans et 3 mois</v>
      </c>
      <c r="E512">
        <v>99</v>
      </c>
      <c r="F512" t="s">
        <v>14</v>
      </c>
      <c r="G512" s="7">
        <f>Client[[#This Row],[Duree_Cumulee_Panne_Min]]/1440</f>
        <v>2.9166666666666667E-2</v>
      </c>
      <c r="H512">
        <v>42</v>
      </c>
      <c r="I512">
        <v>98.77</v>
      </c>
      <c r="J512">
        <v>3</v>
      </c>
      <c r="K512" s="8">
        <f>IF('Client'!$F512="Pro Monde",10%,IF(AND('Client'!$G512&gt;12,'Client'!$D512&gt;5),70%,IF(AND(OR('Client'!$G512&gt;=4,'Client'!$G512&lt;=12,'Client'!$D512&lt;5,(OR('Client'!$F512="Premium ")))),45%,0%)))</f>
        <v>0.1</v>
      </c>
      <c r="L512" s="4">
        <f>'Client'!$I512* ('Client'!$K512/100)</f>
        <v>9.8769999999999997E-2</v>
      </c>
    </row>
    <row r="513" spans="1:12" x14ac:dyDescent="0.3">
      <c r="A513" t="s">
        <v>546</v>
      </c>
      <c r="B513" t="s">
        <v>560</v>
      </c>
      <c r="C513" t="s">
        <v>127</v>
      </c>
      <c r="D513" t="str">
        <f>INT('Client'!$E513/12) &amp; " ans et " &amp; MOD('Client'!$E513,12) &amp; " mois"</f>
        <v>4 ans et 11 mois</v>
      </c>
      <c r="E513">
        <v>59</v>
      </c>
      <c r="F513" t="s">
        <v>14</v>
      </c>
      <c r="G513" s="7">
        <f>Client[[#This Row],[Duree_Cumulee_Panne_Min]]/1440</f>
        <v>0.05</v>
      </c>
      <c r="H513">
        <v>72</v>
      </c>
      <c r="I513">
        <v>94.51</v>
      </c>
      <c r="J513">
        <v>2</v>
      </c>
      <c r="K513" s="8">
        <f>IF('Client'!$F513="Pro Monde",10%,IF(AND('Client'!$G513&gt;12,'Client'!$D513&gt;5),70%,IF(AND(OR('Client'!$G513&gt;=4,'Client'!$G513&lt;=12,'Client'!$D513&lt;5,(OR('Client'!$F513="Premium ")))),45%,0%)))</f>
        <v>0.1</v>
      </c>
      <c r="L513" s="4">
        <f>'Client'!$I513* ('Client'!$K513/100)</f>
        <v>9.4510000000000011E-2</v>
      </c>
    </row>
    <row r="514" spans="1:12" x14ac:dyDescent="0.3">
      <c r="A514" t="s">
        <v>546</v>
      </c>
      <c r="B514" t="s">
        <v>561</v>
      </c>
      <c r="C514" t="s">
        <v>24</v>
      </c>
      <c r="D514" t="str">
        <f>INT('Client'!$E514/12) &amp; " ans et " &amp; MOD('Client'!$E514,12) &amp; " mois"</f>
        <v>2 ans et 10 mois</v>
      </c>
      <c r="E514">
        <v>34</v>
      </c>
      <c r="F514" t="s">
        <v>19</v>
      </c>
      <c r="G514" s="7">
        <f>Client[[#This Row],[Duree_Cumulee_Panne_Min]]/1440</f>
        <v>2.4305555555555556E-2</v>
      </c>
      <c r="H514">
        <v>35</v>
      </c>
      <c r="I514">
        <v>76.86</v>
      </c>
      <c r="J514">
        <v>1</v>
      </c>
      <c r="K514" s="8">
        <f>IF('Client'!$F514="Pro Monde",10%,IF(AND('Client'!$G514&gt;12,'Client'!$D514&gt;5),70%,IF(AND(OR('Client'!$G514&gt;=4,'Client'!$G514&lt;=12,'Client'!$D514&lt;5,(OR('Client'!$F514="Premium ")))),45%,0%)))</f>
        <v>0.45</v>
      </c>
      <c r="L514" s="4">
        <f>'Client'!$I514* ('Client'!$K514/100)</f>
        <v>0.34587000000000001</v>
      </c>
    </row>
    <row r="515" spans="1:12" x14ac:dyDescent="0.3">
      <c r="A515" t="s">
        <v>546</v>
      </c>
      <c r="B515" t="s">
        <v>562</v>
      </c>
      <c r="C515" t="s">
        <v>44</v>
      </c>
      <c r="D515" t="str">
        <f>INT('Client'!$E515/12) &amp; " ans et " &amp; MOD('Client'!$E515,12) &amp; " mois"</f>
        <v>5 ans et 1 mois</v>
      </c>
      <c r="E515">
        <v>61</v>
      </c>
      <c r="F515" t="s">
        <v>11</v>
      </c>
      <c r="G515" s="7">
        <f>Client[[#This Row],[Duree_Cumulee_Panne_Min]]/1440</f>
        <v>9.7222222222222224E-2</v>
      </c>
      <c r="H515">
        <v>140</v>
      </c>
      <c r="I515">
        <v>76.3</v>
      </c>
      <c r="J515">
        <v>4</v>
      </c>
      <c r="K515" s="8">
        <f>IF('Client'!$F515="Pro Monde",10%,IF(AND('Client'!$G515&gt;12,'Client'!$D515&gt;5),70%,IF(AND(OR('Client'!$G515&gt;=4,'Client'!$G515&lt;=12,'Client'!$D515&lt;5,(OR('Client'!$F515="Premium ")))),45%,0%)))</f>
        <v>0.45</v>
      </c>
      <c r="L515" s="4">
        <f>'Client'!$I515* ('Client'!$K515/100)</f>
        <v>0.34335000000000004</v>
      </c>
    </row>
    <row r="516" spans="1:12" x14ac:dyDescent="0.3">
      <c r="A516" t="s">
        <v>546</v>
      </c>
      <c r="B516" t="s">
        <v>563</v>
      </c>
      <c r="C516" t="s">
        <v>78</v>
      </c>
      <c r="D516" t="str">
        <f>INT('Client'!$E516/12) &amp; " ans et " &amp; MOD('Client'!$E516,12) &amp; " mois"</f>
        <v>2 ans et 9 mois</v>
      </c>
      <c r="E516">
        <v>33</v>
      </c>
      <c r="F516" t="s">
        <v>14</v>
      </c>
      <c r="G516" s="7">
        <f>Client[[#This Row],[Duree_Cumulee_Panne_Min]]/1440</f>
        <v>0.14374999999999999</v>
      </c>
      <c r="H516">
        <v>207</v>
      </c>
      <c r="I516">
        <v>38.49</v>
      </c>
      <c r="J516">
        <v>4</v>
      </c>
      <c r="K516" s="8">
        <f>IF('Client'!$F516="Pro Monde",10%,IF(AND('Client'!$G516&gt;12,'Client'!$D516&gt;5),70%,IF(AND(OR('Client'!$G516&gt;=4,'Client'!$G516&lt;=12,'Client'!$D516&lt;5,(OR('Client'!$F516="Premium ")))),45%,0%)))</f>
        <v>0.1</v>
      </c>
      <c r="L516" s="4">
        <f>'Client'!$I516* ('Client'!$K516/100)</f>
        <v>3.8490000000000003E-2</v>
      </c>
    </row>
    <row r="517" spans="1:12" x14ac:dyDescent="0.3">
      <c r="A517" t="s">
        <v>546</v>
      </c>
      <c r="B517" t="s">
        <v>564</v>
      </c>
      <c r="C517" t="s">
        <v>35</v>
      </c>
      <c r="D517" t="str">
        <f>INT('Client'!$E517/12) &amp; " ans et " &amp; MOD('Client'!$E517,12) &amp; " mois"</f>
        <v>8 ans et 2 mois</v>
      </c>
      <c r="E517">
        <v>98</v>
      </c>
      <c r="F517" t="s">
        <v>14</v>
      </c>
      <c r="G517" s="7">
        <f>Client[[#This Row],[Duree_Cumulee_Panne_Min]]/1440</f>
        <v>2.8472222222222222E-2</v>
      </c>
      <c r="H517">
        <v>41</v>
      </c>
      <c r="I517">
        <v>23.55</v>
      </c>
      <c r="J517">
        <v>1</v>
      </c>
      <c r="K517" s="8">
        <f>IF('Client'!$F517="Pro Monde",10%,IF(AND('Client'!$G517&gt;12,'Client'!$D517&gt;5),70%,IF(AND(OR('Client'!$G517&gt;=4,'Client'!$G517&lt;=12,'Client'!$D517&lt;5,(OR('Client'!$F517="Premium ")))),45%,0%)))</f>
        <v>0.1</v>
      </c>
      <c r="L517" s="4">
        <f>'Client'!$I517* ('Client'!$K517/100)</f>
        <v>2.3550000000000001E-2</v>
      </c>
    </row>
    <row r="518" spans="1:12" x14ac:dyDescent="0.3">
      <c r="A518" t="s">
        <v>546</v>
      </c>
      <c r="B518" t="s">
        <v>565</v>
      </c>
      <c r="C518" t="s">
        <v>21</v>
      </c>
      <c r="D518" t="str">
        <f>INT('Client'!$E518/12) &amp; " ans et " &amp; MOD('Client'!$E518,12) &amp; " mois"</f>
        <v>9 ans et 5 mois</v>
      </c>
      <c r="E518">
        <v>113</v>
      </c>
      <c r="F518" t="s">
        <v>14</v>
      </c>
      <c r="G518" s="7">
        <f>Client[[#This Row],[Duree_Cumulee_Panne_Min]]/1440</f>
        <v>0.10555555555555556</v>
      </c>
      <c r="H518">
        <v>152</v>
      </c>
      <c r="I518">
        <v>51.28</v>
      </c>
      <c r="J518">
        <v>4</v>
      </c>
      <c r="K518" s="8">
        <f>IF('Client'!$F518="Pro Monde",10%,IF(AND('Client'!$G518&gt;12,'Client'!$D518&gt;5),70%,IF(AND(OR('Client'!$G518&gt;=4,'Client'!$G518&lt;=12,'Client'!$D518&lt;5,(OR('Client'!$F518="Premium ")))),45%,0%)))</f>
        <v>0.1</v>
      </c>
      <c r="L518" s="4">
        <f>'Client'!$I518* ('Client'!$K518/100)</f>
        <v>5.1279999999999999E-2</v>
      </c>
    </row>
    <row r="519" spans="1:12" x14ac:dyDescent="0.3">
      <c r="A519" t="s">
        <v>546</v>
      </c>
      <c r="B519" t="s">
        <v>566</v>
      </c>
      <c r="C519" t="s">
        <v>31</v>
      </c>
      <c r="D519" t="str">
        <f>INT('Client'!$E519/12) &amp; " ans et " &amp; MOD('Client'!$E519,12) &amp; " mois"</f>
        <v>4 ans et 9 mois</v>
      </c>
      <c r="E519">
        <v>57</v>
      </c>
      <c r="F519" t="s">
        <v>19</v>
      </c>
      <c r="G519" s="7">
        <f>Client[[#This Row],[Duree_Cumulee_Panne_Min]]/1440</f>
        <v>0.31041666666666667</v>
      </c>
      <c r="H519">
        <v>447</v>
      </c>
      <c r="I519">
        <v>23.27</v>
      </c>
      <c r="J519">
        <v>3</v>
      </c>
      <c r="K519" s="8">
        <f>IF('Client'!$F519="Pro Monde",10%,IF(AND('Client'!$G519&gt;12,'Client'!$D519&gt;5),70%,IF(AND(OR('Client'!$G519&gt;=4,'Client'!$G519&lt;=12,'Client'!$D519&lt;5,(OR('Client'!$F519="Premium ")))),45%,0%)))</f>
        <v>0.45</v>
      </c>
      <c r="L519" s="4">
        <f>'Client'!$I519* ('Client'!$K519/100)</f>
        <v>0.10471500000000002</v>
      </c>
    </row>
    <row r="520" spans="1:12" x14ac:dyDescent="0.3">
      <c r="A520" t="s">
        <v>546</v>
      </c>
      <c r="B520" t="s">
        <v>567</v>
      </c>
      <c r="C520" t="s">
        <v>10</v>
      </c>
      <c r="D520" t="str">
        <f>INT('Client'!$E520/12) &amp; " ans et " &amp; MOD('Client'!$E520,12) &amp; " mois"</f>
        <v>7 ans et 0 mois</v>
      </c>
      <c r="E520">
        <v>84</v>
      </c>
      <c r="F520" t="s">
        <v>19</v>
      </c>
      <c r="G520" s="7">
        <f>Client[[#This Row],[Duree_Cumulee_Panne_Min]]/1440</f>
        <v>0.25277777777777777</v>
      </c>
      <c r="H520">
        <v>364</v>
      </c>
      <c r="I520">
        <v>87.79</v>
      </c>
      <c r="J520">
        <v>3</v>
      </c>
      <c r="K520" s="8">
        <f>IF('Client'!$F520="Pro Monde",10%,IF(AND('Client'!$G520&gt;12,'Client'!$D520&gt;5),70%,IF(AND(OR('Client'!$G520&gt;=4,'Client'!$G520&lt;=12,'Client'!$D520&lt;5,(OR('Client'!$F520="Premium ")))),45%,0%)))</f>
        <v>0.45</v>
      </c>
      <c r="L520" s="4">
        <f>'Client'!$I520* ('Client'!$K520/100)</f>
        <v>0.3950550000000001</v>
      </c>
    </row>
    <row r="521" spans="1:12" x14ac:dyDescent="0.3">
      <c r="A521" t="s">
        <v>546</v>
      </c>
      <c r="B521" t="s">
        <v>568</v>
      </c>
      <c r="C521" t="s">
        <v>62</v>
      </c>
      <c r="D521" t="str">
        <f>INT('Client'!$E521/12) &amp; " ans et " &amp; MOD('Client'!$E521,12) &amp; " mois"</f>
        <v>9 ans et 11 mois</v>
      </c>
      <c r="E521">
        <v>119</v>
      </c>
      <c r="F521" t="s">
        <v>22</v>
      </c>
      <c r="G521" s="7">
        <f>Client[[#This Row],[Duree_Cumulee_Panne_Min]]/1440</f>
        <v>0.16041666666666668</v>
      </c>
      <c r="H521">
        <v>231</v>
      </c>
      <c r="I521">
        <v>20.22</v>
      </c>
      <c r="J521">
        <v>2</v>
      </c>
      <c r="K521" s="8">
        <f>IF('Client'!$F521="Pro Monde",10%,IF(AND('Client'!$G521&gt;12,'Client'!$D521&gt;5),70%,IF(AND(OR('Client'!$G521&gt;=4,'Client'!$G521&lt;=12,'Client'!$D521&lt;5,(OR('Client'!$F521="Premium ")))),45%,0%)))</f>
        <v>0.45</v>
      </c>
      <c r="L521" s="4">
        <f>'Client'!$I521* ('Client'!$K521/100)</f>
        <v>9.0990000000000001E-2</v>
      </c>
    </row>
    <row r="522" spans="1:12" x14ac:dyDescent="0.3">
      <c r="A522" t="s">
        <v>546</v>
      </c>
      <c r="B522" t="s">
        <v>569</v>
      </c>
      <c r="C522" t="s">
        <v>37</v>
      </c>
      <c r="D522" t="str">
        <f>INT('Client'!$E522/12) &amp; " ans et " &amp; MOD('Client'!$E522,12) &amp; " mois"</f>
        <v>1 ans et 6 mois</v>
      </c>
      <c r="E522">
        <v>18</v>
      </c>
      <c r="F522" t="s">
        <v>19</v>
      </c>
      <c r="G522" s="7">
        <f>Client[[#This Row],[Duree_Cumulee_Panne_Min]]/1440</f>
        <v>0.30972222222222223</v>
      </c>
      <c r="H522">
        <v>446</v>
      </c>
      <c r="I522">
        <v>97.3</v>
      </c>
      <c r="J522">
        <v>5</v>
      </c>
      <c r="K522" s="8">
        <f>IF('Client'!$F522="Pro Monde",10%,IF(AND('Client'!$G522&gt;12,'Client'!$D522&gt;5),70%,IF(AND(OR('Client'!$G522&gt;=4,'Client'!$G522&lt;=12,'Client'!$D522&lt;5,(OR('Client'!$F522="Premium ")))),45%,0%)))</f>
        <v>0.45</v>
      </c>
      <c r="L522" s="4">
        <f>'Client'!$I522* ('Client'!$K522/100)</f>
        <v>0.43785000000000002</v>
      </c>
    </row>
    <row r="523" spans="1:12" x14ac:dyDescent="0.3">
      <c r="A523" t="s">
        <v>546</v>
      </c>
      <c r="B523" t="s">
        <v>570</v>
      </c>
      <c r="C523" t="s">
        <v>137</v>
      </c>
      <c r="D523" t="str">
        <f>INT('Client'!$E523/12) &amp; " ans et " &amp; MOD('Client'!$E523,12) &amp; " mois"</f>
        <v>1 ans et 4 mois</v>
      </c>
      <c r="E523">
        <v>16</v>
      </c>
      <c r="F523" t="s">
        <v>14</v>
      </c>
      <c r="G523" s="7">
        <f>Client[[#This Row],[Duree_Cumulee_Panne_Min]]/1440</f>
        <v>0.14861111111111111</v>
      </c>
      <c r="H523">
        <v>214</v>
      </c>
      <c r="I523">
        <v>46.57</v>
      </c>
      <c r="J523">
        <v>5</v>
      </c>
      <c r="K523" s="8">
        <f>IF('Client'!$F523="Pro Monde",10%,IF(AND('Client'!$G523&gt;12,'Client'!$D523&gt;5),70%,IF(AND(OR('Client'!$G523&gt;=4,'Client'!$G523&lt;=12,'Client'!$D523&lt;5,(OR('Client'!$F523="Premium ")))),45%,0%)))</f>
        <v>0.1</v>
      </c>
      <c r="L523" s="4">
        <f>'Client'!$I523* ('Client'!$K523/100)</f>
        <v>4.657E-2</v>
      </c>
    </row>
    <row r="524" spans="1:12" x14ac:dyDescent="0.3">
      <c r="A524" t="s">
        <v>546</v>
      </c>
      <c r="B524" t="s">
        <v>571</v>
      </c>
      <c r="C524" t="s">
        <v>13</v>
      </c>
      <c r="D524" t="str">
        <f>INT('Client'!$E524/12) &amp; " ans et " &amp; MOD('Client'!$E524,12) &amp; " mois"</f>
        <v>6 ans et 1 mois</v>
      </c>
      <c r="E524">
        <v>73</v>
      </c>
      <c r="F524" t="s">
        <v>14</v>
      </c>
      <c r="G524" s="7">
        <f>Client[[#This Row],[Duree_Cumulee_Panne_Min]]/1440</f>
        <v>0.18611111111111112</v>
      </c>
      <c r="H524">
        <v>268</v>
      </c>
      <c r="I524">
        <v>56.86</v>
      </c>
      <c r="J524">
        <v>5</v>
      </c>
      <c r="K524" s="8">
        <f>IF('Client'!$F524="Pro Monde",10%,IF(AND('Client'!$G524&gt;12,'Client'!$D524&gt;5),70%,IF(AND(OR('Client'!$G524&gt;=4,'Client'!$G524&lt;=12,'Client'!$D524&lt;5,(OR('Client'!$F524="Premium ")))),45%,0%)))</f>
        <v>0.1</v>
      </c>
      <c r="L524" s="4">
        <f>'Client'!$I524* ('Client'!$K524/100)</f>
        <v>5.6860000000000001E-2</v>
      </c>
    </row>
    <row r="525" spans="1:12" x14ac:dyDescent="0.3">
      <c r="A525" t="s">
        <v>546</v>
      </c>
      <c r="B525" t="s">
        <v>572</v>
      </c>
      <c r="C525" t="s">
        <v>131</v>
      </c>
      <c r="D525" t="str">
        <f>INT('Client'!$E525/12) &amp; " ans et " &amp; MOD('Client'!$E525,12) &amp; " mois"</f>
        <v>5 ans et 3 mois</v>
      </c>
      <c r="E525">
        <v>63</v>
      </c>
      <c r="F525" t="s">
        <v>22</v>
      </c>
      <c r="G525" s="7">
        <f>Client[[#This Row],[Duree_Cumulee_Panne_Min]]/1440</f>
        <v>7.5694444444444439E-2</v>
      </c>
      <c r="H525">
        <v>109</v>
      </c>
      <c r="I525">
        <v>10.33</v>
      </c>
      <c r="J525">
        <v>3</v>
      </c>
      <c r="K525" s="8">
        <f>IF('Client'!$F525="Pro Monde",10%,IF(AND('Client'!$G525&gt;12,'Client'!$D525&gt;5),70%,IF(AND(OR('Client'!$G525&gt;=4,'Client'!$G525&lt;=12,'Client'!$D525&lt;5,(OR('Client'!$F525="Premium ")))),45%,0%)))</f>
        <v>0.45</v>
      </c>
      <c r="L525" s="4">
        <f>'Client'!$I525* ('Client'!$K525/100)</f>
        <v>4.6485000000000005E-2</v>
      </c>
    </row>
    <row r="526" spans="1:12" x14ac:dyDescent="0.3">
      <c r="A526" t="s">
        <v>546</v>
      </c>
      <c r="B526" t="s">
        <v>573</v>
      </c>
      <c r="C526" t="s">
        <v>57</v>
      </c>
      <c r="D526" t="str">
        <f>INT('Client'!$E526/12) &amp; " ans et " &amp; MOD('Client'!$E526,12) &amp; " mois"</f>
        <v>0 ans et 6 mois</v>
      </c>
      <c r="E526">
        <v>6</v>
      </c>
      <c r="F526" t="s">
        <v>14</v>
      </c>
      <c r="G526" s="7">
        <f>Client[[#This Row],[Duree_Cumulee_Panne_Min]]/1440</f>
        <v>0.23749999999999999</v>
      </c>
      <c r="H526">
        <v>342</v>
      </c>
      <c r="I526">
        <v>50.55</v>
      </c>
      <c r="J526">
        <v>5</v>
      </c>
      <c r="K526" s="8">
        <f>IF('Client'!$F526="Pro Monde",10%,IF(AND('Client'!$G526&gt;12,'Client'!$D526&gt;5),70%,IF(AND(OR('Client'!$G526&gt;=4,'Client'!$G526&lt;=12,'Client'!$D526&lt;5,(OR('Client'!$F526="Premium ")))),45%,0%)))</f>
        <v>0.1</v>
      </c>
      <c r="L526" s="4">
        <f>'Client'!$I526* ('Client'!$K526/100)</f>
        <v>5.0549999999999998E-2</v>
      </c>
    </row>
    <row r="527" spans="1:12" x14ac:dyDescent="0.3">
      <c r="A527" t="s">
        <v>546</v>
      </c>
      <c r="B527" t="s">
        <v>574</v>
      </c>
      <c r="C527" t="s">
        <v>33</v>
      </c>
      <c r="D527" t="str">
        <f>INT('Client'!$E527/12) &amp; " ans et " &amp; MOD('Client'!$E527,12) &amp; " mois"</f>
        <v>3 ans et 11 mois</v>
      </c>
      <c r="E527">
        <v>47</v>
      </c>
      <c r="F527" t="s">
        <v>11</v>
      </c>
      <c r="G527" s="7">
        <f>Client[[#This Row],[Duree_Cumulee_Panne_Min]]/1440</f>
        <v>0.31736111111111109</v>
      </c>
      <c r="H527">
        <v>457</v>
      </c>
      <c r="I527">
        <v>84.93</v>
      </c>
      <c r="J527">
        <v>2</v>
      </c>
      <c r="K527" s="8">
        <f>IF('Client'!$F527="Pro Monde",10%,IF(AND('Client'!$G527&gt;12,'Client'!$D527&gt;5),70%,IF(AND(OR('Client'!$G527&gt;=4,'Client'!$G527&lt;=12,'Client'!$D527&lt;5,(OR('Client'!$F527="Premium ")))),45%,0%)))</f>
        <v>0.45</v>
      </c>
      <c r="L527" s="4">
        <f>'Client'!$I527* ('Client'!$K527/100)</f>
        <v>0.38218500000000005</v>
      </c>
    </row>
    <row r="528" spans="1:12" x14ac:dyDescent="0.3">
      <c r="A528" t="s">
        <v>546</v>
      </c>
      <c r="B528" t="s">
        <v>575</v>
      </c>
      <c r="C528" t="s">
        <v>31</v>
      </c>
      <c r="D528" t="str">
        <f>INT('Client'!$E528/12) &amp; " ans et " &amp; MOD('Client'!$E528,12) &amp; " mois"</f>
        <v>9 ans et 2 mois</v>
      </c>
      <c r="E528">
        <v>110</v>
      </c>
      <c r="F528" t="s">
        <v>19</v>
      </c>
      <c r="G528" s="7">
        <f>Client[[#This Row],[Duree_Cumulee_Panne_Min]]/1440</f>
        <v>9.166666666666666E-2</v>
      </c>
      <c r="H528">
        <v>132</v>
      </c>
      <c r="I528">
        <v>21.31</v>
      </c>
      <c r="J528">
        <v>5</v>
      </c>
      <c r="K528" s="8">
        <f>IF('Client'!$F528="Pro Monde",10%,IF(AND('Client'!$G528&gt;12,'Client'!$D528&gt;5),70%,IF(AND(OR('Client'!$G528&gt;=4,'Client'!$G528&lt;=12,'Client'!$D528&lt;5,(OR('Client'!$F528="Premium ")))),45%,0%)))</f>
        <v>0.45</v>
      </c>
      <c r="L528" s="4">
        <f>'Client'!$I528* ('Client'!$K528/100)</f>
        <v>9.5895000000000008E-2</v>
      </c>
    </row>
    <row r="529" spans="1:12" x14ac:dyDescent="0.3">
      <c r="A529" t="s">
        <v>546</v>
      </c>
      <c r="B529" t="s">
        <v>576</v>
      </c>
      <c r="C529" t="s">
        <v>31</v>
      </c>
      <c r="D529" t="str">
        <f>INT('Client'!$E529/12) &amp; " ans et " &amp; MOD('Client'!$E529,12) &amp; " mois"</f>
        <v>3 ans et 1 mois</v>
      </c>
      <c r="E529">
        <v>37</v>
      </c>
      <c r="F529" t="s">
        <v>11</v>
      </c>
      <c r="G529" s="7">
        <f>Client[[#This Row],[Duree_Cumulee_Panne_Min]]/1440</f>
        <v>6.5277777777777782E-2</v>
      </c>
      <c r="H529">
        <v>94</v>
      </c>
      <c r="I529">
        <v>50.44</v>
      </c>
      <c r="J529">
        <v>4</v>
      </c>
      <c r="K529" s="8">
        <f>IF('Client'!$F529="Pro Monde",10%,IF(AND('Client'!$G529&gt;12,'Client'!$D529&gt;5),70%,IF(AND(OR('Client'!$G529&gt;=4,'Client'!$G529&lt;=12,'Client'!$D529&lt;5,(OR('Client'!$F529="Premium ")))),45%,0%)))</f>
        <v>0.45</v>
      </c>
      <c r="L529" s="4">
        <f>'Client'!$I529* ('Client'!$K529/100)</f>
        <v>0.22698000000000002</v>
      </c>
    </row>
    <row r="530" spans="1:12" x14ac:dyDescent="0.3">
      <c r="A530" t="s">
        <v>546</v>
      </c>
      <c r="B530" t="s">
        <v>577</v>
      </c>
      <c r="C530" t="s">
        <v>40</v>
      </c>
      <c r="D530" t="str">
        <f>INT('Client'!$E530/12) &amp; " ans et " &amp; MOD('Client'!$E530,12) &amp; " mois"</f>
        <v>4 ans et 4 mois</v>
      </c>
      <c r="E530">
        <v>52</v>
      </c>
      <c r="F530" t="s">
        <v>11</v>
      </c>
      <c r="G530" s="7">
        <f>Client[[#This Row],[Duree_Cumulee_Panne_Min]]/1440</f>
        <v>0.2951388888888889</v>
      </c>
      <c r="H530">
        <v>425</v>
      </c>
      <c r="I530">
        <v>97.25</v>
      </c>
      <c r="J530">
        <v>0</v>
      </c>
      <c r="K530" s="8">
        <f>IF('Client'!$F530="Pro Monde",10%,IF(AND('Client'!$G530&gt;12,'Client'!$D530&gt;5),70%,IF(AND(OR('Client'!$G530&gt;=4,'Client'!$G530&lt;=12,'Client'!$D530&lt;5,(OR('Client'!$F530="Premium ")))),45%,0%)))</f>
        <v>0.45</v>
      </c>
      <c r="L530" s="4">
        <f>'Client'!$I530* ('Client'!$K530/100)</f>
        <v>0.43762500000000004</v>
      </c>
    </row>
    <row r="531" spans="1:12" x14ac:dyDescent="0.3">
      <c r="A531" t="s">
        <v>546</v>
      </c>
      <c r="B531" t="s">
        <v>578</v>
      </c>
      <c r="C531" t="s">
        <v>44</v>
      </c>
      <c r="D531" t="str">
        <f>INT('Client'!$E531/12) &amp; " ans et " &amp; MOD('Client'!$E531,12) &amp; " mois"</f>
        <v>4 ans et 5 mois</v>
      </c>
      <c r="E531">
        <v>53</v>
      </c>
      <c r="F531" t="s">
        <v>14</v>
      </c>
      <c r="G531" s="7">
        <f>Client[[#This Row],[Duree_Cumulee_Panne_Min]]/1440</f>
        <v>1.8749999999999999E-2</v>
      </c>
      <c r="H531">
        <v>27</v>
      </c>
      <c r="I531">
        <v>18.77</v>
      </c>
      <c r="J531">
        <v>0</v>
      </c>
      <c r="K531" s="8">
        <f>IF('Client'!$F531="Pro Monde",10%,IF(AND('Client'!$G531&gt;12,'Client'!$D531&gt;5),70%,IF(AND(OR('Client'!$G531&gt;=4,'Client'!$G531&lt;=12,'Client'!$D531&lt;5,(OR('Client'!$F531="Premium ")))),45%,0%)))</f>
        <v>0.1</v>
      </c>
      <c r="L531" s="4">
        <f>'Client'!$I531* ('Client'!$K531/100)</f>
        <v>1.8769999999999998E-2</v>
      </c>
    </row>
    <row r="532" spans="1:12" x14ac:dyDescent="0.3">
      <c r="A532" t="s">
        <v>546</v>
      </c>
      <c r="B532" t="s">
        <v>579</v>
      </c>
      <c r="C532" t="s">
        <v>89</v>
      </c>
      <c r="D532" t="str">
        <f>INT('Client'!$E532/12) &amp; " ans et " &amp; MOD('Client'!$E532,12) &amp; " mois"</f>
        <v>9 ans et 2 mois</v>
      </c>
      <c r="E532">
        <v>110</v>
      </c>
      <c r="F532" t="s">
        <v>22</v>
      </c>
      <c r="G532" s="7">
        <f>Client[[#This Row],[Duree_Cumulee_Panne_Min]]/1440</f>
        <v>3.2638888888888891E-2</v>
      </c>
      <c r="H532">
        <v>47</v>
      </c>
      <c r="I532">
        <v>29.68</v>
      </c>
      <c r="J532">
        <v>0</v>
      </c>
      <c r="K532" s="8">
        <f>IF('Client'!$F532="Pro Monde",10%,IF(AND('Client'!$G532&gt;12,'Client'!$D532&gt;5),70%,IF(AND(OR('Client'!$G532&gt;=4,'Client'!$G532&lt;=12,'Client'!$D532&lt;5,(OR('Client'!$F532="Premium ")))),45%,0%)))</f>
        <v>0.45</v>
      </c>
      <c r="L532" s="4">
        <f>'Client'!$I532* ('Client'!$K532/100)</f>
        <v>0.13356000000000001</v>
      </c>
    </row>
    <row r="533" spans="1:12" x14ac:dyDescent="0.3">
      <c r="A533" t="s">
        <v>546</v>
      </c>
      <c r="B533" t="s">
        <v>580</v>
      </c>
      <c r="C533" t="s">
        <v>16</v>
      </c>
      <c r="D533" t="str">
        <f>INT('Client'!$E533/12) &amp; " ans et " &amp; MOD('Client'!$E533,12) &amp; " mois"</f>
        <v>6 ans et 8 mois</v>
      </c>
      <c r="E533">
        <v>80</v>
      </c>
      <c r="F533" t="s">
        <v>14</v>
      </c>
      <c r="G533" s="7">
        <f>Client[[#This Row],[Duree_Cumulee_Panne_Min]]/1440</f>
        <v>0.31805555555555554</v>
      </c>
      <c r="H533">
        <v>458</v>
      </c>
      <c r="I533">
        <v>98.11</v>
      </c>
      <c r="J533">
        <v>0</v>
      </c>
      <c r="K533" s="8">
        <f>IF('Client'!$F533="Pro Monde",10%,IF(AND('Client'!$G533&gt;12,'Client'!$D533&gt;5),70%,IF(AND(OR('Client'!$G533&gt;=4,'Client'!$G533&lt;=12,'Client'!$D533&lt;5,(OR('Client'!$F533="Premium ")))),45%,0%)))</f>
        <v>0.1</v>
      </c>
      <c r="L533" s="4">
        <f>'Client'!$I533* ('Client'!$K533/100)</f>
        <v>9.8110000000000003E-2</v>
      </c>
    </row>
    <row r="534" spans="1:12" x14ac:dyDescent="0.3">
      <c r="A534" t="s">
        <v>546</v>
      </c>
      <c r="B534" t="s">
        <v>581</v>
      </c>
      <c r="C534" t="s">
        <v>26</v>
      </c>
      <c r="D534" t="str">
        <f>INT('Client'!$E534/12) &amp; " ans et " &amp; MOD('Client'!$E534,12) &amp; " mois"</f>
        <v>9 ans et 10 mois</v>
      </c>
      <c r="E534">
        <v>118</v>
      </c>
      <c r="F534" t="s">
        <v>19</v>
      </c>
      <c r="G534" s="7">
        <f>Client[[#This Row],[Duree_Cumulee_Panne_Min]]/1440</f>
        <v>0.32013888888888886</v>
      </c>
      <c r="H534">
        <v>461</v>
      </c>
      <c r="I534">
        <v>47.82</v>
      </c>
      <c r="J534">
        <v>5</v>
      </c>
      <c r="K534" s="8">
        <f>IF('Client'!$F534="Pro Monde",10%,IF(AND('Client'!$G534&gt;12,'Client'!$D534&gt;5),70%,IF(AND(OR('Client'!$G534&gt;=4,'Client'!$G534&lt;=12,'Client'!$D534&lt;5,(OR('Client'!$F534="Premium ")))),45%,0%)))</f>
        <v>0.45</v>
      </c>
      <c r="L534" s="4">
        <f>'Client'!$I534* ('Client'!$K534/100)</f>
        <v>0.21519000000000002</v>
      </c>
    </row>
    <row r="535" spans="1:12" x14ac:dyDescent="0.3">
      <c r="A535" t="s">
        <v>546</v>
      </c>
      <c r="B535" t="s">
        <v>582</v>
      </c>
      <c r="C535" t="s">
        <v>51</v>
      </c>
      <c r="D535" t="str">
        <f>INT('Client'!$E535/12) &amp; " ans et " &amp; MOD('Client'!$E535,12) &amp; " mois"</f>
        <v>7 ans et 4 mois</v>
      </c>
      <c r="E535">
        <v>88</v>
      </c>
      <c r="F535" t="s">
        <v>11</v>
      </c>
      <c r="G535" s="7">
        <f>Client[[#This Row],[Duree_Cumulee_Panne_Min]]/1440</f>
        <v>0.15208333333333332</v>
      </c>
      <c r="H535">
        <v>219</v>
      </c>
      <c r="I535">
        <v>59.15</v>
      </c>
      <c r="J535">
        <v>0</v>
      </c>
      <c r="K535" s="8">
        <f>IF('Client'!$F535="Pro Monde",10%,IF(AND('Client'!$G535&gt;12,'Client'!$D535&gt;5),70%,IF(AND(OR('Client'!$G535&gt;=4,'Client'!$G535&lt;=12,'Client'!$D535&lt;5,(OR('Client'!$F535="Premium ")))),45%,0%)))</f>
        <v>0.45</v>
      </c>
      <c r="L535" s="4">
        <f>'Client'!$I535* ('Client'!$K535/100)</f>
        <v>0.26617500000000005</v>
      </c>
    </row>
    <row r="536" spans="1:12" x14ac:dyDescent="0.3">
      <c r="A536" t="s">
        <v>546</v>
      </c>
      <c r="B536" t="s">
        <v>583</v>
      </c>
      <c r="C536" t="s">
        <v>24</v>
      </c>
      <c r="D536" t="str">
        <f>INT('Client'!$E536/12) &amp; " ans et " &amp; MOD('Client'!$E536,12) &amp; " mois"</f>
        <v>1 ans et 5 mois</v>
      </c>
      <c r="E536">
        <v>17</v>
      </c>
      <c r="F536" t="s">
        <v>14</v>
      </c>
      <c r="G536" s="7">
        <f>Client[[#This Row],[Duree_Cumulee_Panne_Min]]/1440</f>
        <v>0.12152777777777778</v>
      </c>
      <c r="H536">
        <v>175</v>
      </c>
      <c r="I536">
        <v>24.95</v>
      </c>
      <c r="J536">
        <v>4</v>
      </c>
      <c r="K536" s="8">
        <f>IF('Client'!$F536="Pro Monde",10%,IF(AND('Client'!$G536&gt;12,'Client'!$D536&gt;5),70%,IF(AND(OR('Client'!$G536&gt;=4,'Client'!$G536&lt;=12,'Client'!$D536&lt;5,(OR('Client'!$F536="Premium ")))),45%,0%)))</f>
        <v>0.1</v>
      </c>
      <c r="L536" s="4">
        <f>'Client'!$I536* ('Client'!$K536/100)</f>
        <v>2.495E-2</v>
      </c>
    </row>
    <row r="537" spans="1:12" x14ac:dyDescent="0.3">
      <c r="A537" t="s">
        <v>546</v>
      </c>
      <c r="B537" t="s">
        <v>584</v>
      </c>
      <c r="C537" t="s">
        <v>64</v>
      </c>
      <c r="D537" t="str">
        <f>INT('Client'!$E537/12) &amp; " ans et " &amp; MOD('Client'!$E537,12) &amp; " mois"</f>
        <v>4 ans et 9 mois</v>
      </c>
      <c r="E537">
        <v>57</v>
      </c>
      <c r="F537" t="s">
        <v>19</v>
      </c>
      <c r="G537" s="7">
        <f>Client[[#This Row],[Duree_Cumulee_Panne_Min]]/1440</f>
        <v>0.34236111111111112</v>
      </c>
      <c r="H537">
        <v>493</v>
      </c>
      <c r="I537">
        <v>43.98</v>
      </c>
      <c r="J537">
        <v>3</v>
      </c>
      <c r="K537" s="8">
        <f>IF('Client'!$F537="Pro Monde",10%,IF(AND('Client'!$G537&gt;12,'Client'!$D537&gt;5),70%,IF(AND(OR('Client'!$G537&gt;=4,'Client'!$G537&lt;=12,'Client'!$D537&lt;5,(OR('Client'!$F537="Premium ")))),45%,0%)))</f>
        <v>0.45</v>
      </c>
      <c r="L537" s="4">
        <f>'Client'!$I537* ('Client'!$K537/100)</f>
        <v>0.19791</v>
      </c>
    </row>
    <row r="538" spans="1:12" x14ac:dyDescent="0.3">
      <c r="A538" t="s">
        <v>546</v>
      </c>
      <c r="B538" t="s">
        <v>585</v>
      </c>
      <c r="C538" t="s">
        <v>44</v>
      </c>
      <c r="D538" t="str">
        <f>INT('Client'!$E538/12) &amp; " ans et " &amp; MOD('Client'!$E538,12) &amp; " mois"</f>
        <v>3 ans et 11 mois</v>
      </c>
      <c r="E538">
        <v>47</v>
      </c>
      <c r="F538" t="s">
        <v>22</v>
      </c>
      <c r="G538" s="7">
        <f>Client[[#This Row],[Duree_Cumulee_Panne_Min]]/1440</f>
        <v>0.2673611111111111</v>
      </c>
      <c r="H538">
        <v>385</v>
      </c>
      <c r="I538">
        <v>41.33</v>
      </c>
      <c r="J538">
        <v>0</v>
      </c>
      <c r="K538" s="8">
        <f>IF('Client'!$F538="Pro Monde",10%,IF(AND('Client'!$G538&gt;12,'Client'!$D538&gt;5),70%,IF(AND(OR('Client'!$G538&gt;=4,'Client'!$G538&lt;=12,'Client'!$D538&lt;5,(OR('Client'!$F538="Premium ")))),45%,0%)))</f>
        <v>0.45</v>
      </c>
      <c r="L538" s="4">
        <f>'Client'!$I538* ('Client'!$K538/100)</f>
        <v>0.18598500000000001</v>
      </c>
    </row>
    <row r="539" spans="1:12" x14ac:dyDescent="0.3">
      <c r="A539" t="s">
        <v>546</v>
      </c>
      <c r="B539" t="s">
        <v>586</v>
      </c>
      <c r="C539" t="s">
        <v>137</v>
      </c>
      <c r="D539" t="str">
        <f>INT('Client'!$E539/12) &amp; " ans et " &amp; MOD('Client'!$E539,12) &amp; " mois"</f>
        <v>5 ans et 6 mois</v>
      </c>
      <c r="E539">
        <v>66</v>
      </c>
      <c r="F539" t="s">
        <v>14</v>
      </c>
      <c r="G539" s="7">
        <f>Client[[#This Row],[Duree_Cumulee_Panne_Min]]/1440</f>
        <v>0.10555555555555556</v>
      </c>
      <c r="H539">
        <v>152</v>
      </c>
      <c r="I539">
        <v>95.71</v>
      </c>
      <c r="J539">
        <v>3</v>
      </c>
      <c r="K539" s="8">
        <f>IF('Client'!$F539="Pro Monde",10%,IF(AND('Client'!$G539&gt;12,'Client'!$D539&gt;5),70%,IF(AND(OR('Client'!$G539&gt;=4,'Client'!$G539&lt;=12,'Client'!$D539&lt;5,(OR('Client'!$F539="Premium ")))),45%,0%)))</f>
        <v>0.1</v>
      </c>
      <c r="L539" s="4">
        <f>'Client'!$I539* ('Client'!$K539/100)</f>
        <v>9.570999999999999E-2</v>
      </c>
    </row>
    <row r="540" spans="1:12" x14ac:dyDescent="0.3">
      <c r="A540" t="s">
        <v>546</v>
      </c>
      <c r="B540" t="s">
        <v>587</v>
      </c>
      <c r="C540" t="s">
        <v>35</v>
      </c>
      <c r="D540" t="str">
        <f>INT('Client'!$E540/12) &amp; " ans et " &amp; MOD('Client'!$E540,12) &amp; " mois"</f>
        <v>9 ans et 1 mois</v>
      </c>
      <c r="E540">
        <v>109</v>
      </c>
      <c r="F540" t="s">
        <v>22</v>
      </c>
      <c r="G540" s="7">
        <f>Client[[#This Row],[Duree_Cumulee_Panne_Min]]/1440</f>
        <v>5.8333333333333334E-2</v>
      </c>
      <c r="H540">
        <v>84</v>
      </c>
      <c r="I540">
        <v>97.46</v>
      </c>
      <c r="J540">
        <v>5</v>
      </c>
      <c r="K540" s="8">
        <f>IF('Client'!$F540="Pro Monde",10%,IF(AND('Client'!$G540&gt;12,'Client'!$D540&gt;5),70%,IF(AND(OR('Client'!$G540&gt;=4,'Client'!$G540&lt;=12,'Client'!$D540&lt;5,(OR('Client'!$F540="Premium ")))),45%,0%)))</f>
        <v>0.45</v>
      </c>
      <c r="L540" s="4">
        <f>'Client'!$I540* ('Client'!$K540/100)</f>
        <v>0.43857000000000002</v>
      </c>
    </row>
    <row r="541" spans="1:12" x14ac:dyDescent="0.3">
      <c r="A541" t="s">
        <v>546</v>
      </c>
      <c r="B541" t="s">
        <v>588</v>
      </c>
      <c r="C541" t="s">
        <v>60</v>
      </c>
      <c r="D541" t="str">
        <f>INT('Client'!$E541/12) &amp; " ans et " &amp; MOD('Client'!$E541,12) &amp; " mois"</f>
        <v>6 ans et 8 mois</v>
      </c>
      <c r="E541">
        <v>80</v>
      </c>
      <c r="F541" t="s">
        <v>22</v>
      </c>
      <c r="G541" s="7">
        <f>Client[[#This Row],[Duree_Cumulee_Panne_Min]]/1440</f>
        <v>7.013888888888889E-2</v>
      </c>
      <c r="H541">
        <v>101</v>
      </c>
      <c r="I541">
        <v>61.92</v>
      </c>
      <c r="J541">
        <v>4</v>
      </c>
      <c r="K541" s="8">
        <f>IF('Client'!$F541="Pro Monde",10%,IF(AND('Client'!$G541&gt;12,'Client'!$D541&gt;5),70%,IF(AND(OR('Client'!$G541&gt;=4,'Client'!$G541&lt;=12,'Client'!$D541&lt;5,(OR('Client'!$F541="Premium ")))),45%,0%)))</f>
        <v>0.45</v>
      </c>
      <c r="L541" s="4">
        <f>'Client'!$I541* ('Client'!$K541/100)</f>
        <v>0.27864000000000005</v>
      </c>
    </row>
    <row r="542" spans="1:12" x14ac:dyDescent="0.3">
      <c r="A542" t="s">
        <v>546</v>
      </c>
      <c r="B542" t="s">
        <v>589</v>
      </c>
      <c r="C542" t="s">
        <v>24</v>
      </c>
      <c r="D542" t="str">
        <f>INT('Client'!$E542/12) &amp; " ans et " &amp; MOD('Client'!$E542,12) &amp; " mois"</f>
        <v>3 ans et 5 mois</v>
      </c>
      <c r="E542">
        <v>41</v>
      </c>
      <c r="F542" t="s">
        <v>11</v>
      </c>
      <c r="G542" s="7">
        <f>Client[[#This Row],[Duree_Cumulee_Panne_Min]]/1440</f>
        <v>0.12361111111111112</v>
      </c>
      <c r="H542">
        <v>178</v>
      </c>
      <c r="I542">
        <v>11.29</v>
      </c>
      <c r="J542">
        <v>4</v>
      </c>
      <c r="K542" s="8">
        <f>IF('Client'!$F542="Pro Monde",10%,IF(AND('Client'!$G542&gt;12,'Client'!$D542&gt;5),70%,IF(AND(OR('Client'!$G542&gt;=4,'Client'!$G542&lt;=12,'Client'!$D542&lt;5,(OR('Client'!$F542="Premium ")))),45%,0%)))</f>
        <v>0.45</v>
      </c>
      <c r="L542" s="4">
        <f>'Client'!$I542* ('Client'!$K542/100)</f>
        <v>5.0805000000000003E-2</v>
      </c>
    </row>
    <row r="543" spans="1:12" x14ac:dyDescent="0.3">
      <c r="A543" t="s">
        <v>546</v>
      </c>
      <c r="B543" t="s">
        <v>590</v>
      </c>
      <c r="C543" t="s">
        <v>24</v>
      </c>
      <c r="D543" t="str">
        <f>INT('Client'!$E543/12) &amp; " ans et " &amp; MOD('Client'!$E543,12) &amp; " mois"</f>
        <v>4 ans et 0 mois</v>
      </c>
      <c r="E543">
        <v>48</v>
      </c>
      <c r="F543" t="s">
        <v>19</v>
      </c>
      <c r="G543" s="7">
        <f>Client[[#This Row],[Duree_Cumulee_Panne_Min]]/1440</f>
        <v>0.3347222222222222</v>
      </c>
      <c r="H543">
        <v>482</v>
      </c>
      <c r="I543">
        <v>83.24</v>
      </c>
      <c r="J543">
        <v>0</v>
      </c>
      <c r="K543" s="8">
        <f>IF('Client'!$F543="Pro Monde",10%,IF(AND('Client'!$G543&gt;12,'Client'!$D543&gt;5),70%,IF(AND(OR('Client'!$G543&gt;=4,'Client'!$G543&lt;=12,'Client'!$D543&lt;5,(OR('Client'!$F543="Premium ")))),45%,0%)))</f>
        <v>0.45</v>
      </c>
      <c r="L543" s="4">
        <f>'Client'!$I543* ('Client'!$K543/100)</f>
        <v>0.37458000000000002</v>
      </c>
    </row>
    <row r="544" spans="1:12" x14ac:dyDescent="0.3">
      <c r="A544" t="s">
        <v>546</v>
      </c>
      <c r="B544" t="s">
        <v>591</v>
      </c>
      <c r="C544" t="s">
        <v>40</v>
      </c>
      <c r="D544" t="str">
        <f>INT('Client'!$E544/12) &amp; " ans et " &amp; MOD('Client'!$E544,12) &amp; " mois"</f>
        <v>0 ans et 11 mois</v>
      </c>
      <c r="E544">
        <v>11</v>
      </c>
      <c r="F544" t="s">
        <v>14</v>
      </c>
      <c r="G544" s="7">
        <f>Client[[#This Row],[Duree_Cumulee_Panne_Min]]/1440</f>
        <v>0.14861111111111111</v>
      </c>
      <c r="H544">
        <v>214</v>
      </c>
      <c r="I544">
        <v>11.46</v>
      </c>
      <c r="J544">
        <v>5</v>
      </c>
      <c r="K544" s="8">
        <f>IF('Client'!$F544="Pro Monde",10%,IF(AND('Client'!$G544&gt;12,'Client'!$D544&gt;5),70%,IF(AND(OR('Client'!$G544&gt;=4,'Client'!$G544&lt;=12,'Client'!$D544&lt;5,(OR('Client'!$F544="Premium ")))),45%,0%)))</f>
        <v>0.1</v>
      </c>
      <c r="L544" s="4">
        <f>'Client'!$I544* ('Client'!$K544/100)</f>
        <v>1.1460000000000001E-2</v>
      </c>
    </row>
    <row r="545" spans="1:12" x14ac:dyDescent="0.3">
      <c r="A545" t="s">
        <v>546</v>
      </c>
      <c r="B545" t="s">
        <v>592</v>
      </c>
      <c r="C545" t="s">
        <v>26</v>
      </c>
      <c r="D545" t="str">
        <f>INT('Client'!$E545/12) &amp; " ans et " &amp; MOD('Client'!$E545,12) &amp; " mois"</f>
        <v>7 ans et 4 mois</v>
      </c>
      <c r="E545">
        <v>88</v>
      </c>
      <c r="F545" t="s">
        <v>19</v>
      </c>
      <c r="G545" s="7">
        <f>Client[[#This Row],[Duree_Cumulee_Panne_Min]]/1440</f>
        <v>0.17083333333333334</v>
      </c>
      <c r="H545">
        <v>246</v>
      </c>
      <c r="I545">
        <v>90.7</v>
      </c>
      <c r="J545">
        <v>3</v>
      </c>
      <c r="K545" s="8">
        <f>IF('Client'!$F545="Pro Monde",10%,IF(AND('Client'!$G545&gt;12,'Client'!$D545&gt;5),70%,IF(AND(OR('Client'!$G545&gt;=4,'Client'!$G545&lt;=12,'Client'!$D545&lt;5,(OR('Client'!$F545="Premium ")))),45%,0%)))</f>
        <v>0.45</v>
      </c>
      <c r="L545" s="4">
        <f>'Client'!$I545* ('Client'!$K545/100)</f>
        <v>0.40815000000000007</v>
      </c>
    </row>
    <row r="546" spans="1:12" x14ac:dyDescent="0.3">
      <c r="A546" t="s">
        <v>546</v>
      </c>
      <c r="B546" t="s">
        <v>593</v>
      </c>
      <c r="C546" t="s">
        <v>51</v>
      </c>
      <c r="D546" t="str">
        <f>INT('Client'!$E546/12) &amp; " ans et " &amp; MOD('Client'!$E546,12) &amp; " mois"</f>
        <v>4 ans et 5 mois</v>
      </c>
      <c r="E546">
        <v>53</v>
      </c>
      <c r="F546" t="s">
        <v>11</v>
      </c>
      <c r="G546" s="7">
        <f>Client[[#This Row],[Duree_Cumulee_Panne_Min]]/1440</f>
        <v>0.16875000000000001</v>
      </c>
      <c r="H546">
        <v>243</v>
      </c>
      <c r="I546">
        <v>55.19</v>
      </c>
      <c r="J546">
        <v>4</v>
      </c>
      <c r="K546" s="8">
        <f>IF('Client'!$F546="Pro Monde",10%,IF(AND('Client'!$G546&gt;12,'Client'!$D546&gt;5),70%,IF(AND(OR('Client'!$G546&gt;=4,'Client'!$G546&lt;=12,'Client'!$D546&lt;5,(OR('Client'!$F546="Premium ")))),45%,0%)))</f>
        <v>0.45</v>
      </c>
      <c r="L546" s="4">
        <f>'Client'!$I546* ('Client'!$K546/100)</f>
        <v>0.24835500000000002</v>
      </c>
    </row>
    <row r="547" spans="1:12" x14ac:dyDescent="0.3">
      <c r="A547" t="s">
        <v>546</v>
      </c>
      <c r="B547" t="s">
        <v>594</v>
      </c>
      <c r="C547" t="s">
        <v>127</v>
      </c>
      <c r="D547" t="str">
        <f>INT('Client'!$E547/12) &amp; " ans et " &amp; MOD('Client'!$E547,12) &amp; " mois"</f>
        <v>5 ans et 5 mois</v>
      </c>
      <c r="E547">
        <v>65</v>
      </c>
      <c r="F547" t="s">
        <v>14</v>
      </c>
      <c r="G547" s="7">
        <f>Client[[#This Row],[Duree_Cumulee_Panne_Min]]/1440</f>
        <v>0.19027777777777777</v>
      </c>
      <c r="H547">
        <v>274</v>
      </c>
      <c r="I547">
        <v>88.1</v>
      </c>
      <c r="J547">
        <v>4</v>
      </c>
      <c r="K547" s="8">
        <f>IF('Client'!$F547="Pro Monde",10%,IF(AND('Client'!$G547&gt;12,'Client'!$D547&gt;5),70%,IF(AND(OR('Client'!$G547&gt;=4,'Client'!$G547&lt;=12,'Client'!$D547&lt;5,(OR('Client'!$F547="Premium ")))),45%,0%)))</f>
        <v>0.1</v>
      </c>
      <c r="L547" s="4">
        <f>'Client'!$I547* ('Client'!$K547/100)</f>
        <v>8.8099999999999998E-2</v>
      </c>
    </row>
    <row r="548" spans="1:12" x14ac:dyDescent="0.3">
      <c r="A548" t="s">
        <v>546</v>
      </c>
      <c r="B548" t="s">
        <v>595</v>
      </c>
      <c r="C548" t="s">
        <v>78</v>
      </c>
      <c r="D548" t="str">
        <f>INT('Client'!$E548/12) &amp; " ans et " &amp; MOD('Client'!$E548,12) &amp; " mois"</f>
        <v>4 ans et 10 mois</v>
      </c>
      <c r="E548">
        <v>58</v>
      </c>
      <c r="F548" t="s">
        <v>14</v>
      </c>
      <c r="G548" s="7">
        <f>Client[[#This Row],[Duree_Cumulee_Panne_Min]]/1440</f>
        <v>0.24444444444444444</v>
      </c>
      <c r="H548">
        <v>352</v>
      </c>
      <c r="I548">
        <v>72.94</v>
      </c>
      <c r="J548">
        <v>0</v>
      </c>
      <c r="K548" s="8">
        <f>IF('Client'!$F548="Pro Monde",10%,IF(AND('Client'!$G548&gt;12,'Client'!$D548&gt;5),70%,IF(AND(OR('Client'!$G548&gt;=4,'Client'!$G548&lt;=12,'Client'!$D548&lt;5,(OR('Client'!$F548="Premium ")))),45%,0%)))</f>
        <v>0.1</v>
      </c>
      <c r="L548" s="4">
        <f>'Client'!$I548* ('Client'!$K548/100)</f>
        <v>7.2940000000000005E-2</v>
      </c>
    </row>
    <row r="549" spans="1:12" x14ac:dyDescent="0.3">
      <c r="A549" t="s">
        <v>546</v>
      </c>
      <c r="B549" t="s">
        <v>596</v>
      </c>
      <c r="C549" t="s">
        <v>29</v>
      </c>
      <c r="D549" t="str">
        <f>INT('Client'!$E549/12) &amp; " ans et " &amp; MOD('Client'!$E549,12) &amp; " mois"</f>
        <v>2 ans et 10 mois</v>
      </c>
      <c r="E549">
        <v>34</v>
      </c>
      <c r="F549" t="s">
        <v>22</v>
      </c>
      <c r="G549" s="7">
        <f>Client[[#This Row],[Duree_Cumulee_Panne_Min]]/1440</f>
        <v>0.27847222222222223</v>
      </c>
      <c r="H549">
        <v>401</v>
      </c>
      <c r="I549">
        <v>68.400000000000006</v>
      </c>
      <c r="J549">
        <v>5</v>
      </c>
      <c r="K549" s="8">
        <f>IF('Client'!$F549="Pro Monde",10%,IF(AND('Client'!$G549&gt;12,'Client'!$D549&gt;5),70%,IF(AND(OR('Client'!$G549&gt;=4,'Client'!$G549&lt;=12,'Client'!$D549&lt;5,(OR('Client'!$F549="Premium ")))),45%,0%)))</f>
        <v>0.45</v>
      </c>
      <c r="L549" s="4">
        <f>'Client'!$I549* ('Client'!$K549/100)</f>
        <v>0.30780000000000007</v>
      </c>
    </row>
    <row r="550" spans="1:12" x14ac:dyDescent="0.3">
      <c r="A550" t="s">
        <v>597</v>
      </c>
      <c r="B550" t="s">
        <v>598</v>
      </c>
      <c r="C550" t="s">
        <v>57</v>
      </c>
      <c r="D550" t="str">
        <f>INT('Client'!$E550/12) &amp; " ans et " &amp; MOD('Client'!$E550,12) &amp; " mois"</f>
        <v>4 ans et 3 mois</v>
      </c>
      <c r="E550">
        <v>51</v>
      </c>
      <c r="F550" t="s">
        <v>22</v>
      </c>
      <c r="G550" s="7">
        <f>Client[[#This Row],[Duree_Cumulee_Panne_Min]]/1440</f>
        <v>0.10555555555555556</v>
      </c>
      <c r="H550">
        <v>152</v>
      </c>
      <c r="I550">
        <v>34.630000000000003</v>
      </c>
      <c r="J550">
        <v>2</v>
      </c>
      <c r="K550" s="8">
        <f>IF('Client'!$F550="Pro Monde",10%,IF(AND('Client'!$G550&gt;12,'Client'!$D550&gt;5),70%,IF(AND(OR('Client'!$G550&gt;=4,'Client'!$G550&lt;=12,'Client'!$D550&lt;5,(OR('Client'!$F550="Premium ")))),45%,0%)))</f>
        <v>0.45</v>
      </c>
      <c r="L550" s="4">
        <f>'Client'!$I550* ('Client'!$K550/100)</f>
        <v>0.15583500000000003</v>
      </c>
    </row>
    <row r="551" spans="1:12" x14ac:dyDescent="0.3">
      <c r="A551" t="s">
        <v>597</v>
      </c>
      <c r="B551" t="s">
        <v>599</v>
      </c>
      <c r="C551" t="s">
        <v>137</v>
      </c>
      <c r="D551" t="str">
        <f>INT('Client'!$E551/12) &amp; " ans et " &amp; MOD('Client'!$E551,12) &amp; " mois"</f>
        <v>2 ans et 1 mois</v>
      </c>
      <c r="E551">
        <v>25</v>
      </c>
      <c r="F551" t="s">
        <v>19</v>
      </c>
      <c r="G551" s="7">
        <f>Client[[#This Row],[Duree_Cumulee_Panne_Min]]/1440</f>
        <v>3.472222222222222E-3</v>
      </c>
      <c r="H551">
        <v>5</v>
      </c>
      <c r="I551">
        <v>27.93</v>
      </c>
      <c r="J551">
        <v>0</v>
      </c>
      <c r="K551" s="8">
        <f>IF('Client'!$F551="Pro Monde",10%,IF(AND('Client'!$G551&gt;12,'Client'!$D551&gt;5),70%,IF(AND(OR('Client'!$G551&gt;=4,'Client'!$G551&lt;=12,'Client'!$D551&lt;5,(OR('Client'!$F551="Premium ")))),45%,0%)))</f>
        <v>0.45</v>
      </c>
      <c r="L551" s="4">
        <f>'Client'!$I551* ('Client'!$K551/100)</f>
        <v>0.12568500000000002</v>
      </c>
    </row>
    <row r="552" spans="1:12" x14ac:dyDescent="0.3">
      <c r="A552" t="s">
        <v>597</v>
      </c>
      <c r="B552" t="s">
        <v>600</v>
      </c>
      <c r="C552" t="s">
        <v>127</v>
      </c>
      <c r="D552" t="str">
        <f>INT('Client'!$E552/12) &amp; " ans et " &amp; MOD('Client'!$E552,12) &amp; " mois"</f>
        <v>6 ans et 7 mois</v>
      </c>
      <c r="E552">
        <v>79</v>
      </c>
      <c r="F552" t="s">
        <v>19</v>
      </c>
      <c r="G552" s="7">
        <f>Client[[#This Row],[Duree_Cumulee_Panne_Min]]/1440</f>
        <v>0.32083333333333336</v>
      </c>
      <c r="H552">
        <v>462</v>
      </c>
      <c r="I552">
        <v>18.28</v>
      </c>
      <c r="J552">
        <v>0</v>
      </c>
      <c r="K552" s="8">
        <f>IF('Client'!$F552="Pro Monde",10%,IF(AND('Client'!$G552&gt;12,'Client'!$D552&gt;5),70%,IF(AND(OR('Client'!$G552&gt;=4,'Client'!$G552&lt;=12,'Client'!$D552&lt;5,(OR('Client'!$F552="Premium ")))),45%,0%)))</f>
        <v>0.45</v>
      </c>
      <c r="L552" s="4">
        <f>'Client'!$I552* ('Client'!$K552/100)</f>
        <v>8.2260000000000014E-2</v>
      </c>
    </row>
    <row r="553" spans="1:12" x14ac:dyDescent="0.3">
      <c r="A553" t="s">
        <v>597</v>
      </c>
      <c r="B553" t="s">
        <v>601</v>
      </c>
      <c r="C553" t="s">
        <v>60</v>
      </c>
      <c r="D553" t="str">
        <f>INT('Client'!$E553/12) &amp; " ans et " &amp; MOD('Client'!$E553,12) &amp; " mois"</f>
        <v>6 ans et 11 mois</v>
      </c>
      <c r="E553">
        <v>83</v>
      </c>
      <c r="F553" t="s">
        <v>14</v>
      </c>
      <c r="G553" s="7">
        <f>Client[[#This Row],[Duree_Cumulee_Panne_Min]]/1440</f>
        <v>6.3194444444444442E-2</v>
      </c>
      <c r="H553">
        <v>91</v>
      </c>
      <c r="I553">
        <v>73.73</v>
      </c>
      <c r="J553">
        <v>2</v>
      </c>
      <c r="K553" s="8">
        <f>IF('Client'!$F553="Pro Monde",10%,IF(AND('Client'!$G553&gt;12,'Client'!$D553&gt;5),70%,IF(AND(OR('Client'!$G553&gt;=4,'Client'!$G553&lt;=12,'Client'!$D553&lt;5,(OR('Client'!$F553="Premium ")))),45%,0%)))</f>
        <v>0.1</v>
      </c>
      <c r="L553" s="4">
        <f>'Client'!$I553* ('Client'!$K553/100)</f>
        <v>7.3730000000000004E-2</v>
      </c>
    </row>
    <row r="554" spans="1:12" x14ac:dyDescent="0.3">
      <c r="A554" t="s">
        <v>597</v>
      </c>
      <c r="B554" t="s">
        <v>602</v>
      </c>
      <c r="C554" t="s">
        <v>131</v>
      </c>
      <c r="D554" t="str">
        <f>INT('Client'!$E554/12) &amp; " ans et " &amp; MOD('Client'!$E554,12) &amp; " mois"</f>
        <v>4 ans et 3 mois</v>
      </c>
      <c r="E554">
        <v>51</v>
      </c>
      <c r="F554" t="s">
        <v>19</v>
      </c>
      <c r="G554" s="7">
        <f>Client[[#This Row],[Duree_Cumulee_Panne_Min]]/1440</f>
        <v>0.23402777777777778</v>
      </c>
      <c r="H554">
        <v>337</v>
      </c>
      <c r="I554">
        <v>68.67</v>
      </c>
      <c r="J554">
        <v>5</v>
      </c>
      <c r="K554" s="8">
        <f>IF('Client'!$F554="Pro Monde",10%,IF(AND('Client'!$G554&gt;12,'Client'!$D554&gt;5),70%,IF(AND(OR('Client'!$G554&gt;=4,'Client'!$G554&lt;=12,'Client'!$D554&lt;5,(OR('Client'!$F554="Premium ")))),45%,0%)))</f>
        <v>0.45</v>
      </c>
      <c r="L554" s="4">
        <f>'Client'!$I554* ('Client'!$K554/100)</f>
        <v>0.30901500000000004</v>
      </c>
    </row>
    <row r="555" spans="1:12" x14ac:dyDescent="0.3">
      <c r="A555" t="s">
        <v>597</v>
      </c>
      <c r="B555" t="s">
        <v>603</v>
      </c>
      <c r="C555" t="s">
        <v>51</v>
      </c>
      <c r="D555" t="str">
        <f>INT('Client'!$E555/12) &amp; " ans et " &amp; MOD('Client'!$E555,12) &amp; " mois"</f>
        <v>8 ans et 11 mois</v>
      </c>
      <c r="E555">
        <v>107</v>
      </c>
      <c r="F555" t="s">
        <v>22</v>
      </c>
      <c r="G555" s="7">
        <f>Client[[#This Row],[Duree_Cumulee_Panne_Min]]/1440</f>
        <v>0.2013888888888889</v>
      </c>
      <c r="H555">
        <v>290</v>
      </c>
      <c r="I555">
        <v>52.03</v>
      </c>
      <c r="J555">
        <v>0</v>
      </c>
      <c r="K555" s="8">
        <f>IF('Client'!$F555="Pro Monde",10%,IF(AND('Client'!$G555&gt;12,'Client'!$D555&gt;5),70%,IF(AND(OR('Client'!$G555&gt;=4,'Client'!$G555&lt;=12,'Client'!$D555&lt;5,(OR('Client'!$F555="Premium ")))),45%,0%)))</f>
        <v>0.45</v>
      </c>
      <c r="L555" s="4">
        <f>'Client'!$I555* ('Client'!$K555/100)</f>
        <v>0.23413500000000004</v>
      </c>
    </row>
    <row r="556" spans="1:12" x14ac:dyDescent="0.3">
      <c r="A556" t="s">
        <v>597</v>
      </c>
      <c r="B556" t="s">
        <v>604</v>
      </c>
      <c r="C556" t="s">
        <v>33</v>
      </c>
      <c r="D556" t="str">
        <f>INT('Client'!$E556/12) &amp; " ans et " &amp; MOD('Client'!$E556,12) &amp; " mois"</f>
        <v>0 ans et 7 mois</v>
      </c>
      <c r="E556">
        <v>7</v>
      </c>
      <c r="F556" t="s">
        <v>14</v>
      </c>
      <c r="G556" s="7">
        <f>Client[[#This Row],[Duree_Cumulee_Panne_Min]]/1440</f>
        <v>0.22430555555555556</v>
      </c>
      <c r="H556">
        <v>323</v>
      </c>
      <c r="I556">
        <v>82.81</v>
      </c>
      <c r="J556">
        <v>5</v>
      </c>
      <c r="K556" s="8">
        <f>IF('Client'!$F556="Pro Monde",10%,IF(AND('Client'!$G556&gt;12,'Client'!$D556&gt;5),70%,IF(AND(OR('Client'!$G556&gt;=4,'Client'!$G556&lt;=12,'Client'!$D556&lt;5,(OR('Client'!$F556="Premium ")))),45%,0%)))</f>
        <v>0.1</v>
      </c>
      <c r="L556" s="4">
        <f>'Client'!$I556* ('Client'!$K556/100)</f>
        <v>8.2810000000000009E-2</v>
      </c>
    </row>
    <row r="557" spans="1:12" x14ac:dyDescent="0.3">
      <c r="A557" t="s">
        <v>597</v>
      </c>
      <c r="B557" t="s">
        <v>605</v>
      </c>
      <c r="C557" t="s">
        <v>26</v>
      </c>
      <c r="D557" t="str">
        <f>INT('Client'!$E557/12) &amp; " ans et " &amp; MOD('Client'!$E557,12) &amp; " mois"</f>
        <v>8 ans et 7 mois</v>
      </c>
      <c r="E557">
        <v>103</v>
      </c>
      <c r="F557" t="s">
        <v>11</v>
      </c>
      <c r="G557" s="7">
        <f>Client[[#This Row],[Duree_Cumulee_Panne_Min]]/1440</f>
        <v>0.21527777777777779</v>
      </c>
      <c r="H557">
        <v>310</v>
      </c>
      <c r="I557">
        <v>49.25</v>
      </c>
      <c r="J557">
        <v>2</v>
      </c>
      <c r="K557" s="8">
        <f>IF('Client'!$F557="Pro Monde",10%,IF(AND('Client'!$G557&gt;12,'Client'!$D557&gt;5),70%,IF(AND(OR('Client'!$G557&gt;=4,'Client'!$G557&lt;=12,'Client'!$D557&lt;5,(OR('Client'!$F557="Premium ")))),45%,0%)))</f>
        <v>0.45</v>
      </c>
      <c r="L557" s="4">
        <f>'Client'!$I557* ('Client'!$K557/100)</f>
        <v>0.22162500000000002</v>
      </c>
    </row>
    <row r="558" spans="1:12" x14ac:dyDescent="0.3">
      <c r="A558" t="s">
        <v>597</v>
      </c>
      <c r="B558" t="s">
        <v>606</v>
      </c>
      <c r="C558" t="s">
        <v>51</v>
      </c>
      <c r="D558" t="str">
        <f>INT('Client'!$E558/12) &amp; " ans et " &amp; MOD('Client'!$E558,12) &amp; " mois"</f>
        <v>10 ans et 0 mois</v>
      </c>
      <c r="E558">
        <v>120</v>
      </c>
      <c r="F558" t="s">
        <v>22</v>
      </c>
      <c r="G558" s="7">
        <f>Client[[#This Row],[Duree_Cumulee_Panne_Min]]/1440</f>
        <v>0.3034722222222222</v>
      </c>
      <c r="H558">
        <v>437</v>
      </c>
      <c r="I558">
        <v>95.17</v>
      </c>
      <c r="J558">
        <v>1</v>
      </c>
      <c r="K558" s="8">
        <f>IF('Client'!$F558="Pro Monde",10%,IF(AND('Client'!$G558&gt;12,'Client'!$D558&gt;5),70%,IF(AND(OR('Client'!$G558&gt;=4,'Client'!$G558&lt;=12,'Client'!$D558&lt;5,(OR('Client'!$F558="Premium ")))),45%,0%)))</f>
        <v>0.45</v>
      </c>
      <c r="L558" s="4">
        <f>'Client'!$I558* ('Client'!$K558/100)</f>
        <v>0.42826500000000006</v>
      </c>
    </row>
    <row r="559" spans="1:12" x14ac:dyDescent="0.3">
      <c r="A559" t="s">
        <v>597</v>
      </c>
      <c r="B559" t="s">
        <v>607</v>
      </c>
      <c r="C559" t="s">
        <v>21</v>
      </c>
      <c r="D559" t="str">
        <f>INT('Client'!$E559/12) &amp; " ans et " &amp; MOD('Client'!$E559,12) &amp; " mois"</f>
        <v>6 ans et 2 mois</v>
      </c>
      <c r="E559">
        <v>74</v>
      </c>
      <c r="F559" t="s">
        <v>22</v>
      </c>
      <c r="G559" s="7">
        <f>Client[[#This Row],[Duree_Cumulee_Panne_Min]]/1440</f>
        <v>1.1111111111111112E-2</v>
      </c>
      <c r="H559">
        <v>16</v>
      </c>
      <c r="I559">
        <v>93.01</v>
      </c>
      <c r="J559">
        <v>3</v>
      </c>
      <c r="K559" s="8">
        <f>IF('Client'!$F559="Pro Monde",10%,IF(AND('Client'!$G559&gt;12,'Client'!$D559&gt;5),70%,IF(AND(OR('Client'!$G559&gt;=4,'Client'!$G559&lt;=12,'Client'!$D559&lt;5,(OR('Client'!$F559="Premium ")))),45%,0%)))</f>
        <v>0.45</v>
      </c>
      <c r="L559" s="4">
        <f>'Client'!$I559* ('Client'!$K559/100)</f>
        <v>0.41854500000000006</v>
      </c>
    </row>
    <row r="560" spans="1:12" x14ac:dyDescent="0.3">
      <c r="A560" t="s">
        <v>597</v>
      </c>
      <c r="B560" t="s">
        <v>608</v>
      </c>
      <c r="C560" t="s">
        <v>24</v>
      </c>
      <c r="D560" t="str">
        <f>INT('Client'!$E560/12) &amp; " ans et " &amp; MOD('Client'!$E560,12) &amp; " mois"</f>
        <v>4 ans et 7 mois</v>
      </c>
      <c r="E560">
        <v>55</v>
      </c>
      <c r="F560" t="s">
        <v>22</v>
      </c>
      <c r="G560" s="7">
        <f>Client[[#This Row],[Duree_Cumulee_Panne_Min]]/1440</f>
        <v>4.1666666666666664E-2</v>
      </c>
      <c r="H560">
        <v>60</v>
      </c>
      <c r="I560">
        <v>32.51</v>
      </c>
      <c r="J560">
        <v>4</v>
      </c>
      <c r="K560" s="8">
        <f>IF('Client'!$F560="Pro Monde",10%,IF(AND('Client'!$G560&gt;12,'Client'!$D560&gt;5),70%,IF(AND(OR('Client'!$G560&gt;=4,'Client'!$G560&lt;=12,'Client'!$D560&lt;5,(OR('Client'!$F560="Premium ")))),45%,0%)))</f>
        <v>0.45</v>
      </c>
      <c r="L560" s="4">
        <f>'Client'!$I560* ('Client'!$K560/100)</f>
        <v>0.14629500000000001</v>
      </c>
    </row>
    <row r="561" spans="1:12" x14ac:dyDescent="0.3">
      <c r="A561" t="s">
        <v>597</v>
      </c>
      <c r="B561" t="s">
        <v>609</v>
      </c>
      <c r="C561" t="s">
        <v>127</v>
      </c>
      <c r="D561" t="str">
        <f>INT('Client'!$E561/12) &amp; " ans et " &amp; MOD('Client'!$E561,12) &amp; " mois"</f>
        <v>1 ans et 5 mois</v>
      </c>
      <c r="E561">
        <v>17</v>
      </c>
      <c r="F561" t="s">
        <v>11</v>
      </c>
      <c r="G561" s="7">
        <f>Client[[#This Row],[Duree_Cumulee_Panne_Min]]/1440</f>
        <v>0.34652777777777777</v>
      </c>
      <c r="H561">
        <v>499</v>
      </c>
      <c r="I561">
        <v>27.81</v>
      </c>
      <c r="J561">
        <v>2</v>
      </c>
      <c r="K561" s="8">
        <f>IF('Client'!$F561="Pro Monde",10%,IF(AND('Client'!$G561&gt;12,'Client'!$D561&gt;5),70%,IF(AND(OR('Client'!$G561&gt;=4,'Client'!$G561&lt;=12,'Client'!$D561&lt;5,(OR('Client'!$F561="Premium ")))),45%,0%)))</f>
        <v>0.45</v>
      </c>
      <c r="L561" s="4">
        <f>'Client'!$I561* ('Client'!$K561/100)</f>
        <v>0.12514500000000001</v>
      </c>
    </row>
    <row r="562" spans="1:12" x14ac:dyDescent="0.3">
      <c r="A562" t="s">
        <v>597</v>
      </c>
      <c r="B562" t="s">
        <v>610</v>
      </c>
      <c r="C562" t="s">
        <v>10</v>
      </c>
      <c r="D562" t="str">
        <f>INT('Client'!$E562/12) &amp; " ans et " &amp; MOD('Client'!$E562,12) &amp; " mois"</f>
        <v>6 ans et 10 mois</v>
      </c>
      <c r="E562">
        <v>82</v>
      </c>
      <c r="F562" t="s">
        <v>22</v>
      </c>
      <c r="G562" s="7">
        <f>Client[[#This Row],[Duree_Cumulee_Panne_Min]]/1440</f>
        <v>0.12152777777777778</v>
      </c>
      <c r="H562">
        <v>175</v>
      </c>
      <c r="I562">
        <v>86.14</v>
      </c>
      <c r="J562">
        <v>1</v>
      </c>
      <c r="K562" s="8">
        <f>IF('Client'!$F562="Pro Monde",10%,IF(AND('Client'!$G562&gt;12,'Client'!$D562&gt;5),70%,IF(AND(OR('Client'!$G562&gt;=4,'Client'!$G562&lt;=12,'Client'!$D562&lt;5,(OR('Client'!$F562="Premium ")))),45%,0%)))</f>
        <v>0.45</v>
      </c>
      <c r="L562" s="4">
        <f>'Client'!$I562* ('Client'!$K562/100)</f>
        <v>0.38763000000000003</v>
      </c>
    </row>
    <row r="563" spans="1:12" x14ac:dyDescent="0.3">
      <c r="A563" t="s">
        <v>597</v>
      </c>
      <c r="B563" t="s">
        <v>611</v>
      </c>
      <c r="C563" t="s">
        <v>16</v>
      </c>
      <c r="D563" t="str">
        <f>INT('Client'!$E563/12) &amp; " ans et " &amp; MOD('Client'!$E563,12) &amp; " mois"</f>
        <v>4 ans et 2 mois</v>
      </c>
      <c r="E563">
        <v>50</v>
      </c>
      <c r="F563" t="s">
        <v>22</v>
      </c>
      <c r="G563" s="7">
        <f>Client[[#This Row],[Duree_Cumulee_Panne_Min]]/1440</f>
        <v>0.12291666666666666</v>
      </c>
      <c r="H563">
        <v>177</v>
      </c>
      <c r="I563">
        <v>74.569999999999993</v>
      </c>
      <c r="J563">
        <v>4</v>
      </c>
      <c r="K563" s="8">
        <f>IF('Client'!$F563="Pro Monde",10%,IF(AND('Client'!$G563&gt;12,'Client'!$D563&gt;5),70%,IF(AND(OR('Client'!$G563&gt;=4,'Client'!$G563&lt;=12,'Client'!$D563&lt;5,(OR('Client'!$F563="Premium ")))),45%,0%)))</f>
        <v>0.45</v>
      </c>
      <c r="L563" s="4">
        <f>'Client'!$I563* ('Client'!$K563/100)</f>
        <v>0.335565</v>
      </c>
    </row>
    <row r="564" spans="1:12" x14ac:dyDescent="0.3">
      <c r="A564" t="s">
        <v>597</v>
      </c>
      <c r="B564" t="s">
        <v>612</v>
      </c>
      <c r="C564" t="s">
        <v>37</v>
      </c>
      <c r="D564" t="str">
        <f>INT('Client'!$E564/12) &amp; " ans et " &amp; MOD('Client'!$E564,12) &amp; " mois"</f>
        <v>7 ans et 10 mois</v>
      </c>
      <c r="E564">
        <v>94</v>
      </c>
      <c r="F564" t="s">
        <v>14</v>
      </c>
      <c r="G564" s="7">
        <f>Client[[#This Row],[Duree_Cumulee_Panne_Min]]/1440</f>
        <v>0.17152777777777778</v>
      </c>
      <c r="H564">
        <v>247</v>
      </c>
      <c r="I564">
        <v>96.57</v>
      </c>
      <c r="J564">
        <v>0</v>
      </c>
      <c r="K564" s="8">
        <f>IF('Client'!$F564="Pro Monde",10%,IF(AND('Client'!$G564&gt;12,'Client'!$D564&gt;5),70%,IF(AND(OR('Client'!$G564&gt;=4,'Client'!$G564&lt;=12,'Client'!$D564&lt;5,(OR('Client'!$F564="Premium ")))),45%,0%)))</f>
        <v>0.1</v>
      </c>
      <c r="L564" s="4">
        <f>'Client'!$I564* ('Client'!$K564/100)</f>
        <v>9.6569999999999989E-2</v>
      </c>
    </row>
    <row r="565" spans="1:12" x14ac:dyDescent="0.3">
      <c r="A565" t="s">
        <v>597</v>
      </c>
      <c r="B565" t="s">
        <v>613</v>
      </c>
      <c r="C565" t="s">
        <v>24</v>
      </c>
      <c r="D565" t="str">
        <f>INT('Client'!$E565/12) &amp; " ans et " &amp; MOD('Client'!$E565,12) &amp; " mois"</f>
        <v>1 ans et 11 mois</v>
      </c>
      <c r="E565">
        <v>23</v>
      </c>
      <c r="F565" t="s">
        <v>11</v>
      </c>
      <c r="G565" s="7">
        <f>Client[[#This Row],[Duree_Cumulee_Panne_Min]]/1440</f>
        <v>0.21805555555555556</v>
      </c>
      <c r="H565">
        <v>314</v>
      </c>
      <c r="I565">
        <v>19.260000000000002</v>
      </c>
      <c r="J565">
        <v>3</v>
      </c>
      <c r="K565" s="8">
        <f>IF('Client'!$F565="Pro Monde",10%,IF(AND('Client'!$G565&gt;12,'Client'!$D565&gt;5),70%,IF(AND(OR('Client'!$G565&gt;=4,'Client'!$G565&lt;=12,'Client'!$D565&lt;5,(OR('Client'!$F565="Premium ")))),45%,0%)))</f>
        <v>0.45</v>
      </c>
      <c r="L565" s="4">
        <f>'Client'!$I565* ('Client'!$K565/100)</f>
        <v>8.6670000000000011E-2</v>
      </c>
    </row>
    <row r="566" spans="1:12" x14ac:dyDescent="0.3">
      <c r="A566" t="s">
        <v>597</v>
      </c>
      <c r="B566" t="s">
        <v>614</v>
      </c>
      <c r="C566" t="s">
        <v>18</v>
      </c>
      <c r="D566" t="str">
        <f>INT('Client'!$E566/12) &amp; " ans et " &amp; MOD('Client'!$E566,12) &amp; " mois"</f>
        <v>4 ans et 4 mois</v>
      </c>
      <c r="E566">
        <v>52</v>
      </c>
      <c r="F566" t="s">
        <v>19</v>
      </c>
      <c r="G566" s="7">
        <f>Client[[#This Row],[Duree_Cumulee_Panne_Min]]/1440</f>
        <v>0.21319444444444444</v>
      </c>
      <c r="H566">
        <v>307</v>
      </c>
      <c r="I566">
        <v>81.38</v>
      </c>
      <c r="J566">
        <v>2</v>
      </c>
      <c r="K566" s="8">
        <f>IF('Client'!$F566="Pro Monde",10%,IF(AND('Client'!$G566&gt;12,'Client'!$D566&gt;5),70%,IF(AND(OR('Client'!$G566&gt;=4,'Client'!$G566&lt;=12,'Client'!$D566&lt;5,(OR('Client'!$F566="Premium ")))),45%,0%)))</f>
        <v>0.45</v>
      </c>
      <c r="L566" s="4">
        <f>'Client'!$I566* ('Client'!$K566/100)</f>
        <v>0.36621000000000004</v>
      </c>
    </row>
    <row r="567" spans="1:12" x14ac:dyDescent="0.3">
      <c r="A567" t="s">
        <v>597</v>
      </c>
      <c r="B567" t="s">
        <v>615</v>
      </c>
      <c r="C567" t="s">
        <v>131</v>
      </c>
      <c r="D567" t="str">
        <f>INT('Client'!$E567/12) &amp; " ans et " &amp; MOD('Client'!$E567,12) &amp; " mois"</f>
        <v>9 ans et 8 mois</v>
      </c>
      <c r="E567">
        <v>116</v>
      </c>
      <c r="F567" t="s">
        <v>11</v>
      </c>
      <c r="G567" s="7">
        <f>Client[[#This Row],[Duree_Cumulee_Panne_Min]]/1440</f>
        <v>0.19375000000000001</v>
      </c>
      <c r="H567">
        <v>279</v>
      </c>
      <c r="I567">
        <v>62.88</v>
      </c>
      <c r="J567">
        <v>4</v>
      </c>
      <c r="K567" s="8">
        <f>IF('Client'!$F567="Pro Monde",10%,IF(AND('Client'!$G567&gt;12,'Client'!$D567&gt;5),70%,IF(AND(OR('Client'!$G567&gt;=4,'Client'!$G567&lt;=12,'Client'!$D567&lt;5,(OR('Client'!$F567="Premium ")))),45%,0%)))</f>
        <v>0.45</v>
      </c>
      <c r="L567" s="4">
        <f>'Client'!$I567* ('Client'!$K567/100)</f>
        <v>0.28296000000000004</v>
      </c>
    </row>
    <row r="568" spans="1:12" x14ac:dyDescent="0.3">
      <c r="A568" t="s">
        <v>597</v>
      </c>
      <c r="B568" t="s">
        <v>616</v>
      </c>
      <c r="C568" t="s">
        <v>64</v>
      </c>
      <c r="D568" t="str">
        <f>INT('Client'!$E568/12) &amp; " ans et " &amp; MOD('Client'!$E568,12) &amp; " mois"</f>
        <v>3 ans et 5 mois</v>
      </c>
      <c r="E568">
        <v>41</v>
      </c>
      <c r="F568" t="s">
        <v>19</v>
      </c>
      <c r="G568" s="7">
        <f>Client[[#This Row],[Duree_Cumulee_Panne_Min]]/1440</f>
        <v>1.3888888888888889E-3</v>
      </c>
      <c r="H568">
        <v>2</v>
      </c>
      <c r="I568">
        <v>24.91</v>
      </c>
      <c r="J568">
        <v>1</v>
      </c>
      <c r="K568" s="8">
        <f>IF('Client'!$F568="Pro Monde",10%,IF(AND('Client'!$G568&gt;12,'Client'!$D568&gt;5),70%,IF(AND(OR('Client'!$G568&gt;=4,'Client'!$G568&lt;=12,'Client'!$D568&lt;5,(OR('Client'!$F568="Premium ")))),45%,0%)))</f>
        <v>0.45</v>
      </c>
      <c r="L568" s="4">
        <f>'Client'!$I568* ('Client'!$K568/100)</f>
        <v>0.11209500000000001</v>
      </c>
    </row>
    <row r="569" spans="1:12" x14ac:dyDescent="0.3">
      <c r="A569" t="s">
        <v>597</v>
      </c>
      <c r="B569" t="s">
        <v>617</v>
      </c>
      <c r="C569" t="s">
        <v>21</v>
      </c>
      <c r="D569" t="str">
        <f>INT('Client'!$E569/12) &amp; " ans et " &amp; MOD('Client'!$E569,12) &amp; " mois"</f>
        <v>5 ans et 7 mois</v>
      </c>
      <c r="E569">
        <v>67</v>
      </c>
      <c r="F569" t="s">
        <v>22</v>
      </c>
      <c r="G569" s="7">
        <f>Client[[#This Row],[Duree_Cumulee_Panne_Min]]/1440</f>
        <v>5.6250000000000001E-2</v>
      </c>
      <c r="H569">
        <v>81</v>
      </c>
      <c r="I569">
        <v>28.52</v>
      </c>
      <c r="J569">
        <v>4</v>
      </c>
      <c r="K569" s="8">
        <f>IF('Client'!$F569="Pro Monde",10%,IF(AND('Client'!$G569&gt;12,'Client'!$D569&gt;5),70%,IF(AND(OR('Client'!$G569&gt;=4,'Client'!$G569&lt;=12,'Client'!$D569&lt;5,(OR('Client'!$F569="Premium ")))),45%,0%)))</f>
        <v>0.45</v>
      </c>
      <c r="L569" s="4">
        <f>'Client'!$I569* ('Client'!$K569/100)</f>
        <v>0.12834000000000001</v>
      </c>
    </row>
    <row r="570" spans="1:12" x14ac:dyDescent="0.3">
      <c r="A570" t="s">
        <v>597</v>
      </c>
      <c r="B570" t="s">
        <v>618</v>
      </c>
      <c r="C570" t="s">
        <v>24</v>
      </c>
      <c r="D570" t="str">
        <f>INT('Client'!$E570/12) &amp; " ans et " &amp; MOD('Client'!$E570,12) &amp; " mois"</f>
        <v>1 ans et 9 mois</v>
      </c>
      <c r="E570">
        <v>21</v>
      </c>
      <c r="F570" t="s">
        <v>19</v>
      </c>
      <c r="G570" s="7">
        <f>Client[[#This Row],[Duree_Cumulee_Panne_Min]]/1440</f>
        <v>0.18541666666666667</v>
      </c>
      <c r="H570">
        <v>267</v>
      </c>
      <c r="I570">
        <v>74.989999999999995</v>
      </c>
      <c r="J570">
        <v>1</v>
      </c>
      <c r="K570" s="8">
        <f>IF('Client'!$F570="Pro Monde",10%,IF(AND('Client'!$G570&gt;12,'Client'!$D570&gt;5),70%,IF(AND(OR('Client'!$G570&gt;=4,'Client'!$G570&lt;=12,'Client'!$D570&lt;5,(OR('Client'!$F570="Premium ")))),45%,0%)))</f>
        <v>0.45</v>
      </c>
      <c r="L570" s="4">
        <f>'Client'!$I570* ('Client'!$K570/100)</f>
        <v>0.337455</v>
      </c>
    </row>
    <row r="571" spans="1:12" x14ac:dyDescent="0.3">
      <c r="A571" t="s">
        <v>597</v>
      </c>
      <c r="B571" t="s">
        <v>619</v>
      </c>
      <c r="C571" t="s">
        <v>57</v>
      </c>
      <c r="D571" t="str">
        <f>INT('Client'!$E571/12) &amp; " ans et " &amp; MOD('Client'!$E571,12) &amp; " mois"</f>
        <v>4 ans et 8 mois</v>
      </c>
      <c r="E571">
        <v>56</v>
      </c>
      <c r="F571" t="s">
        <v>19</v>
      </c>
      <c r="G571" s="7">
        <f>Client[[#This Row],[Duree_Cumulee_Panne_Min]]/1440</f>
        <v>0.26319444444444445</v>
      </c>
      <c r="H571">
        <v>379</v>
      </c>
      <c r="I571">
        <v>49.01</v>
      </c>
      <c r="J571">
        <v>0</v>
      </c>
      <c r="K571" s="8">
        <f>IF('Client'!$F571="Pro Monde",10%,IF(AND('Client'!$G571&gt;12,'Client'!$D571&gt;5),70%,IF(AND(OR('Client'!$G571&gt;=4,'Client'!$G571&lt;=12,'Client'!$D571&lt;5,(OR('Client'!$F571="Premium ")))),45%,0%)))</f>
        <v>0.45</v>
      </c>
      <c r="L571" s="4">
        <f>'Client'!$I571* ('Client'!$K571/100)</f>
        <v>0.22054500000000002</v>
      </c>
    </row>
    <row r="572" spans="1:12" x14ac:dyDescent="0.3">
      <c r="A572" t="s">
        <v>597</v>
      </c>
      <c r="B572" t="s">
        <v>620</v>
      </c>
      <c r="C572" t="s">
        <v>73</v>
      </c>
      <c r="D572" t="str">
        <f>INT('Client'!$E572/12) &amp; " ans et " &amp; MOD('Client'!$E572,12) &amp; " mois"</f>
        <v>2 ans et 6 mois</v>
      </c>
      <c r="E572">
        <v>30</v>
      </c>
      <c r="F572" t="s">
        <v>19</v>
      </c>
      <c r="G572" s="7">
        <f>Client[[#This Row],[Duree_Cumulee_Panne_Min]]/1440</f>
        <v>9.0277777777777776E-2</v>
      </c>
      <c r="H572">
        <v>130</v>
      </c>
      <c r="I572">
        <v>50.15</v>
      </c>
      <c r="J572">
        <v>4</v>
      </c>
      <c r="K572" s="8">
        <f>IF('Client'!$F572="Pro Monde",10%,IF(AND('Client'!$G572&gt;12,'Client'!$D572&gt;5),70%,IF(AND(OR('Client'!$G572&gt;=4,'Client'!$G572&lt;=12,'Client'!$D572&lt;5,(OR('Client'!$F572="Premium ")))),45%,0%)))</f>
        <v>0.45</v>
      </c>
      <c r="L572" s="4">
        <f>'Client'!$I572* ('Client'!$K572/100)</f>
        <v>0.22567500000000001</v>
      </c>
    </row>
    <row r="573" spans="1:12" x14ac:dyDescent="0.3">
      <c r="A573" t="s">
        <v>597</v>
      </c>
      <c r="B573" t="s">
        <v>621</v>
      </c>
      <c r="C573" t="s">
        <v>35</v>
      </c>
      <c r="D573" t="str">
        <f>INT('Client'!$E573/12) &amp; " ans et " &amp; MOD('Client'!$E573,12) &amp; " mois"</f>
        <v>1 ans et 1 mois</v>
      </c>
      <c r="E573">
        <v>13</v>
      </c>
      <c r="F573" t="s">
        <v>14</v>
      </c>
      <c r="G573" s="7">
        <f>Client[[#This Row],[Duree_Cumulee_Panne_Min]]/1440</f>
        <v>0.32916666666666666</v>
      </c>
      <c r="H573">
        <v>474</v>
      </c>
      <c r="I573">
        <v>63.67</v>
      </c>
      <c r="J573">
        <v>2</v>
      </c>
      <c r="K573" s="8">
        <f>IF('Client'!$F573="Pro Monde",10%,IF(AND('Client'!$G573&gt;12,'Client'!$D573&gt;5),70%,IF(AND(OR('Client'!$G573&gt;=4,'Client'!$G573&lt;=12,'Client'!$D573&lt;5,(OR('Client'!$F573="Premium ")))),45%,0%)))</f>
        <v>0.1</v>
      </c>
      <c r="L573" s="4">
        <f>'Client'!$I573* ('Client'!$K573/100)</f>
        <v>6.3670000000000004E-2</v>
      </c>
    </row>
    <row r="574" spans="1:12" x14ac:dyDescent="0.3">
      <c r="A574" t="s">
        <v>597</v>
      </c>
      <c r="B574" t="s">
        <v>622</v>
      </c>
      <c r="C574" t="s">
        <v>67</v>
      </c>
      <c r="D574" t="str">
        <f>INT('Client'!$E574/12) &amp; " ans et " &amp; MOD('Client'!$E574,12) &amp; " mois"</f>
        <v>7 ans et 7 mois</v>
      </c>
      <c r="E574">
        <v>91</v>
      </c>
      <c r="F574" t="s">
        <v>19</v>
      </c>
      <c r="G574" s="7">
        <f>Client[[#This Row],[Duree_Cumulee_Panne_Min]]/1440</f>
        <v>4.3055555555555555E-2</v>
      </c>
      <c r="H574">
        <v>62</v>
      </c>
      <c r="I574">
        <v>34.450000000000003</v>
      </c>
      <c r="J574">
        <v>5</v>
      </c>
      <c r="K574" s="8">
        <f>IF('Client'!$F574="Pro Monde",10%,IF(AND('Client'!$G574&gt;12,'Client'!$D574&gt;5),70%,IF(AND(OR('Client'!$G574&gt;=4,'Client'!$G574&lt;=12,'Client'!$D574&lt;5,(OR('Client'!$F574="Premium ")))),45%,0%)))</f>
        <v>0.45</v>
      </c>
      <c r="L574" s="4">
        <f>'Client'!$I574* ('Client'!$K574/100)</f>
        <v>0.15502500000000002</v>
      </c>
    </row>
    <row r="575" spans="1:12" x14ac:dyDescent="0.3">
      <c r="A575" t="s">
        <v>597</v>
      </c>
      <c r="B575" t="s">
        <v>623</v>
      </c>
      <c r="C575" t="s">
        <v>13</v>
      </c>
      <c r="D575" t="str">
        <f>INT('Client'!$E575/12) &amp; " ans et " &amp; MOD('Client'!$E575,12) &amp; " mois"</f>
        <v>8 ans et 7 mois</v>
      </c>
      <c r="E575">
        <v>103</v>
      </c>
      <c r="F575" t="s">
        <v>19</v>
      </c>
      <c r="G575" s="7">
        <f>Client[[#This Row],[Duree_Cumulee_Panne_Min]]/1440</f>
        <v>6.805555555555555E-2</v>
      </c>
      <c r="H575">
        <v>98</v>
      </c>
      <c r="I575">
        <v>38.69</v>
      </c>
      <c r="J575">
        <v>4</v>
      </c>
      <c r="K575" s="8">
        <f>IF('Client'!$F575="Pro Monde",10%,IF(AND('Client'!$G575&gt;12,'Client'!$D575&gt;5),70%,IF(AND(OR('Client'!$G575&gt;=4,'Client'!$G575&lt;=12,'Client'!$D575&lt;5,(OR('Client'!$F575="Premium ")))),45%,0%)))</f>
        <v>0.45</v>
      </c>
      <c r="L575" s="4">
        <f>'Client'!$I575* ('Client'!$K575/100)</f>
        <v>0.17410500000000001</v>
      </c>
    </row>
    <row r="576" spans="1:12" x14ac:dyDescent="0.3">
      <c r="A576" t="s">
        <v>597</v>
      </c>
      <c r="B576" t="s">
        <v>624</v>
      </c>
      <c r="C576" t="s">
        <v>67</v>
      </c>
      <c r="D576" t="str">
        <f>INT('Client'!$E576/12) &amp; " ans et " &amp; MOD('Client'!$E576,12) &amp; " mois"</f>
        <v>1 ans et 5 mois</v>
      </c>
      <c r="E576">
        <v>17</v>
      </c>
      <c r="F576" t="s">
        <v>22</v>
      </c>
      <c r="G576" s="7">
        <f>Client[[#This Row],[Duree_Cumulee_Panne_Min]]/1440</f>
        <v>0.21527777777777779</v>
      </c>
      <c r="H576">
        <v>310</v>
      </c>
      <c r="I576">
        <v>19.68</v>
      </c>
      <c r="J576">
        <v>5</v>
      </c>
      <c r="K576" s="8">
        <f>IF('Client'!$F576="Pro Monde",10%,IF(AND('Client'!$G576&gt;12,'Client'!$D576&gt;5),70%,IF(AND(OR('Client'!$G576&gt;=4,'Client'!$G576&lt;=12,'Client'!$D576&lt;5,(OR('Client'!$F576="Premium ")))),45%,0%)))</f>
        <v>0.45</v>
      </c>
      <c r="L576" s="4">
        <f>'Client'!$I576* ('Client'!$K576/100)</f>
        <v>8.8560000000000014E-2</v>
      </c>
    </row>
    <row r="577" spans="1:12" x14ac:dyDescent="0.3">
      <c r="A577" t="s">
        <v>597</v>
      </c>
      <c r="B577" t="s">
        <v>625</v>
      </c>
      <c r="C577" t="s">
        <v>35</v>
      </c>
      <c r="D577" t="str">
        <f>INT('Client'!$E577/12) &amp; " ans et " &amp; MOD('Client'!$E577,12) &amp; " mois"</f>
        <v>5 ans et 5 mois</v>
      </c>
      <c r="E577">
        <v>65</v>
      </c>
      <c r="F577" t="s">
        <v>11</v>
      </c>
      <c r="G577" s="7">
        <f>Client[[#This Row],[Duree_Cumulee_Panne_Min]]/1440</f>
        <v>1.0416666666666666E-2</v>
      </c>
      <c r="H577">
        <v>15</v>
      </c>
      <c r="I577">
        <v>44.47</v>
      </c>
      <c r="J577">
        <v>0</v>
      </c>
      <c r="K577" s="8">
        <f>IF('Client'!$F577="Pro Monde",10%,IF(AND('Client'!$G577&gt;12,'Client'!$D577&gt;5),70%,IF(AND(OR('Client'!$G577&gt;=4,'Client'!$G577&lt;=12,'Client'!$D577&lt;5,(OR('Client'!$F577="Premium ")))),45%,0%)))</f>
        <v>0.45</v>
      </c>
      <c r="L577" s="4">
        <f>'Client'!$I577* ('Client'!$K577/100)</f>
        <v>0.20011500000000002</v>
      </c>
    </row>
    <row r="578" spans="1:12" x14ac:dyDescent="0.3">
      <c r="A578" t="s">
        <v>597</v>
      </c>
      <c r="B578" t="s">
        <v>626</v>
      </c>
      <c r="C578" t="s">
        <v>24</v>
      </c>
      <c r="D578" t="str">
        <f>INT('Client'!$E578/12) &amp; " ans et " &amp; MOD('Client'!$E578,12) &amp; " mois"</f>
        <v>1 ans et 4 mois</v>
      </c>
      <c r="E578">
        <v>16</v>
      </c>
      <c r="F578" t="s">
        <v>11</v>
      </c>
      <c r="G578" s="7">
        <f>Client[[#This Row],[Duree_Cumulee_Panne_Min]]/1440</f>
        <v>0.19027777777777777</v>
      </c>
      <c r="H578">
        <v>274</v>
      </c>
      <c r="I578">
        <v>27.97</v>
      </c>
      <c r="J578">
        <v>4</v>
      </c>
      <c r="K578" s="8">
        <f>IF('Client'!$F578="Pro Monde",10%,IF(AND('Client'!$G578&gt;12,'Client'!$D578&gt;5),70%,IF(AND(OR('Client'!$G578&gt;=4,'Client'!$G578&lt;=12,'Client'!$D578&lt;5,(OR('Client'!$F578="Premium ")))),45%,0%)))</f>
        <v>0.45</v>
      </c>
      <c r="L578" s="4">
        <f>'Client'!$I578* ('Client'!$K578/100)</f>
        <v>0.125865</v>
      </c>
    </row>
    <row r="579" spans="1:12" x14ac:dyDescent="0.3">
      <c r="A579" t="s">
        <v>597</v>
      </c>
      <c r="B579" t="s">
        <v>627</v>
      </c>
      <c r="C579" t="s">
        <v>10</v>
      </c>
      <c r="D579" t="str">
        <f>INT('Client'!$E579/12) &amp; " ans et " &amp; MOD('Client'!$E579,12) &amp; " mois"</f>
        <v>6 ans et 9 mois</v>
      </c>
      <c r="E579">
        <v>81</v>
      </c>
      <c r="F579" t="s">
        <v>22</v>
      </c>
      <c r="G579" s="7">
        <f>Client[[#This Row],[Duree_Cumulee_Panne_Min]]/1440</f>
        <v>7.6388888888888886E-3</v>
      </c>
      <c r="H579">
        <v>11</v>
      </c>
      <c r="I579">
        <v>41.76</v>
      </c>
      <c r="J579">
        <v>5</v>
      </c>
      <c r="K579" s="8">
        <f>IF('Client'!$F579="Pro Monde",10%,IF(AND('Client'!$G579&gt;12,'Client'!$D579&gt;5),70%,IF(AND(OR('Client'!$G579&gt;=4,'Client'!$G579&lt;=12,'Client'!$D579&lt;5,(OR('Client'!$F579="Premium ")))),45%,0%)))</f>
        <v>0.45</v>
      </c>
      <c r="L579" s="4">
        <f>'Client'!$I579* ('Client'!$K579/100)</f>
        <v>0.18792</v>
      </c>
    </row>
    <row r="580" spans="1:12" x14ac:dyDescent="0.3">
      <c r="A580" t="s">
        <v>597</v>
      </c>
      <c r="B580" t="s">
        <v>628</v>
      </c>
      <c r="C580" t="s">
        <v>13</v>
      </c>
      <c r="D580" t="str">
        <f>INT('Client'!$E580/12) &amp; " ans et " &amp; MOD('Client'!$E580,12) &amp; " mois"</f>
        <v>6 ans et 2 mois</v>
      </c>
      <c r="E580">
        <v>74</v>
      </c>
      <c r="F580" t="s">
        <v>19</v>
      </c>
      <c r="G580" s="7">
        <f>Client[[#This Row],[Duree_Cumulee_Panne_Min]]/1440</f>
        <v>0.18402777777777779</v>
      </c>
      <c r="H580">
        <v>265</v>
      </c>
      <c r="I580">
        <v>90.81</v>
      </c>
      <c r="J580">
        <v>3</v>
      </c>
      <c r="K580" s="8">
        <f>IF('Client'!$F580="Pro Monde",10%,IF(AND('Client'!$G580&gt;12,'Client'!$D580&gt;5),70%,IF(AND(OR('Client'!$G580&gt;=4,'Client'!$G580&lt;=12,'Client'!$D580&lt;5,(OR('Client'!$F580="Premium ")))),45%,0%)))</f>
        <v>0.45</v>
      </c>
      <c r="L580" s="4">
        <f>'Client'!$I580* ('Client'!$K580/100)</f>
        <v>0.40864500000000004</v>
      </c>
    </row>
    <row r="581" spans="1:12" x14ac:dyDescent="0.3">
      <c r="A581" t="s">
        <v>597</v>
      </c>
      <c r="B581" t="s">
        <v>629</v>
      </c>
      <c r="C581" t="s">
        <v>57</v>
      </c>
      <c r="D581" t="str">
        <f>INT('Client'!$E581/12) &amp; " ans et " &amp; MOD('Client'!$E581,12) &amp; " mois"</f>
        <v>8 ans et 5 mois</v>
      </c>
      <c r="E581">
        <v>101</v>
      </c>
      <c r="F581" t="s">
        <v>19</v>
      </c>
      <c r="G581" s="7">
        <f>Client[[#This Row],[Duree_Cumulee_Panne_Min]]/1440</f>
        <v>0.18194444444444444</v>
      </c>
      <c r="H581">
        <v>262</v>
      </c>
      <c r="I581">
        <v>83.74</v>
      </c>
      <c r="J581">
        <v>5</v>
      </c>
      <c r="K581" s="8">
        <f>IF('Client'!$F581="Pro Monde",10%,IF(AND('Client'!$G581&gt;12,'Client'!$D581&gt;5),70%,IF(AND(OR('Client'!$G581&gt;=4,'Client'!$G581&lt;=12,'Client'!$D581&lt;5,(OR('Client'!$F581="Premium ")))),45%,0%)))</f>
        <v>0.45</v>
      </c>
      <c r="L581" s="4">
        <f>'Client'!$I581* ('Client'!$K581/100)</f>
        <v>0.37683</v>
      </c>
    </row>
    <row r="582" spans="1:12" x14ac:dyDescent="0.3">
      <c r="A582" t="s">
        <v>597</v>
      </c>
      <c r="B582" t="s">
        <v>630</v>
      </c>
      <c r="C582" t="s">
        <v>64</v>
      </c>
      <c r="D582" t="str">
        <f>INT('Client'!$E582/12) &amp; " ans et " &amp; MOD('Client'!$E582,12) &amp; " mois"</f>
        <v>4 ans et 3 mois</v>
      </c>
      <c r="E582">
        <v>51</v>
      </c>
      <c r="F582" t="s">
        <v>14</v>
      </c>
      <c r="G582" s="7">
        <f>Client[[#This Row],[Duree_Cumulee_Panne_Min]]/1440</f>
        <v>0.27013888888888887</v>
      </c>
      <c r="H582">
        <v>389</v>
      </c>
      <c r="I582">
        <v>50.45</v>
      </c>
      <c r="J582">
        <v>3</v>
      </c>
      <c r="K582" s="8">
        <f>IF('Client'!$F582="Pro Monde",10%,IF(AND('Client'!$G582&gt;12,'Client'!$D582&gt;5),70%,IF(AND(OR('Client'!$G582&gt;=4,'Client'!$G582&lt;=12,'Client'!$D582&lt;5,(OR('Client'!$F582="Premium ")))),45%,0%)))</f>
        <v>0.1</v>
      </c>
      <c r="L582" s="4">
        <f>'Client'!$I582* ('Client'!$K582/100)</f>
        <v>5.0450000000000002E-2</v>
      </c>
    </row>
    <row r="583" spans="1:12" x14ac:dyDescent="0.3">
      <c r="A583" t="s">
        <v>597</v>
      </c>
      <c r="B583" t="s">
        <v>631</v>
      </c>
      <c r="C583" t="s">
        <v>10</v>
      </c>
      <c r="D583" t="str">
        <f>INT('Client'!$E583/12) &amp; " ans et " &amp; MOD('Client'!$E583,12) &amp; " mois"</f>
        <v>9 ans et 0 mois</v>
      </c>
      <c r="E583">
        <v>108</v>
      </c>
      <c r="F583" t="s">
        <v>11</v>
      </c>
      <c r="G583" s="7">
        <f>Client[[#This Row],[Duree_Cumulee_Panne_Min]]/1440</f>
        <v>5.4166666666666669E-2</v>
      </c>
      <c r="H583">
        <v>78</v>
      </c>
      <c r="I583">
        <v>90.05</v>
      </c>
      <c r="J583">
        <v>2</v>
      </c>
      <c r="K583" s="8">
        <f>IF('Client'!$F583="Pro Monde",10%,IF(AND('Client'!$G583&gt;12,'Client'!$D583&gt;5),70%,IF(AND(OR('Client'!$G583&gt;=4,'Client'!$G583&lt;=12,'Client'!$D583&lt;5,(OR('Client'!$F583="Premium ")))),45%,0%)))</f>
        <v>0.45</v>
      </c>
      <c r="L583" s="4">
        <f>'Client'!$I583* ('Client'!$K583/100)</f>
        <v>0.40522500000000006</v>
      </c>
    </row>
    <row r="584" spans="1:12" x14ac:dyDescent="0.3">
      <c r="A584" t="s">
        <v>597</v>
      </c>
      <c r="B584" t="s">
        <v>632</v>
      </c>
      <c r="C584" t="s">
        <v>62</v>
      </c>
      <c r="D584" t="str">
        <f>INT('Client'!$E584/12) &amp; " ans et " &amp; MOD('Client'!$E584,12) &amp; " mois"</f>
        <v>8 ans et 2 mois</v>
      </c>
      <c r="E584">
        <v>98</v>
      </c>
      <c r="F584" t="s">
        <v>22</v>
      </c>
      <c r="G584" s="7">
        <f>Client[[#This Row],[Duree_Cumulee_Panne_Min]]/1440</f>
        <v>7.6388888888888895E-2</v>
      </c>
      <c r="H584">
        <v>110</v>
      </c>
      <c r="I584">
        <v>96.23</v>
      </c>
      <c r="J584">
        <v>2</v>
      </c>
      <c r="K584" s="8">
        <f>IF('Client'!$F584="Pro Monde",10%,IF(AND('Client'!$G584&gt;12,'Client'!$D584&gt;5),70%,IF(AND(OR('Client'!$G584&gt;=4,'Client'!$G584&lt;=12,'Client'!$D584&lt;5,(OR('Client'!$F584="Premium ")))),45%,0%)))</f>
        <v>0.45</v>
      </c>
      <c r="L584" s="4">
        <f>'Client'!$I584* ('Client'!$K584/100)</f>
        <v>0.43303500000000006</v>
      </c>
    </row>
    <row r="585" spans="1:12" x14ac:dyDescent="0.3">
      <c r="A585" t="s">
        <v>597</v>
      </c>
      <c r="B585" t="s">
        <v>633</v>
      </c>
      <c r="C585" t="s">
        <v>64</v>
      </c>
      <c r="D585" t="str">
        <f>INT('Client'!$E585/12) &amp; " ans et " &amp; MOD('Client'!$E585,12) &amp; " mois"</f>
        <v>6 ans et 9 mois</v>
      </c>
      <c r="E585">
        <v>81</v>
      </c>
      <c r="F585" t="s">
        <v>14</v>
      </c>
      <c r="G585" s="7">
        <f>Client[[#This Row],[Duree_Cumulee_Panne_Min]]/1440</f>
        <v>0.30763888888888891</v>
      </c>
      <c r="H585">
        <v>443</v>
      </c>
      <c r="I585">
        <v>32.78</v>
      </c>
      <c r="J585">
        <v>1</v>
      </c>
      <c r="K585" s="8">
        <f>IF('Client'!$F585="Pro Monde",10%,IF(AND('Client'!$G585&gt;12,'Client'!$D585&gt;5),70%,IF(AND(OR('Client'!$G585&gt;=4,'Client'!$G585&lt;=12,'Client'!$D585&lt;5,(OR('Client'!$F585="Premium ")))),45%,0%)))</f>
        <v>0.1</v>
      </c>
      <c r="L585" s="4">
        <f>'Client'!$I585* ('Client'!$K585/100)</f>
        <v>3.2780000000000004E-2</v>
      </c>
    </row>
    <row r="586" spans="1:12" x14ac:dyDescent="0.3">
      <c r="A586" t="s">
        <v>597</v>
      </c>
      <c r="B586" t="s">
        <v>634</v>
      </c>
      <c r="C586" t="s">
        <v>64</v>
      </c>
      <c r="D586" t="str">
        <f>INT('Client'!$E586/12) &amp; " ans et " &amp; MOD('Client'!$E586,12) &amp; " mois"</f>
        <v>9 ans et 10 mois</v>
      </c>
      <c r="E586">
        <v>118</v>
      </c>
      <c r="F586" t="s">
        <v>19</v>
      </c>
      <c r="G586" s="7">
        <f>Client[[#This Row],[Duree_Cumulee_Panne_Min]]/1440</f>
        <v>0.12916666666666668</v>
      </c>
      <c r="H586">
        <v>186</v>
      </c>
      <c r="I586">
        <v>46.88</v>
      </c>
      <c r="J586">
        <v>1</v>
      </c>
      <c r="K586" s="8">
        <f>IF('Client'!$F586="Pro Monde",10%,IF(AND('Client'!$G586&gt;12,'Client'!$D586&gt;5),70%,IF(AND(OR('Client'!$G586&gt;=4,'Client'!$G586&lt;=12,'Client'!$D586&lt;5,(OR('Client'!$F586="Premium ")))),45%,0%)))</f>
        <v>0.45</v>
      </c>
      <c r="L586" s="4">
        <f>'Client'!$I586* ('Client'!$K586/100)</f>
        <v>0.21096000000000004</v>
      </c>
    </row>
    <row r="587" spans="1:12" x14ac:dyDescent="0.3">
      <c r="A587" t="s">
        <v>597</v>
      </c>
      <c r="B587" t="s">
        <v>635</v>
      </c>
      <c r="C587" t="s">
        <v>44</v>
      </c>
      <c r="D587" t="str">
        <f>INT('Client'!$E587/12) &amp; " ans et " &amp; MOD('Client'!$E587,12) &amp; " mois"</f>
        <v>2 ans et 10 mois</v>
      </c>
      <c r="E587">
        <v>34</v>
      </c>
      <c r="F587" t="s">
        <v>14</v>
      </c>
      <c r="G587" s="7">
        <f>Client[[#This Row],[Duree_Cumulee_Panne_Min]]/1440</f>
        <v>4.027777777777778E-2</v>
      </c>
      <c r="H587">
        <v>58</v>
      </c>
      <c r="I587">
        <v>64.349999999999994</v>
      </c>
      <c r="J587">
        <v>0</v>
      </c>
      <c r="K587" s="8">
        <f>IF('Client'!$F587="Pro Monde",10%,IF(AND('Client'!$G587&gt;12,'Client'!$D587&gt;5),70%,IF(AND(OR('Client'!$G587&gt;=4,'Client'!$G587&lt;=12,'Client'!$D587&lt;5,(OR('Client'!$F587="Premium ")))),45%,0%)))</f>
        <v>0.1</v>
      </c>
      <c r="L587" s="4">
        <f>'Client'!$I587* ('Client'!$K587/100)</f>
        <v>6.4349999999999991E-2</v>
      </c>
    </row>
    <row r="588" spans="1:12" x14ac:dyDescent="0.3">
      <c r="A588" t="s">
        <v>597</v>
      </c>
      <c r="B588" t="s">
        <v>636</v>
      </c>
      <c r="C588" t="s">
        <v>24</v>
      </c>
      <c r="D588" t="str">
        <f>INT('Client'!$E588/12) &amp; " ans et " &amp; MOD('Client'!$E588,12) &amp; " mois"</f>
        <v>9 ans et 0 mois</v>
      </c>
      <c r="E588">
        <v>108</v>
      </c>
      <c r="F588" t="s">
        <v>19</v>
      </c>
      <c r="G588" s="7">
        <f>Client[[#This Row],[Duree_Cumulee_Panne_Min]]/1440</f>
        <v>0.31944444444444442</v>
      </c>
      <c r="H588">
        <v>460</v>
      </c>
      <c r="I588">
        <v>88.95</v>
      </c>
      <c r="J588">
        <v>3</v>
      </c>
      <c r="K588" s="8">
        <f>IF('Client'!$F588="Pro Monde",10%,IF(AND('Client'!$G588&gt;12,'Client'!$D588&gt;5),70%,IF(AND(OR('Client'!$G588&gt;=4,'Client'!$G588&lt;=12,'Client'!$D588&lt;5,(OR('Client'!$F588="Premium ")))),45%,0%)))</f>
        <v>0.45</v>
      </c>
      <c r="L588" s="4">
        <f>'Client'!$I588* ('Client'!$K588/100)</f>
        <v>0.40027500000000005</v>
      </c>
    </row>
    <row r="589" spans="1:12" x14ac:dyDescent="0.3">
      <c r="A589" t="s">
        <v>597</v>
      </c>
      <c r="B589" t="s">
        <v>637</v>
      </c>
      <c r="C589" t="s">
        <v>21</v>
      </c>
      <c r="D589" t="str">
        <f>INT('Client'!$E589/12) &amp; " ans et " &amp; MOD('Client'!$E589,12) &amp; " mois"</f>
        <v>5 ans et 11 mois</v>
      </c>
      <c r="E589">
        <v>71</v>
      </c>
      <c r="F589" t="s">
        <v>14</v>
      </c>
      <c r="G589" s="7">
        <f>Client[[#This Row],[Duree_Cumulee_Panne_Min]]/1440</f>
        <v>7.7083333333333337E-2</v>
      </c>
      <c r="H589">
        <v>111</v>
      </c>
      <c r="I589">
        <v>95.53</v>
      </c>
      <c r="J589">
        <v>3</v>
      </c>
      <c r="K589" s="8">
        <f>IF('Client'!$F589="Pro Monde",10%,IF(AND('Client'!$G589&gt;12,'Client'!$D589&gt;5),70%,IF(AND(OR('Client'!$G589&gt;=4,'Client'!$G589&lt;=12,'Client'!$D589&lt;5,(OR('Client'!$F589="Premium ")))),45%,0%)))</f>
        <v>0.1</v>
      </c>
      <c r="L589" s="4">
        <f>'Client'!$I589* ('Client'!$K589/100)</f>
        <v>9.5530000000000004E-2</v>
      </c>
    </row>
    <row r="590" spans="1:12" x14ac:dyDescent="0.3">
      <c r="A590" t="s">
        <v>597</v>
      </c>
      <c r="B590" t="s">
        <v>638</v>
      </c>
      <c r="C590" t="s">
        <v>73</v>
      </c>
      <c r="D590" t="str">
        <f>INT('Client'!$E590/12) &amp; " ans et " &amp; MOD('Client'!$E590,12) &amp; " mois"</f>
        <v>1 ans et 9 mois</v>
      </c>
      <c r="E590">
        <v>21</v>
      </c>
      <c r="F590" t="s">
        <v>19</v>
      </c>
      <c r="G590" s="7">
        <f>Client[[#This Row],[Duree_Cumulee_Panne_Min]]/1440</f>
        <v>1.0416666666666666E-2</v>
      </c>
      <c r="H590">
        <v>15</v>
      </c>
      <c r="I590">
        <v>57.74</v>
      </c>
      <c r="J590">
        <v>0</v>
      </c>
      <c r="K590" s="8">
        <f>IF('Client'!$F590="Pro Monde",10%,IF(AND('Client'!$G590&gt;12,'Client'!$D590&gt;5),70%,IF(AND(OR('Client'!$G590&gt;=4,'Client'!$G590&lt;=12,'Client'!$D590&lt;5,(OR('Client'!$F590="Premium ")))),45%,0%)))</f>
        <v>0.45</v>
      </c>
      <c r="L590" s="4">
        <f>'Client'!$I590* ('Client'!$K590/100)</f>
        <v>0.25983000000000006</v>
      </c>
    </row>
    <row r="591" spans="1:12" x14ac:dyDescent="0.3">
      <c r="A591" t="s">
        <v>597</v>
      </c>
      <c r="B591" t="s">
        <v>639</v>
      </c>
      <c r="C591" t="s">
        <v>18</v>
      </c>
      <c r="D591" t="str">
        <f>INT('Client'!$E591/12) &amp; " ans et " &amp; MOD('Client'!$E591,12) &amp; " mois"</f>
        <v>3 ans et 6 mois</v>
      </c>
      <c r="E591">
        <v>42</v>
      </c>
      <c r="F591" t="s">
        <v>14</v>
      </c>
      <c r="G591" s="7">
        <f>Client[[#This Row],[Duree_Cumulee_Panne_Min]]/1440</f>
        <v>0.11597222222222223</v>
      </c>
      <c r="H591">
        <v>167</v>
      </c>
      <c r="I591">
        <v>45.85</v>
      </c>
      <c r="J591">
        <v>2</v>
      </c>
      <c r="K591" s="8">
        <f>IF('Client'!$F591="Pro Monde",10%,IF(AND('Client'!$G591&gt;12,'Client'!$D591&gt;5),70%,IF(AND(OR('Client'!$G591&gt;=4,'Client'!$G591&lt;=12,'Client'!$D591&lt;5,(OR('Client'!$F591="Premium ")))),45%,0%)))</f>
        <v>0.1</v>
      </c>
      <c r="L591" s="4">
        <f>'Client'!$I591* ('Client'!$K591/100)</f>
        <v>4.5850000000000002E-2</v>
      </c>
    </row>
    <row r="592" spans="1:12" x14ac:dyDescent="0.3">
      <c r="A592" t="s">
        <v>597</v>
      </c>
      <c r="B592" t="s">
        <v>640</v>
      </c>
      <c r="C592" t="s">
        <v>31</v>
      </c>
      <c r="D592" t="str">
        <f>INT('Client'!$E592/12) &amp; " ans et " &amp; MOD('Client'!$E592,12) &amp; " mois"</f>
        <v>2 ans et 3 mois</v>
      </c>
      <c r="E592">
        <v>27</v>
      </c>
      <c r="F592" t="s">
        <v>19</v>
      </c>
      <c r="G592" s="7">
        <f>Client[[#This Row],[Duree_Cumulee_Panne_Min]]/1440</f>
        <v>4.8611111111111112E-2</v>
      </c>
      <c r="H592">
        <v>70</v>
      </c>
      <c r="I592">
        <v>20.32</v>
      </c>
      <c r="J592">
        <v>3</v>
      </c>
      <c r="K592" s="8">
        <f>IF('Client'!$F592="Pro Monde",10%,IF(AND('Client'!$G592&gt;12,'Client'!$D592&gt;5),70%,IF(AND(OR('Client'!$G592&gt;=4,'Client'!$G592&lt;=12,'Client'!$D592&lt;5,(OR('Client'!$F592="Premium ")))),45%,0%)))</f>
        <v>0.45</v>
      </c>
      <c r="L592" s="4">
        <f>'Client'!$I592* ('Client'!$K592/100)</f>
        <v>9.1440000000000007E-2</v>
      </c>
    </row>
    <row r="593" spans="1:12" x14ac:dyDescent="0.3">
      <c r="A593" t="s">
        <v>597</v>
      </c>
      <c r="B593" t="s">
        <v>641</v>
      </c>
      <c r="C593" t="s">
        <v>78</v>
      </c>
      <c r="D593" t="str">
        <f>INT('Client'!$E593/12) &amp; " ans et " &amp; MOD('Client'!$E593,12) &amp; " mois"</f>
        <v>1 ans et 0 mois</v>
      </c>
      <c r="E593">
        <v>12</v>
      </c>
      <c r="F593" t="s">
        <v>22</v>
      </c>
      <c r="G593" s="7">
        <f>Client[[#This Row],[Duree_Cumulee_Panne_Min]]/1440</f>
        <v>7.7777777777777779E-2</v>
      </c>
      <c r="H593">
        <v>112</v>
      </c>
      <c r="I593">
        <v>82.81</v>
      </c>
      <c r="J593">
        <v>0</v>
      </c>
      <c r="K593" s="8">
        <f>IF('Client'!$F593="Pro Monde",10%,IF(AND('Client'!$G593&gt;12,'Client'!$D593&gt;5),70%,IF(AND(OR('Client'!$G593&gt;=4,'Client'!$G593&lt;=12,'Client'!$D593&lt;5,(OR('Client'!$F593="Premium ")))),45%,0%)))</f>
        <v>0.45</v>
      </c>
      <c r="L593" s="4">
        <f>'Client'!$I593* ('Client'!$K593/100)</f>
        <v>0.37264500000000006</v>
      </c>
    </row>
    <row r="594" spans="1:12" x14ac:dyDescent="0.3">
      <c r="A594" t="s">
        <v>597</v>
      </c>
      <c r="B594" t="s">
        <v>642</v>
      </c>
      <c r="C594" t="s">
        <v>78</v>
      </c>
      <c r="D594" t="str">
        <f>INT('Client'!$E594/12) &amp; " ans et " &amp; MOD('Client'!$E594,12) &amp; " mois"</f>
        <v>1 ans et 0 mois</v>
      </c>
      <c r="E594">
        <v>12</v>
      </c>
      <c r="F594" t="s">
        <v>14</v>
      </c>
      <c r="G594" s="7">
        <f>Client[[#This Row],[Duree_Cumulee_Panne_Min]]/1440</f>
        <v>2.9166666666666667E-2</v>
      </c>
      <c r="H594">
        <v>42</v>
      </c>
      <c r="I594">
        <v>48.64</v>
      </c>
      <c r="J594">
        <v>0</v>
      </c>
      <c r="K594" s="8">
        <f>IF('Client'!$F594="Pro Monde",10%,IF(AND('Client'!$G594&gt;12,'Client'!$D594&gt;5),70%,IF(AND(OR('Client'!$G594&gt;=4,'Client'!$G594&lt;=12,'Client'!$D594&lt;5,(OR('Client'!$F594="Premium ")))),45%,0%)))</f>
        <v>0.1</v>
      </c>
      <c r="L594" s="4">
        <f>'Client'!$I594* ('Client'!$K594/100)</f>
        <v>4.8640000000000003E-2</v>
      </c>
    </row>
    <row r="595" spans="1:12" x14ac:dyDescent="0.3">
      <c r="A595" t="s">
        <v>597</v>
      </c>
      <c r="B595" t="s">
        <v>643</v>
      </c>
      <c r="C595" t="s">
        <v>29</v>
      </c>
      <c r="D595" t="str">
        <f>INT('Client'!$E595/12) &amp; " ans et " &amp; MOD('Client'!$E595,12) &amp; " mois"</f>
        <v>0 ans et 4 mois</v>
      </c>
      <c r="E595">
        <v>4</v>
      </c>
      <c r="F595" t="s">
        <v>14</v>
      </c>
      <c r="G595" s="7">
        <f>Client[[#This Row],[Duree_Cumulee_Panne_Min]]/1440</f>
        <v>0.25833333333333336</v>
      </c>
      <c r="H595">
        <v>372</v>
      </c>
      <c r="I595">
        <v>26.73</v>
      </c>
      <c r="J595">
        <v>3</v>
      </c>
      <c r="K595" s="8">
        <f>IF('Client'!$F595="Pro Monde",10%,IF(AND('Client'!$G595&gt;12,'Client'!$D595&gt;5),70%,IF(AND(OR('Client'!$G595&gt;=4,'Client'!$G595&lt;=12,'Client'!$D595&lt;5,(OR('Client'!$F595="Premium ")))),45%,0%)))</f>
        <v>0.1</v>
      </c>
      <c r="L595" s="4">
        <f>'Client'!$I595* ('Client'!$K595/100)</f>
        <v>2.673E-2</v>
      </c>
    </row>
    <row r="596" spans="1:12" x14ac:dyDescent="0.3">
      <c r="A596" t="s">
        <v>597</v>
      </c>
      <c r="B596" t="s">
        <v>644</v>
      </c>
      <c r="C596" t="s">
        <v>89</v>
      </c>
      <c r="D596" t="str">
        <f>INT('Client'!$E596/12) &amp; " ans et " &amp; MOD('Client'!$E596,12) &amp; " mois"</f>
        <v>4 ans et 8 mois</v>
      </c>
      <c r="E596">
        <v>56</v>
      </c>
      <c r="F596" t="s">
        <v>11</v>
      </c>
      <c r="G596" s="7">
        <f>Client[[#This Row],[Duree_Cumulee_Panne_Min]]/1440</f>
        <v>0.24583333333333332</v>
      </c>
      <c r="H596">
        <v>354</v>
      </c>
      <c r="I596">
        <v>32.08</v>
      </c>
      <c r="J596">
        <v>1</v>
      </c>
      <c r="K596" s="8">
        <f>IF('Client'!$F596="Pro Monde",10%,IF(AND('Client'!$G596&gt;12,'Client'!$D596&gt;5),70%,IF(AND(OR('Client'!$G596&gt;=4,'Client'!$G596&lt;=12,'Client'!$D596&lt;5,(OR('Client'!$F596="Premium ")))),45%,0%)))</f>
        <v>0.45</v>
      </c>
      <c r="L596" s="4">
        <f>'Client'!$I596* ('Client'!$K596/100)</f>
        <v>0.14436000000000002</v>
      </c>
    </row>
    <row r="597" spans="1:12" x14ac:dyDescent="0.3">
      <c r="A597" t="s">
        <v>597</v>
      </c>
      <c r="B597" t="s">
        <v>645</v>
      </c>
      <c r="C597" t="s">
        <v>10</v>
      </c>
      <c r="D597" t="str">
        <f>INT('Client'!$E597/12) &amp; " ans et " &amp; MOD('Client'!$E597,12) &amp; " mois"</f>
        <v>0 ans et 2 mois</v>
      </c>
      <c r="E597">
        <v>2</v>
      </c>
      <c r="F597" t="s">
        <v>14</v>
      </c>
      <c r="G597" s="7">
        <f>Client[[#This Row],[Duree_Cumulee_Panne_Min]]/1440</f>
        <v>0.33402777777777776</v>
      </c>
      <c r="H597">
        <v>481</v>
      </c>
      <c r="I597">
        <v>29.37</v>
      </c>
      <c r="J597">
        <v>4</v>
      </c>
      <c r="K597" s="8">
        <f>IF('Client'!$F597="Pro Monde",10%,IF(AND('Client'!$G597&gt;12,'Client'!$D597&gt;5),70%,IF(AND(OR('Client'!$G597&gt;=4,'Client'!$G597&lt;=12,'Client'!$D597&lt;5,(OR('Client'!$F597="Premium ")))),45%,0%)))</f>
        <v>0.1</v>
      </c>
      <c r="L597" s="4">
        <f>'Client'!$I597* ('Client'!$K597/100)</f>
        <v>2.937E-2</v>
      </c>
    </row>
    <row r="598" spans="1:12" x14ac:dyDescent="0.3">
      <c r="A598" t="s">
        <v>597</v>
      </c>
      <c r="B598" t="s">
        <v>646</v>
      </c>
      <c r="C598" t="s">
        <v>57</v>
      </c>
      <c r="D598" t="str">
        <f>INT('Client'!$E598/12) &amp; " ans et " &amp; MOD('Client'!$E598,12) &amp; " mois"</f>
        <v>6 ans et 9 mois</v>
      </c>
      <c r="E598">
        <v>81</v>
      </c>
      <c r="F598" t="s">
        <v>22</v>
      </c>
      <c r="G598" s="7">
        <f>Client[[#This Row],[Duree_Cumulee_Panne_Min]]/1440</f>
        <v>4.4444444444444446E-2</v>
      </c>
      <c r="H598">
        <v>64</v>
      </c>
      <c r="I598">
        <v>43.45</v>
      </c>
      <c r="J598">
        <v>2</v>
      </c>
      <c r="K598" s="8">
        <f>IF('Client'!$F598="Pro Monde",10%,IF(AND('Client'!$G598&gt;12,'Client'!$D598&gt;5),70%,IF(AND(OR('Client'!$G598&gt;=4,'Client'!$G598&lt;=12,'Client'!$D598&lt;5,(OR('Client'!$F598="Premium ")))),45%,0%)))</f>
        <v>0.45</v>
      </c>
      <c r="L598" s="4">
        <f>'Client'!$I598* ('Client'!$K598/100)</f>
        <v>0.19552500000000003</v>
      </c>
    </row>
    <row r="599" spans="1:12" x14ac:dyDescent="0.3">
      <c r="A599" t="s">
        <v>597</v>
      </c>
      <c r="B599" t="s">
        <v>647</v>
      </c>
      <c r="C599" t="s">
        <v>60</v>
      </c>
      <c r="D599" t="str">
        <f>INT('Client'!$E599/12) &amp; " ans et " &amp; MOD('Client'!$E599,12) &amp; " mois"</f>
        <v>8 ans et 3 mois</v>
      </c>
      <c r="E599">
        <v>99</v>
      </c>
      <c r="F599" t="s">
        <v>22</v>
      </c>
      <c r="G599" s="7">
        <f>Client[[#This Row],[Duree_Cumulee_Panne_Min]]/1440</f>
        <v>9.5138888888888884E-2</v>
      </c>
      <c r="H599">
        <v>137</v>
      </c>
      <c r="I599">
        <v>23.05</v>
      </c>
      <c r="J599">
        <v>4</v>
      </c>
      <c r="K599" s="8">
        <f>IF('Client'!$F599="Pro Monde",10%,IF(AND('Client'!$G599&gt;12,'Client'!$D599&gt;5),70%,IF(AND(OR('Client'!$G599&gt;=4,'Client'!$G599&lt;=12,'Client'!$D599&lt;5,(OR('Client'!$F599="Premium ")))),45%,0%)))</f>
        <v>0.45</v>
      </c>
      <c r="L599" s="4">
        <f>'Client'!$I599* ('Client'!$K599/100)</f>
        <v>0.10372500000000001</v>
      </c>
    </row>
    <row r="600" spans="1:12" x14ac:dyDescent="0.3">
      <c r="A600" t="s">
        <v>648</v>
      </c>
      <c r="B600" t="s">
        <v>649</v>
      </c>
      <c r="C600" t="s">
        <v>35</v>
      </c>
      <c r="D600" t="str">
        <f>INT('Client'!$E600/12) &amp; " ans et " &amp; MOD('Client'!$E600,12) &amp; " mois"</f>
        <v>1 ans et 6 mois</v>
      </c>
      <c r="E600">
        <v>18</v>
      </c>
      <c r="F600" t="s">
        <v>14</v>
      </c>
      <c r="G600" s="7">
        <f>Client[[#This Row],[Duree_Cumulee_Panne_Min]]/1440</f>
        <v>5.2083333333333336E-2</v>
      </c>
      <c r="H600">
        <v>75</v>
      </c>
      <c r="I600">
        <v>57.66</v>
      </c>
      <c r="J600">
        <v>1</v>
      </c>
      <c r="K600" s="8">
        <f>IF('Client'!$F600="Pro Monde",10%,IF(AND('Client'!$G600&gt;12,'Client'!$D600&gt;5),70%,IF(AND(OR('Client'!$G600&gt;=4,'Client'!$G600&lt;=12,'Client'!$D600&lt;5,(OR('Client'!$F600="Premium ")))),45%,0%)))</f>
        <v>0.1</v>
      </c>
      <c r="L600" s="4">
        <f>'Client'!$I600* ('Client'!$K600/100)</f>
        <v>5.7659999999999996E-2</v>
      </c>
    </row>
    <row r="601" spans="1:12" x14ac:dyDescent="0.3">
      <c r="A601" t="s">
        <v>648</v>
      </c>
      <c r="B601" t="s">
        <v>650</v>
      </c>
      <c r="C601" t="s">
        <v>64</v>
      </c>
      <c r="D601" t="str">
        <f>INT('Client'!$E601/12) &amp; " ans et " &amp; MOD('Client'!$E601,12) &amp; " mois"</f>
        <v>1 ans et 2 mois</v>
      </c>
      <c r="E601">
        <v>14</v>
      </c>
      <c r="F601" t="s">
        <v>14</v>
      </c>
      <c r="G601" s="7">
        <f>Client[[#This Row],[Duree_Cumulee_Panne_Min]]/1440</f>
        <v>0.16388888888888889</v>
      </c>
      <c r="H601">
        <v>236</v>
      </c>
      <c r="I601">
        <v>54.43</v>
      </c>
      <c r="J601">
        <v>3</v>
      </c>
      <c r="K601" s="8">
        <f>IF('Client'!$F601="Pro Monde",10%,IF(AND('Client'!$G601&gt;12,'Client'!$D601&gt;5),70%,IF(AND(OR('Client'!$G601&gt;=4,'Client'!$G601&lt;=12,'Client'!$D601&lt;5,(OR('Client'!$F601="Premium ")))),45%,0%)))</f>
        <v>0.1</v>
      </c>
      <c r="L601" s="4">
        <f>'Client'!$I601* ('Client'!$K601/100)</f>
        <v>5.4429999999999999E-2</v>
      </c>
    </row>
    <row r="602" spans="1:12" x14ac:dyDescent="0.3">
      <c r="A602" t="s">
        <v>648</v>
      </c>
      <c r="B602" t="s">
        <v>651</v>
      </c>
      <c r="C602" t="s">
        <v>16</v>
      </c>
      <c r="D602" t="str">
        <f>INT('Client'!$E602/12) &amp; " ans et " &amp; MOD('Client'!$E602,12) &amp; " mois"</f>
        <v>3 ans et 6 mois</v>
      </c>
      <c r="E602">
        <v>42</v>
      </c>
      <c r="F602" t="s">
        <v>19</v>
      </c>
      <c r="G602" s="7">
        <f>Client[[#This Row],[Duree_Cumulee_Panne_Min]]/1440</f>
        <v>0.31111111111111112</v>
      </c>
      <c r="H602">
        <v>448</v>
      </c>
      <c r="I602">
        <v>49.02</v>
      </c>
      <c r="J602">
        <v>0</v>
      </c>
      <c r="K602" s="8">
        <f>IF('Client'!$F602="Pro Monde",10%,IF(AND('Client'!$G602&gt;12,'Client'!$D602&gt;5),70%,IF(AND(OR('Client'!$G602&gt;=4,'Client'!$G602&lt;=12,'Client'!$D602&lt;5,(OR('Client'!$F602="Premium ")))),45%,0%)))</f>
        <v>0.45</v>
      </c>
      <c r="L602" s="4">
        <f>'Client'!$I602* ('Client'!$K602/100)</f>
        <v>0.22059000000000004</v>
      </c>
    </row>
    <row r="603" spans="1:12" x14ac:dyDescent="0.3">
      <c r="A603" t="s">
        <v>648</v>
      </c>
      <c r="B603" t="s">
        <v>652</v>
      </c>
      <c r="C603" t="s">
        <v>24</v>
      </c>
      <c r="D603" t="str">
        <f>INT('Client'!$E603/12) &amp; " ans et " &amp; MOD('Client'!$E603,12) &amp; " mois"</f>
        <v>9 ans et 3 mois</v>
      </c>
      <c r="E603">
        <v>111</v>
      </c>
      <c r="F603" t="s">
        <v>22</v>
      </c>
      <c r="G603" s="7">
        <f>Client[[#This Row],[Duree_Cumulee_Panne_Min]]/1440</f>
        <v>3.7499999999999999E-2</v>
      </c>
      <c r="H603">
        <v>54</v>
      </c>
      <c r="I603">
        <v>71.3</v>
      </c>
      <c r="J603">
        <v>0</v>
      </c>
      <c r="K603" s="8">
        <f>IF('Client'!$F603="Pro Monde",10%,IF(AND('Client'!$G603&gt;12,'Client'!$D603&gt;5),70%,IF(AND(OR('Client'!$G603&gt;=4,'Client'!$G603&lt;=12,'Client'!$D603&lt;5,(OR('Client'!$F603="Premium ")))),45%,0%)))</f>
        <v>0.45</v>
      </c>
      <c r="L603" s="4">
        <f>'Client'!$I603* ('Client'!$K603/100)</f>
        <v>0.32085000000000002</v>
      </c>
    </row>
    <row r="604" spans="1:12" x14ac:dyDescent="0.3">
      <c r="A604" t="s">
        <v>648</v>
      </c>
      <c r="B604" t="s">
        <v>653</v>
      </c>
      <c r="C604" t="s">
        <v>89</v>
      </c>
      <c r="D604" t="str">
        <f>INT('Client'!$E604/12) &amp; " ans et " &amp; MOD('Client'!$E604,12) &amp; " mois"</f>
        <v>7 ans et 5 mois</v>
      </c>
      <c r="E604">
        <v>89</v>
      </c>
      <c r="F604" t="s">
        <v>14</v>
      </c>
      <c r="G604" s="7">
        <f>Client[[#This Row],[Duree_Cumulee_Panne_Min]]/1440</f>
        <v>0.26458333333333334</v>
      </c>
      <c r="H604">
        <v>381</v>
      </c>
      <c r="I604">
        <v>68.17</v>
      </c>
      <c r="J604">
        <v>0</v>
      </c>
      <c r="K604" s="8">
        <f>IF('Client'!$F604="Pro Monde",10%,IF(AND('Client'!$G604&gt;12,'Client'!$D604&gt;5),70%,IF(AND(OR('Client'!$G604&gt;=4,'Client'!$G604&lt;=12,'Client'!$D604&lt;5,(OR('Client'!$F604="Premium ")))),45%,0%)))</f>
        <v>0.1</v>
      </c>
      <c r="L604" s="4">
        <f>'Client'!$I604* ('Client'!$K604/100)</f>
        <v>6.8170000000000008E-2</v>
      </c>
    </row>
    <row r="605" spans="1:12" x14ac:dyDescent="0.3">
      <c r="A605" t="s">
        <v>648</v>
      </c>
      <c r="B605" t="s">
        <v>654</v>
      </c>
      <c r="C605" t="s">
        <v>64</v>
      </c>
      <c r="D605" t="str">
        <f>INT('Client'!$E605/12) &amp; " ans et " &amp; MOD('Client'!$E605,12) &amp; " mois"</f>
        <v>7 ans et 9 mois</v>
      </c>
      <c r="E605">
        <v>93</v>
      </c>
      <c r="F605" t="s">
        <v>14</v>
      </c>
      <c r="G605" s="7">
        <f>Client[[#This Row],[Duree_Cumulee_Panne_Min]]/1440</f>
        <v>3.888888888888889E-2</v>
      </c>
      <c r="H605">
        <v>56</v>
      </c>
      <c r="I605">
        <v>96.31</v>
      </c>
      <c r="J605">
        <v>4</v>
      </c>
      <c r="K605" s="8">
        <f>IF('Client'!$F605="Pro Monde",10%,IF(AND('Client'!$G605&gt;12,'Client'!$D605&gt;5),70%,IF(AND(OR('Client'!$G605&gt;=4,'Client'!$G605&lt;=12,'Client'!$D605&lt;5,(OR('Client'!$F605="Premium ")))),45%,0%)))</f>
        <v>0.1</v>
      </c>
      <c r="L605" s="4">
        <f>'Client'!$I605* ('Client'!$K605/100)</f>
        <v>9.6310000000000007E-2</v>
      </c>
    </row>
    <row r="606" spans="1:12" x14ac:dyDescent="0.3">
      <c r="A606" t="s">
        <v>648</v>
      </c>
      <c r="B606" t="s">
        <v>655</v>
      </c>
      <c r="C606" t="s">
        <v>127</v>
      </c>
      <c r="D606" t="str">
        <f>INT('Client'!$E606/12) &amp; " ans et " &amp; MOD('Client'!$E606,12) &amp; " mois"</f>
        <v>4 ans et 8 mois</v>
      </c>
      <c r="E606">
        <v>56</v>
      </c>
      <c r="F606" t="s">
        <v>11</v>
      </c>
      <c r="G606" s="7">
        <f>Client[[#This Row],[Duree_Cumulee_Panne_Min]]/1440</f>
        <v>8.5416666666666669E-2</v>
      </c>
      <c r="H606">
        <v>123</v>
      </c>
      <c r="I606">
        <v>29.76</v>
      </c>
      <c r="J606">
        <v>5</v>
      </c>
      <c r="K606" s="8">
        <f>IF('Client'!$F606="Pro Monde",10%,IF(AND('Client'!$G606&gt;12,'Client'!$D606&gt;5),70%,IF(AND(OR('Client'!$G606&gt;=4,'Client'!$G606&lt;=12,'Client'!$D606&lt;5,(OR('Client'!$F606="Premium ")))),45%,0%)))</f>
        <v>0.45</v>
      </c>
      <c r="L606" s="4">
        <f>'Client'!$I606* ('Client'!$K606/100)</f>
        <v>0.13392000000000001</v>
      </c>
    </row>
    <row r="607" spans="1:12" x14ac:dyDescent="0.3">
      <c r="A607" t="s">
        <v>648</v>
      </c>
      <c r="B607" t="s">
        <v>656</v>
      </c>
      <c r="C607" t="s">
        <v>35</v>
      </c>
      <c r="D607" t="str">
        <f>INT('Client'!$E607/12) &amp; " ans et " &amp; MOD('Client'!$E607,12) &amp; " mois"</f>
        <v>2 ans et 5 mois</v>
      </c>
      <c r="E607">
        <v>29</v>
      </c>
      <c r="F607" t="s">
        <v>11</v>
      </c>
      <c r="G607" s="7">
        <f>Client[[#This Row],[Duree_Cumulee_Panne_Min]]/1440</f>
        <v>5.5555555555555558E-3</v>
      </c>
      <c r="H607">
        <v>8</v>
      </c>
      <c r="I607">
        <v>14.78</v>
      </c>
      <c r="J607">
        <v>2</v>
      </c>
      <c r="K607" s="8">
        <f>IF('Client'!$F607="Pro Monde",10%,IF(AND('Client'!$G607&gt;12,'Client'!$D607&gt;5),70%,IF(AND(OR('Client'!$G607&gt;=4,'Client'!$G607&lt;=12,'Client'!$D607&lt;5,(OR('Client'!$F607="Premium ")))),45%,0%)))</f>
        <v>0.45</v>
      </c>
      <c r="L607" s="4">
        <f>'Client'!$I607* ('Client'!$K607/100)</f>
        <v>6.651E-2</v>
      </c>
    </row>
    <row r="608" spans="1:12" x14ac:dyDescent="0.3">
      <c r="A608" t="s">
        <v>648</v>
      </c>
      <c r="B608" t="s">
        <v>657</v>
      </c>
      <c r="C608" t="s">
        <v>44</v>
      </c>
      <c r="D608" t="str">
        <f>INT('Client'!$E608/12) &amp; " ans et " &amp; MOD('Client'!$E608,12) &amp; " mois"</f>
        <v>1 ans et 10 mois</v>
      </c>
      <c r="E608">
        <v>22</v>
      </c>
      <c r="F608" t="s">
        <v>14</v>
      </c>
      <c r="G608" s="7">
        <f>Client[[#This Row],[Duree_Cumulee_Panne_Min]]/1440</f>
        <v>0.31736111111111109</v>
      </c>
      <c r="H608">
        <v>457</v>
      </c>
      <c r="I608">
        <v>13.21</v>
      </c>
      <c r="J608">
        <v>1</v>
      </c>
      <c r="K608" s="8">
        <f>IF('Client'!$F608="Pro Monde",10%,IF(AND('Client'!$G608&gt;12,'Client'!$D608&gt;5),70%,IF(AND(OR('Client'!$G608&gt;=4,'Client'!$G608&lt;=12,'Client'!$D608&lt;5,(OR('Client'!$F608="Premium ")))),45%,0%)))</f>
        <v>0.1</v>
      </c>
      <c r="L608" s="4">
        <f>'Client'!$I608* ('Client'!$K608/100)</f>
        <v>1.3210000000000001E-2</v>
      </c>
    </row>
    <row r="609" spans="1:12" x14ac:dyDescent="0.3">
      <c r="A609" t="s">
        <v>648</v>
      </c>
      <c r="B609" t="s">
        <v>658</v>
      </c>
      <c r="C609" t="s">
        <v>131</v>
      </c>
      <c r="D609" t="str">
        <f>INT('Client'!$E609/12) &amp; " ans et " &amp; MOD('Client'!$E609,12) &amp; " mois"</f>
        <v>1 ans et 0 mois</v>
      </c>
      <c r="E609">
        <v>12</v>
      </c>
      <c r="F609" t="s">
        <v>22</v>
      </c>
      <c r="G609" s="7">
        <f>Client[[#This Row],[Duree_Cumulee_Panne_Min]]/1440</f>
        <v>0.16319444444444445</v>
      </c>
      <c r="H609">
        <v>235</v>
      </c>
      <c r="I609">
        <v>33.96</v>
      </c>
      <c r="J609">
        <v>4</v>
      </c>
      <c r="K609" s="8">
        <f>IF('Client'!$F609="Pro Monde",10%,IF(AND('Client'!$G609&gt;12,'Client'!$D609&gt;5),70%,IF(AND(OR('Client'!$G609&gt;=4,'Client'!$G609&lt;=12,'Client'!$D609&lt;5,(OR('Client'!$F609="Premium ")))),45%,0%)))</f>
        <v>0.45</v>
      </c>
      <c r="L609" s="4">
        <f>'Client'!$I609* ('Client'!$K609/100)</f>
        <v>0.15282000000000001</v>
      </c>
    </row>
    <row r="610" spans="1:12" x14ac:dyDescent="0.3">
      <c r="A610" t="s">
        <v>648</v>
      </c>
      <c r="B610" t="s">
        <v>659</v>
      </c>
      <c r="C610" t="s">
        <v>62</v>
      </c>
      <c r="D610" t="str">
        <f>INT('Client'!$E610/12) &amp; " ans et " &amp; MOD('Client'!$E610,12) &amp; " mois"</f>
        <v>2 ans et 1 mois</v>
      </c>
      <c r="E610">
        <v>25</v>
      </c>
      <c r="F610" t="s">
        <v>19</v>
      </c>
      <c r="G610" s="7">
        <f>Client[[#This Row],[Duree_Cumulee_Panne_Min]]/1440</f>
        <v>6.5972222222222224E-2</v>
      </c>
      <c r="H610">
        <v>95</v>
      </c>
      <c r="I610">
        <v>15.93</v>
      </c>
      <c r="J610">
        <v>4</v>
      </c>
      <c r="K610" s="8">
        <f>IF('Client'!$F610="Pro Monde",10%,IF(AND('Client'!$G610&gt;12,'Client'!$D610&gt;5),70%,IF(AND(OR('Client'!$G610&gt;=4,'Client'!$G610&lt;=12,'Client'!$D610&lt;5,(OR('Client'!$F610="Premium ")))),45%,0%)))</f>
        <v>0.45</v>
      </c>
      <c r="L610" s="4">
        <f>'Client'!$I610* ('Client'!$K610/100)</f>
        <v>7.1685000000000013E-2</v>
      </c>
    </row>
    <row r="611" spans="1:12" x14ac:dyDescent="0.3">
      <c r="A611" t="s">
        <v>648</v>
      </c>
      <c r="B611" t="s">
        <v>660</v>
      </c>
      <c r="C611" t="s">
        <v>60</v>
      </c>
      <c r="D611" t="str">
        <f>INT('Client'!$E611/12) &amp; " ans et " &amp; MOD('Client'!$E611,12) &amp; " mois"</f>
        <v>7 ans et 9 mois</v>
      </c>
      <c r="E611">
        <v>93</v>
      </c>
      <c r="F611" t="s">
        <v>11</v>
      </c>
      <c r="G611" s="7">
        <f>Client[[#This Row],[Duree_Cumulee_Panne_Min]]/1440</f>
        <v>9.4444444444444442E-2</v>
      </c>
      <c r="H611">
        <v>136</v>
      </c>
      <c r="I611">
        <v>19.09</v>
      </c>
      <c r="J611">
        <v>1</v>
      </c>
      <c r="K611" s="8">
        <f>IF('Client'!$F611="Pro Monde",10%,IF(AND('Client'!$G611&gt;12,'Client'!$D611&gt;5),70%,IF(AND(OR('Client'!$G611&gt;=4,'Client'!$G611&lt;=12,'Client'!$D611&lt;5,(OR('Client'!$F611="Premium ")))),45%,0%)))</f>
        <v>0.45</v>
      </c>
      <c r="L611" s="4">
        <f>'Client'!$I611* ('Client'!$K611/100)</f>
        <v>8.5905000000000009E-2</v>
      </c>
    </row>
    <row r="612" spans="1:12" x14ac:dyDescent="0.3">
      <c r="A612" t="s">
        <v>648</v>
      </c>
      <c r="B612" t="s">
        <v>661</v>
      </c>
      <c r="C612" t="s">
        <v>73</v>
      </c>
      <c r="D612" t="str">
        <f>INT('Client'!$E612/12) &amp; " ans et " &amp; MOD('Client'!$E612,12) &amp; " mois"</f>
        <v>9 ans et 8 mois</v>
      </c>
      <c r="E612">
        <v>116</v>
      </c>
      <c r="F612" t="s">
        <v>11</v>
      </c>
      <c r="G612" s="7">
        <f>Client[[#This Row],[Duree_Cumulee_Panne_Min]]/1440</f>
        <v>9.7222222222222224E-3</v>
      </c>
      <c r="H612">
        <v>14</v>
      </c>
      <c r="I612">
        <v>30.38</v>
      </c>
      <c r="J612">
        <v>1</v>
      </c>
      <c r="K612" s="8">
        <f>IF('Client'!$F612="Pro Monde",10%,IF(AND('Client'!$G612&gt;12,'Client'!$D612&gt;5),70%,IF(AND(OR('Client'!$G612&gt;=4,'Client'!$G612&lt;=12,'Client'!$D612&lt;5,(OR('Client'!$F612="Premium ")))),45%,0%)))</f>
        <v>0.45</v>
      </c>
      <c r="L612" s="4">
        <f>'Client'!$I612* ('Client'!$K612/100)</f>
        <v>0.13671</v>
      </c>
    </row>
    <row r="613" spans="1:12" x14ac:dyDescent="0.3">
      <c r="A613" t="s">
        <v>648</v>
      </c>
      <c r="B613" t="s">
        <v>662</v>
      </c>
      <c r="C613" t="s">
        <v>62</v>
      </c>
      <c r="D613" t="str">
        <f>INT('Client'!$E613/12) &amp; " ans et " &amp; MOD('Client'!$E613,12) &amp; " mois"</f>
        <v>8 ans et 8 mois</v>
      </c>
      <c r="E613">
        <v>104</v>
      </c>
      <c r="F613" t="s">
        <v>19</v>
      </c>
      <c r="G613" s="7">
        <f>Client[[#This Row],[Duree_Cumulee_Panne_Min]]/1440</f>
        <v>0.16875000000000001</v>
      </c>
      <c r="H613">
        <v>243</v>
      </c>
      <c r="I613">
        <v>65.819999999999993</v>
      </c>
      <c r="J613">
        <v>0</v>
      </c>
      <c r="K613" s="8">
        <f>IF('Client'!$F613="Pro Monde",10%,IF(AND('Client'!$G613&gt;12,'Client'!$D613&gt;5),70%,IF(AND(OR('Client'!$G613&gt;=4,'Client'!$G613&lt;=12,'Client'!$D613&lt;5,(OR('Client'!$F613="Premium ")))),45%,0%)))</f>
        <v>0.45</v>
      </c>
      <c r="L613" s="4">
        <f>'Client'!$I613* ('Client'!$K613/100)</f>
        <v>0.29619000000000001</v>
      </c>
    </row>
    <row r="614" spans="1:12" x14ac:dyDescent="0.3">
      <c r="A614" t="s">
        <v>648</v>
      </c>
      <c r="B614" t="s">
        <v>663</v>
      </c>
      <c r="C614" t="s">
        <v>78</v>
      </c>
      <c r="D614" t="str">
        <f>INT('Client'!$E614/12) &amp; " ans et " &amp; MOD('Client'!$E614,12) &amp; " mois"</f>
        <v>4 ans et 0 mois</v>
      </c>
      <c r="E614">
        <v>48</v>
      </c>
      <c r="F614" t="s">
        <v>11</v>
      </c>
      <c r="G614" s="7">
        <f>Client[[#This Row],[Duree_Cumulee_Panne_Min]]/1440</f>
        <v>0.23472222222222222</v>
      </c>
      <c r="H614">
        <v>338</v>
      </c>
      <c r="I614">
        <v>74.42</v>
      </c>
      <c r="J614">
        <v>0</v>
      </c>
      <c r="K614" s="8">
        <f>IF('Client'!$F614="Pro Monde",10%,IF(AND('Client'!$G614&gt;12,'Client'!$D614&gt;5),70%,IF(AND(OR('Client'!$G614&gt;=4,'Client'!$G614&lt;=12,'Client'!$D614&lt;5,(OR('Client'!$F614="Premium ")))),45%,0%)))</f>
        <v>0.45</v>
      </c>
      <c r="L614" s="4">
        <f>'Client'!$I614* ('Client'!$K614/100)</f>
        <v>0.33489000000000002</v>
      </c>
    </row>
    <row r="615" spans="1:12" x14ac:dyDescent="0.3">
      <c r="A615" t="s">
        <v>648</v>
      </c>
      <c r="B615" t="s">
        <v>664</v>
      </c>
      <c r="C615" t="s">
        <v>16</v>
      </c>
      <c r="D615" t="str">
        <f>INT('Client'!$E615/12) &amp; " ans et " &amp; MOD('Client'!$E615,12) &amp; " mois"</f>
        <v>8 ans et 9 mois</v>
      </c>
      <c r="E615">
        <v>105</v>
      </c>
      <c r="F615" t="s">
        <v>22</v>
      </c>
      <c r="G615" s="7">
        <f>Client[[#This Row],[Duree_Cumulee_Panne_Min]]/1440</f>
        <v>0.18819444444444444</v>
      </c>
      <c r="H615">
        <v>271</v>
      </c>
      <c r="I615">
        <v>45.27</v>
      </c>
      <c r="J615">
        <v>2</v>
      </c>
      <c r="K615" s="8">
        <f>IF('Client'!$F615="Pro Monde",10%,IF(AND('Client'!$G615&gt;12,'Client'!$D615&gt;5),70%,IF(AND(OR('Client'!$G615&gt;=4,'Client'!$G615&lt;=12,'Client'!$D615&lt;5,(OR('Client'!$F615="Premium ")))),45%,0%)))</f>
        <v>0.45</v>
      </c>
      <c r="L615" s="4">
        <f>'Client'!$I615* ('Client'!$K615/100)</f>
        <v>0.20371500000000003</v>
      </c>
    </row>
    <row r="616" spans="1:12" x14ac:dyDescent="0.3">
      <c r="A616" t="s">
        <v>648</v>
      </c>
      <c r="B616" t="s">
        <v>665</v>
      </c>
      <c r="C616" t="s">
        <v>64</v>
      </c>
      <c r="D616" t="str">
        <f>INT('Client'!$E616/12) &amp; " ans et " &amp; MOD('Client'!$E616,12) &amp; " mois"</f>
        <v>9 ans et 8 mois</v>
      </c>
      <c r="E616">
        <v>116</v>
      </c>
      <c r="F616" t="s">
        <v>22</v>
      </c>
      <c r="G616" s="7">
        <f>Client[[#This Row],[Duree_Cumulee_Panne_Min]]/1440</f>
        <v>0.16041666666666668</v>
      </c>
      <c r="H616">
        <v>231</v>
      </c>
      <c r="I616">
        <v>19.12</v>
      </c>
      <c r="J616">
        <v>5</v>
      </c>
      <c r="K616" s="8">
        <f>IF('Client'!$F616="Pro Monde",10%,IF(AND('Client'!$G616&gt;12,'Client'!$D616&gt;5),70%,IF(AND(OR('Client'!$G616&gt;=4,'Client'!$G616&lt;=12,'Client'!$D616&lt;5,(OR('Client'!$F616="Premium ")))),45%,0%)))</f>
        <v>0.45</v>
      </c>
      <c r="L616" s="4">
        <f>'Client'!$I616* ('Client'!$K616/100)</f>
        <v>8.6040000000000019E-2</v>
      </c>
    </row>
    <row r="617" spans="1:12" x14ac:dyDescent="0.3">
      <c r="A617" t="s">
        <v>648</v>
      </c>
      <c r="B617" t="s">
        <v>666</v>
      </c>
      <c r="C617" t="s">
        <v>40</v>
      </c>
      <c r="D617" t="str">
        <f>INT('Client'!$E617/12) &amp; " ans et " &amp; MOD('Client'!$E617,12) &amp; " mois"</f>
        <v>5 ans et 9 mois</v>
      </c>
      <c r="E617">
        <v>69</v>
      </c>
      <c r="F617" t="s">
        <v>19</v>
      </c>
      <c r="G617" s="7">
        <f>Client[[#This Row],[Duree_Cumulee_Panne_Min]]/1440</f>
        <v>0.125</v>
      </c>
      <c r="H617">
        <v>180</v>
      </c>
      <c r="I617">
        <v>76.05</v>
      </c>
      <c r="J617">
        <v>2</v>
      </c>
      <c r="K617" s="8">
        <f>IF('Client'!$F617="Pro Monde",10%,IF(AND('Client'!$G617&gt;12,'Client'!$D617&gt;5),70%,IF(AND(OR('Client'!$G617&gt;=4,'Client'!$G617&lt;=12,'Client'!$D617&lt;5,(OR('Client'!$F617="Premium ")))),45%,0%)))</f>
        <v>0.45</v>
      </c>
      <c r="L617" s="4">
        <f>'Client'!$I617* ('Client'!$K617/100)</f>
        <v>0.342225</v>
      </c>
    </row>
    <row r="618" spans="1:12" x14ac:dyDescent="0.3">
      <c r="A618" t="s">
        <v>648</v>
      </c>
      <c r="B618" t="s">
        <v>667</v>
      </c>
      <c r="C618" t="s">
        <v>26</v>
      </c>
      <c r="D618" t="str">
        <f>INT('Client'!$E618/12) &amp; " ans et " &amp; MOD('Client'!$E618,12) &amp; " mois"</f>
        <v>0 ans et 1 mois</v>
      </c>
      <c r="E618">
        <v>1</v>
      </c>
      <c r="F618" t="s">
        <v>19</v>
      </c>
      <c r="G618" s="7">
        <f>Client[[#This Row],[Duree_Cumulee_Panne_Min]]/1440</f>
        <v>9.375E-2</v>
      </c>
      <c r="H618">
        <v>135</v>
      </c>
      <c r="I618">
        <v>89.16</v>
      </c>
      <c r="J618">
        <v>3</v>
      </c>
      <c r="K618" s="8">
        <f>IF('Client'!$F618="Pro Monde",10%,IF(AND('Client'!$G618&gt;12,'Client'!$D618&gt;5),70%,IF(AND(OR('Client'!$G618&gt;=4,'Client'!$G618&lt;=12,'Client'!$D618&lt;5,(OR('Client'!$F618="Premium ")))),45%,0%)))</f>
        <v>0.45</v>
      </c>
      <c r="L618" s="4">
        <f>'Client'!$I618* ('Client'!$K618/100)</f>
        <v>0.40122000000000002</v>
      </c>
    </row>
    <row r="619" spans="1:12" x14ac:dyDescent="0.3">
      <c r="A619" t="s">
        <v>648</v>
      </c>
      <c r="B619" t="s">
        <v>668</v>
      </c>
      <c r="C619" t="s">
        <v>51</v>
      </c>
      <c r="D619" t="str">
        <f>INT('Client'!$E619/12) &amp; " ans et " &amp; MOD('Client'!$E619,12) &amp; " mois"</f>
        <v>10 ans et 0 mois</v>
      </c>
      <c r="E619">
        <v>120</v>
      </c>
      <c r="F619" t="s">
        <v>14</v>
      </c>
      <c r="G619" s="7">
        <f>Client[[#This Row],[Duree_Cumulee_Panne_Min]]/1440</f>
        <v>4.1666666666666664E-2</v>
      </c>
      <c r="H619">
        <v>60</v>
      </c>
      <c r="I619">
        <v>34.14</v>
      </c>
      <c r="J619">
        <v>3</v>
      </c>
      <c r="K619" s="8">
        <f>IF('Client'!$F619="Pro Monde",10%,IF(AND('Client'!$G619&gt;12,'Client'!$D619&gt;5),70%,IF(AND(OR('Client'!$G619&gt;=4,'Client'!$G619&lt;=12,'Client'!$D619&lt;5,(OR('Client'!$F619="Premium ")))),45%,0%)))</f>
        <v>0.1</v>
      </c>
      <c r="L619" s="4">
        <f>'Client'!$I619* ('Client'!$K619/100)</f>
        <v>3.4140000000000004E-2</v>
      </c>
    </row>
    <row r="620" spans="1:12" x14ac:dyDescent="0.3">
      <c r="A620" t="s">
        <v>648</v>
      </c>
      <c r="B620" t="s">
        <v>669</v>
      </c>
      <c r="C620" t="s">
        <v>24</v>
      </c>
      <c r="D620" t="str">
        <f>INT('Client'!$E620/12) &amp; " ans et " &amp; MOD('Client'!$E620,12) &amp; " mois"</f>
        <v>7 ans et 5 mois</v>
      </c>
      <c r="E620">
        <v>89</v>
      </c>
      <c r="F620" t="s">
        <v>19</v>
      </c>
      <c r="G620" s="7">
        <f>Client[[#This Row],[Duree_Cumulee_Panne_Min]]/1440</f>
        <v>0.32916666666666666</v>
      </c>
      <c r="H620">
        <v>474</v>
      </c>
      <c r="I620">
        <v>28.51</v>
      </c>
      <c r="J620">
        <v>5</v>
      </c>
      <c r="K620" s="8">
        <f>IF('Client'!$F620="Pro Monde",10%,IF(AND('Client'!$G620&gt;12,'Client'!$D620&gt;5),70%,IF(AND(OR('Client'!$G620&gt;=4,'Client'!$G620&lt;=12,'Client'!$D620&lt;5,(OR('Client'!$F620="Premium ")))),45%,0%)))</f>
        <v>0.45</v>
      </c>
      <c r="L620" s="4">
        <f>'Client'!$I620* ('Client'!$K620/100)</f>
        <v>0.12829500000000002</v>
      </c>
    </row>
    <row r="621" spans="1:12" x14ac:dyDescent="0.3">
      <c r="A621" t="s">
        <v>648</v>
      </c>
      <c r="B621" t="s">
        <v>670</v>
      </c>
      <c r="C621" t="s">
        <v>10</v>
      </c>
      <c r="D621" t="str">
        <f>INT('Client'!$E621/12) &amp; " ans et " &amp; MOD('Client'!$E621,12) &amp; " mois"</f>
        <v>9 ans et 4 mois</v>
      </c>
      <c r="E621">
        <v>112</v>
      </c>
      <c r="F621" t="s">
        <v>22</v>
      </c>
      <c r="G621" s="7">
        <f>Client[[#This Row],[Duree_Cumulee_Panne_Min]]/1440</f>
        <v>0.19513888888888889</v>
      </c>
      <c r="H621">
        <v>281</v>
      </c>
      <c r="I621">
        <v>80.72</v>
      </c>
      <c r="J621">
        <v>2</v>
      </c>
      <c r="K621" s="8">
        <f>IF('Client'!$F621="Pro Monde",10%,IF(AND('Client'!$G621&gt;12,'Client'!$D621&gt;5),70%,IF(AND(OR('Client'!$G621&gt;=4,'Client'!$G621&lt;=12,'Client'!$D621&lt;5,(OR('Client'!$F621="Premium ")))),45%,0%)))</f>
        <v>0.45</v>
      </c>
      <c r="L621" s="4">
        <f>'Client'!$I621* ('Client'!$K621/100)</f>
        <v>0.36324000000000006</v>
      </c>
    </row>
    <row r="622" spans="1:12" x14ac:dyDescent="0.3">
      <c r="A622" t="s">
        <v>648</v>
      </c>
      <c r="B622" t="s">
        <v>671</v>
      </c>
      <c r="C622" t="s">
        <v>18</v>
      </c>
      <c r="D622" t="str">
        <f>INT('Client'!$E622/12) &amp; " ans et " &amp; MOD('Client'!$E622,12) &amp; " mois"</f>
        <v>0 ans et 7 mois</v>
      </c>
      <c r="E622">
        <v>7</v>
      </c>
      <c r="F622" t="s">
        <v>19</v>
      </c>
      <c r="G622" s="7">
        <f>Client[[#This Row],[Duree_Cumulee_Panne_Min]]/1440</f>
        <v>2.9861111111111113E-2</v>
      </c>
      <c r="H622">
        <v>43</v>
      </c>
      <c r="I622">
        <v>41.29</v>
      </c>
      <c r="J622">
        <v>4</v>
      </c>
      <c r="K622" s="8">
        <f>IF('Client'!$F622="Pro Monde",10%,IF(AND('Client'!$G622&gt;12,'Client'!$D622&gt;5),70%,IF(AND(OR('Client'!$G622&gt;=4,'Client'!$G622&lt;=12,'Client'!$D622&lt;5,(OR('Client'!$F622="Premium ")))),45%,0%)))</f>
        <v>0.45</v>
      </c>
      <c r="L622" s="4">
        <f>'Client'!$I622* ('Client'!$K622/100)</f>
        <v>0.18580500000000003</v>
      </c>
    </row>
    <row r="623" spans="1:12" x14ac:dyDescent="0.3">
      <c r="A623" t="s">
        <v>648</v>
      </c>
      <c r="B623" t="s">
        <v>672</v>
      </c>
      <c r="C623" t="s">
        <v>35</v>
      </c>
      <c r="D623" t="str">
        <f>INT('Client'!$E623/12) &amp; " ans et " &amp; MOD('Client'!$E623,12) &amp; " mois"</f>
        <v>2 ans et 10 mois</v>
      </c>
      <c r="E623">
        <v>34</v>
      </c>
      <c r="F623" t="s">
        <v>22</v>
      </c>
      <c r="G623" s="7">
        <f>Client[[#This Row],[Duree_Cumulee_Panne_Min]]/1440</f>
        <v>0.12569444444444444</v>
      </c>
      <c r="H623">
        <v>181</v>
      </c>
      <c r="I623">
        <v>35.92</v>
      </c>
      <c r="J623">
        <v>2</v>
      </c>
      <c r="K623" s="8">
        <f>IF('Client'!$F623="Pro Monde",10%,IF(AND('Client'!$G623&gt;12,'Client'!$D623&gt;5),70%,IF(AND(OR('Client'!$G623&gt;=4,'Client'!$G623&lt;=12,'Client'!$D623&lt;5,(OR('Client'!$F623="Premium ")))),45%,0%)))</f>
        <v>0.45</v>
      </c>
      <c r="L623" s="4">
        <f>'Client'!$I623* ('Client'!$K623/100)</f>
        <v>0.16164000000000003</v>
      </c>
    </row>
    <row r="624" spans="1:12" x14ac:dyDescent="0.3">
      <c r="A624" t="s">
        <v>648</v>
      </c>
      <c r="B624" t="s">
        <v>673</v>
      </c>
      <c r="C624" t="s">
        <v>67</v>
      </c>
      <c r="D624" t="str">
        <f>INT('Client'!$E624/12) &amp; " ans et " &amp; MOD('Client'!$E624,12) &amp; " mois"</f>
        <v>9 ans et 6 mois</v>
      </c>
      <c r="E624">
        <v>114</v>
      </c>
      <c r="F624" t="s">
        <v>14</v>
      </c>
      <c r="G624" s="7">
        <f>Client[[#This Row],[Duree_Cumulee_Panne_Min]]/1440</f>
        <v>0.15277777777777779</v>
      </c>
      <c r="H624">
        <v>220</v>
      </c>
      <c r="I624">
        <v>63.67</v>
      </c>
      <c r="J624">
        <v>5</v>
      </c>
      <c r="K624" s="8">
        <f>IF('Client'!$F624="Pro Monde",10%,IF(AND('Client'!$G624&gt;12,'Client'!$D624&gt;5),70%,IF(AND(OR('Client'!$G624&gt;=4,'Client'!$G624&lt;=12,'Client'!$D624&lt;5,(OR('Client'!$F624="Premium ")))),45%,0%)))</f>
        <v>0.1</v>
      </c>
      <c r="L624" s="4">
        <f>'Client'!$I624* ('Client'!$K624/100)</f>
        <v>6.3670000000000004E-2</v>
      </c>
    </row>
    <row r="625" spans="1:12" x14ac:dyDescent="0.3">
      <c r="A625" t="s">
        <v>648</v>
      </c>
      <c r="B625" t="s">
        <v>674</v>
      </c>
      <c r="C625" t="s">
        <v>78</v>
      </c>
      <c r="D625" t="str">
        <f>INT('Client'!$E625/12) &amp; " ans et " &amp; MOD('Client'!$E625,12) &amp; " mois"</f>
        <v>8 ans et 5 mois</v>
      </c>
      <c r="E625">
        <v>101</v>
      </c>
      <c r="F625" t="s">
        <v>14</v>
      </c>
      <c r="G625" s="7">
        <f>Client[[#This Row],[Duree_Cumulee_Panne_Min]]/1440</f>
        <v>7.4999999999999997E-2</v>
      </c>
      <c r="H625">
        <v>108</v>
      </c>
      <c r="I625">
        <v>76.05</v>
      </c>
      <c r="J625">
        <v>3</v>
      </c>
      <c r="K625" s="8">
        <f>IF('Client'!$F625="Pro Monde",10%,IF(AND('Client'!$G625&gt;12,'Client'!$D625&gt;5),70%,IF(AND(OR('Client'!$G625&gt;=4,'Client'!$G625&lt;=12,'Client'!$D625&lt;5,(OR('Client'!$F625="Premium ")))),45%,0%)))</f>
        <v>0.1</v>
      </c>
      <c r="L625" s="4">
        <f>'Client'!$I625* ('Client'!$K625/100)</f>
        <v>7.6049999999999993E-2</v>
      </c>
    </row>
    <row r="626" spans="1:12" x14ac:dyDescent="0.3">
      <c r="A626" t="s">
        <v>648</v>
      </c>
      <c r="B626" t="s">
        <v>675</v>
      </c>
      <c r="C626" t="s">
        <v>137</v>
      </c>
      <c r="D626" t="str">
        <f>INT('Client'!$E626/12) &amp; " ans et " &amp; MOD('Client'!$E626,12) &amp; " mois"</f>
        <v>0 ans et 6 mois</v>
      </c>
      <c r="E626">
        <v>6</v>
      </c>
      <c r="F626" t="s">
        <v>22</v>
      </c>
      <c r="G626" s="7">
        <f>Client[[#This Row],[Duree_Cumulee_Panne_Min]]/1440</f>
        <v>5.347222222222222E-2</v>
      </c>
      <c r="H626">
        <v>77</v>
      </c>
      <c r="I626">
        <v>18.48</v>
      </c>
      <c r="J626">
        <v>2</v>
      </c>
      <c r="K626" s="8">
        <f>IF('Client'!$F626="Pro Monde",10%,IF(AND('Client'!$G626&gt;12,'Client'!$D626&gt;5),70%,IF(AND(OR('Client'!$G626&gt;=4,'Client'!$G626&lt;=12,'Client'!$D626&lt;5,(OR('Client'!$F626="Premium ")))),45%,0%)))</f>
        <v>0.45</v>
      </c>
      <c r="L626" s="4">
        <f>'Client'!$I626* ('Client'!$K626/100)</f>
        <v>8.3160000000000012E-2</v>
      </c>
    </row>
    <row r="627" spans="1:12" x14ac:dyDescent="0.3">
      <c r="A627" t="s">
        <v>648</v>
      </c>
      <c r="B627" t="s">
        <v>676</v>
      </c>
      <c r="C627" t="s">
        <v>21</v>
      </c>
      <c r="D627" t="str">
        <f>INT('Client'!$E627/12) &amp; " ans et " &amp; MOD('Client'!$E627,12) &amp; " mois"</f>
        <v>1 ans et 3 mois</v>
      </c>
      <c r="E627">
        <v>15</v>
      </c>
      <c r="F627" t="s">
        <v>14</v>
      </c>
      <c r="G627" s="7">
        <f>Client[[#This Row],[Duree_Cumulee_Panne_Min]]/1440</f>
        <v>0.14097222222222222</v>
      </c>
      <c r="H627">
        <v>203</v>
      </c>
      <c r="I627">
        <v>55.29</v>
      </c>
      <c r="J627">
        <v>2</v>
      </c>
      <c r="K627" s="8">
        <f>IF('Client'!$F627="Pro Monde",10%,IF(AND('Client'!$G627&gt;12,'Client'!$D627&gt;5),70%,IF(AND(OR('Client'!$G627&gt;=4,'Client'!$G627&lt;=12,'Client'!$D627&lt;5,(OR('Client'!$F627="Premium ")))),45%,0%)))</f>
        <v>0.1</v>
      </c>
      <c r="L627" s="4">
        <f>'Client'!$I627* ('Client'!$K627/100)</f>
        <v>5.5289999999999999E-2</v>
      </c>
    </row>
    <row r="628" spans="1:12" x14ac:dyDescent="0.3">
      <c r="A628" t="s">
        <v>648</v>
      </c>
      <c r="B628" t="s">
        <v>677</v>
      </c>
      <c r="C628" t="s">
        <v>131</v>
      </c>
      <c r="D628" t="str">
        <f>INT('Client'!$E628/12) &amp; " ans et " &amp; MOD('Client'!$E628,12) &amp; " mois"</f>
        <v>0 ans et 7 mois</v>
      </c>
      <c r="E628">
        <v>7</v>
      </c>
      <c r="F628" t="s">
        <v>19</v>
      </c>
      <c r="G628" s="7">
        <f>Client[[#This Row],[Duree_Cumulee_Panne_Min]]/1440</f>
        <v>0.17847222222222223</v>
      </c>
      <c r="H628">
        <v>257</v>
      </c>
      <c r="I628">
        <v>73.040000000000006</v>
      </c>
      <c r="J628">
        <v>3</v>
      </c>
      <c r="K628" s="8">
        <f>IF('Client'!$F628="Pro Monde",10%,IF(AND('Client'!$G628&gt;12,'Client'!$D628&gt;5),70%,IF(AND(OR('Client'!$G628&gt;=4,'Client'!$G628&lt;=12,'Client'!$D628&lt;5,(OR('Client'!$F628="Premium ")))),45%,0%)))</f>
        <v>0.45</v>
      </c>
      <c r="L628" s="4">
        <f>'Client'!$I628* ('Client'!$K628/100)</f>
        <v>0.32868000000000008</v>
      </c>
    </row>
    <row r="629" spans="1:12" x14ac:dyDescent="0.3">
      <c r="A629" t="s">
        <v>648</v>
      </c>
      <c r="B629" t="s">
        <v>678</v>
      </c>
      <c r="C629" t="s">
        <v>40</v>
      </c>
      <c r="D629" t="str">
        <f>INT('Client'!$E629/12) &amp; " ans et " &amp; MOD('Client'!$E629,12) &amp; " mois"</f>
        <v>3 ans et 3 mois</v>
      </c>
      <c r="E629">
        <v>39</v>
      </c>
      <c r="F629" t="s">
        <v>11</v>
      </c>
      <c r="G629" s="7">
        <f>Client[[#This Row],[Duree_Cumulee_Panne_Min]]/1440</f>
        <v>0.15277777777777779</v>
      </c>
      <c r="H629">
        <v>220</v>
      </c>
      <c r="I629">
        <v>52.91</v>
      </c>
      <c r="J629">
        <v>0</v>
      </c>
      <c r="K629" s="8">
        <f>IF('Client'!$F629="Pro Monde",10%,IF(AND('Client'!$G629&gt;12,'Client'!$D629&gt;5),70%,IF(AND(OR('Client'!$G629&gt;=4,'Client'!$G629&lt;=12,'Client'!$D629&lt;5,(OR('Client'!$F629="Premium ")))),45%,0%)))</f>
        <v>0.45</v>
      </c>
      <c r="L629" s="4">
        <f>'Client'!$I629* ('Client'!$K629/100)</f>
        <v>0.238095</v>
      </c>
    </row>
    <row r="630" spans="1:12" x14ac:dyDescent="0.3">
      <c r="A630" t="s">
        <v>648</v>
      </c>
      <c r="B630" t="s">
        <v>679</v>
      </c>
      <c r="C630" t="s">
        <v>60</v>
      </c>
      <c r="D630" t="str">
        <f>INT('Client'!$E630/12) &amp; " ans et " &amp; MOD('Client'!$E630,12) &amp; " mois"</f>
        <v>0 ans et 10 mois</v>
      </c>
      <c r="E630">
        <v>10</v>
      </c>
      <c r="F630" t="s">
        <v>22</v>
      </c>
      <c r="G630" s="7">
        <f>Client[[#This Row],[Duree_Cumulee_Panne_Min]]/1440</f>
        <v>0.18055555555555555</v>
      </c>
      <c r="H630">
        <v>260</v>
      </c>
      <c r="I630">
        <v>37.479999999999997</v>
      </c>
      <c r="J630">
        <v>2</v>
      </c>
      <c r="K630" s="8">
        <f>IF('Client'!$F630="Pro Monde",10%,IF(AND('Client'!$G630&gt;12,'Client'!$D630&gt;5),70%,IF(AND(OR('Client'!$G630&gt;=4,'Client'!$G630&lt;=12,'Client'!$D630&lt;5,(OR('Client'!$F630="Premium ")))),45%,0%)))</f>
        <v>0.45</v>
      </c>
      <c r="L630" s="4">
        <f>'Client'!$I630* ('Client'!$K630/100)</f>
        <v>0.16866</v>
      </c>
    </row>
    <row r="631" spans="1:12" x14ac:dyDescent="0.3">
      <c r="A631" t="s">
        <v>648</v>
      </c>
      <c r="B631" t="s">
        <v>680</v>
      </c>
      <c r="C631" t="s">
        <v>137</v>
      </c>
      <c r="D631" t="str">
        <f>INT('Client'!$E631/12) &amp; " ans et " &amp; MOD('Client'!$E631,12) &amp; " mois"</f>
        <v>2 ans et 10 mois</v>
      </c>
      <c r="E631">
        <v>34</v>
      </c>
      <c r="F631" t="s">
        <v>11</v>
      </c>
      <c r="G631" s="7">
        <f>Client[[#This Row],[Duree_Cumulee_Panne_Min]]/1440</f>
        <v>0.11805555555555555</v>
      </c>
      <c r="H631">
        <v>170</v>
      </c>
      <c r="I631">
        <v>91.6</v>
      </c>
      <c r="J631">
        <v>2</v>
      </c>
      <c r="K631" s="8">
        <f>IF('Client'!$F631="Pro Monde",10%,IF(AND('Client'!$G631&gt;12,'Client'!$D631&gt;5),70%,IF(AND(OR('Client'!$G631&gt;=4,'Client'!$G631&lt;=12,'Client'!$D631&lt;5,(OR('Client'!$F631="Premium ")))),45%,0%)))</f>
        <v>0.45</v>
      </c>
      <c r="L631" s="4">
        <f>'Client'!$I631* ('Client'!$K631/100)</f>
        <v>0.41220000000000001</v>
      </c>
    </row>
    <row r="632" spans="1:12" x14ac:dyDescent="0.3">
      <c r="A632" t="s">
        <v>648</v>
      </c>
      <c r="B632" t="s">
        <v>681</v>
      </c>
      <c r="C632" t="s">
        <v>78</v>
      </c>
      <c r="D632" t="str">
        <f>INT('Client'!$E632/12) &amp; " ans et " &amp; MOD('Client'!$E632,12) &amp; " mois"</f>
        <v>3 ans et 7 mois</v>
      </c>
      <c r="E632">
        <v>43</v>
      </c>
      <c r="F632" t="s">
        <v>11</v>
      </c>
      <c r="G632" s="7">
        <f>Client[[#This Row],[Duree_Cumulee_Panne_Min]]/1440</f>
        <v>1.8749999999999999E-2</v>
      </c>
      <c r="H632">
        <v>27</v>
      </c>
      <c r="I632">
        <v>31.48</v>
      </c>
      <c r="J632">
        <v>5</v>
      </c>
      <c r="K632" s="8">
        <f>IF('Client'!$F632="Pro Monde",10%,IF(AND('Client'!$G632&gt;12,'Client'!$D632&gt;5),70%,IF(AND(OR('Client'!$G632&gt;=4,'Client'!$G632&lt;=12,'Client'!$D632&lt;5,(OR('Client'!$F632="Premium ")))),45%,0%)))</f>
        <v>0.45</v>
      </c>
      <c r="L632" s="4">
        <f>'Client'!$I632* ('Client'!$K632/100)</f>
        <v>0.14166000000000001</v>
      </c>
    </row>
    <row r="633" spans="1:12" x14ac:dyDescent="0.3">
      <c r="A633" t="s">
        <v>648</v>
      </c>
      <c r="B633" t="s">
        <v>682</v>
      </c>
      <c r="C633" t="s">
        <v>26</v>
      </c>
      <c r="D633" t="str">
        <f>INT('Client'!$E633/12) &amp; " ans et " &amp; MOD('Client'!$E633,12) &amp; " mois"</f>
        <v>7 ans et 5 mois</v>
      </c>
      <c r="E633">
        <v>89</v>
      </c>
      <c r="F633" t="s">
        <v>14</v>
      </c>
      <c r="G633" s="7">
        <f>Client[[#This Row],[Duree_Cumulee_Panne_Min]]/1440</f>
        <v>0.15625</v>
      </c>
      <c r="H633">
        <v>225</v>
      </c>
      <c r="I633">
        <v>38.36</v>
      </c>
      <c r="J633">
        <v>2</v>
      </c>
      <c r="K633" s="8">
        <f>IF('Client'!$F633="Pro Monde",10%,IF(AND('Client'!$G633&gt;12,'Client'!$D633&gt;5),70%,IF(AND(OR('Client'!$G633&gt;=4,'Client'!$G633&lt;=12,'Client'!$D633&lt;5,(OR('Client'!$F633="Premium ")))),45%,0%)))</f>
        <v>0.1</v>
      </c>
      <c r="L633" s="4">
        <f>'Client'!$I633* ('Client'!$K633/100)</f>
        <v>3.8359999999999998E-2</v>
      </c>
    </row>
    <row r="634" spans="1:12" x14ac:dyDescent="0.3">
      <c r="A634" t="s">
        <v>648</v>
      </c>
      <c r="B634" t="s">
        <v>683</v>
      </c>
      <c r="C634" t="s">
        <v>31</v>
      </c>
      <c r="D634" t="str">
        <f>INT('Client'!$E634/12) &amp; " ans et " &amp; MOD('Client'!$E634,12) &amp; " mois"</f>
        <v>6 ans et 7 mois</v>
      </c>
      <c r="E634">
        <v>79</v>
      </c>
      <c r="F634" t="s">
        <v>22</v>
      </c>
      <c r="G634" s="7">
        <f>Client[[#This Row],[Duree_Cumulee_Panne_Min]]/1440</f>
        <v>9.6527777777777782E-2</v>
      </c>
      <c r="H634">
        <v>139</v>
      </c>
      <c r="I634">
        <v>16.25</v>
      </c>
      <c r="J634">
        <v>4</v>
      </c>
      <c r="K634" s="8">
        <f>IF('Client'!$F634="Pro Monde",10%,IF(AND('Client'!$G634&gt;12,'Client'!$D634&gt;5),70%,IF(AND(OR('Client'!$G634&gt;=4,'Client'!$G634&lt;=12,'Client'!$D634&lt;5,(OR('Client'!$F634="Premium ")))),45%,0%)))</f>
        <v>0.45</v>
      </c>
      <c r="L634" s="4">
        <f>'Client'!$I634* ('Client'!$K634/100)</f>
        <v>7.3125000000000009E-2</v>
      </c>
    </row>
    <row r="635" spans="1:12" x14ac:dyDescent="0.3">
      <c r="A635" t="s">
        <v>648</v>
      </c>
      <c r="B635" t="s">
        <v>684</v>
      </c>
      <c r="C635" t="s">
        <v>62</v>
      </c>
      <c r="D635" t="str">
        <f>INT('Client'!$E635/12) &amp; " ans et " &amp; MOD('Client'!$E635,12) &amp; " mois"</f>
        <v>8 ans et 6 mois</v>
      </c>
      <c r="E635">
        <v>102</v>
      </c>
      <c r="F635" t="s">
        <v>19</v>
      </c>
      <c r="G635" s="7">
        <f>Client[[#This Row],[Duree_Cumulee_Panne_Min]]/1440</f>
        <v>0.13125000000000001</v>
      </c>
      <c r="H635">
        <v>189</v>
      </c>
      <c r="I635">
        <v>26.86</v>
      </c>
      <c r="J635">
        <v>5</v>
      </c>
      <c r="K635" s="8">
        <f>IF('Client'!$F635="Pro Monde",10%,IF(AND('Client'!$G635&gt;12,'Client'!$D635&gt;5),70%,IF(AND(OR('Client'!$G635&gt;=4,'Client'!$G635&lt;=12,'Client'!$D635&lt;5,(OR('Client'!$F635="Premium ")))),45%,0%)))</f>
        <v>0.45</v>
      </c>
      <c r="L635" s="4">
        <f>'Client'!$I635* ('Client'!$K635/100)</f>
        <v>0.12087000000000001</v>
      </c>
    </row>
    <row r="636" spans="1:12" x14ac:dyDescent="0.3">
      <c r="A636" t="s">
        <v>648</v>
      </c>
      <c r="B636" t="s">
        <v>685</v>
      </c>
      <c r="C636" t="s">
        <v>131</v>
      </c>
      <c r="D636" t="str">
        <f>INT('Client'!$E636/12) &amp; " ans et " &amp; MOD('Client'!$E636,12) &amp; " mois"</f>
        <v>8 ans et 8 mois</v>
      </c>
      <c r="E636">
        <v>104</v>
      </c>
      <c r="F636" t="s">
        <v>22</v>
      </c>
      <c r="G636" s="7">
        <f>Client[[#This Row],[Duree_Cumulee_Panne_Min]]/1440</f>
        <v>3.4722222222222224E-2</v>
      </c>
      <c r="H636">
        <v>50</v>
      </c>
      <c r="I636">
        <v>90.99</v>
      </c>
      <c r="J636">
        <v>4</v>
      </c>
      <c r="K636" s="8">
        <f>IF('Client'!$F636="Pro Monde",10%,IF(AND('Client'!$G636&gt;12,'Client'!$D636&gt;5),70%,IF(AND(OR('Client'!$G636&gt;=4,'Client'!$G636&lt;=12,'Client'!$D636&lt;5,(OR('Client'!$F636="Premium ")))),45%,0%)))</f>
        <v>0.45</v>
      </c>
      <c r="L636" s="4">
        <f>'Client'!$I636* ('Client'!$K636/100)</f>
        <v>0.40945500000000001</v>
      </c>
    </row>
    <row r="637" spans="1:12" x14ac:dyDescent="0.3">
      <c r="A637" t="s">
        <v>648</v>
      </c>
      <c r="B637" t="s">
        <v>686</v>
      </c>
      <c r="C637" t="s">
        <v>35</v>
      </c>
      <c r="D637" t="str">
        <f>INT('Client'!$E637/12) &amp; " ans et " &amp; MOD('Client'!$E637,12) &amp; " mois"</f>
        <v>4 ans et 1 mois</v>
      </c>
      <c r="E637">
        <v>49</v>
      </c>
      <c r="F637" t="s">
        <v>22</v>
      </c>
      <c r="G637" s="7">
        <f>Client[[#This Row],[Duree_Cumulee_Panne_Min]]/1440</f>
        <v>1.7361111111111112E-2</v>
      </c>
      <c r="H637">
        <v>25</v>
      </c>
      <c r="I637">
        <v>22.77</v>
      </c>
      <c r="J637">
        <v>3</v>
      </c>
      <c r="K637" s="8">
        <f>IF('Client'!$F637="Pro Monde",10%,IF(AND('Client'!$G637&gt;12,'Client'!$D637&gt;5),70%,IF(AND(OR('Client'!$G637&gt;=4,'Client'!$G637&lt;=12,'Client'!$D637&lt;5,(OR('Client'!$F637="Premium ")))),45%,0%)))</f>
        <v>0.45</v>
      </c>
      <c r="L637" s="4">
        <f>'Client'!$I637* ('Client'!$K637/100)</f>
        <v>0.10246500000000001</v>
      </c>
    </row>
    <row r="638" spans="1:12" x14ac:dyDescent="0.3">
      <c r="A638" t="s">
        <v>648</v>
      </c>
      <c r="B638" t="s">
        <v>687</v>
      </c>
      <c r="C638" t="s">
        <v>37</v>
      </c>
      <c r="D638" t="str">
        <f>INT('Client'!$E638/12) &amp; " ans et " &amp; MOD('Client'!$E638,12) &amp; " mois"</f>
        <v>2 ans et 11 mois</v>
      </c>
      <c r="E638">
        <v>35</v>
      </c>
      <c r="F638" t="s">
        <v>11</v>
      </c>
      <c r="G638" s="7">
        <f>Client[[#This Row],[Duree_Cumulee_Panne_Min]]/1440</f>
        <v>0.23055555555555557</v>
      </c>
      <c r="H638">
        <v>332</v>
      </c>
      <c r="I638">
        <v>11.15</v>
      </c>
      <c r="J638">
        <v>0</v>
      </c>
      <c r="K638" s="8">
        <f>IF('Client'!$F638="Pro Monde",10%,IF(AND('Client'!$G638&gt;12,'Client'!$D638&gt;5),70%,IF(AND(OR('Client'!$G638&gt;=4,'Client'!$G638&lt;=12,'Client'!$D638&lt;5,(OR('Client'!$F638="Premium ")))),45%,0%)))</f>
        <v>0.45</v>
      </c>
      <c r="L638" s="4">
        <f>'Client'!$I638* ('Client'!$K638/100)</f>
        <v>5.0175000000000004E-2</v>
      </c>
    </row>
    <row r="639" spans="1:12" x14ac:dyDescent="0.3">
      <c r="A639" t="s">
        <v>648</v>
      </c>
      <c r="B639" t="s">
        <v>688</v>
      </c>
      <c r="C639" t="s">
        <v>127</v>
      </c>
      <c r="D639" t="str">
        <f>INT('Client'!$E639/12) &amp; " ans et " &amp; MOD('Client'!$E639,12) &amp; " mois"</f>
        <v>7 ans et 6 mois</v>
      </c>
      <c r="E639">
        <v>90</v>
      </c>
      <c r="F639" t="s">
        <v>14</v>
      </c>
      <c r="G639" s="7">
        <f>Client[[#This Row],[Duree_Cumulee_Panne_Min]]/1440</f>
        <v>0.13541666666666666</v>
      </c>
      <c r="H639">
        <v>195</v>
      </c>
      <c r="I639">
        <v>52.71</v>
      </c>
      <c r="J639">
        <v>2</v>
      </c>
      <c r="K639" s="8">
        <f>IF('Client'!$F639="Pro Monde",10%,IF(AND('Client'!$G639&gt;12,'Client'!$D639&gt;5),70%,IF(AND(OR('Client'!$G639&gt;=4,'Client'!$G639&lt;=12,'Client'!$D639&lt;5,(OR('Client'!$F639="Premium ")))),45%,0%)))</f>
        <v>0.1</v>
      </c>
      <c r="L639" s="4">
        <f>'Client'!$I639* ('Client'!$K639/100)</f>
        <v>5.271E-2</v>
      </c>
    </row>
    <row r="640" spans="1:12" x14ac:dyDescent="0.3">
      <c r="A640" t="s">
        <v>648</v>
      </c>
      <c r="B640" t="s">
        <v>689</v>
      </c>
      <c r="C640" t="s">
        <v>26</v>
      </c>
      <c r="D640" t="str">
        <f>INT('Client'!$E640/12) &amp; " ans et " &amp; MOD('Client'!$E640,12) &amp; " mois"</f>
        <v>1 ans et 10 mois</v>
      </c>
      <c r="E640">
        <v>22</v>
      </c>
      <c r="F640" t="s">
        <v>14</v>
      </c>
      <c r="G640" s="7">
        <f>Client[[#This Row],[Duree_Cumulee_Panne_Min]]/1440</f>
        <v>0.25972222222222224</v>
      </c>
      <c r="H640">
        <v>374</v>
      </c>
      <c r="I640">
        <v>40.06</v>
      </c>
      <c r="J640">
        <v>5</v>
      </c>
      <c r="K640" s="8">
        <f>IF('Client'!$F640="Pro Monde",10%,IF(AND('Client'!$G640&gt;12,'Client'!$D640&gt;5),70%,IF(AND(OR('Client'!$G640&gt;=4,'Client'!$G640&lt;=12,'Client'!$D640&lt;5,(OR('Client'!$F640="Premium ")))),45%,0%)))</f>
        <v>0.1</v>
      </c>
      <c r="L640" s="4">
        <f>'Client'!$I640* ('Client'!$K640/100)</f>
        <v>4.0060000000000005E-2</v>
      </c>
    </row>
    <row r="641" spans="1:12" x14ac:dyDescent="0.3">
      <c r="A641" t="s">
        <v>648</v>
      </c>
      <c r="B641" t="s">
        <v>690</v>
      </c>
      <c r="C641" t="s">
        <v>16</v>
      </c>
      <c r="D641" t="str">
        <f>INT('Client'!$E641/12) &amp; " ans et " &amp; MOD('Client'!$E641,12) &amp; " mois"</f>
        <v>9 ans et 11 mois</v>
      </c>
      <c r="E641">
        <v>119</v>
      </c>
      <c r="F641" t="s">
        <v>22</v>
      </c>
      <c r="G641" s="7">
        <f>Client[[#This Row],[Duree_Cumulee_Panne_Min]]/1440</f>
        <v>0.3298611111111111</v>
      </c>
      <c r="H641">
        <v>475</v>
      </c>
      <c r="I641">
        <v>25.98</v>
      </c>
      <c r="J641">
        <v>4</v>
      </c>
      <c r="K641" s="8">
        <f>IF('Client'!$F641="Pro Monde",10%,IF(AND('Client'!$G641&gt;12,'Client'!$D641&gt;5),70%,IF(AND(OR('Client'!$G641&gt;=4,'Client'!$G641&lt;=12,'Client'!$D641&lt;5,(OR('Client'!$F641="Premium ")))),45%,0%)))</f>
        <v>0.45</v>
      </c>
      <c r="L641" s="4">
        <f>'Client'!$I641* ('Client'!$K641/100)</f>
        <v>0.11691000000000001</v>
      </c>
    </row>
    <row r="642" spans="1:12" x14ac:dyDescent="0.3">
      <c r="A642" t="s">
        <v>648</v>
      </c>
      <c r="B642" t="s">
        <v>691</v>
      </c>
      <c r="C642" t="s">
        <v>51</v>
      </c>
      <c r="D642" t="str">
        <f>INT('Client'!$E642/12) &amp; " ans et " &amp; MOD('Client'!$E642,12) &amp; " mois"</f>
        <v>1 ans et 6 mois</v>
      </c>
      <c r="E642">
        <v>18</v>
      </c>
      <c r="F642" t="s">
        <v>14</v>
      </c>
      <c r="G642" s="7">
        <f>Client[[#This Row],[Duree_Cumulee_Panne_Min]]/1440</f>
        <v>0.15</v>
      </c>
      <c r="H642">
        <v>216</v>
      </c>
      <c r="I642">
        <v>33.74</v>
      </c>
      <c r="J642">
        <v>5</v>
      </c>
      <c r="K642" s="8">
        <f>IF('Client'!$F642="Pro Monde",10%,IF(AND('Client'!$G642&gt;12,'Client'!$D642&gt;5),70%,IF(AND(OR('Client'!$G642&gt;=4,'Client'!$G642&lt;=12,'Client'!$D642&lt;5,(OR('Client'!$F642="Premium ")))),45%,0%)))</f>
        <v>0.1</v>
      </c>
      <c r="L642" s="4">
        <f>'Client'!$I642* ('Client'!$K642/100)</f>
        <v>3.3740000000000006E-2</v>
      </c>
    </row>
    <row r="643" spans="1:12" x14ac:dyDescent="0.3">
      <c r="A643" t="s">
        <v>648</v>
      </c>
      <c r="B643" t="s">
        <v>692</v>
      </c>
      <c r="C643" t="s">
        <v>21</v>
      </c>
      <c r="D643" t="str">
        <f>INT('Client'!$E643/12) &amp; " ans et " &amp; MOD('Client'!$E643,12) &amp; " mois"</f>
        <v>6 ans et 3 mois</v>
      </c>
      <c r="E643">
        <v>75</v>
      </c>
      <c r="F643" t="s">
        <v>22</v>
      </c>
      <c r="G643" s="7">
        <f>Client[[#This Row],[Duree_Cumulee_Panne_Min]]/1440</f>
        <v>6.8750000000000006E-2</v>
      </c>
      <c r="H643">
        <v>99</v>
      </c>
      <c r="I643">
        <v>16.93</v>
      </c>
      <c r="J643">
        <v>5</v>
      </c>
      <c r="K643" s="8">
        <f>IF('Client'!$F643="Pro Monde",10%,IF(AND('Client'!$G643&gt;12,'Client'!$D643&gt;5),70%,IF(AND(OR('Client'!$G643&gt;=4,'Client'!$G643&lt;=12,'Client'!$D643&lt;5,(OR('Client'!$F643="Premium ")))),45%,0%)))</f>
        <v>0.45</v>
      </c>
      <c r="L643" s="4">
        <f>'Client'!$I643* ('Client'!$K643/100)</f>
        <v>7.6185000000000003E-2</v>
      </c>
    </row>
    <row r="644" spans="1:12" x14ac:dyDescent="0.3">
      <c r="A644" t="s">
        <v>648</v>
      </c>
      <c r="B644" t="s">
        <v>693</v>
      </c>
      <c r="C644" t="s">
        <v>31</v>
      </c>
      <c r="D644" t="str">
        <f>INT('Client'!$E644/12) &amp; " ans et " &amp; MOD('Client'!$E644,12) &amp; " mois"</f>
        <v>4 ans et 11 mois</v>
      </c>
      <c r="E644">
        <v>59</v>
      </c>
      <c r="F644" t="s">
        <v>19</v>
      </c>
      <c r="G644" s="7">
        <f>Client[[#This Row],[Duree_Cumulee_Panne_Min]]/1440</f>
        <v>0.10416666666666667</v>
      </c>
      <c r="H644">
        <v>150</v>
      </c>
      <c r="I644">
        <v>71.13</v>
      </c>
      <c r="J644">
        <v>0</v>
      </c>
      <c r="K644" s="8">
        <f>IF('Client'!$F644="Pro Monde",10%,IF(AND('Client'!$G644&gt;12,'Client'!$D644&gt;5),70%,IF(AND(OR('Client'!$G644&gt;=4,'Client'!$G644&lt;=12,'Client'!$D644&lt;5,(OR('Client'!$F644="Premium ")))),45%,0%)))</f>
        <v>0.45</v>
      </c>
      <c r="L644" s="4">
        <f>'Client'!$I644* ('Client'!$K644/100)</f>
        <v>0.32008500000000001</v>
      </c>
    </row>
    <row r="645" spans="1:12" x14ac:dyDescent="0.3">
      <c r="A645" t="s">
        <v>648</v>
      </c>
      <c r="B645" t="s">
        <v>694</v>
      </c>
      <c r="C645" t="s">
        <v>51</v>
      </c>
      <c r="D645" t="str">
        <f>INT('Client'!$E645/12) &amp; " ans et " &amp; MOD('Client'!$E645,12) &amp; " mois"</f>
        <v>1 ans et 4 mois</v>
      </c>
      <c r="E645">
        <v>16</v>
      </c>
      <c r="F645" t="s">
        <v>11</v>
      </c>
      <c r="G645" s="7">
        <f>Client[[#This Row],[Duree_Cumulee_Panne_Min]]/1440</f>
        <v>6.6666666666666666E-2</v>
      </c>
      <c r="H645">
        <v>96</v>
      </c>
      <c r="I645">
        <v>86.78</v>
      </c>
      <c r="J645">
        <v>1</v>
      </c>
      <c r="K645" s="8">
        <f>IF('Client'!$F645="Pro Monde",10%,IF(AND('Client'!$G645&gt;12,'Client'!$D645&gt;5),70%,IF(AND(OR('Client'!$G645&gt;=4,'Client'!$G645&lt;=12,'Client'!$D645&lt;5,(OR('Client'!$F645="Premium ")))),45%,0%)))</f>
        <v>0.45</v>
      </c>
      <c r="L645" s="4">
        <f>'Client'!$I645* ('Client'!$K645/100)</f>
        <v>0.39051000000000002</v>
      </c>
    </row>
    <row r="646" spans="1:12" x14ac:dyDescent="0.3">
      <c r="A646" t="s">
        <v>648</v>
      </c>
      <c r="B646" t="s">
        <v>695</v>
      </c>
      <c r="C646" t="s">
        <v>64</v>
      </c>
      <c r="D646" t="str">
        <f>INT('Client'!$E646/12) &amp; " ans et " &amp; MOD('Client'!$E646,12) &amp; " mois"</f>
        <v>1 ans et 5 mois</v>
      </c>
      <c r="E646">
        <v>17</v>
      </c>
      <c r="F646" t="s">
        <v>14</v>
      </c>
      <c r="G646" s="7">
        <f>Client[[#This Row],[Duree_Cumulee_Panne_Min]]/1440</f>
        <v>0.14305555555555555</v>
      </c>
      <c r="H646">
        <v>206</v>
      </c>
      <c r="I646">
        <v>63.46</v>
      </c>
      <c r="J646">
        <v>3</v>
      </c>
      <c r="K646" s="8">
        <f>IF('Client'!$F646="Pro Monde",10%,IF(AND('Client'!$G646&gt;12,'Client'!$D646&gt;5),70%,IF(AND(OR('Client'!$G646&gt;=4,'Client'!$G646&lt;=12,'Client'!$D646&lt;5,(OR('Client'!$F646="Premium ")))),45%,0%)))</f>
        <v>0.1</v>
      </c>
      <c r="L646" s="4">
        <f>'Client'!$I646* ('Client'!$K646/100)</f>
        <v>6.3460000000000003E-2</v>
      </c>
    </row>
    <row r="647" spans="1:12" x14ac:dyDescent="0.3">
      <c r="A647" t="s">
        <v>648</v>
      </c>
      <c r="B647" t="s">
        <v>696</v>
      </c>
      <c r="C647" t="s">
        <v>57</v>
      </c>
      <c r="D647" t="str">
        <f>INT('Client'!$E647/12) &amp; " ans et " &amp; MOD('Client'!$E647,12) &amp; " mois"</f>
        <v>3 ans et 5 mois</v>
      </c>
      <c r="E647">
        <v>41</v>
      </c>
      <c r="F647" t="s">
        <v>22</v>
      </c>
      <c r="G647" s="7">
        <f>Client[[#This Row],[Duree_Cumulee_Panne_Min]]/1440</f>
        <v>6.25E-2</v>
      </c>
      <c r="H647">
        <v>90</v>
      </c>
      <c r="I647">
        <v>97.26</v>
      </c>
      <c r="J647">
        <v>1</v>
      </c>
      <c r="K647" s="8">
        <f>IF('Client'!$F647="Pro Monde",10%,IF(AND('Client'!$G647&gt;12,'Client'!$D647&gt;5),70%,IF(AND(OR('Client'!$G647&gt;=4,'Client'!$G647&lt;=12,'Client'!$D647&lt;5,(OR('Client'!$F647="Premium ")))),45%,0%)))</f>
        <v>0.45</v>
      </c>
      <c r="L647" s="4">
        <f>'Client'!$I647* ('Client'!$K647/100)</f>
        <v>0.43767000000000006</v>
      </c>
    </row>
    <row r="648" spans="1:12" x14ac:dyDescent="0.3">
      <c r="A648" t="s">
        <v>648</v>
      </c>
      <c r="B648" t="s">
        <v>697</v>
      </c>
      <c r="C648" t="s">
        <v>62</v>
      </c>
      <c r="D648" t="str">
        <f>INT('Client'!$E648/12) &amp; " ans et " &amp; MOD('Client'!$E648,12) &amp; " mois"</f>
        <v>9 ans et 3 mois</v>
      </c>
      <c r="E648">
        <v>111</v>
      </c>
      <c r="F648" t="s">
        <v>11</v>
      </c>
      <c r="G648" s="7">
        <f>Client[[#This Row],[Duree_Cumulee_Panne_Min]]/1440</f>
        <v>0.21111111111111111</v>
      </c>
      <c r="H648">
        <v>304</v>
      </c>
      <c r="I648">
        <v>62.48</v>
      </c>
      <c r="J648">
        <v>5</v>
      </c>
      <c r="K648" s="8">
        <f>IF('Client'!$F648="Pro Monde",10%,IF(AND('Client'!$G648&gt;12,'Client'!$D648&gt;5),70%,IF(AND(OR('Client'!$G648&gt;=4,'Client'!$G648&lt;=12,'Client'!$D648&lt;5,(OR('Client'!$F648="Premium ")))),45%,0%)))</f>
        <v>0.45</v>
      </c>
      <c r="L648" s="4">
        <f>'Client'!$I648* ('Client'!$K648/100)</f>
        <v>0.28116000000000002</v>
      </c>
    </row>
    <row r="649" spans="1:12" x14ac:dyDescent="0.3">
      <c r="A649" t="s">
        <v>648</v>
      </c>
      <c r="B649" t="s">
        <v>698</v>
      </c>
      <c r="C649" t="s">
        <v>64</v>
      </c>
      <c r="D649" t="str">
        <f>INT('Client'!$E649/12) &amp; " ans et " &amp; MOD('Client'!$E649,12) &amp; " mois"</f>
        <v>1 ans et 7 mois</v>
      </c>
      <c r="E649">
        <v>19</v>
      </c>
      <c r="F649" t="s">
        <v>19</v>
      </c>
      <c r="G649" s="7">
        <f>Client[[#This Row],[Duree_Cumulee_Panne_Min]]/1440</f>
        <v>9.7916666666666666E-2</v>
      </c>
      <c r="H649">
        <v>141</v>
      </c>
      <c r="I649">
        <v>53.95</v>
      </c>
      <c r="J649">
        <v>1</v>
      </c>
      <c r="K649" s="8">
        <f>IF('Client'!$F649="Pro Monde",10%,IF(AND('Client'!$G649&gt;12,'Client'!$D649&gt;5),70%,IF(AND(OR('Client'!$G649&gt;=4,'Client'!$G649&lt;=12,'Client'!$D649&lt;5,(OR('Client'!$F649="Premium ")))),45%,0%)))</f>
        <v>0.45</v>
      </c>
      <c r="L649" s="4">
        <f>'Client'!$I649* ('Client'!$K649/100)</f>
        <v>0.24277500000000005</v>
      </c>
    </row>
    <row r="650" spans="1:12" x14ac:dyDescent="0.3">
      <c r="A650" t="s">
        <v>699</v>
      </c>
      <c r="B650" t="s">
        <v>700</v>
      </c>
      <c r="C650" t="s">
        <v>18</v>
      </c>
      <c r="D650" t="str">
        <f>INT('Client'!$E650/12) &amp; " ans et " &amp; MOD('Client'!$E650,12) &amp; " mois"</f>
        <v>1 ans et 8 mois</v>
      </c>
      <c r="E650">
        <v>20</v>
      </c>
      <c r="F650" t="s">
        <v>19</v>
      </c>
      <c r="G650" s="7">
        <f>Client[[#This Row],[Duree_Cumulee_Panne_Min]]/1440</f>
        <v>0.20624999999999999</v>
      </c>
      <c r="H650">
        <v>297</v>
      </c>
      <c r="I650">
        <v>14.77</v>
      </c>
      <c r="J650">
        <v>0</v>
      </c>
      <c r="K650" s="8">
        <f>IF('Client'!$F650="Pro Monde",10%,IF(AND('Client'!$G650&gt;12,'Client'!$D650&gt;5),70%,IF(AND(OR('Client'!$G650&gt;=4,'Client'!$G650&lt;=12,'Client'!$D650&lt;5,(OR('Client'!$F650="Premium ")))),45%,0%)))</f>
        <v>0.45</v>
      </c>
      <c r="L650" s="4">
        <f>'Client'!$I650* ('Client'!$K650/100)</f>
        <v>6.646500000000001E-2</v>
      </c>
    </row>
    <row r="651" spans="1:12" x14ac:dyDescent="0.3">
      <c r="A651" t="s">
        <v>699</v>
      </c>
      <c r="B651" t="s">
        <v>701</v>
      </c>
      <c r="C651" t="s">
        <v>37</v>
      </c>
      <c r="D651" t="str">
        <f>INT('Client'!$E651/12) &amp; " ans et " &amp; MOD('Client'!$E651,12) &amp; " mois"</f>
        <v>5 ans et 7 mois</v>
      </c>
      <c r="E651">
        <v>67</v>
      </c>
      <c r="F651" t="s">
        <v>11</v>
      </c>
      <c r="G651" s="7">
        <f>Client[[#This Row],[Duree_Cumulee_Panne_Min]]/1440</f>
        <v>0.18194444444444444</v>
      </c>
      <c r="H651">
        <v>262</v>
      </c>
      <c r="I651">
        <v>28.46</v>
      </c>
      <c r="J651">
        <v>3</v>
      </c>
      <c r="K651" s="8">
        <f>IF('Client'!$F651="Pro Monde",10%,IF(AND('Client'!$G651&gt;12,'Client'!$D651&gt;5),70%,IF(AND(OR('Client'!$G651&gt;=4,'Client'!$G651&lt;=12,'Client'!$D651&lt;5,(OR('Client'!$F651="Premium ")))),45%,0%)))</f>
        <v>0.45</v>
      </c>
      <c r="L651" s="4">
        <f>'Client'!$I651* ('Client'!$K651/100)</f>
        <v>0.12807000000000002</v>
      </c>
    </row>
    <row r="652" spans="1:12" x14ac:dyDescent="0.3">
      <c r="A652" t="s">
        <v>699</v>
      </c>
      <c r="B652" t="s">
        <v>702</v>
      </c>
      <c r="C652" t="s">
        <v>10</v>
      </c>
      <c r="D652" t="str">
        <f>INT('Client'!$E652/12) &amp; " ans et " &amp; MOD('Client'!$E652,12) &amp; " mois"</f>
        <v>3 ans et 2 mois</v>
      </c>
      <c r="E652">
        <v>38</v>
      </c>
      <c r="F652" t="s">
        <v>22</v>
      </c>
      <c r="G652" s="7">
        <f>Client[[#This Row],[Duree_Cumulee_Panne_Min]]/1440</f>
        <v>0.13263888888888889</v>
      </c>
      <c r="H652">
        <v>191</v>
      </c>
      <c r="I652">
        <v>22.97</v>
      </c>
      <c r="J652">
        <v>3</v>
      </c>
      <c r="K652" s="8">
        <f>IF('Client'!$F652="Pro Monde",10%,IF(AND('Client'!$G652&gt;12,'Client'!$D652&gt;5),70%,IF(AND(OR('Client'!$G652&gt;=4,'Client'!$G652&lt;=12,'Client'!$D652&lt;5,(OR('Client'!$F652="Premium ")))),45%,0%)))</f>
        <v>0.45</v>
      </c>
      <c r="L652" s="4">
        <f>'Client'!$I652* ('Client'!$K652/100)</f>
        <v>0.10336500000000001</v>
      </c>
    </row>
    <row r="653" spans="1:12" x14ac:dyDescent="0.3">
      <c r="A653" t="s">
        <v>699</v>
      </c>
      <c r="B653" t="s">
        <v>703</v>
      </c>
      <c r="C653" t="s">
        <v>21</v>
      </c>
      <c r="D653" t="str">
        <f>INT('Client'!$E653/12) &amp; " ans et " &amp; MOD('Client'!$E653,12) &amp; " mois"</f>
        <v>6 ans et 8 mois</v>
      </c>
      <c r="E653">
        <v>80</v>
      </c>
      <c r="F653" t="s">
        <v>19</v>
      </c>
      <c r="G653" s="7">
        <f>Client[[#This Row],[Duree_Cumulee_Panne_Min]]/1440</f>
        <v>4.5138888888888888E-2</v>
      </c>
      <c r="H653">
        <v>65</v>
      </c>
      <c r="I653">
        <v>76.64</v>
      </c>
      <c r="J653">
        <v>3</v>
      </c>
      <c r="K653" s="8">
        <f>IF('Client'!$F653="Pro Monde",10%,IF(AND('Client'!$G653&gt;12,'Client'!$D653&gt;5),70%,IF(AND(OR('Client'!$G653&gt;=4,'Client'!$G653&lt;=12,'Client'!$D653&lt;5,(OR('Client'!$F653="Premium ")))),45%,0%)))</f>
        <v>0.45</v>
      </c>
      <c r="L653" s="4">
        <f>'Client'!$I653* ('Client'!$K653/100)</f>
        <v>0.34488000000000002</v>
      </c>
    </row>
    <row r="654" spans="1:12" x14ac:dyDescent="0.3">
      <c r="A654" t="s">
        <v>699</v>
      </c>
      <c r="B654" t="s">
        <v>704</v>
      </c>
      <c r="C654" t="s">
        <v>33</v>
      </c>
      <c r="D654" t="str">
        <f>INT('Client'!$E654/12) &amp; " ans et " &amp; MOD('Client'!$E654,12) &amp; " mois"</f>
        <v>6 ans et 0 mois</v>
      </c>
      <c r="E654">
        <v>72</v>
      </c>
      <c r="F654" t="s">
        <v>14</v>
      </c>
      <c r="G654" s="7">
        <f>Client[[#This Row],[Duree_Cumulee_Panne_Min]]/1440</f>
        <v>0.22013888888888888</v>
      </c>
      <c r="H654">
        <v>317</v>
      </c>
      <c r="I654">
        <v>54.58</v>
      </c>
      <c r="J654">
        <v>1</v>
      </c>
      <c r="K654" s="8">
        <f>IF('Client'!$F654="Pro Monde",10%,IF(AND('Client'!$G654&gt;12,'Client'!$D654&gt;5),70%,IF(AND(OR('Client'!$G654&gt;=4,'Client'!$G654&lt;=12,'Client'!$D654&lt;5,(OR('Client'!$F654="Premium ")))),45%,0%)))</f>
        <v>0.1</v>
      </c>
      <c r="L654" s="4">
        <f>'Client'!$I654* ('Client'!$K654/100)</f>
        <v>5.4579999999999997E-2</v>
      </c>
    </row>
    <row r="655" spans="1:12" x14ac:dyDescent="0.3">
      <c r="A655" t="s">
        <v>699</v>
      </c>
      <c r="B655" t="s">
        <v>705</v>
      </c>
      <c r="C655" t="s">
        <v>18</v>
      </c>
      <c r="D655" t="str">
        <f>INT('Client'!$E655/12) &amp; " ans et " &amp; MOD('Client'!$E655,12) &amp; " mois"</f>
        <v>7 ans et 2 mois</v>
      </c>
      <c r="E655">
        <v>86</v>
      </c>
      <c r="F655" t="s">
        <v>11</v>
      </c>
      <c r="G655" s="7">
        <f>Client[[#This Row],[Duree_Cumulee_Panne_Min]]/1440</f>
        <v>0.19305555555555556</v>
      </c>
      <c r="H655">
        <v>278</v>
      </c>
      <c r="I655">
        <v>30.12</v>
      </c>
      <c r="J655">
        <v>0</v>
      </c>
      <c r="K655" s="8">
        <f>IF('Client'!$F655="Pro Monde",10%,IF(AND('Client'!$G655&gt;12,'Client'!$D655&gt;5),70%,IF(AND(OR('Client'!$G655&gt;=4,'Client'!$G655&lt;=12,'Client'!$D655&lt;5,(OR('Client'!$F655="Premium ")))),45%,0%)))</f>
        <v>0.45</v>
      </c>
      <c r="L655" s="4">
        <f>'Client'!$I655* ('Client'!$K655/100)</f>
        <v>0.13554000000000002</v>
      </c>
    </row>
    <row r="656" spans="1:12" x14ac:dyDescent="0.3">
      <c r="A656" t="s">
        <v>699</v>
      </c>
      <c r="B656" t="s">
        <v>706</v>
      </c>
      <c r="C656" t="s">
        <v>40</v>
      </c>
      <c r="D656" t="str">
        <f>INT('Client'!$E656/12) &amp; " ans et " &amp; MOD('Client'!$E656,12) &amp; " mois"</f>
        <v>1 ans et 9 mois</v>
      </c>
      <c r="E656">
        <v>21</v>
      </c>
      <c r="F656" t="s">
        <v>22</v>
      </c>
      <c r="G656" s="7">
        <f>Client[[#This Row],[Duree_Cumulee_Panne_Min]]/1440</f>
        <v>0.31944444444444442</v>
      </c>
      <c r="H656">
        <v>460</v>
      </c>
      <c r="I656">
        <v>70.81</v>
      </c>
      <c r="J656">
        <v>2</v>
      </c>
      <c r="K656" s="8">
        <f>IF('Client'!$F656="Pro Monde",10%,IF(AND('Client'!$G656&gt;12,'Client'!$D656&gt;5),70%,IF(AND(OR('Client'!$G656&gt;=4,'Client'!$G656&lt;=12,'Client'!$D656&lt;5,(OR('Client'!$F656="Premium ")))),45%,0%)))</f>
        <v>0.45</v>
      </c>
      <c r="L656" s="4">
        <f>'Client'!$I656* ('Client'!$K656/100)</f>
        <v>0.31864500000000007</v>
      </c>
    </row>
    <row r="657" spans="1:12" x14ac:dyDescent="0.3">
      <c r="A657" t="s">
        <v>699</v>
      </c>
      <c r="B657" t="s">
        <v>707</v>
      </c>
      <c r="C657" t="s">
        <v>33</v>
      </c>
      <c r="D657" t="str">
        <f>INT('Client'!$E657/12) &amp; " ans et " &amp; MOD('Client'!$E657,12) &amp; " mois"</f>
        <v>3 ans et 3 mois</v>
      </c>
      <c r="E657">
        <v>39</v>
      </c>
      <c r="F657" t="s">
        <v>14</v>
      </c>
      <c r="G657" s="7">
        <f>Client[[#This Row],[Duree_Cumulee_Panne_Min]]/1440</f>
        <v>0.20069444444444445</v>
      </c>
      <c r="H657">
        <v>289</v>
      </c>
      <c r="I657">
        <v>86.7</v>
      </c>
      <c r="J657">
        <v>3</v>
      </c>
      <c r="K657" s="8">
        <f>IF('Client'!$F657="Pro Monde",10%,IF(AND('Client'!$G657&gt;12,'Client'!$D657&gt;5),70%,IF(AND(OR('Client'!$G657&gt;=4,'Client'!$G657&lt;=12,'Client'!$D657&lt;5,(OR('Client'!$F657="Premium ")))),45%,0%)))</f>
        <v>0.1</v>
      </c>
      <c r="L657" s="4">
        <f>'Client'!$I657* ('Client'!$K657/100)</f>
        <v>8.6699999999999999E-2</v>
      </c>
    </row>
    <row r="658" spans="1:12" x14ac:dyDescent="0.3">
      <c r="A658" t="s">
        <v>699</v>
      </c>
      <c r="B658" t="s">
        <v>708</v>
      </c>
      <c r="C658" t="s">
        <v>131</v>
      </c>
      <c r="D658" t="str">
        <f>INT('Client'!$E658/12) &amp; " ans et " &amp; MOD('Client'!$E658,12) &amp; " mois"</f>
        <v>5 ans et 3 mois</v>
      </c>
      <c r="E658">
        <v>63</v>
      </c>
      <c r="F658" t="s">
        <v>14</v>
      </c>
      <c r="G658" s="7">
        <f>Client[[#This Row],[Duree_Cumulee_Panne_Min]]/1440</f>
        <v>0.31180555555555556</v>
      </c>
      <c r="H658">
        <v>449</v>
      </c>
      <c r="I658">
        <v>37.08</v>
      </c>
      <c r="J658">
        <v>0</v>
      </c>
      <c r="K658" s="8">
        <f>IF('Client'!$F658="Pro Monde",10%,IF(AND('Client'!$G658&gt;12,'Client'!$D658&gt;5),70%,IF(AND(OR('Client'!$G658&gt;=4,'Client'!$G658&lt;=12,'Client'!$D658&lt;5,(OR('Client'!$F658="Premium ")))),45%,0%)))</f>
        <v>0.1</v>
      </c>
      <c r="L658" s="4">
        <f>'Client'!$I658* ('Client'!$K658/100)</f>
        <v>3.7080000000000002E-2</v>
      </c>
    </row>
    <row r="659" spans="1:12" x14ac:dyDescent="0.3">
      <c r="A659" t="s">
        <v>699</v>
      </c>
      <c r="B659" t="s">
        <v>709</v>
      </c>
      <c r="C659" t="s">
        <v>16</v>
      </c>
      <c r="D659" t="str">
        <f>INT('Client'!$E659/12) &amp; " ans et " &amp; MOD('Client'!$E659,12) &amp; " mois"</f>
        <v>3 ans et 1 mois</v>
      </c>
      <c r="E659">
        <v>37</v>
      </c>
      <c r="F659" t="s">
        <v>14</v>
      </c>
      <c r="G659" s="7">
        <f>Client[[#This Row],[Duree_Cumulee_Panne_Min]]/1440</f>
        <v>0.10416666666666667</v>
      </c>
      <c r="H659">
        <v>150</v>
      </c>
      <c r="I659">
        <v>37.979999999999997</v>
      </c>
      <c r="J659">
        <v>4</v>
      </c>
      <c r="K659" s="8">
        <f>IF('Client'!$F659="Pro Monde",10%,IF(AND('Client'!$G659&gt;12,'Client'!$D659&gt;5),70%,IF(AND(OR('Client'!$G659&gt;=4,'Client'!$G659&lt;=12,'Client'!$D659&lt;5,(OR('Client'!$F659="Premium ")))),45%,0%)))</f>
        <v>0.1</v>
      </c>
      <c r="L659" s="4">
        <f>'Client'!$I659* ('Client'!$K659/100)</f>
        <v>3.798E-2</v>
      </c>
    </row>
    <row r="660" spans="1:12" x14ac:dyDescent="0.3">
      <c r="A660" t="s">
        <v>699</v>
      </c>
      <c r="B660" t="s">
        <v>710</v>
      </c>
      <c r="C660" t="s">
        <v>51</v>
      </c>
      <c r="D660" t="str">
        <f>INT('Client'!$E660/12) &amp; " ans et " &amp; MOD('Client'!$E660,12) &amp; " mois"</f>
        <v>0 ans et 9 mois</v>
      </c>
      <c r="E660">
        <v>9</v>
      </c>
      <c r="F660" t="s">
        <v>19</v>
      </c>
      <c r="G660" s="7">
        <f>Client[[#This Row],[Duree_Cumulee_Panne_Min]]/1440</f>
        <v>1.8749999999999999E-2</v>
      </c>
      <c r="H660">
        <v>27</v>
      </c>
      <c r="I660">
        <v>99.02</v>
      </c>
      <c r="J660">
        <v>3</v>
      </c>
      <c r="K660" s="8">
        <f>IF('Client'!$F660="Pro Monde",10%,IF(AND('Client'!$G660&gt;12,'Client'!$D660&gt;5),70%,IF(AND(OR('Client'!$G660&gt;=4,'Client'!$G660&lt;=12,'Client'!$D660&lt;5,(OR('Client'!$F660="Premium ")))),45%,0%)))</f>
        <v>0.45</v>
      </c>
      <c r="L660" s="4">
        <f>'Client'!$I660* ('Client'!$K660/100)</f>
        <v>0.44559000000000004</v>
      </c>
    </row>
    <row r="661" spans="1:12" x14ac:dyDescent="0.3">
      <c r="A661" t="s">
        <v>699</v>
      </c>
      <c r="B661" t="s">
        <v>711</v>
      </c>
      <c r="C661" t="s">
        <v>67</v>
      </c>
      <c r="D661" t="str">
        <f>INT('Client'!$E661/12) &amp; " ans et " &amp; MOD('Client'!$E661,12) &amp; " mois"</f>
        <v>8 ans et 7 mois</v>
      </c>
      <c r="E661">
        <v>103</v>
      </c>
      <c r="F661" t="s">
        <v>11</v>
      </c>
      <c r="G661" s="7">
        <f>Client[[#This Row],[Duree_Cumulee_Panne_Min]]/1440</f>
        <v>0.26805555555555555</v>
      </c>
      <c r="H661">
        <v>386</v>
      </c>
      <c r="I661">
        <v>10.58</v>
      </c>
      <c r="J661">
        <v>0</v>
      </c>
      <c r="K661" s="8">
        <f>IF('Client'!$F661="Pro Monde",10%,IF(AND('Client'!$G661&gt;12,'Client'!$D661&gt;5),70%,IF(AND(OR('Client'!$G661&gt;=4,'Client'!$G661&lt;=12,'Client'!$D661&lt;5,(OR('Client'!$F661="Premium ")))),45%,0%)))</f>
        <v>0.45</v>
      </c>
      <c r="L661" s="4">
        <f>'Client'!$I661* ('Client'!$K661/100)</f>
        <v>4.7610000000000006E-2</v>
      </c>
    </row>
    <row r="662" spans="1:12" x14ac:dyDescent="0.3">
      <c r="A662" t="s">
        <v>699</v>
      </c>
      <c r="B662" t="s">
        <v>712</v>
      </c>
      <c r="C662" t="s">
        <v>16</v>
      </c>
      <c r="D662" t="str">
        <f>INT('Client'!$E662/12) &amp; " ans et " &amp; MOD('Client'!$E662,12) &amp; " mois"</f>
        <v>3 ans et 2 mois</v>
      </c>
      <c r="E662">
        <v>38</v>
      </c>
      <c r="F662" t="s">
        <v>11</v>
      </c>
      <c r="G662" s="7">
        <f>Client[[#This Row],[Duree_Cumulee_Panne_Min]]/1440</f>
        <v>0.3</v>
      </c>
      <c r="H662">
        <v>432</v>
      </c>
      <c r="I662">
        <v>53.65</v>
      </c>
      <c r="J662">
        <v>4</v>
      </c>
      <c r="K662" s="8">
        <f>IF('Client'!$F662="Pro Monde",10%,IF(AND('Client'!$G662&gt;12,'Client'!$D662&gt;5),70%,IF(AND(OR('Client'!$G662&gt;=4,'Client'!$G662&lt;=12,'Client'!$D662&lt;5,(OR('Client'!$F662="Premium ")))),45%,0%)))</f>
        <v>0.45</v>
      </c>
      <c r="L662" s="4">
        <f>'Client'!$I662* ('Client'!$K662/100)</f>
        <v>0.24142500000000003</v>
      </c>
    </row>
    <row r="663" spans="1:12" x14ac:dyDescent="0.3">
      <c r="A663" t="s">
        <v>699</v>
      </c>
      <c r="B663" t="s">
        <v>713</v>
      </c>
      <c r="C663" t="s">
        <v>13</v>
      </c>
      <c r="D663" t="str">
        <f>INT('Client'!$E663/12) &amp; " ans et " &amp; MOD('Client'!$E663,12) &amp; " mois"</f>
        <v>0 ans et 2 mois</v>
      </c>
      <c r="E663">
        <v>2</v>
      </c>
      <c r="F663" t="s">
        <v>11</v>
      </c>
      <c r="G663" s="7">
        <f>Client[[#This Row],[Duree_Cumulee_Panne_Min]]/1440</f>
        <v>0.13958333333333334</v>
      </c>
      <c r="H663">
        <v>201</v>
      </c>
      <c r="I663">
        <v>71.900000000000006</v>
      </c>
      <c r="J663">
        <v>2</v>
      </c>
      <c r="K663" s="8">
        <f>IF('Client'!$F663="Pro Monde",10%,IF(AND('Client'!$G663&gt;12,'Client'!$D663&gt;5),70%,IF(AND(OR('Client'!$G663&gt;=4,'Client'!$G663&lt;=12,'Client'!$D663&lt;5,(OR('Client'!$F663="Premium ")))),45%,0%)))</f>
        <v>0.45</v>
      </c>
      <c r="L663" s="4">
        <f>'Client'!$I663* ('Client'!$K663/100)</f>
        <v>0.32355000000000006</v>
      </c>
    </row>
    <row r="664" spans="1:12" x14ac:dyDescent="0.3">
      <c r="A664" t="s">
        <v>699</v>
      </c>
      <c r="B664" t="s">
        <v>714</v>
      </c>
      <c r="C664" t="s">
        <v>60</v>
      </c>
      <c r="D664" t="str">
        <f>INT('Client'!$E664/12) &amp; " ans et " &amp; MOD('Client'!$E664,12) &amp; " mois"</f>
        <v>4 ans et 11 mois</v>
      </c>
      <c r="E664">
        <v>59</v>
      </c>
      <c r="F664" t="s">
        <v>22</v>
      </c>
      <c r="G664" s="7">
        <f>Client[[#This Row],[Duree_Cumulee_Panne_Min]]/1440</f>
        <v>4.4444444444444446E-2</v>
      </c>
      <c r="H664">
        <v>64</v>
      </c>
      <c r="I664">
        <v>20.32</v>
      </c>
      <c r="J664">
        <v>0</v>
      </c>
      <c r="K664" s="8">
        <f>IF('Client'!$F664="Pro Monde",10%,IF(AND('Client'!$G664&gt;12,'Client'!$D664&gt;5),70%,IF(AND(OR('Client'!$G664&gt;=4,'Client'!$G664&lt;=12,'Client'!$D664&lt;5,(OR('Client'!$F664="Premium ")))),45%,0%)))</f>
        <v>0.45</v>
      </c>
      <c r="L664" s="4">
        <f>'Client'!$I664* ('Client'!$K664/100)</f>
        <v>9.1440000000000007E-2</v>
      </c>
    </row>
    <row r="665" spans="1:12" x14ac:dyDescent="0.3">
      <c r="A665" t="s">
        <v>699</v>
      </c>
      <c r="B665" t="s">
        <v>715</v>
      </c>
      <c r="C665" t="s">
        <v>127</v>
      </c>
      <c r="D665" t="str">
        <f>INT('Client'!$E665/12) &amp; " ans et " &amp; MOD('Client'!$E665,12) &amp; " mois"</f>
        <v>0 ans et 6 mois</v>
      </c>
      <c r="E665">
        <v>6</v>
      </c>
      <c r="F665" t="s">
        <v>14</v>
      </c>
      <c r="G665" s="7">
        <f>Client[[#This Row],[Duree_Cumulee_Panne_Min]]/1440</f>
        <v>0.14305555555555555</v>
      </c>
      <c r="H665">
        <v>206</v>
      </c>
      <c r="I665">
        <v>10</v>
      </c>
      <c r="J665">
        <v>5</v>
      </c>
      <c r="K665" s="8">
        <f>IF('Client'!$F665="Pro Monde",10%,IF(AND('Client'!$G665&gt;12,'Client'!$D665&gt;5),70%,IF(AND(OR('Client'!$G665&gt;=4,'Client'!$G665&lt;=12,'Client'!$D665&lt;5,(OR('Client'!$F665="Premium ")))),45%,0%)))</f>
        <v>0.1</v>
      </c>
      <c r="L665" s="4">
        <f>'Client'!$I665* ('Client'!$K665/100)</f>
        <v>0.01</v>
      </c>
    </row>
    <row r="666" spans="1:12" x14ac:dyDescent="0.3">
      <c r="A666" t="s">
        <v>699</v>
      </c>
      <c r="B666" t="s">
        <v>716</v>
      </c>
      <c r="C666" t="s">
        <v>73</v>
      </c>
      <c r="D666" t="str">
        <f>INT('Client'!$E666/12) &amp; " ans et " &amp; MOD('Client'!$E666,12) &amp; " mois"</f>
        <v>2 ans et 4 mois</v>
      </c>
      <c r="E666">
        <v>28</v>
      </c>
      <c r="F666" t="s">
        <v>11</v>
      </c>
      <c r="G666" s="7">
        <f>Client[[#This Row],[Duree_Cumulee_Panne_Min]]/1440</f>
        <v>0.23819444444444443</v>
      </c>
      <c r="H666">
        <v>343</v>
      </c>
      <c r="I666">
        <v>64.34</v>
      </c>
      <c r="J666">
        <v>5</v>
      </c>
      <c r="K666" s="8">
        <f>IF('Client'!$F666="Pro Monde",10%,IF(AND('Client'!$G666&gt;12,'Client'!$D666&gt;5),70%,IF(AND(OR('Client'!$G666&gt;=4,'Client'!$G666&lt;=12,'Client'!$D666&lt;5,(OR('Client'!$F666="Premium ")))),45%,0%)))</f>
        <v>0.45</v>
      </c>
      <c r="L666" s="4">
        <f>'Client'!$I666* ('Client'!$K666/100)</f>
        <v>0.28953000000000007</v>
      </c>
    </row>
    <row r="667" spans="1:12" x14ac:dyDescent="0.3">
      <c r="A667" t="s">
        <v>699</v>
      </c>
      <c r="B667" t="s">
        <v>717</v>
      </c>
      <c r="C667" t="s">
        <v>29</v>
      </c>
      <c r="D667" t="str">
        <f>INT('Client'!$E667/12) &amp; " ans et " &amp; MOD('Client'!$E667,12) &amp; " mois"</f>
        <v>3 ans et 1 mois</v>
      </c>
      <c r="E667">
        <v>37</v>
      </c>
      <c r="F667" t="s">
        <v>22</v>
      </c>
      <c r="G667" s="7">
        <f>Client[[#This Row],[Duree_Cumulee_Panne_Min]]/1440</f>
        <v>2.0833333333333333E-3</v>
      </c>
      <c r="H667">
        <v>3</v>
      </c>
      <c r="I667">
        <v>20.89</v>
      </c>
      <c r="J667">
        <v>5</v>
      </c>
      <c r="K667" s="8">
        <f>IF('Client'!$F667="Pro Monde",10%,IF(AND('Client'!$G667&gt;12,'Client'!$D667&gt;5),70%,IF(AND(OR('Client'!$G667&gt;=4,'Client'!$G667&lt;=12,'Client'!$D667&lt;5,(OR('Client'!$F667="Premium ")))),45%,0%)))</f>
        <v>0.45</v>
      </c>
      <c r="L667" s="4">
        <f>'Client'!$I667* ('Client'!$K667/100)</f>
        <v>9.4005000000000019E-2</v>
      </c>
    </row>
    <row r="668" spans="1:12" x14ac:dyDescent="0.3">
      <c r="A668" t="s">
        <v>699</v>
      </c>
      <c r="B668" t="s">
        <v>718</v>
      </c>
      <c r="C668" t="s">
        <v>67</v>
      </c>
      <c r="D668" t="str">
        <f>INT('Client'!$E668/12) &amp; " ans et " &amp; MOD('Client'!$E668,12) &amp; " mois"</f>
        <v>8 ans et 10 mois</v>
      </c>
      <c r="E668">
        <v>106</v>
      </c>
      <c r="F668" t="s">
        <v>22</v>
      </c>
      <c r="G668" s="7">
        <f>Client[[#This Row],[Duree_Cumulee_Panne_Min]]/1440</f>
        <v>0.16388888888888889</v>
      </c>
      <c r="H668">
        <v>236</v>
      </c>
      <c r="I668">
        <v>18.72</v>
      </c>
      <c r="J668">
        <v>4</v>
      </c>
      <c r="K668" s="8">
        <f>IF('Client'!$F668="Pro Monde",10%,IF(AND('Client'!$G668&gt;12,'Client'!$D668&gt;5),70%,IF(AND(OR('Client'!$G668&gt;=4,'Client'!$G668&lt;=12,'Client'!$D668&lt;5,(OR('Client'!$F668="Premium ")))),45%,0%)))</f>
        <v>0.45</v>
      </c>
      <c r="L668" s="4">
        <f>'Client'!$I668* ('Client'!$K668/100)</f>
        <v>8.4240000000000009E-2</v>
      </c>
    </row>
    <row r="669" spans="1:12" x14ac:dyDescent="0.3">
      <c r="A669" t="s">
        <v>699</v>
      </c>
      <c r="B669" t="s">
        <v>719</v>
      </c>
      <c r="C669" t="s">
        <v>13</v>
      </c>
      <c r="D669" t="str">
        <f>INT('Client'!$E669/12) &amp; " ans et " &amp; MOD('Client'!$E669,12) &amp; " mois"</f>
        <v>6 ans et 4 mois</v>
      </c>
      <c r="E669">
        <v>76</v>
      </c>
      <c r="F669" t="s">
        <v>11</v>
      </c>
      <c r="G669" s="7">
        <f>Client[[#This Row],[Duree_Cumulee_Panne_Min]]/1440</f>
        <v>0.28680555555555554</v>
      </c>
      <c r="H669">
        <v>413</v>
      </c>
      <c r="I669">
        <v>28.39</v>
      </c>
      <c r="J669">
        <v>3</v>
      </c>
      <c r="K669" s="8">
        <f>IF('Client'!$F669="Pro Monde",10%,IF(AND('Client'!$G669&gt;12,'Client'!$D669&gt;5),70%,IF(AND(OR('Client'!$G669&gt;=4,'Client'!$G669&lt;=12,'Client'!$D669&lt;5,(OR('Client'!$F669="Premium ")))),45%,0%)))</f>
        <v>0.45</v>
      </c>
      <c r="L669" s="4">
        <f>'Client'!$I669* ('Client'!$K669/100)</f>
        <v>0.12775500000000001</v>
      </c>
    </row>
    <row r="670" spans="1:12" x14ac:dyDescent="0.3">
      <c r="A670" t="s">
        <v>699</v>
      </c>
      <c r="B670" t="s">
        <v>720</v>
      </c>
      <c r="C670" t="s">
        <v>21</v>
      </c>
      <c r="D670" t="str">
        <f>INT('Client'!$E670/12) &amp; " ans et " &amp; MOD('Client'!$E670,12) &amp; " mois"</f>
        <v>1 ans et 4 mois</v>
      </c>
      <c r="E670">
        <v>16</v>
      </c>
      <c r="F670" t="s">
        <v>22</v>
      </c>
      <c r="G670" s="7">
        <f>Client[[#This Row],[Duree_Cumulee_Panne_Min]]/1440</f>
        <v>0.27083333333333331</v>
      </c>
      <c r="H670">
        <v>390</v>
      </c>
      <c r="I670">
        <v>52.64</v>
      </c>
      <c r="J670">
        <v>0</v>
      </c>
      <c r="K670" s="8">
        <f>IF('Client'!$F670="Pro Monde",10%,IF(AND('Client'!$G670&gt;12,'Client'!$D670&gt;5),70%,IF(AND(OR('Client'!$G670&gt;=4,'Client'!$G670&lt;=12,'Client'!$D670&lt;5,(OR('Client'!$F670="Premium ")))),45%,0%)))</f>
        <v>0.45</v>
      </c>
      <c r="L670" s="4">
        <f>'Client'!$I670* ('Client'!$K670/100)</f>
        <v>0.23688000000000003</v>
      </c>
    </row>
    <row r="671" spans="1:12" x14ac:dyDescent="0.3">
      <c r="A671" t="s">
        <v>699</v>
      </c>
      <c r="B671" t="s">
        <v>721</v>
      </c>
      <c r="C671" t="s">
        <v>78</v>
      </c>
      <c r="D671" t="str">
        <f>INT('Client'!$E671/12) &amp; " ans et " &amp; MOD('Client'!$E671,12) &amp; " mois"</f>
        <v>0 ans et 7 mois</v>
      </c>
      <c r="E671">
        <v>7</v>
      </c>
      <c r="F671" t="s">
        <v>14</v>
      </c>
      <c r="G671" s="7">
        <f>Client[[#This Row],[Duree_Cumulee_Panne_Min]]/1440</f>
        <v>0.31041666666666667</v>
      </c>
      <c r="H671">
        <v>447</v>
      </c>
      <c r="I671">
        <v>84.95</v>
      </c>
      <c r="J671">
        <v>2</v>
      </c>
      <c r="K671" s="8">
        <f>IF('Client'!$F671="Pro Monde",10%,IF(AND('Client'!$G671&gt;12,'Client'!$D671&gt;5),70%,IF(AND(OR('Client'!$G671&gt;=4,'Client'!$G671&lt;=12,'Client'!$D671&lt;5,(OR('Client'!$F671="Premium ")))),45%,0%)))</f>
        <v>0.1</v>
      </c>
      <c r="L671" s="4">
        <f>'Client'!$I671* ('Client'!$K671/100)</f>
        <v>8.4949999999999998E-2</v>
      </c>
    </row>
    <row r="672" spans="1:12" x14ac:dyDescent="0.3">
      <c r="A672" t="s">
        <v>699</v>
      </c>
      <c r="B672" t="s">
        <v>722</v>
      </c>
      <c r="C672" t="s">
        <v>131</v>
      </c>
      <c r="D672" t="str">
        <f>INT('Client'!$E672/12) &amp; " ans et " &amp; MOD('Client'!$E672,12) &amp; " mois"</f>
        <v>5 ans et 3 mois</v>
      </c>
      <c r="E672">
        <v>63</v>
      </c>
      <c r="F672" t="s">
        <v>22</v>
      </c>
      <c r="G672" s="7">
        <f>Client[[#This Row],[Duree_Cumulee_Panne_Min]]/1440</f>
        <v>0.18402777777777779</v>
      </c>
      <c r="H672">
        <v>265</v>
      </c>
      <c r="I672">
        <v>49.94</v>
      </c>
      <c r="J672">
        <v>1</v>
      </c>
      <c r="K672" s="8">
        <f>IF('Client'!$F672="Pro Monde",10%,IF(AND('Client'!$G672&gt;12,'Client'!$D672&gt;5),70%,IF(AND(OR('Client'!$G672&gt;=4,'Client'!$G672&lt;=12,'Client'!$D672&lt;5,(OR('Client'!$F672="Premium ")))),45%,0%)))</f>
        <v>0.45</v>
      </c>
      <c r="L672" s="4">
        <f>'Client'!$I672* ('Client'!$K672/100)</f>
        <v>0.22473000000000001</v>
      </c>
    </row>
    <row r="673" spans="1:12" x14ac:dyDescent="0.3">
      <c r="A673" t="s">
        <v>699</v>
      </c>
      <c r="B673" t="s">
        <v>723</v>
      </c>
      <c r="C673" t="s">
        <v>89</v>
      </c>
      <c r="D673" t="str">
        <f>INT('Client'!$E673/12) &amp; " ans et " &amp; MOD('Client'!$E673,12) &amp; " mois"</f>
        <v>3 ans et 4 mois</v>
      </c>
      <c r="E673">
        <v>40</v>
      </c>
      <c r="F673" t="s">
        <v>11</v>
      </c>
      <c r="G673" s="7">
        <f>Client[[#This Row],[Duree_Cumulee_Panne_Min]]/1440</f>
        <v>0.16319444444444445</v>
      </c>
      <c r="H673">
        <v>235</v>
      </c>
      <c r="I673">
        <v>15.01</v>
      </c>
      <c r="J673">
        <v>3</v>
      </c>
      <c r="K673" s="8">
        <f>IF('Client'!$F673="Pro Monde",10%,IF(AND('Client'!$G673&gt;12,'Client'!$D673&gt;5),70%,IF(AND(OR('Client'!$G673&gt;=4,'Client'!$G673&lt;=12,'Client'!$D673&lt;5,(OR('Client'!$F673="Premium ")))),45%,0%)))</f>
        <v>0.45</v>
      </c>
      <c r="L673" s="4">
        <f>'Client'!$I673* ('Client'!$K673/100)</f>
        <v>6.7545000000000008E-2</v>
      </c>
    </row>
    <row r="674" spans="1:12" x14ac:dyDescent="0.3">
      <c r="A674" t="s">
        <v>699</v>
      </c>
      <c r="B674" t="s">
        <v>724</v>
      </c>
      <c r="C674" t="s">
        <v>10</v>
      </c>
      <c r="D674" t="str">
        <f>INT('Client'!$E674/12) &amp; " ans et " &amp; MOD('Client'!$E674,12) &amp; " mois"</f>
        <v>0 ans et 1 mois</v>
      </c>
      <c r="E674">
        <v>1</v>
      </c>
      <c r="F674" t="s">
        <v>11</v>
      </c>
      <c r="G674" s="7">
        <f>Client[[#This Row],[Duree_Cumulee_Panne_Min]]/1440</f>
        <v>0.29791666666666666</v>
      </c>
      <c r="H674">
        <v>429</v>
      </c>
      <c r="I674">
        <v>20.96</v>
      </c>
      <c r="J674">
        <v>5</v>
      </c>
      <c r="K674" s="8">
        <f>IF('Client'!$F674="Pro Monde",10%,IF(AND('Client'!$G674&gt;12,'Client'!$D674&gt;5),70%,IF(AND(OR('Client'!$G674&gt;=4,'Client'!$G674&lt;=12,'Client'!$D674&lt;5,(OR('Client'!$F674="Premium ")))),45%,0%)))</f>
        <v>0.45</v>
      </c>
      <c r="L674" s="4">
        <f>'Client'!$I674* ('Client'!$K674/100)</f>
        <v>9.4320000000000015E-2</v>
      </c>
    </row>
    <row r="675" spans="1:12" x14ac:dyDescent="0.3">
      <c r="A675" t="s">
        <v>699</v>
      </c>
      <c r="B675" t="s">
        <v>725</v>
      </c>
      <c r="C675" t="s">
        <v>67</v>
      </c>
      <c r="D675" t="str">
        <f>INT('Client'!$E675/12) &amp; " ans et " &amp; MOD('Client'!$E675,12) &amp; " mois"</f>
        <v>4 ans et 8 mois</v>
      </c>
      <c r="E675">
        <v>56</v>
      </c>
      <c r="F675" t="s">
        <v>19</v>
      </c>
      <c r="G675" s="7">
        <f>Client[[#This Row],[Duree_Cumulee_Panne_Min]]/1440</f>
        <v>1.8749999999999999E-2</v>
      </c>
      <c r="H675">
        <v>27</v>
      </c>
      <c r="I675">
        <v>46.41</v>
      </c>
      <c r="J675">
        <v>3</v>
      </c>
      <c r="K675" s="8">
        <f>IF('Client'!$F675="Pro Monde",10%,IF(AND('Client'!$G675&gt;12,'Client'!$D675&gt;5),70%,IF(AND(OR('Client'!$G675&gt;=4,'Client'!$G675&lt;=12,'Client'!$D675&lt;5,(OR('Client'!$F675="Premium ")))),45%,0%)))</f>
        <v>0.45</v>
      </c>
      <c r="L675" s="4">
        <f>'Client'!$I675* ('Client'!$K675/100)</f>
        <v>0.208845</v>
      </c>
    </row>
    <row r="676" spans="1:12" x14ac:dyDescent="0.3">
      <c r="A676" t="s">
        <v>699</v>
      </c>
      <c r="B676" t="s">
        <v>726</v>
      </c>
      <c r="C676" t="s">
        <v>35</v>
      </c>
      <c r="D676" t="str">
        <f>INT('Client'!$E676/12) &amp; " ans et " &amp; MOD('Client'!$E676,12) &amp; " mois"</f>
        <v>3 ans et 10 mois</v>
      </c>
      <c r="E676">
        <v>46</v>
      </c>
      <c r="F676" t="s">
        <v>11</v>
      </c>
      <c r="G676" s="7">
        <f>Client[[#This Row],[Duree_Cumulee_Panne_Min]]/1440</f>
        <v>2.9861111111111113E-2</v>
      </c>
      <c r="H676">
        <v>43</v>
      </c>
      <c r="I676">
        <v>98.44</v>
      </c>
      <c r="J676">
        <v>2</v>
      </c>
      <c r="K676" s="8">
        <f>IF('Client'!$F676="Pro Monde",10%,IF(AND('Client'!$G676&gt;12,'Client'!$D676&gt;5),70%,IF(AND(OR('Client'!$G676&gt;=4,'Client'!$G676&lt;=12,'Client'!$D676&lt;5,(OR('Client'!$F676="Premium ")))),45%,0%)))</f>
        <v>0.45</v>
      </c>
      <c r="L676" s="4">
        <f>'Client'!$I676* ('Client'!$K676/100)</f>
        <v>0.44298000000000004</v>
      </c>
    </row>
    <row r="677" spans="1:12" x14ac:dyDescent="0.3">
      <c r="A677" t="s">
        <v>699</v>
      </c>
      <c r="B677" t="s">
        <v>727</v>
      </c>
      <c r="C677" t="s">
        <v>33</v>
      </c>
      <c r="D677" t="str">
        <f>INT('Client'!$E677/12) &amp; " ans et " &amp; MOD('Client'!$E677,12) &amp; " mois"</f>
        <v>7 ans et 1 mois</v>
      </c>
      <c r="E677">
        <v>85</v>
      </c>
      <c r="F677" t="s">
        <v>14</v>
      </c>
      <c r="G677" s="7">
        <f>Client[[#This Row],[Duree_Cumulee_Panne_Min]]/1440</f>
        <v>1.9444444444444445E-2</v>
      </c>
      <c r="H677">
        <v>28</v>
      </c>
      <c r="I677">
        <v>83.82</v>
      </c>
      <c r="J677">
        <v>0</v>
      </c>
      <c r="K677" s="8">
        <f>IF('Client'!$F677="Pro Monde",10%,IF(AND('Client'!$G677&gt;12,'Client'!$D677&gt;5),70%,IF(AND(OR('Client'!$G677&gt;=4,'Client'!$G677&lt;=12,'Client'!$D677&lt;5,(OR('Client'!$F677="Premium ")))),45%,0%)))</f>
        <v>0.1</v>
      </c>
      <c r="L677" s="4">
        <f>'Client'!$I677* ('Client'!$K677/100)</f>
        <v>8.3819999999999992E-2</v>
      </c>
    </row>
    <row r="678" spans="1:12" x14ac:dyDescent="0.3">
      <c r="A678" t="s">
        <v>699</v>
      </c>
      <c r="B678" t="s">
        <v>728</v>
      </c>
      <c r="C678" t="s">
        <v>62</v>
      </c>
      <c r="D678" t="str">
        <f>INT('Client'!$E678/12) &amp; " ans et " &amp; MOD('Client'!$E678,12) &amp; " mois"</f>
        <v>8 ans et 11 mois</v>
      </c>
      <c r="E678">
        <v>107</v>
      </c>
      <c r="F678" t="s">
        <v>22</v>
      </c>
      <c r="G678" s="7">
        <f>Client[[#This Row],[Duree_Cumulee_Panne_Min]]/1440</f>
        <v>9.583333333333334E-2</v>
      </c>
      <c r="H678">
        <v>138</v>
      </c>
      <c r="I678">
        <v>85.75</v>
      </c>
      <c r="J678">
        <v>1</v>
      </c>
      <c r="K678" s="8">
        <f>IF('Client'!$F678="Pro Monde",10%,IF(AND('Client'!$G678&gt;12,'Client'!$D678&gt;5),70%,IF(AND(OR('Client'!$G678&gt;=4,'Client'!$G678&lt;=12,'Client'!$D678&lt;5,(OR('Client'!$F678="Premium ")))),45%,0%)))</f>
        <v>0.45</v>
      </c>
      <c r="L678" s="4">
        <f>'Client'!$I678* ('Client'!$K678/100)</f>
        <v>0.38587500000000002</v>
      </c>
    </row>
    <row r="679" spans="1:12" x14ac:dyDescent="0.3">
      <c r="A679" t="s">
        <v>699</v>
      </c>
      <c r="B679" t="s">
        <v>729</v>
      </c>
      <c r="C679" t="s">
        <v>89</v>
      </c>
      <c r="D679" t="str">
        <f>INT('Client'!$E679/12) &amp; " ans et " &amp; MOD('Client'!$E679,12) &amp; " mois"</f>
        <v>0 ans et 1 mois</v>
      </c>
      <c r="E679">
        <v>1</v>
      </c>
      <c r="F679" t="s">
        <v>14</v>
      </c>
      <c r="G679" s="7">
        <f>Client[[#This Row],[Duree_Cumulee_Panne_Min]]/1440</f>
        <v>0.29444444444444445</v>
      </c>
      <c r="H679">
        <v>424</v>
      </c>
      <c r="I679">
        <v>59.2</v>
      </c>
      <c r="J679">
        <v>2</v>
      </c>
      <c r="K679" s="8">
        <f>IF('Client'!$F679="Pro Monde",10%,IF(AND('Client'!$G679&gt;12,'Client'!$D679&gt;5),70%,IF(AND(OR('Client'!$G679&gt;=4,'Client'!$G679&lt;=12,'Client'!$D679&lt;5,(OR('Client'!$F679="Premium ")))),45%,0%)))</f>
        <v>0.1</v>
      </c>
      <c r="L679" s="4">
        <f>'Client'!$I679* ('Client'!$K679/100)</f>
        <v>5.9200000000000003E-2</v>
      </c>
    </row>
    <row r="680" spans="1:12" x14ac:dyDescent="0.3">
      <c r="A680" t="s">
        <v>699</v>
      </c>
      <c r="B680" t="s">
        <v>730</v>
      </c>
      <c r="C680" t="s">
        <v>73</v>
      </c>
      <c r="D680" t="str">
        <f>INT('Client'!$E680/12) &amp; " ans et " &amp; MOD('Client'!$E680,12) &amp; " mois"</f>
        <v>0 ans et 7 mois</v>
      </c>
      <c r="E680">
        <v>7</v>
      </c>
      <c r="F680" t="s">
        <v>14</v>
      </c>
      <c r="G680" s="7">
        <f>Client[[#This Row],[Duree_Cumulee_Panne_Min]]/1440</f>
        <v>0.23055555555555557</v>
      </c>
      <c r="H680">
        <v>332</v>
      </c>
      <c r="I680">
        <v>83.95</v>
      </c>
      <c r="J680">
        <v>4</v>
      </c>
      <c r="K680" s="8">
        <f>IF('Client'!$F680="Pro Monde",10%,IF(AND('Client'!$G680&gt;12,'Client'!$D680&gt;5),70%,IF(AND(OR('Client'!$G680&gt;=4,'Client'!$G680&lt;=12,'Client'!$D680&lt;5,(OR('Client'!$F680="Premium ")))),45%,0%)))</f>
        <v>0.1</v>
      </c>
      <c r="L680" s="4">
        <f>'Client'!$I680* ('Client'!$K680/100)</f>
        <v>8.3950000000000011E-2</v>
      </c>
    </row>
    <row r="681" spans="1:12" x14ac:dyDescent="0.3">
      <c r="A681" t="s">
        <v>699</v>
      </c>
      <c r="B681" t="s">
        <v>731</v>
      </c>
      <c r="C681" t="s">
        <v>37</v>
      </c>
      <c r="D681" t="str">
        <f>INT('Client'!$E681/12) &amp; " ans et " &amp; MOD('Client'!$E681,12) &amp; " mois"</f>
        <v>2 ans et 9 mois</v>
      </c>
      <c r="E681">
        <v>33</v>
      </c>
      <c r="F681" t="s">
        <v>19</v>
      </c>
      <c r="G681" s="7">
        <f>Client[[#This Row],[Duree_Cumulee_Panne_Min]]/1440</f>
        <v>3.7499999999999999E-2</v>
      </c>
      <c r="H681">
        <v>54</v>
      </c>
      <c r="I681">
        <v>71.319999999999993</v>
      </c>
      <c r="J681">
        <v>4</v>
      </c>
      <c r="K681" s="8">
        <f>IF('Client'!$F681="Pro Monde",10%,IF(AND('Client'!$G681&gt;12,'Client'!$D681&gt;5),70%,IF(AND(OR('Client'!$G681&gt;=4,'Client'!$G681&lt;=12,'Client'!$D681&lt;5,(OR('Client'!$F681="Premium ")))),45%,0%)))</f>
        <v>0.45</v>
      </c>
      <c r="L681" s="4">
        <f>'Client'!$I681* ('Client'!$K681/100)</f>
        <v>0.32094</v>
      </c>
    </row>
    <row r="682" spans="1:12" x14ac:dyDescent="0.3">
      <c r="A682" t="s">
        <v>699</v>
      </c>
      <c r="B682" t="s">
        <v>732</v>
      </c>
      <c r="C682" t="s">
        <v>78</v>
      </c>
      <c r="D682" t="str">
        <f>INT('Client'!$E682/12) &amp; " ans et " &amp; MOD('Client'!$E682,12) &amp; " mois"</f>
        <v>1 ans et 6 mois</v>
      </c>
      <c r="E682">
        <v>18</v>
      </c>
      <c r="F682" t="s">
        <v>22</v>
      </c>
      <c r="G682" s="7">
        <f>Client[[#This Row],[Duree_Cumulee_Panne_Min]]/1440</f>
        <v>0.11805555555555555</v>
      </c>
      <c r="H682">
        <v>170</v>
      </c>
      <c r="I682">
        <v>87.34</v>
      </c>
      <c r="J682">
        <v>1</v>
      </c>
      <c r="K682" s="8">
        <f>IF('Client'!$F682="Pro Monde",10%,IF(AND('Client'!$G682&gt;12,'Client'!$D682&gt;5),70%,IF(AND(OR('Client'!$G682&gt;=4,'Client'!$G682&lt;=12,'Client'!$D682&lt;5,(OR('Client'!$F682="Premium ")))),45%,0%)))</f>
        <v>0.45</v>
      </c>
      <c r="L682" s="4">
        <f>'Client'!$I682* ('Client'!$K682/100)</f>
        <v>0.39303000000000005</v>
      </c>
    </row>
    <row r="683" spans="1:12" x14ac:dyDescent="0.3">
      <c r="A683" t="s">
        <v>699</v>
      </c>
      <c r="B683" t="s">
        <v>733</v>
      </c>
      <c r="C683" t="s">
        <v>31</v>
      </c>
      <c r="D683" t="str">
        <f>INT('Client'!$E683/12) &amp; " ans et " &amp; MOD('Client'!$E683,12) &amp; " mois"</f>
        <v>3 ans et 9 mois</v>
      </c>
      <c r="E683">
        <v>45</v>
      </c>
      <c r="F683" t="s">
        <v>14</v>
      </c>
      <c r="G683" s="7">
        <f>Client[[#This Row],[Duree_Cumulee_Panne_Min]]/1440</f>
        <v>0.21111111111111111</v>
      </c>
      <c r="H683">
        <v>304</v>
      </c>
      <c r="I683">
        <v>65.540000000000006</v>
      </c>
      <c r="J683">
        <v>2</v>
      </c>
      <c r="K683" s="8">
        <f>IF('Client'!$F683="Pro Monde",10%,IF(AND('Client'!$G683&gt;12,'Client'!$D683&gt;5),70%,IF(AND(OR('Client'!$G683&gt;=4,'Client'!$G683&lt;=12,'Client'!$D683&lt;5,(OR('Client'!$F683="Premium ")))),45%,0%)))</f>
        <v>0.1</v>
      </c>
      <c r="L683" s="4">
        <f>'Client'!$I683* ('Client'!$K683/100)</f>
        <v>6.5540000000000001E-2</v>
      </c>
    </row>
    <row r="684" spans="1:12" x14ac:dyDescent="0.3">
      <c r="A684" t="s">
        <v>699</v>
      </c>
      <c r="B684" t="s">
        <v>734</v>
      </c>
      <c r="C684" t="s">
        <v>51</v>
      </c>
      <c r="D684" t="str">
        <f>INT('Client'!$E684/12) &amp; " ans et " &amp; MOD('Client'!$E684,12) &amp; " mois"</f>
        <v>9 ans et 5 mois</v>
      </c>
      <c r="E684">
        <v>113</v>
      </c>
      <c r="F684" t="s">
        <v>11</v>
      </c>
      <c r="G684" s="7">
        <f>Client[[#This Row],[Duree_Cumulee_Panne_Min]]/1440</f>
        <v>3.4027777777777775E-2</v>
      </c>
      <c r="H684">
        <v>49</v>
      </c>
      <c r="I684">
        <v>48.91</v>
      </c>
      <c r="J684">
        <v>5</v>
      </c>
      <c r="K684" s="8">
        <f>IF('Client'!$F684="Pro Monde",10%,IF(AND('Client'!$G684&gt;12,'Client'!$D684&gt;5),70%,IF(AND(OR('Client'!$G684&gt;=4,'Client'!$G684&lt;=12,'Client'!$D684&lt;5,(OR('Client'!$F684="Premium ")))),45%,0%)))</f>
        <v>0.45</v>
      </c>
      <c r="L684" s="4">
        <f>'Client'!$I684* ('Client'!$K684/100)</f>
        <v>0.22009500000000001</v>
      </c>
    </row>
    <row r="685" spans="1:12" x14ac:dyDescent="0.3">
      <c r="A685" t="s">
        <v>699</v>
      </c>
      <c r="B685" t="s">
        <v>735</v>
      </c>
      <c r="C685" t="s">
        <v>10</v>
      </c>
      <c r="D685" t="str">
        <f>INT('Client'!$E685/12) &amp; " ans et " &amp; MOD('Client'!$E685,12) &amp; " mois"</f>
        <v>3 ans et 1 mois</v>
      </c>
      <c r="E685">
        <v>37</v>
      </c>
      <c r="F685" t="s">
        <v>11</v>
      </c>
      <c r="G685" s="7">
        <f>Client[[#This Row],[Duree_Cumulee_Panne_Min]]/1440</f>
        <v>0.29166666666666669</v>
      </c>
      <c r="H685">
        <v>420</v>
      </c>
      <c r="I685">
        <v>67.260000000000005</v>
      </c>
      <c r="J685">
        <v>4</v>
      </c>
      <c r="K685" s="8">
        <f>IF('Client'!$F685="Pro Monde",10%,IF(AND('Client'!$G685&gt;12,'Client'!$D685&gt;5),70%,IF(AND(OR('Client'!$G685&gt;=4,'Client'!$G685&lt;=12,'Client'!$D685&lt;5,(OR('Client'!$F685="Premium ")))),45%,0%)))</f>
        <v>0.45</v>
      </c>
      <c r="L685" s="4">
        <f>'Client'!$I685* ('Client'!$K685/100)</f>
        <v>0.30267000000000005</v>
      </c>
    </row>
    <row r="686" spans="1:12" x14ac:dyDescent="0.3">
      <c r="A686" t="s">
        <v>699</v>
      </c>
      <c r="B686" t="s">
        <v>736</v>
      </c>
      <c r="C686" t="s">
        <v>24</v>
      </c>
      <c r="D686" t="str">
        <f>INT('Client'!$E686/12) &amp; " ans et " &amp; MOD('Client'!$E686,12) &amp; " mois"</f>
        <v>8 ans et 5 mois</v>
      </c>
      <c r="E686">
        <v>101</v>
      </c>
      <c r="F686" t="s">
        <v>14</v>
      </c>
      <c r="G686" s="7">
        <f>Client[[#This Row],[Duree_Cumulee_Panne_Min]]/1440</f>
        <v>0.10277777777777777</v>
      </c>
      <c r="H686">
        <v>148</v>
      </c>
      <c r="I686">
        <v>26.63</v>
      </c>
      <c r="J686">
        <v>3</v>
      </c>
      <c r="K686" s="8">
        <f>IF('Client'!$F686="Pro Monde",10%,IF(AND('Client'!$G686&gt;12,'Client'!$D686&gt;5),70%,IF(AND(OR('Client'!$G686&gt;=4,'Client'!$G686&lt;=12,'Client'!$D686&lt;5,(OR('Client'!$F686="Premium ")))),45%,0%)))</f>
        <v>0.1</v>
      </c>
      <c r="L686" s="4">
        <f>'Client'!$I686* ('Client'!$K686/100)</f>
        <v>2.6630000000000001E-2</v>
      </c>
    </row>
    <row r="687" spans="1:12" x14ac:dyDescent="0.3">
      <c r="A687" t="s">
        <v>699</v>
      </c>
      <c r="B687" t="s">
        <v>737</v>
      </c>
      <c r="C687" t="s">
        <v>127</v>
      </c>
      <c r="D687" t="str">
        <f>INT('Client'!$E687/12) &amp; " ans et " &amp; MOD('Client'!$E687,12) &amp; " mois"</f>
        <v>9 ans et 2 mois</v>
      </c>
      <c r="E687">
        <v>110</v>
      </c>
      <c r="F687" t="s">
        <v>11</v>
      </c>
      <c r="G687" s="7">
        <f>Client[[#This Row],[Duree_Cumulee_Panne_Min]]/1440</f>
        <v>0.20069444444444445</v>
      </c>
      <c r="H687">
        <v>289</v>
      </c>
      <c r="I687">
        <v>83.67</v>
      </c>
      <c r="J687">
        <v>4</v>
      </c>
      <c r="K687" s="8">
        <f>IF('Client'!$F687="Pro Monde",10%,IF(AND('Client'!$G687&gt;12,'Client'!$D687&gt;5),70%,IF(AND(OR('Client'!$G687&gt;=4,'Client'!$G687&lt;=12,'Client'!$D687&lt;5,(OR('Client'!$F687="Premium ")))),45%,0%)))</f>
        <v>0.45</v>
      </c>
      <c r="L687" s="4">
        <f>'Client'!$I687* ('Client'!$K687/100)</f>
        <v>0.37651500000000004</v>
      </c>
    </row>
    <row r="688" spans="1:12" x14ac:dyDescent="0.3">
      <c r="A688" t="s">
        <v>699</v>
      </c>
      <c r="B688" t="s">
        <v>738</v>
      </c>
      <c r="C688" t="s">
        <v>89</v>
      </c>
      <c r="D688" t="str">
        <f>INT('Client'!$E688/12) &amp; " ans et " &amp; MOD('Client'!$E688,12) &amp; " mois"</f>
        <v>5 ans et 5 mois</v>
      </c>
      <c r="E688">
        <v>65</v>
      </c>
      <c r="F688" t="s">
        <v>14</v>
      </c>
      <c r="G688" s="7">
        <f>Client[[#This Row],[Duree_Cumulee_Panne_Min]]/1440</f>
        <v>0.17083333333333334</v>
      </c>
      <c r="H688">
        <v>246</v>
      </c>
      <c r="I688">
        <v>69.17</v>
      </c>
      <c r="J688">
        <v>0</v>
      </c>
      <c r="K688" s="8">
        <f>IF('Client'!$F688="Pro Monde",10%,IF(AND('Client'!$G688&gt;12,'Client'!$D688&gt;5),70%,IF(AND(OR('Client'!$G688&gt;=4,'Client'!$G688&lt;=12,'Client'!$D688&lt;5,(OR('Client'!$F688="Premium ")))),45%,0%)))</f>
        <v>0.1</v>
      </c>
      <c r="L688" s="4">
        <f>'Client'!$I688* ('Client'!$K688/100)</f>
        <v>6.9170000000000009E-2</v>
      </c>
    </row>
    <row r="689" spans="1:12" x14ac:dyDescent="0.3">
      <c r="A689" t="s">
        <v>699</v>
      </c>
      <c r="B689" t="s">
        <v>739</v>
      </c>
      <c r="C689" t="s">
        <v>24</v>
      </c>
      <c r="D689" t="str">
        <f>INT('Client'!$E689/12) &amp; " ans et " &amp; MOD('Client'!$E689,12) &amp; " mois"</f>
        <v>7 ans et 2 mois</v>
      </c>
      <c r="E689">
        <v>86</v>
      </c>
      <c r="F689" t="s">
        <v>14</v>
      </c>
      <c r="G689" s="7">
        <f>Client[[#This Row],[Duree_Cumulee_Panne_Min]]/1440</f>
        <v>0.24513888888888888</v>
      </c>
      <c r="H689">
        <v>353</v>
      </c>
      <c r="I689">
        <v>25.37</v>
      </c>
      <c r="J689">
        <v>1</v>
      </c>
      <c r="K689" s="8">
        <f>IF('Client'!$F689="Pro Monde",10%,IF(AND('Client'!$G689&gt;12,'Client'!$D689&gt;5),70%,IF(AND(OR('Client'!$G689&gt;=4,'Client'!$G689&lt;=12,'Client'!$D689&lt;5,(OR('Client'!$F689="Premium ")))),45%,0%)))</f>
        <v>0.1</v>
      </c>
      <c r="L689" s="4">
        <f>'Client'!$I689* ('Client'!$K689/100)</f>
        <v>2.537E-2</v>
      </c>
    </row>
    <row r="690" spans="1:12" x14ac:dyDescent="0.3">
      <c r="A690" t="s">
        <v>699</v>
      </c>
      <c r="B690" t="s">
        <v>740</v>
      </c>
      <c r="C690" t="s">
        <v>24</v>
      </c>
      <c r="D690" t="str">
        <f>INT('Client'!$E690/12) &amp; " ans et " &amp; MOD('Client'!$E690,12) &amp; " mois"</f>
        <v>8 ans et 3 mois</v>
      </c>
      <c r="E690">
        <v>99</v>
      </c>
      <c r="F690" t="s">
        <v>14</v>
      </c>
      <c r="G690" s="7">
        <f>Client[[#This Row],[Duree_Cumulee_Panne_Min]]/1440</f>
        <v>0.11736111111111111</v>
      </c>
      <c r="H690">
        <v>169</v>
      </c>
      <c r="I690">
        <v>76.75</v>
      </c>
      <c r="J690">
        <v>5</v>
      </c>
      <c r="K690" s="8">
        <f>IF('Client'!$F690="Pro Monde",10%,IF(AND('Client'!$G690&gt;12,'Client'!$D690&gt;5),70%,IF(AND(OR('Client'!$G690&gt;=4,'Client'!$G690&lt;=12,'Client'!$D690&lt;5,(OR('Client'!$F690="Premium ")))),45%,0%)))</f>
        <v>0.1</v>
      </c>
      <c r="L690" s="4">
        <f>'Client'!$I690* ('Client'!$K690/100)</f>
        <v>7.6749999999999999E-2</v>
      </c>
    </row>
    <row r="691" spans="1:12" x14ac:dyDescent="0.3">
      <c r="A691" t="s">
        <v>699</v>
      </c>
      <c r="B691" t="s">
        <v>741</v>
      </c>
      <c r="C691" t="s">
        <v>21</v>
      </c>
      <c r="D691" t="str">
        <f>INT('Client'!$E691/12) &amp; " ans et " &amp; MOD('Client'!$E691,12) &amp; " mois"</f>
        <v>6 ans et 0 mois</v>
      </c>
      <c r="E691">
        <v>72</v>
      </c>
      <c r="F691" t="s">
        <v>14</v>
      </c>
      <c r="G691" s="7">
        <f>Client[[#This Row],[Duree_Cumulee_Panne_Min]]/1440</f>
        <v>0.30694444444444446</v>
      </c>
      <c r="H691">
        <v>442</v>
      </c>
      <c r="I691">
        <v>59.2</v>
      </c>
      <c r="J691">
        <v>1</v>
      </c>
      <c r="K691" s="8">
        <f>IF('Client'!$F691="Pro Monde",10%,IF(AND('Client'!$G691&gt;12,'Client'!$D691&gt;5),70%,IF(AND(OR('Client'!$G691&gt;=4,'Client'!$G691&lt;=12,'Client'!$D691&lt;5,(OR('Client'!$F691="Premium ")))),45%,0%)))</f>
        <v>0.1</v>
      </c>
      <c r="L691" s="4">
        <f>'Client'!$I691* ('Client'!$K691/100)</f>
        <v>5.9200000000000003E-2</v>
      </c>
    </row>
    <row r="692" spans="1:12" x14ac:dyDescent="0.3">
      <c r="A692" t="s">
        <v>699</v>
      </c>
      <c r="B692" t="s">
        <v>742</v>
      </c>
      <c r="C692" t="s">
        <v>35</v>
      </c>
      <c r="D692" t="str">
        <f>INT('Client'!$E692/12) &amp; " ans et " &amp; MOD('Client'!$E692,12) &amp; " mois"</f>
        <v>1 ans et 8 mois</v>
      </c>
      <c r="E692">
        <v>20</v>
      </c>
      <c r="F692" t="s">
        <v>14</v>
      </c>
      <c r="G692" s="7">
        <f>Client[[#This Row],[Duree_Cumulee_Panne_Min]]/1440</f>
        <v>2.1527777777777778E-2</v>
      </c>
      <c r="H692">
        <v>31</v>
      </c>
      <c r="I692">
        <v>52.85</v>
      </c>
      <c r="J692">
        <v>2</v>
      </c>
      <c r="K692" s="8">
        <f>IF('Client'!$F692="Pro Monde",10%,IF(AND('Client'!$G692&gt;12,'Client'!$D692&gt;5),70%,IF(AND(OR('Client'!$G692&gt;=4,'Client'!$G692&lt;=12,'Client'!$D692&lt;5,(OR('Client'!$F692="Premium ")))),45%,0%)))</f>
        <v>0.1</v>
      </c>
      <c r="L692" s="4">
        <f>'Client'!$I692* ('Client'!$K692/100)</f>
        <v>5.2850000000000001E-2</v>
      </c>
    </row>
    <row r="693" spans="1:12" x14ac:dyDescent="0.3">
      <c r="A693" t="s">
        <v>699</v>
      </c>
      <c r="B693" t="s">
        <v>743</v>
      </c>
      <c r="C693" t="s">
        <v>51</v>
      </c>
      <c r="D693" t="str">
        <f>INT('Client'!$E693/12) &amp; " ans et " &amp; MOD('Client'!$E693,12) &amp; " mois"</f>
        <v>1 ans et 0 mois</v>
      </c>
      <c r="E693">
        <v>12</v>
      </c>
      <c r="F693" t="s">
        <v>19</v>
      </c>
      <c r="G693" s="7">
        <f>Client[[#This Row],[Duree_Cumulee_Panne_Min]]/1440</f>
        <v>4.3055555555555555E-2</v>
      </c>
      <c r="H693">
        <v>62</v>
      </c>
      <c r="I693">
        <v>36.1</v>
      </c>
      <c r="J693">
        <v>5</v>
      </c>
      <c r="K693" s="8">
        <f>IF('Client'!$F693="Pro Monde",10%,IF(AND('Client'!$G693&gt;12,'Client'!$D693&gt;5),70%,IF(AND(OR('Client'!$G693&gt;=4,'Client'!$G693&lt;=12,'Client'!$D693&lt;5,(OR('Client'!$F693="Premium ")))),45%,0%)))</f>
        <v>0.45</v>
      </c>
      <c r="L693" s="4">
        <f>'Client'!$I693* ('Client'!$K693/100)</f>
        <v>0.16245000000000004</v>
      </c>
    </row>
    <row r="694" spans="1:12" x14ac:dyDescent="0.3">
      <c r="A694" t="s">
        <v>699</v>
      </c>
      <c r="B694" t="s">
        <v>744</v>
      </c>
      <c r="C694" t="s">
        <v>64</v>
      </c>
      <c r="D694" t="str">
        <f>INT('Client'!$E694/12) &amp; " ans et " &amp; MOD('Client'!$E694,12) &amp; " mois"</f>
        <v>7 ans et 8 mois</v>
      </c>
      <c r="E694">
        <v>92</v>
      </c>
      <c r="F694" t="s">
        <v>19</v>
      </c>
      <c r="G694" s="7">
        <f>Client[[#This Row],[Duree_Cumulee_Panne_Min]]/1440</f>
        <v>0.26319444444444445</v>
      </c>
      <c r="H694">
        <v>379</v>
      </c>
      <c r="I694">
        <v>70.08</v>
      </c>
      <c r="J694">
        <v>5</v>
      </c>
      <c r="K694" s="8">
        <f>IF('Client'!$F694="Pro Monde",10%,IF(AND('Client'!$G694&gt;12,'Client'!$D694&gt;5),70%,IF(AND(OR('Client'!$G694&gt;=4,'Client'!$G694&lt;=12,'Client'!$D694&lt;5,(OR('Client'!$F694="Premium ")))),45%,0%)))</f>
        <v>0.45</v>
      </c>
      <c r="L694" s="4">
        <f>'Client'!$I694* ('Client'!$K694/100)</f>
        <v>0.31536000000000003</v>
      </c>
    </row>
    <row r="695" spans="1:12" x14ac:dyDescent="0.3">
      <c r="A695" t="s">
        <v>699</v>
      </c>
      <c r="B695" t="s">
        <v>745</v>
      </c>
      <c r="C695" t="s">
        <v>26</v>
      </c>
      <c r="D695" t="str">
        <f>INT('Client'!$E695/12) &amp; " ans et " &amp; MOD('Client'!$E695,12) &amp; " mois"</f>
        <v>2 ans et 11 mois</v>
      </c>
      <c r="E695">
        <v>35</v>
      </c>
      <c r="F695" t="s">
        <v>14</v>
      </c>
      <c r="G695" s="7">
        <f>Client[[#This Row],[Duree_Cumulee_Panne_Min]]/1440</f>
        <v>0.2076388888888889</v>
      </c>
      <c r="H695">
        <v>299</v>
      </c>
      <c r="I695">
        <v>96.32</v>
      </c>
      <c r="J695">
        <v>4</v>
      </c>
      <c r="K695" s="8">
        <f>IF('Client'!$F695="Pro Monde",10%,IF(AND('Client'!$G695&gt;12,'Client'!$D695&gt;5),70%,IF(AND(OR('Client'!$G695&gt;=4,'Client'!$G695&lt;=12,'Client'!$D695&lt;5,(OR('Client'!$F695="Premium ")))),45%,0%)))</f>
        <v>0.1</v>
      </c>
      <c r="L695" s="4">
        <f>'Client'!$I695* ('Client'!$K695/100)</f>
        <v>9.6319999999999989E-2</v>
      </c>
    </row>
    <row r="696" spans="1:12" x14ac:dyDescent="0.3">
      <c r="A696" t="s">
        <v>699</v>
      </c>
      <c r="B696" t="s">
        <v>746</v>
      </c>
      <c r="C696" t="s">
        <v>13</v>
      </c>
      <c r="D696" t="str">
        <f>INT('Client'!$E696/12) &amp; " ans et " &amp; MOD('Client'!$E696,12) &amp; " mois"</f>
        <v>1 ans et 7 mois</v>
      </c>
      <c r="E696">
        <v>19</v>
      </c>
      <c r="F696" t="s">
        <v>19</v>
      </c>
      <c r="G696" s="7">
        <f>Client[[#This Row],[Duree_Cumulee_Panne_Min]]/1440</f>
        <v>0.23958333333333334</v>
      </c>
      <c r="H696">
        <v>345</v>
      </c>
      <c r="I696">
        <v>54.37</v>
      </c>
      <c r="J696">
        <v>2</v>
      </c>
      <c r="K696" s="8">
        <f>IF('Client'!$F696="Pro Monde",10%,IF(AND('Client'!$G696&gt;12,'Client'!$D696&gt;5),70%,IF(AND(OR('Client'!$G696&gt;=4,'Client'!$G696&lt;=12,'Client'!$D696&lt;5,(OR('Client'!$F696="Premium ")))),45%,0%)))</f>
        <v>0.45</v>
      </c>
      <c r="L696" s="4">
        <f>'Client'!$I696* ('Client'!$K696/100)</f>
        <v>0.24466500000000002</v>
      </c>
    </row>
    <row r="697" spans="1:12" x14ac:dyDescent="0.3">
      <c r="A697" t="s">
        <v>699</v>
      </c>
      <c r="B697" t="s">
        <v>747</v>
      </c>
      <c r="C697" t="s">
        <v>44</v>
      </c>
      <c r="D697" t="str">
        <f>INT('Client'!$E697/12) &amp; " ans et " &amp; MOD('Client'!$E697,12) &amp; " mois"</f>
        <v>7 ans et 10 mois</v>
      </c>
      <c r="E697">
        <v>94</v>
      </c>
      <c r="F697" t="s">
        <v>22</v>
      </c>
      <c r="G697" s="7">
        <f>Client[[#This Row],[Duree_Cumulee_Panne_Min]]/1440</f>
        <v>0.18124999999999999</v>
      </c>
      <c r="H697">
        <v>261</v>
      </c>
      <c r="I697">
        <v>70.09</v>
      </c>
      <c r="J697">
        <v>3</v>
      </c>
      <c r="K697" s="8">
        <f>IF('Client'!$F697="Pro Monde",10%,IF(AND('Client'!$G697&gt;12,'Client'!$D697&gt;5),70%,IF(AND(OR('Client'!$G697&gt;=4,'Client'!$G697&lt;=12,'Client'!$D697&lt;5,(OR('Client'!$F697="Premium ")))),45%,0%)))</f>
        <v>0.45</v>
      </c>
      <c r="L697" s="4">
        <f>'Client'!$I697* ('Client'!$K697/100)</f>
        <v>0.31540500000000005</v>
      </c>
    </row>
    <row r="698" spans="1:12" x14ac:dyDescent="0.3">
      <c r="A698" t="s">
        <v>699</v>
      </c>
      <c r="B698" t="s">
        <v>748</v>
      </c>
      <c r="C698" t="s">
        <v>127</v>
      </c>
      <c r="D698" t="str">
        <f>INT('Client'!$E698/12) &amp; " ans et " &amp; MOD('Client'!$E698,12) &amp; " mois"</f>
        <v>2 ans et 2 mois</v>
      </c>
      <c r="E698">
        <v>26</v>
      </c>
      <c r="F698" t="s">
        <v>11</v>
      </c>
      <c r="G698" s="7">
        <f>Client[[#This Row],[Duree_Cumulee_Panne_Min]]/1440</f>
        <v>0.26250000000000001</v>
      </c>
      <c r="H698">
        <v>378</v>
      </c>
      <c r="I698">
        <v>45.21</v>
      </c>
      <c r="J698">
        <v>5</v>
      </c>
      <c r="K698" s="8">
        <f>IF('Client'!$F698="Pro Monde",10%,IF(AND('Client'!$G698&gt;12,'Client'!$D698&gt;5),70%,IF(AND(OR('Client'!$G698&gt;=4,'Client'!$G698&lt;=12,'Client'!$D698&lt;5,(OR('Client'!$F698="Premium ")))),45%,0%)))</f>
        <v>0.45</v>
      </c>
      <c r="L698" s="4">
        <f>'Client'!$I698* ('Client'!$K698/100)</f>
        <v>0.20344500000000001</v>
      </c>
    </row>
    <row r="699" spans="1:12" x14ac:dyDescent="0.3">
      <c r="A699" t="s">
        <v>699</v>
      </c>
      <c r="B699" t="s">
        <v>749</v>
      </c>
      <c r="C699" t="s">
        <v>13</v>
      </c>
      <c r="D699" t="str">
        <f>INT('Client'!$E699/12) &amp; " ans et " &amp; MOD('Client'!$E699,12) &amp; " mois"</f>
        <v>4 ans et 8 mois</v>
      </c>
      <c r="E699">
        <v>56</v>
      </c>
      <c r="F699" t="s">
        <v>22</v>
      </c>
      <c r="G699" s="7">
        <f>Client[[#This Row],[Duree_Cumulee_Panne_Min]]/1440</f>
        <v>0.25486111111111109</v>
      </c>
      <c r="H699">
        <v>367</v>
      </c>
      <c r="I699">
        <v>72.790000000000006</v>
      </c>
      <c r="J699">
        <v>1</v>
      </c>
      <c r="K699" s="8">
        <f>IF('Client'!$F699="Pro Monde",10%,IF(AND('Client'!$G699&gt;12,'Client'!$D699&gt;5),70%,IF(AND(OR('Client'!$G699&gt;=4,'Client'!$G699&lt;=12,'Client'!$D699&lt;5,(OR('Client'!$F699="Premium ")))),45%,0%)))</f>
        <v>0.45</v>
      </c>
      <c r="L699" s="4">
        <f>'Client'!$I699* ('Client'!$K699/100)</f>
        <v>0.32755500000000004</v>
      </c>
    </row>
    <row r="700" spans="1:12" x14ac:dyDescent="0.3">
      <c r="A700" t="s">
        <v>750</v>
      </c>
      <c r="B700" t="s">
        <v>751</v>
      </c>
      <c r="C700" t="s">
        <v>35</v>
      </c>
      <c r="D700" t="str">
        <f>INT('Client'!$E700/12) &amp; " ans et " &amp; MOD('Client'!$E700,12) &amp; " mois"</f>
        <v>8 ans et 1 mois</v>
      </c>
      <c r="E700">
        <v>97</v>
      </c>
      <c r="F700" t="s">
        <v>19</v>
      </c>
      <c r="G700" s="7">
        <f>Client[[#This Row],[Duree_Cumulee_Panne_Min]]/1440</f>
        <v>0.12013888888888889</v>
      </c>
      <c r="H700">
        <v>173</v>
      </c>
      <c r="I700">
        <v>19.37</v>
      </c>
      <c r="J700">
        <v>5</v>
      </c>
      <c r="K700" s="8">
        <f>IF('Client'!$F700="Pro Monde",10%,IF(AND('Client'!$G700&gt;12,'Client'!$D700&gt;5),70%,IF(AND(OR('Client'!$G700&gt;=4,'Client'!$G700&lt;=12,'Client'!$D700&lt;5,(OR('Client'!$F700="Premium ")))),45%,0%)))</f>
        <v>0.45</v>
      </c>
      <c r="L700" s="4">
        <f>'Client'!$I700* ('Client'!$K700/100)</f>
        <v>8.716500000000002E-2</v>
      </c>
    </row>
    <row r="701" spans="1:12" x14ac:dyDescent="0.3">
      <c r="A701" t="s">
        <v>750</v>
      </c>
      <c r="B701" t="s">
        <v>752</v>
      </c>
      <c r="C701" t="s">
        <v>131</v>
      </c>
      <c r="D701" t="str">
        <f>INT('Client'!$E701/12) &amp; " ans et " &amp; MOD('Client'!$E701,12) &amp; " mois"</f>
        <v>4 ans et 6 mois</v>
      </c>
      <c r="E701">
        <v>54</v>
      </c>
      <c r="F701" t="s">
        <v>22</v>
      </c>
      <c r="G701" s="7">
        <f>Client[[#This Row],[Duree_Cumulee_Panne_Min]]/1440</f>
        <v>0.14930555555555555</v>
      </c>
      <c r="H701">
        <v>215</v>
      </c>
      <c r="I701">
        <v>54.69</v>
      </c>
      <c r="J701">
        <v>0</v>
      </c>
      <c r="K701" s="8">
        <f>IF('Client'!$F701="Pro Monde",10%,IF(AND('Client'!$G701&gt;12,'Client'!$D701&gt;5),70%,IF(AND(OR('Client'!$G701&gt;=4,'Client'!$G701&lt;=12,'Client'!$D701&lt;5,(OR('Client'!$F701="Premium ")))),45%,0%)))</f>
        <v>0.45</v>
      </c>
      <c r="L701" s="4">
        <f>'Client'!$I701* ('Client'!$K701/100)</f>
        <v>0.24610500000000002</v>
      </c>
    </row>
    <row r="702" spans="1:12" x14ac:dyDescent="0.3">
      <c r="A702" t="s">
        <v>750</v>
      </c>
      <c r="B702" t="s">
        <v>753</v>
      </c>
      <c r="C702" t="s">
        <v>40</v>
      </c>
      <c r="D702" t="str">
        <f>INT('Client'!$E702/12) &amp; " ans et " &amp; MOD('Client'!$E702,12) &amp; " mois"</f>
        <v>9 ans et 11 mois</v>
      </c>
      <c r="E702">
        <v>119</v>
      </c>
      <c r="F702" t="s">
        <v>19</v>
      </c>
      <c r="G702" s="7">
        <f>Client[[#This Row],[Duree_Cumulee_Panne_Min]]/1440</f>
        <v>9.2361111111111116E-2</v>
      </c>
      <c r="H702">
        <v>133</v>
      </c>
      <c r="I702">
        <v>30.27</v>
      </c>
      <c r="J702">
        <v>5</v>
      </c>
      <c r="K702" s="8">
        <f>IF('Client'!$F702="Pro Monde",10%,IF(AND('Client'!$G702&gt;12,'Client'!$D702&gt;5),70%,IF(AND(OR('Client'!$G702&gt;=4,'Client'!$G702&lt;=12,'Client'!$D702&lt;5,(OR('Client'!$F702="Premium ")))),45%,0%)))</f>
        <v>0.45</v>
      </c>
      <c r="L702" s="4">
        <f>'Client'!$I702* ('Client'!$K702/100)</f>
        <v>0.136215</v>
      </c>
    </row>
    <row r="703" spans="1:12" x14ac:dyDescent="0.3">
      <c r="A703" t="s">
        <v>750</v>
      </c>
      <c r="B703" t="s">
        <v>754</v>
      </c>
      <c r="C703" t="s">
        <v>16</v>
      </c>
      <c r="D703" t="str">
        <f>INT('Client'!$E703/12) &amp; " ans et " &amp; MOD('Client'!$E703,12) &amp; " mois"</f>
        <v>0 ans et 9 mois</v>
      </c>
      <c r="E703">
        <v>9</v>
      </c>
      <c r="F703" t="s">
        <v>22</v>
      </c>
      <c r="G703" s="7">
        <f>Client[[#This Row],[Duree_Cumulee_Panne_Min]]/1440</f>
        <v>7.0833333333333331E-2</v>
      </c>
      <c r="H703">
        <v>102</v>
      </c>
      <c r="I703">
        <v>41.52</v>
      </c>
      <c r="J703">
        <v>0</v>
      </c>
      <c r="K703" s="8">
        <f>IF('Client'!$F703="Pro Monde",10%,IF(AND('Client'!$G703&gt;12,'Client'!$D703&gt;5),70%,IF(AND(OR('Client'!$G703&gt;=4,'Client'!$G703&lt;=12,'Client'!$D703&lt;5,(OR('Client'!$F703="Premium ")))),45%,0%)))</f>
        <v>0.45</v>
      </c>
      <c r="L703" s="4">
        <f>'Client'!$I703* ('Client'!$K703/100)</f>
        <v>0.18684000000000003</v>
      </c>
    </row>
    <row r="704" spans="1:12" x14ac:dyDescent="0.3">
      <c r="A704" t="s">
        <v>750</v>
      </c>
      <c r="B704" t="s">
        <v>755</v>
      </c>
      <c r="C704" t="s">
        <v>26</v>
      </c>
      <c r="D704" t="str">
        <f>INT('Client'!$E704/12) &amp; " ans et " &amp; MOD('Client'!$E704,12) &amp; " mois"</f>
        <v>0 ans et 8 mois</v>
      </c>
      <c r="E704">
        <v>8</v>
      </c>
      <c r="F704" t="s">
        <v>19</v>
      </c>
      <c r="G704" s="7">
        <f>Client[[#This Row],[Duree_Cumulee_Panne_Min]]/1440</f>
        <v>0.11874999999999999</v>
      </c>
      <c r="H704">
        <v>171</v>
      </c>
      <c r="I704">
        <v>52.98</v>
      </c>
      <c r="J704">
        <v>0</v>
      </c>
      <c r="K704" s="8">
        <f>IF('Client'!$F704="Pro Monde",10%,IF(AND('Client'!$G704&gt;12,'Client'!$D704&gt;5),70%,IF(AND(OR('Client'!$G704&gt;=4,'Client'!$G704&lt;=12,'Client'!$D704&lt;5,(OR('Client'!$F704="Premium ")))),45%,0%)))</f>
        <v>0.45</v>
      </c>
      <c r="L704" s="4">
        <f>'Client'!$I704* ('Client'!$K704/100)</f>
        <v>0.23841000000000001</v>
      </c>
    </row>
    <row r="705" spans="1:12" x14ac:dyDescent="0.3">
      <c r="A705" t="s">
        <v>750</v>
      </c>
      <c r="B705" t="s">
        <v>756</v>
      </c>
      <c r="C705" t="s">
        <v>131</v>
      </c>
      <c r="D705" t="str">
        <f>INT('Client'!$E705/12) &amp; " ans et " &amp; MOD('Client'!$E705,12) &amp; " mois"</f>
        <v>6 ans et 7 mois</v>
      </c>
      <c r="E705">
        <v>79</v>
      </c>
      <c r="F705" t="s">
        <v>11</v>
      </c>
      <c r="G705" s="7">
        <f>Client[[#This Row],[Duree_Cumulee_Panne_Min]]/1440</f>
        <v>0.31527777777777777</v>
      </c>
      <c r="H705">
        <v>454</v>
      </c>
      <c r="I705">
        <v>80.34</v>
      </c>
      <c r="J705">
        <v>2</v>
      </c>
      <c r="K705" s="8">
        <f>IF('Client'!$F705="Pro Monde",10%,IF(AND('Client'!$G705&gt;12,'Client'!$D705&gt;5),70%,IF(AND(OR('Client'!$G705&gt;=4,'Client'!$G705&lt;=12,'Client'!$D705&lt;5,(OR('Client'!$F705="Premium ")))),45%,0%)))</f>
        <v>0.45</v>
      </c>
      <c r="L705" s="4">
        <f>'Client'!$I705* ('Client'!$K705/100)</f>
        <v>0.36153000000000007</v>
      </c>
    </row>
    <row r="706" spans="1:12" x14ac:dyDescent="0.3">
      <c r="A706" t="s">
        <v>750</v>
      </c>
      <c r="B706" t="s">
        <v>757</v>
      </c>
      <c r="C706" t="s">
        <v>26</v>
      </c>
      <c r="D706" t="str">
        <f>INT('Client'!$E706/12) &amp; " ans et " &amp; MOD('Client'!$E706,12) &amp; " mois"</f>
        <v>2 ans et 9 mois</v>
      </c>
      <c r="E706">
        <v>33</v>
      </c>
      <c r="F706" t="s">
        <v>14</v>
      </c>
      <c r="G706" s="7">
        <f>Client[[#This Row],[Duree_Cumulee_Panne_Min]]/1440</f>
        <v>0.27152777777777776</v>
      </c>
      <c r="H706">
        <v>391</v>
      </c>
      <c r="I706">
        <v>88.88</v>
      </c>
      <c r="J706">
        <v>4</v>
      </c>
      <c r="K706" s="8">
        <f>IF('Client'!$F706="Pro Monde",10%,IF(AND('Client'!$G706&gt;12,'Client'!$D706&gt;5),70%,IF(AND(OR('Client'!$G706&gt;=4,'Client'!$G706&lt;=12,'Client'!$D706&lt;5,(OR('Client'!$F706="Premium ")))),45%,0%)))</f>
        <v>0.1</v>
      </c>
      <c r="L706" s="4">
        <f>'Client'!$I706* ('Client'!$K706/100)</f>
        <v>8.8880000000000001E-2</v>
      </c>
    </row>
    <row r="707" spans="1:12" x14ac:dyDescent="0.3">
      <c r="A707" t="s">
        <v>750</v>
      </c>
      <c r="B707" t="s">
        <v>758</v>
      </c>
      <c r="C707" t="s">
        <v>31</v>
      </c>
      <c r="D707" t="str">
        <f>INT('Client'!$E707/12) &amp; " ans et " &amp; MOD('Client'!$E707,12) &amp; " mois"</f>
        <v>1 ans et 3 mois</v>
      </c>
      <c r="E707">
        <v>15</v>
      </c>
      <c r="F707" t="s">
        <v>19</v>
      </c>
      <c r="G707" s="7">
        <f>Client[[#This Row],[Duree_Cumulee_Panne_Min]]/1440</f>
        <v>2.0833333333333332E-2</v>
      </c>
      <c r="H707">
        <v>30</v>
      </c>
      <c r="I707">
        <v>30.5</v>
      </c>
      <c r="J707">
        <v>1</v>
      </c>
      <c r="K707" s="8">
        <f>IF('Client'!$F707="Pro Monde",10%,IF(AND('Client'!$G707&gt;12,'Client'!$D707&gt;5),70%,IF(AND(OR('Client'!$G707&gt;=4,'Client'!$G707&lt;=12,'Client'!$D707&lt;5,(OR('Client'!$F707="Premium ")))),45%,0%)))</f>
        <v>0.45</v>
      </c>
      <c r="L707" s="4">
        <f>'Client'!$I707* ('Client'!$K707/100)</f>
        <v>0.13725000000000001</v>
      </c>
    </row>
    <row r="708" spans="1:12" x14ac:dyDescent="0.3">
      <c r="A708" t="s">
        <v>750</v>
      </c>
      <c r="B708" t="s">
        <v>759</v>
      </c>
      <c r="C708" t="s">
        <v>13</v>
      </c>
      <c r="D708" t="str">
        <f>INT('Client'!$E708/12) &amp; " ans et " &amp; MOD('Client'!$E708,12) &amp; " mois"</f>
        <v>0 ans et 5 mois</v>
      </c>
      <c r="E708">
        <v>5</v>
      </c>
      <c r="F708" t="s">
        <v>11</v>
      </c>
      <c r="G708" s="7">
        <f>Client[[#This Row],[Duree_Cumulee_Panne_Min]]/1440</f>
        <v>4.9305555555555554E-2</v>
      </c>
      <c r="H708">
        <v>71</v>
      </c>
      <c r="I708">
        <v>93.81</v>
      </c>
      <c r="J708">
        <v>3</v>
      </c>
      <c r="K708" s="8">
        <f>IF('Client'!$F708="Pro Monde",10%,IF(AND('Client'!$G708&gt;12,'Client'!$D708&gt;5),70%,IF(AND(OR('Client'!$G708&gt;=4,'Client'!$G708&lt;=12,'Client'!$D708&lt;5,(OR('Client'!$F708="Premium ")))),45%,0%)))</f>
        <v>0.45</v>
      </c>
      <c r="L708" s="4">
        <f>'Client'!$I708* ('Client'!$K708/100)</f>
        <v>0.42214500000000005</v>
      </c>
    </row>
    <row r="709" spans="1:12" x14ac:dyDescent="0.3">
      <c r="A709" t="s">
        <v>750</v>
      </c>
      <c r="B709" t="s">
        <v>760</v>
      </c>
      <c r="C709" t="s">
        <v>29</v>
      </c>
      <c r="D709" t="str">
        <f>INT('Client'!$E709/12) &amp; " ans et " &amp; MOD('Client'!$E709,12) &amp; " mois"</f>
        <v>9 ans et 1 mois</v>
      </c>
      <c r="E709">
        <v>109</v>
      </c>
      <c r="F709" t="s">
        <v>22</v>
      </c>
      <c r="G709" s="7">
        <f>Client[[#This Row],[Duree_Cumulee_Panne_Min]]/1440</f>
        <v>7.2222222222222215E-2</v>
      </c>
      <c r="H709">
        <v>104</v>
      </c>
      <c r="I709">
        <v>12.37</v>
      </c>
      <c r="J709">
        <v>5</v>
      </c>
      <c r="K709" s="8">
        <f>IF('Client'!$F709="Pro Monde",10%,IF(AND('Client'!$G709&gt;12,'Client'!$D709&gt;5),70%,IF(AND(OR('Client'!$G709&gt;=4,'Client'!$G709&lt;=12,'Client'!$D709&lt;5,(OR('Client'!$F709="Premium ")))),45%,0%)))</f>
        <v>0.45</v>
      </c>
      <c r="L709" s="4">
        <f>'Client'!$I709* ('Client'!$K709/100)</f>
        <v>5.5665000000000006E-2</v>
      </c>
    </row>
    <row r="710" spans="1:12" x14ac:dyDescent="0.3">
      <c r="A710" t="s">
        <v>750</v>
      </c>
      <c r="B710" t="s">
        <v>761</v>
      </c>
      <c r="C710" t="s">
        <v>89</v>
      </c>
      <c r="D710" t="str">
        <f>INT('Client'!$E710/12) &amp; " ans et " &amp; MOD('Client'!$E710,12) &amp; " mois"</f>
        <v>8 ans et 0 mois</v>
      </c>
      <c r="E710">
        <v>96</v>
      </c>
      <c r="F710" t="s">
        <v>14</v>
      </c>
      <c r="G710" s="7">
        <f>Client[[#This Row],[Duree_Cumulee_Panne_Min]]/1440</f>
        <v>0.19444444444444445</v>
      </c>
      <c r="H710">
        <v>280</v>
      </c>
      <c r="I710">
        <v>80.36</v>
      </c>
      <c r="J710">
        <v>5</v>
      </c>
      <c r="K710" s="8">
        <f>IF('Client'!$F710="Pro Monde",10%,IF(AND('Client'!$G710&gt;12,'Client'!$D710&gt;5),70%,IF(AND(OR('Client'!$G710&gt;=4,'Client'!$G710&lt;=12,'Client'!$D710&lt;5,(OR('Client'!$F710="Premium ")))),45%,0%)))</f>
        <v>0.1</v>
      </c>
      <c r="L710" s="4">
        <f>'Client'!$I710* ('Client'!$K710/100)</f>
        <v>8.0360000000000001E-2</v>
      </c>
    </row>
    <row r="711" spans="1:12" x14ac:dyDescent="0.3">
      <c r="A711" t="s">
        <v>750</v>
      </c>
      <c r="B711" t="s">
        <v>762</v>
      </c>
      <c r="C711" t="s">
        <v>37</v>
      </c>
      <c r="D711" t="str">
        <f>INT('Client'!$E711/12) &amp; " ans et " &amp; MOD('Client'!$E711,12) &amp; " mois"</f>
        <v>0 ans et 10 mois</v>
      </c>
      <c r="E711">
        <v>10</v>
      </c>
      <c r="F711" t="s">
        <v>22</v>
      </c>
      <c r="G711" s="7">
        <f>Client[[#This Row],[Duree_Cumulee_Panne_Min]]/1440</f>
        <v>0.2902777777777778</v>
      </c>
      <c r="H711">
        <v>418</v>
      </c>
      <c r="I711">
        <v>27.66</v>
      </c>
      <c r="J711">
        <v>2</v>
      </c>
      <c r="K711" s="8">
        <f>IF('Client'!$F711="Pro Monde",10%,IF(AND('Client'!$G711&gt;12,'Client'!$D711&gt;5),70%,IF(AND(OR('Client'!$G711&gt;=4,'Client'!$G711&lt;=12,'Client'!$D711&lt;5,(OR('Client'!$F711="Premium ")))),45%,0%)))</f>
        <v>0.45</v>
      </c>
      <c r="L711" s="4">
        <f>'Client'!$I711* ('Client'!$K711/100)</f>
        <v>0.12447000000000001</v>
      </c>
    </row>
    <row r="712" spans="1:12" x14ac:dyDescent="0.3">
      <c r="A712" t="s">
        <v>750</v>
      </c>
      <c r="B712" t="s">
        <v>763</v>
      </c>
      <c r="C712" t="s">
        <v>73</v>
      </c>
      <c r="D712" t="str">
        <f>INT('Client'!$E712/12) &amp; " ans et " &amp; MOD('Client'!$E712,12) &amp; " mois"</f>
        <v>4 ans et 9 mois</v>
      </c>
      <c r="E712">
        <v>57</v>
      </c>
      <c r="F712" t="s">
        <v>22</v>
      </c>
      <c r="G712" s="7">
        <f>Client[[#This Row],[Duree_Cumulee_Panne_Min]]/1440</f>
        <v>0.26041666666666669</v>
      </c>
      <c r="H712">
        <v>375</v>
      </c>
      <c r="I712">
        <v>64.73</v>
      </c>
      <c r="J712">
        <v>1</v>
      </c>
      <c r="K712" s="8">
        <f>IF('Client'!$F712="Pro Monde",10%,IF(AND('Client'!$G712&gt;12,'Client'!$D712&gt;5),70%,IF(AND(OR('Client'!$G712&gt;=4,'Client'!$G712&lt;=12,'Client'!$D712&lt;5,(OR('Client'!$F712="Premium ")))),45%,0%)))</f>
        <v>0.45</v>
      </c>
      <c r="L712" s="4">
        <f>'Client'!$I712* ('Client'!$K712/100)</f>
        <v>0.29128500000000007</v>
      </c>
    </row>
    <row r="713" spans="1:12" x14ac:dyDescent="0.3">
      <c r="A713" t="s">
        <v>750</v>
      </c>
      <c r="B713" t="s">
        <v>764</v>
      </c>
      <c r="C713" t="s">
        <v>137</v>
      </c>
      <c r="D713" t="str">
        <f>INT('Client'!$E713/12) &amp; " ans et " &amp; MOD('Client'!$E713,12) &amp; " mois"</f>
        <v>8 ans et 2 mois</v>
      </c>
      <c r="E713">
        <v>98</v>
      </c>
      <c r="F713" t="s">
        <v>14</v>
      </c>
      <c r="G713" s="7">
        <f>Client[[#This Row],[Duree_Cumulee_Panne_Min]]/1440</f>
        <v>0.11666666666666667</v>
      </c>
      <c r="H713">
        <v>168</v>
      </c>
      <c r="I713">
        <v>44.14</v>
      </c>
      <c r="J713">
        <v>3</v>
      </c>
      <c r="K713" s="8">
        <f>IF('Client'!$F713="Pro Monde",10%,IF(AND('Client'!$G713&gt;12,'Client'!$D713&gt;5),70%,IF(AND(OR('Client'!$G713&gt;=4,'Client'!$G713&lt;=12,'Client'!$D713&lt;5,(OR('Client'!$F713="Premium ")))),45%,0%)))</f>
        <v>0.1</v>
      </c>
      <c r="L713" s="4">
        <f>'Client'!$I713* ('Client'!$K713/100)</f>
        <v>4.4139999999999999E-2</v>
      </c>
    </row>
    <row r="714" spans="1:12" x14ac:dyDescent="0.3">
      <c r="A714" t="s">
        <v>750</v>
      </c>
      <c r="B714" t="s">
        <v>765</v>
      </c>
      <c r="C714" t="s">
        <v>13</v>
      </c>
      <c r="D714" t="str">
        <f>INT('Client'!$E714/12) &amp; " ans et " &amp; MOD('Client'!$E714,12) &amp; " mois"</f>
        <v>4 ans et 0 mois</v>
      </c>
      <c r="E714">
        <v>48</v>
      </c>
      <c r="F714" t="s">
        <v>11</v>
      </c>
      <c r="G714" s="7">
        <f>Client[[#This Row],[Duree_Cumulee_Panne_Min]]/1440</f>
        <v>0.32847222222222222</v>
      </c>
      <c r="H714">
        <v>473</v>
      </c>
      <c r="I714">
        <v>71.52</v>
      </c>
      <c r="J714">
        <v>5</v>
      </c>
      <c r="K714" s="8">
        <f>IF('Client'!$F714="Pro Monde",10%,IF(AND('Client'!$G714&gt;12,'Client'!$D714&gt;5),70%,IF(AND(OR('Client'!$G714&gt;=4,'Client'!$G714&lt;=12,'Client'!$D714&lt;5,(OR('Client'!$F714="Premium ")))),45%,0%)))</f>
        <v>0.45</v>
      </c>
      <c r="L714" s="4">
        <f>'Client'!$I714* ('Client'!$K714/100)</f>
        <v>0.32184000000000001</v>
      </c>
    </row>
    <row r="715" spans="1:12" x14ac:dyDescent="0.3">
      <c r="A715" t="s">
        <v>750</v>
      </c>
      <c r="B715" t="s">
        <v>766</v>
      </c>
      <c r="C715" t="s">
        <v>73</v>
      </c>
      <c r="D715" t="str">
        <f>INT('Client'!$E715/12) &amp; " ans et " &amp; MOD('Client'!$E715,12) &amp; " mois"</f>
        <v>6 ans et 6 mois</v>
      </c>
      <c r="E715">
        <v>78</v>
      </c>
      <c r="F715" t="s">
        <v>11</v>
      </c>
      <c r="G715" s="7">
        <f>Client[[#This Row],[Duree_Cumulee_Panne_Min]]/1440</f>
        <v>0.26874999999999999</v>
      </c>
      <c r="H715">
        <v>387</v>
      </c>
      <c r="I715">
        <v>11.63</v>
      </c>
      <c r="J715">
        <v>2</v>
      </c>
      <c r="K715" s="8">
        <f>IF('Client'!$F715="Pro Monde",10%,IF(AND('Client'!$G715&gt;12,'Client'!$D715&gt;5),70%,IF(AND(OR('Client'!$G715&gt;=4,'Client'!$G715&lt;=12,'Client'!$D715&lt;5,(OR('Client'!$F715="Premium ")))),45%,0%)))</f>
        <v>0.45</v>
      </c>
      <c r="L715" s="4">
        <f>'Client'!$I715* ('Client'!$K715/100)</f>
        <v>5.2335000000000007E-2</v>
      </c>
    </row>
    <row r="716" spans="1:12" x14ac:dyDescent="0.3">
      <c r="A716" t="s">
        <v>750</v>
      </c>
      <c r="B716" t="s">
        <v>767</v>
      </c>
      <c r="C716" t="s">
        <v>67</v>
      </c>
      <c r="D716" t="str">
        <f>INT('Client'!$E716/12) &amp; " ans et " &amp; MOD('Client'!$E716,12) &amp; " mois"</f>
        <v>6 ans et 9 mois</v>
      </c>
      <c r="E716">
        <v>81</v>
      </c>
      <c r="F716" t="s">
        <v>22</v>
      </c>
      <c r="G716" s="7">
        <f>Client[[#This Row],[Duree_Cumulee_Panne_Min]]/1440</f>
        <v>0.23541666666666666</v>
      </c>
      <c r="H716">
        <v>339</v>
      </c>
      <c r="I716">
        <v>53.4</v>
      </c>
      <c r="J716">
        <v>2</v>
      </c>
      <c r="K716" s="8">
        <f>IF('Client'!$F716="Pro Monde",10%,IF(AND('Client'!$G716&gt;12,'Client'!$D716&gt;5),70%,IF(AND(OR('Client'!$G716&gt;=4,'Client'!$G716&lt;=12,'Client'!$D716&lt;5,(OR('Client'!$F716="Premium ")))),45%,0%)))</f>
        <v>0.45</v>
      </c>
      <c r="L716" s="4">
        <f>'Client'!$I716* ('Client'!$K716/100)</f>
        <v>0.24030000000000001</v>
      </c>
    </row>
    <row r="717" spans="1:12" x14ac:dyDescent="0.3">
      <c r="A717" t="s">
        <v>750</v>
      </c>
      <c r="B717" t="s">
        <v>768</v>
      </c>
      <c r="C717" t="s">
        <v>44</v>
      </c>
      <c r="D717" t="str">
        <f>INT('Client'!$E717/12) &amp; " ans et " &amp; MOD('Client'!$E717,12) &amp; " mois"</f>
        <v>9 ans et 0 mois</v>
      </c>
      <c r="E717">
        <v>108</v>
      </c>
      <c r="F717" t="s">
        <v>19</v>
      </c>
      <c r="G717" s="7">
        <f>Client[[#This Row],[Duree_Cumulee_Panne_Min]]/1440</f>
        <v>0.32430555555555557</v>
      </c>
      <c r="H717">
        <v>467</v>
      </c>
      <c r="I717">
        <v>44.84</v>
      </c>
      <c r="J717">
        <v>4</v>
      </c>
      <c r="K717" s="8">
        <f>IF('Client'!$F717="Pro Monde",10%,IF(AND('Client'!$G717&gt;12,'Client'!$D717&gt;5),70%,IF(AND(OR('Client'!$G717&gt;=4,'Client'!$G717&lt;=12,'Client'!$D717&lt;5,(OR('Client'!$F717="Premium ")))),45%,0%)))</f>
        <v>0.45</v>
      </c>
      <c r="L717" s="4">
        <f>'Client'!$I717* ('Client'!$K717/100)</f>
        <v>0.20178000000000004</v>
      </c>
    </row>
    <row r="718" spans="1:12" x14ac:dyDescent="0.3">
      <c r="A718" t="s">
        <v>750</v>
      </c>
      <c r="B718" t="s">
        <v>769</v>
      </c>
      <c r="C718" t="s">
        <v>37</v>
      </c>
      <c r="D718" t="str">
        <f>INT('Client'!$E718/12) &amp; " ans et " &amp; MOD('Client'!$E718,12) &amp; " mois"</f>
        <v>0 ans et 4 mois</v>
      </c>
      <c r="E718">
        <v>4</v>
      </c>
      <c r="F718" t="s">
        <v>14</v>
      </c>
      <c r="G718" s="7">
        <f>Client[[#This Row],[Duree_Cumulee_Panne_Min]]/1440</f>
        <v>0.31180555555555556</v>
      </c>
      <c r="H718">
        <v>449</v>
      </c>
      <c r="I718">
        <v>43.95</v>
      </c>
      <c r="J718">
        <v>2</v>
      </c>
      <c r="K718" s="8">
        <f>IF('Client'!$F718="Pro Monde",10%,IF(AND('Client'!$G718&gt;12,'Client'!$D718&gt;5),70%,IF(AND(OR('Client'!$G718&gt;=4,'Client'!$G718&lt;=12,'Client'!$D718&lt;5,(OR('Client'!$F718="Premium ")))),45%,0%)))</f>
        <v>0.1</v>
      </c>
      <c r="L718" s="4">
        <f>'Client'!$I718* ('Client'!$K718/100)</f>
        <v>4.3950000000000003E-2</v>
      </c>
    </row>
    <row r="719" spans="1:12" x14ac:dyDescent="0.3">
      <c r="A719" t="s">
        <v>750</v>
      </c>
      <c r="B719" t="s">
        <v>770</v>
      </c>
      <c r="C719" t="s">
        <v>78</v>
      </c>
      <c r="D719" t="str">
        <f>INT('Client'!$E719/12) &amp; " ans et " &amp; MOD('Client'!$E719,12) &amp; " mois"</f>
        <v>9 ans et 11 mois</v>
      </c>
      <c r="E719">
        <v>119</v>
      </c>
      <c r="F719" t="s">
        <v>14</v>
      </c>
      <c r="G719" s="7">
        <f>Client[[#This Row],[Duree_Cumulee_Panne_Min]]/1440</f>
        <v>2.1527777777777778E-2</v>
      </c>
      <c r="H719">
        <v>31</v>
      </c>
      <c r="I719">
        <v>21.27</v>
      </c>
      <c r="J719">
        <v>5</v>
      </c>
      <c r="K719" s="8">
        <f>IF('Client'!$F719="Pro Monde",10%,IF(AND('Client'!$G719&gt;12,'Client'!$D719&gt;5),70%,IF(AND(OR('Client'!$G719&gt;=4,'Client'!$G719&lt;=12,'Client'!$D719&lt;5,(OR('Client'!$F719="Premium ")))),45%,0%)))</f>
        <v>0.1</v>
      </c>
      <c r="L719" s="4">
        <f>'Client'!$I719* ('Client'!$K719/100)</f>
        <v>2.1270000000000001E-2</v>
      </c>
    </row>
    <row r="720" spans="1:12" x14ac:dyDescent="0.3">
      <c r="A720" t="s">
        <v>750</v>
      </c>
      <c r="B720" t="s">
        <v>771</v>
      </c>
      <c r="C720" t="s">
        <v>89</v>
      </c>
      <c r="D720" t="str">
        <f>INT('Client'!$E720/12) &amp; " ans et " &amp; MOD('Client'!$E720,12) &amp; " mois"</f>
        <v>1 ans et 11 mois</v>
      </c>
      <c r="E720">
        <v>23</v>
      </c>
      <c r="F720" t="s">
        <v>14</v>
      </c>
      <c r="G720" s="7">
        <f>Client[[#This Row],[Duree_Cumulee_Panne_Min]]/1440</f>
        <v>8.3333333333333329E-2</v>
      </c>
      <c r="H720">
        <v>120</v>
      </c>
      <c r="I720">
        <v>73.12</v>
      </c>
      <c r="J720">
        <v>1</v>
      </c>
      <c r="K720" s="8">
        <f>IF('Client'!$F720="Pro Monde",10%,IF(AND('Client'!$G720&gt;12,'Client'!$D720&gt;5),70%,IF(AND(OR('Client'!$G720&gt;=4,'Client'!$G720&lt;=12,'Client'!$D720&lt;5,(OR('Client'!$F720="Premium ")))),45%,0%)))</f>
        <v>0.1</v>
      </c>
      <c r="L720" s="4">
        <f>'Client'!$I720* ('Client'!$K720/100)</f>
        <v>7.3120000000000004E-2</v>
      </c>
    </row>
    <row r="721" spans="1:12" x14ac:dyDescent="0.3">
      <c r="A721" t="s">
        <v>750</v>
      </c>
      <c r="B721" t="s">
        <v>772</v>
      </c>
      <c r="C721" t="s">
        <v>89</v>
      </c>
      <c r="D721" t="str">
        <f>INT('Client'!$E721/12) &amp; " ans et " &amp; MOD('Client'!$E721,12) &amp; " mois"</f>
        <v>3 ans et 6 mois</v>
      </c>
      <c r="E721">
        <v>42</v>
      </c>
      <c r="F721" t="s">
        <v>19</v>
      </c>
      <c r="G721" s="7">
        <f>Client[[#This Row],[Duree_Cumulee_Panne_Min]]/1440</f>
        <v>0.17499999999999999</v>
      </c>
      <c r="H721">
        <v>252</v>
      </c>
      <c r="I721">
        <v>59.46</v>
      </c>
      <c r="J721">
        <v>4</v>
      </c>
      <c r="K721" s="8">
        <f>IF('Client'!$F721="Pro Monde",10%,IF(AND('Client'!$G721&gt;12,'Client'!$D721&gt;5),70%,IF(AND(OR('Client'!$G721&gt;=4,'Client'!$G721&lt;=12,'Client'!$D721&lt;5,(OR('Client'!$F721="Premium ")))),45%,0%)))</f>
        <v>0.45</v>
      </c>
      <c r="L721" s="4">
        <f>'Client'!$I721* ('Client'!$K721/100)</f>
        <v>0.26757000000000003</v>
      </c>
    </row>
    <row r="722" spans="1:12" x14ac:dyDescent="0.3">
      <c r="A722" t="s">
        <v>750</v>
      </c>
      <c r="B722" t="s">
        <v>773</v>
      </c>
      <c r="C722" t="s">
        <v>21</v>
      </c>
      <c r="D722" t="str">
        <f>INT('Client'!$E722/12) &amp; " ans et " &amp; MOD('Client'!$E722,12) &amp; " mois"</f>
        <v>1 ans et 2 mois</v>
      </c>
      <c r="E722">
        <v>14</v>
      </c>
      <c r="F722" t="s">
        <v>19</v>
      </c>
      <c r="G722" s="7">
        <f>Client[[#This Row],[Duree_Cumulee_Panne_Min]]/1440</f>
        <v>2.5694444444444443E-2</v>
      </c>
      <c r="H722">
        <v>37</v>
      </c>
      <c r="I722">
        <v>20.399999999999999</v>
      </c>
      <c r="J722">
        <v>2</v>
      </c>
      <c r="K722" s="8">
        <f>IF('Client'!$F722="Pro Monde",10%,IF(AND('Client'!$G722&gt;12,'Client'!$D722&gt;5),70%,IF(AND(OR('Client'!$G722&gt;=4,'Client'!$G722&lt;=12,'Client'!$D722&lt;5,(OR('Client'!$F722="Premium ")))),45%,0%)))</f>
        <v>0.45</v>
      </c>
      <c r="L722" s="4">
        <f>'Client'!$I722* ('Client'!$K722/100)</f>
        <v>9.1800000000000007E-2</v>
      </c>
    </row>
    <row r="723" spans="1:12" x14ac:dyDescent="0.3">
      <c r="A723" t="s">
        <v>750</v>
      </c>
      <c r="B723" t="s">
        <v>774</v>
      </c>
      <c r="C723" t="s">
        <v>89</v>
      </c>
      <c r="D723" t="str">
        <f>INT('Client'!$E723/12) &amp; " ans et " &amp; MOD('Client'!$E723,12) &amp; " mois"</f>
        <v>7 ans et 6 mois</v>
      </c>
      <c r="E723">
        <v>90</v>
      </c>
      <c r="F723" t="s">
        <v>22</v>
      </c>
      <c r="G723" s="7">
        <f>Client[[#This Row],[Duree_Cumulee_Panne_Min]]/1440</f>
        <v>0.28611111111111109</v>
      </c>
      <c r="H723">
        <v>412</v>
      </c>
      <c r="I723">
        <v>20.62</v>
      </c>
      <c r="J723">
        <v>2</v>
      </c>
      <c r="K723" s="8">
        <f>IF('Client'!$F723="Pro Monde",10%,IF(AND('Client'!$G723&gt;12,'Client'!$D723&gt;5),70%,IF(AND(OR('Client'!$G723&gt;=4,'Client'!$G723&lt;=12,'Client'!$D723&lt;5,(OR('Client'!$F723="Premium ")))),45%,0%)))</f>
        <v>0.45</v>
      </c>
      <c r="L723" s="4">
        <f>'Client'!$I723* ('Client'!$K723/100)</f>
        <v>9.2790000000000011E-2</v>
      </c>
    </row>
    <row r="724" spans="1:12" x14ac:dyDescent="0.3">
      <c r="A724" t="s">
        <v>750</v>
      </c>
      <c r="B724" t="s">
        <v>775</v>
      </c>
      <c r="C724" t="s">
        <v>31</v>
      </c>
      <c r="D724" t="str">
        <f>INT('Client'!$E724/12) &amp; " ans et " &amp; MOD('Client'!$E724,12) &amp; " mois"</f>
        <v>4 ans et 10 mois</v>
      </c>
      <c r="E724">
        <v>58</v>
      </c>
      <c r="F724" t="s">
        <v>11</v>
      </c>
      <c r="G724" s="7">
        <f>Client[[#This Row],[Duree_Cumulee_Panne_Min]]/1440</f>
        <v>0.33680555555555558</v>
      </c>
      <c r="H724">
        <v>485</v>
      </c>
      <c r="I724">
        <v>65.41</v>
      </c>
      <c r="J724">
        <v>5</v>
      </c>
      <c r="K724" s="8">
        <f>IF('Client'!$F724="Pro Monde",10%,IF(AND('Client'!$G724&gt;12,'Client'!$D724&gt;5),70%,IF(AND(OR('Client'!$G724&gt;=4,'Client'!$G724&lt;=12,'Client'!$D724&lt;5,(OR('Client'!$F724="Premium ")))),45%,0%)))</f>
        <v>0.45</v>
      </c>
      <c r="L724" s="4">
        <f>'Client'!$I724* ('Client'!$K724/100)</f>
        <v>0.29434500000000002</v>
      </c>
    </row>
    <row r="725" spans="1:12" x14ac:dyDescent="0.3">
      <c r="A725" t="s">
        <v>750</v>
      </c>
      <c r="B725" t="s">
        <v>776</v>
      </c>
      <c r="C725" t="s">
        <v>131</v>
      </c>
      <c r="D725" t="str">
        <f>INT('Client'!$E725/12) &amp; " ans et " &amp; MOD('Client'!$E725,12) &amp; " mois"</f>
        <v>4 ans et 1 mois</v>
      </c>
      <c r="E725">
        <v>49</v>
      </c>
      <c r="F725" t="s">
        <v>19</v>
      </c>
      <c r="G725" s="7">
        <f>Client[[#This Row],[Duree_Cumulee_Panne_Min]]/1440</f>
        <v>0.2</v>
      </c>
      <c r="H725">
        <v>288</v>
      </c>
      <c r="I725">
        <v>91.32</v>
      </c>
      <c r="J725">
        <v>4</v>
      </c>
      <c r="K725" s="8">
        <f>IF('Client'!$F725="Pro Monde",10%,IF(AND('Client'!$G725&gt;12,'Client'!$D725&gt;5),70%,IF(AND(OR('Client'!$G725&gt;=4,'Client'!$G725&lt;=12,'Client'!$D725&lt;5,(OR('Client'!$F725="Premium ")))),45%,0%)))</f>
        <v>0.45</v>
      </c>
      <c r="L725" s="4">
        <f>'Client'!$I725* ('Client'!$K725/100)</f>
        <v>0.41094000000000003</v>
      </c>
    </row>
    <row r="726" spans="1:12" x14ac:dyDescent="0.3">
      <c r="A726" t="s">
        <v>750</v>
      </c>
      <c r="B726" t="s">
        <v>777</v>
      </c>
      <c r="C726" t="s">
        <v>40</v>
      </c>
      <c r="D726" t="str">
        <f>INT('Client'!$E726/12) &amp; " ans et " &amp; MOD('Client'!$E726,12) &amp; " mois"</f>
        <v>1 ans et 6 mois</v>
      </c>
      <c r="E726">
        <v>18</v>
      </c>
      <c r="F726" t="s">
        <v>19</v>
      </c>
      <c r="G726" s="7">
        <f>Client[[#This Row],[Duree_Cumulee_Panne_Min]]/1440</f>
        <v>0.3215277777777778</v>
      </c>
      <c r="H726">
        <v>463</v>
      </c>
      <c r="I726">
        <v>41.66</v>
      </c>
      <c r="J726">
        <v>4</v>
      </c>
      <c r="K726" s="8">
        <f>IF('Client'!$F726="Pro Monde",10%,IF(AND('Client'!$G726&gt;12,'Client'!$D726&gt;5),70%,IF(AND(OR('Client'!$G726&gt;=4,'Client'!$G726&lt;=12,'Client'!$D726&lt;5,(OR('Client'!$F726="Premium ")))),45%,0%)))</f>
        <v>0.45</v>
      </c>
      <c r="L726" s="4">
        <f>'Client'!$I726* ('Client'!$K726/100)</f>
        <v>0.18747</v>
      </c>
    </row>
    <row r="727" spans="1:12" x14ac:dyDescent="0.3">
      <c r="A727" t="s">
        <v>750</v>
      </c>
      <c r="B727" t="s">
        <v>778</v>
      </c>
      <c r="C727" t="s">
        <v>62</v>
      </c>
      <c r="D727" t="str">
        <f>INT('Client'!$E727/12) &amp; " ans et " &amp; MOD('Client'!$E727,12) &amp; " mois"</f>
        <v>6 ans et 10 mois</v>
      </c>
      <c r="E727">
        <v>82</v>
      </c>
      <c r="F727" t="s">
        <v>14</v>
      </c>
      <c r="G727" s="7">
        <f>Client[[#This Row],[Duree_Cumulee_Panne_Min]]/1440</f>
        <v>0.21666666666666667</v>
      </c>
      <c r="H727">
        <v>312</v>
      </c>
      <c r="I727">
        <v>40.880000000000003</v>
      </c>
      <c r="J727">
        <v>0</v>
      </c>
      <c r="K727" s="8">
        <f>IF('Client'!$F727="Pro Monde",10%,IF(AND('Client'!$G727&gt;12,'Client'!$D727&gt;5),70%,IF(AND(OR('Client'!$G727&gt;=4,'Client'!$G727&lt;=12,'Client'!$D727&lt;5,(OR('Client'!$F727="Premium ")))),45%,0%)))</f>
        <v>0.1</v>
      </c>
      <c r="L727" s="4">
        <f>'Client'!$I727* ('Client'!$K727/100)</f>
        <v>4.0880000000000007E-2</v>
      </c>
    </row>
    <row r="728" spans="1:12" x14ac:dyDescent="0.3">
      <c r="A728" t="s">
        <v>750</v>
      </c>
      <c r="B728" t="s">
        <v>779</v>
      </c>
      <c r="C728" t="s">
        <v>64</v>
      </c>
      <c r="D728" t="str">
        <f>INT('Client'!$E728/12) &amp; " ans et " &amp; MOD('Client'!$E728,12) &amp; " mois"</f>
        <v>6 ans et 2 mois</v>
      </c>
      <c r="E728">
        <v>74</v>
      </c>
      <c r="F728" t="s">
        <v>22</v>
      </c>
      <c r="G728" s="7">
        <f>Client[[#This Row],[Duree_Cumulee_Panne_Min]]/1440</f>
        <v>0.24930555555555556</v>
      </c>
      <c r="H728">
        <v>359</v>
      </c>
      <c r="I728">
        <v>92.63</v>
      </c>
      <c r="J728">
        <v>0</v>
      </c>
      <c r="K728" s="8">
        <f>IF('Client'!$F728="Pro Monde",10%,IF(AND('Client'!$G728&gt;12,'Client'!$D728&gt;5),70%,IF(AND(OR('Client'!$G728&gt;=4,'Client'!$G728&lt;=12,'Client'!$D728&lt;5,(OR('Client'!$F728="Premium ")))),45%,0%)))</f>
        <v>0.45</v>
      </c>
      <c r="L728" s="4">
        <f>'Client'!$I728* ('Client'!$K728/100)</f>
        <v>0.41683500000000001</v>
      </c>
    </row>
    <row r="729" spans="1:12" x14ac:dyDescent="0.3">
      <c r="A729" t="s">
        <v>750</v>
      </c>
      <c r="B729" t="s">
        <v>780</v>
      </c>
      <c r="C729" t="s">
        <v>18</v>
      </c>
      <c r="D729" t="str">
        <f>INT('Client'!$E729/12) &amp; " ans et " &amp; MOD('Client'!$E729,12) &amp; " mois"</f>
        <v>6 ans et 0 mois</v>
      </c>
      <c r="E729">
        <v>72</v>
      </c>
      <c r="F729" t="s">
        <v>19</v>
      </c>
      <c r="G729" s="7">
        <f>Client[[#This Row],[Duree_Cumulee_Panne_Min]]/1440</f>
        <v>0.29652777777777778</v>
      </c>
      <c r="H729">
        <v>427</v>
      </c>
      <c r="I729">
        <v>31.44</v>
      </c>
      <c r="J729">
        <v>2</v>
      </c>
      <c r="K729" s="8">
        <f>IF('Client'!$F729="Pro Monde",10%,IF(AND('Client'!$G729&gt;12,'Client'!$D729&gt;5),70%,IF(AND(OR('Client'!$G729&gt;=4,'Client'!$G729&lt;=12,'Client'!$D729&lt;5,(OR('Client'!$F729="Premium ")))),45%,0%)))</f>
        <v>0.45</v>
      </c>
      <c r="L729" s="4">
        <f>'Client'!$I729* ('Client'!$K729/100)</f>
        <v>0.14148000000000002</v>
      </c>
    </row>
    <row r="730" spans="1:12" x14ac:dyDescent="0.3">
      <c r="A730" t="s">
        <v>750</v>
      </c>
      <c r="B730" t="s">
        <v>781</v>
      </c>
      <c r="C730" t="s">
        <v>29</v>
      </c>
      <c r="D730" t="str">
        <f>INT('Client'!$E730/12) &amp; " ans et " &amp; MOD('Client'!$E730,12) &amp; " mois"</f>
        <v>2 ans et 2 mois</v>
      </c>
      <c r="E730">
        <v>26</v>
      </c>
      <c r="F730" t="s">
        <v>11</v>
      </c>
      <c r="G730" s="7">
        <f>Client[[#This Row],[Duree_Cumulee_Panne_Min]]/1440</f>
        <v>0.27152777777777776</v>
      </c>
      <c r="H730">
        <v>391</v>
      </c>
      <c r="I730">
        <v>18.28</v>
      </c>
      <c r="J730">
        <v>3</v>
      </c>
      <c r="K730" s="8">
        <f>IF('Client'!$F730="Pro Monde",10%,IF(AND('Client'!$G730&gt;12,'Client'!$D730&gt;5),70%,IF(AND(OR('Client'!$G730&gt;=4,'Client'!$G730&lt;=12,'Client'!$D730&lt;5,(OR('Client'!$F730="Premium ")))),45%,0%)))</f>
        <v>0.45</v>
      </c>
      <c r="L730" s="4">
        <f>'Client'!$I730* ('Client'!$K730/100)</f>
        <v>8.2260000000000014E-2</v>
      </c>
    </row>
    <row r="731" spans="1:12" x14ac:dyDescent="0.3">
      <c r="A731" t="s">
        <v>750</v>
      </c>
      <c r="B731" t="s">
        <v>782</v>
      </c>
      <c r="C731" t="s">
        <v>57</v>
      </c>
      <c r="D731" t="str">
        <f>INT('Client'!$E731/12) &amp; " ans et " &amp; MOD('Client'!$E731,12) &amp; " mois"</f>
        <v>2 ans et 2 mois</v>
      </c>
      <c r="E731">
        <v>26</v>
      </c>
      <c r="F731" t="s">
        <v>19</v>
      </c>
      <c r="G731" s="7">
        <f>Client[[#This Row],[Duree_Cumulee_Panne_Min]]/1440</f>
        <v>0.28680555555555554</v>
      </c>
      <c r="H731">
        <v>413</v>
      </c>
      <c r="I731">
        <v>10.9</v>
      </c>
      <c r="J731">
        <v>5</v>
      </c>
      <c r="K731" s="8">
        <f>IF('Client'!$F731="Pro Monde",10%,IF(AND('Client'!$G731&gt;12,'Client'!$D731&gt;5),70%,IF(AND(OR('Client'!$G731&gt;=4,'Client'!$G731&lt;=12,'Client'!$D731&lt;5,(OR('Client'!$F731="Premium ")))),45%,0%)))</f>
        <v>0.45</v>
      </c>
      <c r="L731" s="4">
        <f>'Client'!$I731* ('Client'!$K731/100)</f>
        <v>4.905000000000001E-2</v>
      </c>
    </row>
    <row r="732" spans="1:12" x14ac:dyDescent="0.3">
      <c r="A732" t="s">
        <v>750</v>
      </c>
      <c r="B732" t="s">
        <v>783</v>
      </c>
      <c r="C732" t="s">
        <v>51</v>
      </c>
      <c r="D732" t="str">
        <f>INT('Client'!$E732/12) &amp; " ans et " &amp; MOD('Client'!$E732,12) &amp; " mois"</f>
        <v>2 ans et 9 mois</v>
      </c>
      <c r="E732">
        <v>33</v>
      </c>
      <c r="F732" t="s">
        <v>22</v>
      </c>
      <c r="G732" s="7">
        <f>Client[[#This Row],[Duree_Cumulee_Panne_Min]]/1440</f>
        <v>1.2500000000000001E-2</v>
      </c>
      <c r="H732">
        <v>18</v>
      </c>
      <c r="I732">
        <v>47.18</v>
      </c>
      <c r="J732">
        <v>4</v>
      </c>
      <c r="K732" s="8">
        <f>IF('Client'!$F732="Pro Monde",10%,IF(AND('Client'!$G732&gt;12,'Client'!$D732&gt;5),70%,IF(AND(OR('Client'!$G732&gt;=4,'Client'!$G732&lt;=12,'Client'!$D732&lt;5,(OR('Client'!$F732="Premium ")))),45%,0%)))</f>
        <v>0.45</v>
      </c>
      <c r="L732" s="4">
        <f>'Client'!$I732* ('Client'!$K732/100)</f>
        <v>0.21231000000000003</v>
      </c>
    </row>
    <row r="733" spans="1:12" x14ac:dyDescent="0.3">
      <c r="A733" t="s">
        <v>750</v>
      </c>
      <c r="B733" t="s">
        <v>784</v>
      </c>
      <c r="C733" t="s">
        <v>13</v>
      </c>
      <c r="D733" t="str">
        <f>INT('Client'!$E733/12) &amp; " ans et " &amp; MOD('Client'!$E733,12) &amp; " mois"</f>
        <v>5 ans et 3 mois</v>
      </c>
      <c r="E733">
        <v>63</v>
      </c>
      <c r="F733" t="s">
        <v>11</v>
      </c>
      <c r="G733" s="7">
        <f>Client[[#This Row],[Duree_Cumulee_Panne_Min]]/1440</f>
        <v>0.12291666666666666</v>
      </c>
      <c r="H733">
        <v>177</v>
      </c>
      <c r="I733">
        <v>77.73</v>
      </c>
      <c r="J733">
        <v>3</v>
      </c>
      <c r="K733" s="8">
        <f>IF('Client'!$F733="Pro Monde",10%,IF(AND('Client'!$G733&gt;12,'Client'!$D733&gt;5),70%,IF(AND(OR('Client'!$G733&gt;=4,'Client'!$G733&lt;=12,'Client'!$D733&lt;5,(OR('Client'!$F733="Premium ")))),45%,0%)))</f>
        <v>0.45</v>
      </c>
      <c r="L733" s="4">
        <f>'Client'!$I733* ('Client'!$K733/100)</f>
        <v>0.34978500000000007</v>
      </c>
    </row>
    <row r="734" spans="1:12" x14ac:dyDescent="0.3">
      <c r="A734" t="s">
        <v>750</v>
      </c>
      <c r="B734" t="s">
        <v>785</v>
      </c>
      <c r="C734" t="s">
        <v>51</v>
      </c>
      <c r="D734" t="str">
        <f>INT('Client'!$E734/12) &amp; " ans et " &amp; MOD('Client'!$E734,12) &amp; " mois"</f>
        <v>4 ans et 9 mois</v>
      </c>
      <c r="E734">
        <v>57</v>
      </c>
      <c r="F734" t="s">
        <v>11</v>
      </c>
      <c r="G734" s="7">
        <f>Client[[#This Row],[Duree_Cumulee_Panne_Min]]/1440</f>
        <v>2.5000000000000001E-2</v>
      </c>
      <c r="H734">
        <v>36</v>
      </c>
      <c r="I734">
        <v>82.7</v>
      </c>
      <c r="J734">
        <v>2</v>
      </c>
      <c r="K734" s="8">
        <f>IF('Client'!$F734="Pro Monde",10%,IF(AND('Client'!$G734&gt;12,'Client'!$D734&gt;5),70%,IF(AND(OR('Client'!$G734&gt;=4,'Client'!$G734&lt;=12,'Client'!$D734&lt;5,(OR('Client'!$F734="Premium ")))),45%,0%)))</f>
        <v>0.45</v>
      </c>
      <c r="L734" s="4">
        <f>'Client'!$I734* ('Client'!$K734/100)</f>
        <v>0.37215000000000004</v>
      </c>
    </row>
    <row r="735" spans="1:12" x14ac:dyDescent="0.3">
      <c r="A735" t="s">
        <v>750</v>
      </c>
      <c r="B735" t="s">
        <v>786</v>
      </c>
      <c r="C735" t="s">
        <v>26</v>
      </c>
      <c r="D735" t="str">
        <f>INT('Client'!$E735/12) &amp; " ans et " &amp; MOD('Client'!$E735,12) &amp; " mois"</f>
        <v>7 ans et 3 mois</v>
      </c>
      <c r="E735">
        <v>87</v>
      </c>
      <c r="F735" t="s">
        <v>14</v>
      </c>
      <c r="G735" s="7">
        <f>Client[[#This Row],[Duree_Cumulee_Panne_Min]]/1440</f>
        <v>0.33750000000000002</v>
      </c>
      <c r="H735">
        <v>486</v>
      </c>
      <c r="I735">
        <v>58.26</v>
      </c>
      <c r="J735">
        <v>0</v>
      </c>
      <c r="K735" s="8">
        <f>IF('Client'!$F735="Pro Monde",10%,IF(AND('Client'!$G735&gt;12,'Client'!$D735&gt;5),70%,IF(AND(OR('Client'!$G735&gt;=4,'Client'!$G735&lt;=12,'Client'!$D735&lt;5,(OR('Client'!$F735="Premium ")))),45%,0%)))</f>
        <v>0.1</v>
      </c>
      <c r="L735" s="4">
        <f>'Client'!$I735* ('Client'!$K735/100)</f>
        <v>5.8259999999999999E-2</v>
      </c>
    </row>
    <row r="736" spans="1:12" x14ac:dyDescent="0.3">
      <c r="A736" t="s">
        <v>750</v>
      </c>
      <c r="B736" t="s">
        <v>787</v>
      </c>
      <c r="C736" t="s">
        <v>13</v>
      </c>
      <c r="D736" t="str">
        <f>INT('Client'!$E736/12) &amp; " ans et " &amp; MOD('Client'!$E736,12) &amp; " mois"</f>
        <v>3 ans et 1 mois</v>
      </c>
      <c r="E736">
        <v>37</v>
      </c>
      <c r="F736" t="s">
        <v>11</v>
      </c>
      <c r="G736" s="7">
        <f>Client[[#This Row],[Duree_Cumulee_Panne_Min]]/1440</f>
        <v>0.14791666666666667</v>
      </c>
      <c r="H736">
        <v>213</v>
      </c>
      <c r="I736">
        <v>14.12</v>
      </c>
      <c r="J736">
        <v>1</v>
      </c>
      <c r="K736" s="8">
        <f>IF('Client'!$F736="Pro Monde",10%,IF(AND('Client'!$G736&gt;12,'Client'!$D736&gt;5),70%,IF(AND(OR('Client'!$G736&gt;=4,'Client'!$G736&lt;=12,'Client'!$D736&lt;5,(OR('Client'!$F736="Premium ")))),45%,0%)))</f>
        <v>0.45</v>
      </c>
      <c r="L736" s="4">
        <f>'Client'!$I736* ('Client'!$K736/100)</f>
        <v>6.3539999999999999E-2</v>
      </c>
    </row>
    <row r="737" spans="1:12" x14ac:dyDescent="0.3">
      <c r="A737" t="s">
        <v>750</v>
      </c>
      <c r="B737" t="s">
        <v>788</v>
      </c>
      <c r="C737" t="s">
        <v>26</v>
      </c>
      <c r="D737" t="str">
        <f>INT('Client'!$E737/12) &amp; " ans et " &amp; MOD('Client'!$E737,12) &amp; " mois"</f>
        <v>2 ans et 5 mois</v>
      </c>
      <c r="E737">
        <v>29</v>
      </c>
      <c r="F737" t="s">
        <v>19</v>
      </c>
      <c r="G737" s="7">
        <f>Client[[#This Row],[Duree_Cumulee_Panne_Min]]/1440</f>
        <v>0.21249999999999999</v>
      </c>
      <c r="H737">
        <v>306</v>
      </c>
      <c r="I737">
        <v>82.16</v>
      </c>
      <c r="J737">
        <v>1</v>
      </c>
      <c r="K737" s="8">
        <f>IF('Client'!$F737="Pro Monde",10%,IF(AND('Client'!$G737&gt;12,'Client'!$D737&gt;5),70%,IF(AND(OR('Client'!$G737&gt;=4,'Client'!$G737&lt;=12,'Client'!$D737&lt;5,(OR('Client'!$F737="Premium ")))),45%,0%)))</f>
        <v>0.45</v>
      </c>
      <c r="L737" s="4">
        <f>'Client'!$I737* ('Client'!$K737/100)</f>
        <v>0.36972000000000005</v>
      </c>
    </row>
    <row r="738" spans="1:12" x14ac:dyDescent="0.3">
      <c r="A738" t="s">
        <v>750</v>
      </c>
      <c r="B738" t="s">
        <v>789</v>
      </c>
      <c r="C738" t="s">
        <v>78</v>
      </c>
      <c r="D738" t="str">
        <f>INT('Client'!$E738/12) &amp; " ans et " &amp; MOD('Client'!$E738,12) &amp; " mois"</f>
        <v>2 ans et 2 mois</v>
      </c>
      <c r="E738">
        <v>26</v>
      </c>
      <c r="F738" t="s">
        <v>22</v>
      </c>
      <c r="G738" s="7">
        <f>Client[[#This Row],[Duree_Cumulee_Panne_Min]]/1440</f>
        <v>0.26250000000000001</v>
      </c>
      <c r="H738">
        <v>378</v>
      </c>
      <c r="I738">
        <v>88.59</v>
      </c>
      <c r="J738">
        <v>4</v>
      </c>
      <c r="K738" s="8">
        <f>IF('Client'!$F738="Pro Monde",10%,IF(AND('Client'!$G738&gt;12,'Client'!$D738&gt;5),70%,IF(AND(OR('Client'!$G738&gt;=4,'Client'!$G738&lt;=12,'Client'!$D738&lt;5,(OR('Client'!$F738="Premium ")))),45%,0%)))</f>
        <v>0.45</v>
      </c>
      <c r="L738" s="4">
        <f>'Client'!$I738* ('Client'!$K738/100)</f>
        <v>0.39865500000000004</v>
      </c>
    </row>
    <row r="739" spans="1:12" x14ac:dyDescent="0.3">
      <c r="A739" t="s">
        <v>750</v>
      </c>
      <c r="B739" t="s">
        <v>790</v>
      </c>
      <c r="C739" t="s">
        <v>137</v>
      </c>
      <c r="D739" t="str">
        <f>INT('Client'!$E739/12) &amp; " ans et " &amp; MOD('Client'!$E739,12) &amp; " mois"</f>
        <v>7 ans et 11 mois</v>
      </c>
      <c r="E739">
        <v>95</v>
      </c>
      <c r="F739" t="s">
        <v>11</v>
      </c>
      <c r="G739" s="7">
        <f>Client[[#This Row],[Duree_Cumulee_Panne_Min]]/1440</f>
        <v>0.21736111111111112</v>
      </c>
      <c r="H739">
        <v>313</v>
      </c>
      <c r="I739">
        <v>32.49</v>
      </c>
      <c r="J739">
        <v>1</v>
      </c>
      <c r="K739" s="8">
        <f>IF('Client'!$F739="Pro Monde",10%,IF(AND('Client'!$G739&gt;12,'Client'!$D739&gt;5),70%,IF(AND(OR('Client'!$G739&gt;=4,'Client'!$G739&lt;=12,'Client'!$D739&lt;5,(OR('Client'!$F739="Premium ")))),45%,0%)))</f>
        <v>0.45</v>
      </c>
      <c r="L739" s="4">
        <f>'Client'!$I739* ('Client'!$K739/100)</f>
        <v>0.14620500000000003</v>
      </c>
    </row>
    <row r="740" spans="1:12" x14ac:dyDescent="0.3">
      <c r="A740" t="s">
        <v>750</v>
      </c>
      <c r="B740" t="s">
        <v>791</v>
      </c>
      <c r="C740" t="s">
        <v>57</v>
      </c>
      <c r="D740" t="str">
        <f>INT('Client'!$E740/12) &amp; " ans et " &amp; MOD('Client'!$E740,12) &amp; " mois"</f>
        <v>1 ans et 9 mois</v>
      </c>
      <c r="E740">
        <v>21</v>
      </c>
      <c r="F740" t="s">
        <v>19</v>
      </c>
      <c r="G740" s="7">
        <f>Client[[#This Row],[Duree_Cumulee_Panne_Min]]/1440</f>
        <v>0.3298611111111111</v>
      </c>
      <c r="H740">
        <v>475</v>
      </c>
      <c r="I740">
        <v>15.12</v>
      </c>
      <c r="J740">
        <v>2</v>
      </c>
      <c r="K740" s="8">
        <f>IF('Client'!$F740="Pro Monde",10%,IF(AND('Client'!$G740&gt;12,'Client'!$D740&gt;5),70%,IF(AND(OR('Client'!$G740&gt;=4,'Client'!$G740&lt;=12,'Client'!$D740&lt;5,(OR('Client'!$F740="Premium ")))),45%,0%)))</f>
        <v>0.45</v>
      </c>
      <c r="L740" s="4">
        <f>'Client'!$I740* ('Client'!$K740/100)</f>
        <v>6.8040000000000003E-2</v>
      </c>
    </row>
    <row r="741" spans="1:12" x14ac:dyDescent="0.3">
      <c r="A741" t="s">
        <v>750</v>
      </c>
      <c r="B741" t="s">
        <v>792</v>
      </c>
      <c r="C741" t="s">
        <v>137</v>
      </c>
      <c r="D741" t="str">
        <f>INT('Client'!$E741/12) &amp; " ans et " &amp; MOD('Client'!$E741,12) &amp; " mois"</f>
        <v>4 ans et 8 mois</v>
      </c>
      <c r="E741">
        <v>56</v>
      </c>
      <c r="F741" t="s">
        <v>22</v>
      </c>
      <c r="G741" s="7">
        <f>Client[[#This Row],[Duree_Cumulee_Panne_Min]]/1440</f>
        <v>2.8472222222222222E-2</v>
      </c>
      <c r="H741">
        <v>41</v>
      </c>
      <c r="I741">
        <v>15.1</v>
      </c>
      <c r="J741">
        <v>5</v>
      </c>
      <c r="K741" s="8">
        <f>IF('Client'!$F741="Pro Monde",10%,IF(AND('Client'!$G741&gt;12,'Client'!$D741&gt;5),70%,IF(AND(OR('Client'!$G741&gt;=4,'Client'!$G741&lt;=12,'Client'!$D741&lt;5,(OR('Client'!$F741="Premium ")))),45%,0%)))</f>
        <v>0.45</v>
      </c>
      <c r="L741" s="4">
        <f>'Client'!$I741* ('Client'!$K741/100)</f>
        <v>6.795000000000001E-2</v>
      </c>
    </row>
    <row r="742" spans="1:12" x14ac:dyDescent="0.3">
      <c r="A742" t="s">
        <v>750</v>
      </c>
      <c r="B742" t="s">
        <v>793</v>
      </c>
      <c r="C742" t="s">
        <v>24</v>
      </c>
      <c r="D742" t="str">
        <f>INT('Client'!$E742/12) &amp; " ans et " &amp; MOD('Client'!$E742,12) &amp; " mois"</f>
        <v>8 ans et 9 mois</v>
      </c>
      <c r="E742">
        <v>105</v>
      </c>
      <c r="F742" t="s">
        <v>11</v>
      </c>
      <c r="G742" s="7">
        <f>Client[[#This Row],[Duree_Cumulee_Panne_Min]]/1440</f>
        <v>0.31527777777777777</v>
      </c>
      <c r="H742">
        <v>454</v>
      </c>
      <c r="I742">
        <v>49.47</v>
      </c>
      <c r="J742">
        <v>4</v>
      </c>
      <c r="K742" s="8">
        <f>IF('Client'!$F742="Pro Monde",10%,IF(AND('Client'!$G742&gt;12,'Client'!$D742&gt;5),70%,IF(AND(OR('Client'!$G742&gt;=4,'Client'!$G742&lt;=12,'Client'!$D742&lt;5,(OR('Client'!$F742="Premium ")))),45%,0%)))</f>
        <v>0.45</v>
      </c>
      <c r="L742" s="4">
        <f>'Client'!$I742* ('Client'!$K742/100)</f>
        <v>0.22261500000000001</v>
      </c>
    </row>
    <row r="743" spans="1:12" x14ac:dyDescent="0.3">
      <c r="A743" t="s">
        <v>750</v>
      </c>
      <c r="B743" t="s">
        <v>794</v>
      </c>
      <c r="C743" t="s">
        <v>18</v>
      </c>
      <c r="D743" t="str">
        <f>INT('Client'!$E743/12) &amp; " ans et " &amp; MOD('Client'!$E743,12) &amp; " mois"</f>
        <v>5 ans et 8 mois</v>
      </c>
      <c r="E743">
        <v>68</v>
      </c>
      <c r="F743" t="s">
        <v>14</v>
      </c>
      <c r="G743" s="7">
        <f>Client[[#This Row],[Duree_Cumulee_Panne_Min]]/1440</f>
        <v>0.19583333333333333</v>
      </c>
      <c r="H743">
        <v>282</v>
      </c>
      <c r="I743">
        <v>35.43</v>
      </c>
      <c r="J743">
        <v>1</v>
      </c>
      <c r="K743" s="8">
        <f>IF('Client'!$F743="Pro Monde",10%,IF(AND('Client'!$G743&gt;12,'Client'!$D743&gt;5),70%,IF(AND(OR('Client'!$G743&gt;=4,'Client'!$G743&lt;=12,'Client'!$D743&lt;5,(OR('Client'!$F743="Premium ")))),45%,0%)))</f>
        <v>0.1</v>
      </c>
      <c r="L743" s="4">
        <f>'Client'!$I743* ('Client'!$K743/100)</f>
        <v>3.5430000000000003E-2</v>
      </c>
    </row>
    <row r="744" spans="1:12" x14ac:dyDescent="0.3">
      <c r="A744" t="s">
        <v>750</v>
      </c>
      <c r="B744" t="s">
        <v>795</v>
      </c>
      <c r="C744" t="s">
        <v>24</v>
      </c>
      <c r="D744" t="str">
        <f>INT('Client'!$E744/12) &amp; " ans et " &amp; MOD('Client'!$E744,12) &amp; " mois"</f>
        <v>8 ans et 8 mois</v>
      </c>
      <c r="E744">
        <v>104</v>
      </c>
      <c r="F744" t="s">
        <v>19</v>
      </c>
      <c r="G744" s="7">
        <f>Client[[#This Row],[Duree_Cumulee_Panne_Min]]/1440</f>
        <v>0.1701388888888889</v>
      </c>
      <c r="H744">
        <v>245</v>
      </c>
      <c r="I744">
        <v>38.270000000000003</v>
      </c>
      <c r="J744">
        <v>0</v>
      </c>
      <c r="K744" s="8">
        <f>IF('Client'!$F744="Pro Monde",10%,IF(AND('Client'!$G744&gt;12,'Client'!$D744&gt;5),70%,IF(AND(OR('Client'!$G744&gt;=4,'Client'!$G744&lt;=12,'Client'!$D744&lt;5,(OR('Client'!$F744="Premium ")))),45%,0%)))</f>
        <v>0.45</v>
      </c>
      <c r="L744" s="4">
        <f>'Client'!$I744* ('Client'!$K744/100)</f>
        <v>0.17221500000000003</v>
      </c>
    </row>
    <row r="745" spans="1:12" x14ac:dyDescent="0.3">
      <c r="A745" t="s">
        <v>750</v>
      </c>
      <c r="B745" t="s">
        <v>796</v>
      </c>
      <c r="C745" t="s">
        <v>57</v>
      </c>
      <c r="D745" t="str">
        <f>INT('Client'!$E745/12) &amp; " ans et " &amp; MOD('Client'!$E745,12) &amp; " mois"</f>
        <v>8 ans et 6 mois</v>
      </c>
      <c r="E745">
        <v>102</v>
      </c>
      <c r="F745" t="s">
        <v>19</v>
      </c>
      <c r="G745" s="7">
        <f>Client[[#This Row],[Duree_Cumulee_Panne_Min]]/1440</f>
        <v>0.33611111111111114</v>
      </c>
      <c r="H745">
        <v>484</v>
      </c>
      <c r="I745">
        <v>64.22</v>
      </c>
      <c r="J745">
        <v>2</v>
      </c>
      <c r="K745" s="8">
        <f>IF('Client'!$F745="Pro Monde",10%,IF(AND('Client'!$G745&gt;12,'Client'!$D745&gt;5),70%,IF(AND(OR('Client'!$G745&gt;=4,'Client'!$G745&lt;=12,'Client'!$D745&lt;5,(OR('Client'!$F745="Premium ")))),45%,0%)))</f>
        <v>0.45</v>
      </c>
      <c r="L745" s="4">
        <f>'Client'!$I745* ('Client'!$K745/100)</f>
        <v>0.28899000000000002</v>
      </c>
    </row>
    <row r="746" spans="1:12" x14ac:dyDescent="0.3">
      <c r="A746" t="s">
        <v>750</v>
      </c>
      <c r="B746" t="s">
        <v>797</v>
      </c>
      <c r="C746" t="s">
        <v>51</v>
      </c>
      <c r="D746" t="str">
        <f>INT('Client'!$E746/12) &amp; " ans et " &amp; MOD('Client'!$E746,12) &amp; " mois"</f>
        <v>2 ans et 1 mois</v>
      </c>
      <c r="E746">
        <v>25</v>
      </c>
      <c r="F746" t="s">
        <v>14</v>
      </c>
      <c r="G746" s="7">
        <f>Client[[#This Row],[Duree_Cumulee_Panne_Min]]/1440</f>
        <v>4.583333333333333E-2</v>
      </c>
      <c r="H746">
        <v>66</v>
      </c>
      <c r="I746">
        <v>90.14</v>
      </c>
      <c r="J746">
        <v>5</v>
      </c>
      <c r="K746" s="8">
        <f>IF('Client'!$F746="Pro Monde",10%,IF(AND('Client'!$G746&gt;12,'Client'!$D746&gt;5),70%,IF(AND(OR('Client'!$G746&gt;=4,'Client'!$G746&lt;=12,'Client'!$D746&lt;5,(OR('Client'!$F746="Premium ")))),45%,0%)))</f>
        <v>0.1</v>
      </c>
      <c r="L746" s="4">
        <f>'Client'!$I746* ('Client'!$K746/100)</f>
        <v>9.0139999999999998E-2</v>
      </c>
    </row>
    <row r="747" spans="1:12" x14ac:dyDescent="0.3">
      <c r="A747" t="s">
        <v>750</v>
      </c>
      <c r="B747" t="s">
        <v>798</v>
      </c>
      <c r="C747" t="s">
        <v>29</v>
      </c>
      <c r="D747" t="str">
        <f>INT('Client'!$E747/12) &amp; " ans et " &amp; MOD('Client'!$E747,12) &amp; " mois"</f>
        <v>1 ans et 0 mois</v>
      </c>
      <c r="E747">
        <v>12</v>
      </c>
      <c r="F747" t="s">
        <v>11</v>
      </c>
      <c r="G747" s="7">
        <f>Client[[#This Row],[Duree_Cumulee_Panne_Min]]/1440</f>
        <v>9.583333333333334E-2</v>
      </c>
      <c r="H747">
        <v>138</v>
      </c>
      <c r="I747">
        <v>99.83</v>
      </c>
      <c r="J747">
        <v>1</v>
      </c>
      <c r="K747" s="8">
        <f>IF('Client'!$F747="Pro Monde",10%,IF(AND('Client'!$G747&gt;12,'Client'!$D747&gt;5),70%,IF(AND(OR('Client'!$G747&gt;=4,'Client'!$G747&lt;=12,'Client'!$D747&lt;5,(OR('Client'!$F747="Premium ")))),45%,0%)))</f>
        <v>0.45</v>
      </c>
      <c r="L747" s="4">
        <f>'Client'!$I747* ('Client'!$K747/100)</f>
        <v>0.44923500000000005</v>
      </c>
    </row>
    <row r="748" spans="1:12" x14ac:dyDescent="0.3">
      <c r="A748" t="s">
        <v>750</v>
      </c>
      <c r="B748" t="s">
        <v>799</v>
      </c>
      <c r="C748" t="s">
        <v>18</v>
      </c>
      <c r="D748" t="str">
        <f>INT('Client'!$E748/12) &amp; " ans et " &amp; MOD('Client'!$E748,12) &amp; " mois"</f>
        <v>6 ans et 3 mois</v>
      </c>
      <c r="E748">
        <v>75</v>
      </c>
      <c r="F748" t="s">
        <v>19</v>
      </c>
      <c r="G748" s="7">
        <f>Client[[#This Row],[Duree_Cumulee_Panne_Min]]/1440</f>
        <v>0.25694444444444442</v>
      </c>
      <c r="H748">
        <v>370</v>
      </c>
      <c r="I748">
        <v>21.67</v>
      </c>
      <c r="J748">
        <v>0</v>
      </c>
      <c r="K748" s="8">
        <f>IF('Client'!$F748="Pro Monde",10%,IF(AND('Client'!$G748&gt;12,'Client'!$D748&gt;5),70%,IF(AND(OR('Client'!$G748&gt;=4,'Client'!$G748&lt;=12,'Client'!$D748&lt;5,(OR('Client'!$F748="Premium ")))),45%,0%)))</f>
        <v>0.45</v>
      </c>
      <c r="L748" s="4">
        <f>'Client'!$I748* ('Client'!$K748/100)</f>
        <v>9.7515000000000018E-2</v>
      </c>
    </row>
    <row r="749" spans="1:12" x14ac:dyDescent="0.3">
      <c r="A749" t="s">
        <v>750</v>
      </c>
      <c r="B749" t="s">
        <v>800</v>
      </c>
      <c r="C749" t="s">
        <v>131</v>
      </c>
      <c r="D749" t="str">
        <f>INT('Client'!$E749/12) &amp; " ans et " &amp; MOD('Client'!$E749,12) &amp; " mois"</f>
        <v>0 ans et 4 mois</v>
      </c>
      <c r="E749">
        <v>4</v>
      </c>
      <c r="F749" t="s">
        <v>19</v>
      </c>
      <c r="G749" s="7">
        <f>Client[[#This Row],[Duree_Cumulee_Panne_Min]]/1440</f>
        <v>1.4583333333333334E-2</v>
      </c>
      <c r="H749">
        <v>21</v>
      </c>
      <c r="I749">
        <v>45.8</v>
      </c>
      <c r="J749">
        <v>1</v>
      </c>
      <c r="K749" s="8">
        <f>IF('Client'!$F749="Pro Monde",10%,IF(AND('Client'!$G749&gt;12,'Client'!$D749&gt;5),70%,IF(AND(OR('Client'!$G749&gt;=4,'Client'!$G749&lt;=12,'Client'!$D749&lt;5,(OR('Client'!$F749="Premium ")))),45%,0%)))</f>
        <v>0.45</v>
      </c>
      <c r="L749" s="4">
        <f>'Client'!$I749* ('Client'!$K749/100)</f>
        <v>0.20610000000000001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C92F-BA76-456A-8A88-720D4C8F9A08}">
  <dimension ref="A1:F1034"/>
  <sheetViews>
    <sheetView workbookViewId="0">
      <selection activeCell="L24" sqref="L24"/>
    </sheetView>
  </sheetViews>
  <sheetFormatPr baseColWidth="10" defaultRowHeight="14.4" x14ac:dyDescent="0.3"/>
  <cols>
    <col min="1" max="1" width="22" bestFit="1" customWidth="1"/>
    <col min="2" max="2" width="18.77734375" bestFit="1" customWidth="1"/>
    <col min="3" max="3" width="9" bestFit="1" customWidth="1"/>
    <col min="4" max="4" width="17.6640625" bestFit="1" customWidth="1"/>
    <col min="5" max="5" width="17.109375" bestFit="1" customWidth="1"/>
    <col min="6" max="6" width="25.5546875" bestFit="1" customWidth="1"/>
  </cols>
  <sheetData>
    <row r="1" spans="1:6" x14ac:dyDescent="0.3">
      <c r="A1" t="s">
        <v>0</v>
      </c>
      <c r="B1" t="s">
        <v>801</v>
      </c>
      <c r="C1" t="s">
        <v>802</v>
      </c>
      <c r="D1" t="s">
        <v>803</v>
      </c>
      <c r="E1" t="s">
        <v>804</v>
      </c>
      <c r="F1" t="s">
        <v>1487</v>
      </c>
    </row>
    <row r="2" spans="1:6" x14ac:dyDescent="0.3">
      <c r="A2" t="s">
        <v>805</v>
      </c>
      <c r="B2" s="1">
        <v>45208</v>
      </c>
      <c r="C2" t="s">
        <v>808</v>
      </c>
      <c r="D2">
        <v>38</v>
      </c>
      <c r="E2" t="s">
        <v>807</v>
      </c>
      <c r="F2" s="2">
        <v>0.30138888888888887</v>
      </c>
    </row>
    <row r="3" spans="1:6" x14ac:dyDescent="0.3">
      <c r="A3" t="s">
        <v>805</v>
      </c>
      <c r="B3" s="1">
        <v>45204</v>
      </c>
      <c r="C3" t="s">
        <v>809</v>
      </c>
      <c r="D3">
        <v>100</v>
      </c>
      <c r="E3" t="s">
        <v>810</v>
      </c>
      <c r="F3" s="2">
        <v>0.96250000000000002</v>
      </c>
    </row>
    <row r="4" spans="1:6" x14ac:dyDescent="0.3">
      <c r="A4" t="s">
        <v>805</v>
      </c>
      <c r="B4" s="1">
        <v>45221</v>
      </c>
      <c r="C4" t="s">
        <v>811</v>
      </c>
      <c r="D4">
        <v>79</v>
      </c>
      <c r="E4" t="s">
        <v>812</v>
      </c>
      <c r="F4" s="2">
        <v>0.99791666666666667</v>
      </c>
    </row>
    <row r="5" spans="1:6" x14ac:dyDescent="0.3">
      <c r="A5" t="s">
        <v>805</v>
      </c>
      <c r="B5" s="1">
        <v>45217</v>
      </c>
      <c r="C5" t="s">
        <v>813</v>
      </c>
      <c r="D5">
        <v>59</v>
      </c>
      <c r="E5" t="s">
        <v>807</v>
      </c>
      <c r="F5" s="2">
        <v>0.10902777777777778</v>
      </c>
    </row>
    <row r="6" spans="1:6" x14ac:dyDescent="0.3">
      <c r="A6" t="s">
        <v>805</v>
      </c>
      <c r="B6" s="1">
        <v>45213</v>
      </c>
      <c r="C6" t="s">
        <v>814</v>
      </c>
      <c r="D6">
        <v>119</v>
      </c>
      <c r="E6" t="s">
        <v>810</v>
      </c>
      <c r="F6" s="2">
        <v>4.2361111111111113E-2</v>
      </c>
    </row>
    <row r="7" spans="1:6" x14ac:dyDescent="0.3">
      <c r="A7" t="s">
        <v>805</v>
      </c>
      <c r="B7" s="1">
        <v>45202</v>
      </c>
      <c r="C7" t="s">
        <v>815</v>
      </c>
      <c r="D7">
        <v>79</v>
      </c>
      <c r="E7" t="s">
        <v>807</v>
      </c>
      <c r="F7" s="2">
        <v>0.25972222222222224</v>
      </c>
    </row>
    <row r="8" spans="1:6" x14ac:dyDescent="0.3">
      <c r="A8" t="s">
        <v>805</v>
      </c>
      <c r="B8" s="1">
        <v>45216</v>
      </c>
      <c r="C8" t="s">
        <v>816</v>
      </c>
      <c r="D8">
        <v>56</v>
      </c>
      <c r="E8" t="s">
        <v>807</v>
      </c>
      <c r="F8" s="2">
        <v>0.79236111111111107</v>
      </c>
    </row>
    <row r="9" spans="1:6" x14ac:dyDescent="0.3">
      <c r="A9" t="s">
        <v>805</v>
      </c>
      <c r="B9" s="1">
        <v>45217</v>
      </c>
      <c r="C9" t="s">
        <v>817</v>
      </c>
      <c r="D9">
        <v>51</v>
      </c>
      <c r="E9" t="s">
        <v>810</v>
      </c>
      <c r="F9" s="2">
        <v>0.28125</v>
      </c>
    </row>
    <row r="10" spans="1:6" x14ac:dyDescent="0.3">
      <c r="A10" t="s">
        <v>805</v>
      </c>
      <c r="B10" s="1">
        <v>45220</v>
      </c>
      <c r="C10" t="s">
        <v>818</v>
      </c>
      <c r="D10">
        <v>33</v>
      </c>
      <c r="E10" t="s">
        <v>812</v>
      </c>
      <c r="F10" s="2">
        <v>0.94027777777777777</v>
      </c>
    </row>
    <row r="11" spans="1:6" x14ac:dyDescent="0.3">
      <c r="A11" t="s">
        <v>805</v>
      </c>
      <c r="B11" s="1">
        <v>45213</v>
      </c>
      <c r="C11" t="s">
        <v>819</v>
      </c>
      <c r="D11">
        <v>22</v>
      </c>
      <c r="E11" t="s">
        <v>810</v>
      </c>
      <c r="F11" s="2">
        <v>0.31111111111111112</v>
      </c>
    </row>
    <row r="12" spans="1:6" x14ac:dyDescent="0.3">
      <c r="A12" t="s">
        <v>805</v>
      </c>
      <c r="B12" s="1">
        <v>45218</v>
      </c>
      <c r="C12" t="s">
        <v>820</v>
      </c>
      <c r="D12">
        <v>70</v>
      </c>
      <c r="E12" t="s">
        <v>807</v>
      </c>
      <c r="F12" s="2">
        <v>0.36875000000000002</v>
      </c>
    </row>
    <row r="13" spans="1:6" x14ac:dyDescent="0.3">
      <c r="A13" t="s">
        <v>805</v>
      </c>
      <c r="B13" s="1">
        <v>45225</v>
      </c>
      <c r="C13" t="s">
        <v>822</v>
      </c>
      <c r="D13">
        <v>16</v>
      </c>
      <c r="E13" t="s">
        <v>810</v>
      </c>
      <c r="F13" s="2">
        <v>0.2388888888888889</v>
      </c>
    </row>
    <row r="14" spans="1:6" x14ac:dyDescent="0.3">
      <c r="A14" t="s">
        <v>805</v>
      </c>
      <c r="B14" s="1">
        <v>45213</v>
      </c>
      <c r="C14" t="s">
        <v>823</v>
      </c>
      <c r="D14">
        <v>101</v>
      </c>
      <c r="E14" t="s">
        <v>810</v>
      </c>
      <c r="F14" s="2">
        <v>0.4284722222222222</v>
      </c>
    </row>
    <row r="15" spans="1:6" x14ac:dyDescent="0.3">
      <c r="A15" t="s">
        <v>805</v>
      </c>
      <c r="B15" s="1">
        <v>45204</v>
      </c>
      <c r="C15" t="s">
        <v>824</v>
      </c>
      <c r="D15">
        <v>11</v>
      </c>
      <c r="E15" t="s">
        <v>812</v>
      </c>
      <c r="F15" s="2">
        <v>0.28333333333333333</v>
      </c>
    </row>
    <row r="16" spans="1:6" x14ac:dyDescent="0.3">
      <c r="A16" t="s">
        <v>805</v>
      </c>
      <c r="B16" s="1">
        <v>45210</v>
      </c>
      <c r="C16" t="s">
        <v>825</v>
      </c>
      <c r="D16">
        <v>115</v>
      </c>
      <c r="E16" t="s">
        <v>807</v>
      </c>
      <c r="F16" s="2">
        <v>0.12847222222222221</v>
      </c>
    </row>
    <row r="17" spans="1:6" x14ac:dyDescent="0.3">
      <c r="A17" t="s">
        <v>805</v>
      </c>
      <c r="B17" s="1">
        <v>45212</v>
      </c>
      <c r="C17" t="s">
        <v>826</v>
      </c>
      <c r="D17">
        <v>19</v>
      </c>
      <c r="E17" t="s">
        <v>810</v>
      </c>
      <c r="F17" s="2">
        <v>0.14027777777777778</v>
      </c>
    </row>
    <row r="18" spans="1:6" x14ac:dyDescent="0.3">
      <c r="A18" t="s">
        <v>805</v>
      </c>
      <c r="B18" s="1">
        <v>45227</v>
      </c>
      <c r="C18" t="s">
        <v>827</v>
      </c>
      <c r="D18">
        <v>24</v>
      </c>
      <c r="E18" t="s">
        <v>810</v>
      </c>
      <c r="F18" s="2">
        <v>0.48472222222222222</v>
      </c>
    </row>
    <row r="19" spans="1:6" x14ac:dyDescent="0.3">
      <c r="A19" t="s">
        <v>805</v>
      </c>
      <c r="B19" s="1">
        <v>45208</v>
      </c>
      <c r="C19" t="s">
        <v>820</v>
      </c>
      <c r="D19">
        <v>85</v>
      </c>
      <c r="E19" t="s">
        <v>810</v>
      </c>
      <c r="F19" s="2">
        <v>7.3611111111111113E-2</v>
      </c>
    </row>
    <row r="20" spans="1:6" x14ac:dyDescent="0.3">
      <c r="A20" t="s">
        <v>805</v>
      </c>
      <c r="B20" s="1">
        <v>45214</v>
      </c>
      <c r="C20" t="s">
        <v>828</v>
      </c>
      <c r="D20">
        <v>25</v>
      </c>
      <c r="E20" t="s">
        <v>807</v>
      </c>
      <c r="F20" s="2">
        <v>0.71319444444444446</v>
      </c>
    </row>
    <row r="21" spans="1:6" x14ac:dyDescent="0.3">
      <c r="A21" t="s">
        <v>805</v>
      </c>
      <c r="B21" s="1">
        <v>45229</v>
      </c>
      <c r="C21" t="s">
        <v>829</v>
      </c>
      <c r="D21">
        <v>106</v>
      </c>
      <c r="E21" t="s">
        <v>810</v>
      </c>
      <c r="F21" s="2">
        <v>0.50347222222222221</v>
      </c>
    </row>
    <row r="22" spans="1:6" x14ac:dyDescent="0.3">
      <c r="A22" t="s">
        <v>805</v>
      </c>
      <c r="B22" s="1">
        <v>45217</v>
      </c>
      <c r="C22" t="s">
        <v>830</v>
      </c>
      <c r="D22">
        <v>92</v>
      </c>
      <c r="E22" t="s">
        <v>812</v>
      </c>
      <c r="F22" s="2">
        <v>0.41180555555555554</v>
      </c>
    </row>
    <row r="23" spans="1:6" x14ac:dyDescent="0.3">
      <c r="A23" t="s">
        <v>805</v>
      </c>
      <c r="B23" s="1">
        <v>45220</v>
      </c>
      <c r="C23" t="s">
        <v>831</v>
      </c>
      <c r="D23">
        <v>59</v>
      </c>
      <c r="E23" t="s">
        <v>812</v>
      </c>
      <c r="F23" s="2">
        <v>0.8305555555555556</v>
      </c>
    </row>
    <row r="24" spans="1:6" x14ac:dyDescent="0.3">
      <c r="A24" t="s">
        <v>805</v>
      </c>
      <c r="B24" s="1">
        <v>45227</v>
      </c>
      <c r="C24" t="s">
        <v>818</v>
      </c>
      <c r="D24">
        <v>81</v>
      </c>
      <c r="E24" t="s">
        <v>810</v>
      </c>
      <c r="F24" s="2">
        <v>0.48333333333333334</v>
      </c>
    </row>
    <row r="25" spans="1:6" x14ac:dyDescent="0.3">
      <c r="A25" t="s">
        <v>805</v>
      </c>
      <c r="B25" s="1">
        <v>45206</v>
      </c>
      <c r="C25" t="s">
        <v>832</v>
      </c>
      <c r="D25">
        <v>13</v>
      </c>
      <c r="E25" t="s">
        <v>810</v>
      </c>
      <c r="F25" s="2">
        <v>0.9194444444444444</v>
      </c>
    </row>
    <row r="26" spans="1:6" x14ac:dyDescent="0.3">
      <c r="A26" t="s">
        <v>805</v>
      </c>
      <c r="B26" s="1">
        <v>45201</v>
      </c>
      <c r="C26" t="s">
        <v>833</v>
      </c>
      <c r="D26">
        <v>54</v>
      </c>
      <c r="E26" t="s">
        <v>812</v>
      </c>
      <c r="F26" s="2">
        <v>0.88472222222222219</v>
      </c>
    </row>
    <row r="27" spans="1:6" x14ac:dyDescent="0.3">
      <c r="A27" t="s">
        <v>805</v>
      </c>
      <c r="B27" s="1">
        <v>45224</v>
      </c>
      <c r="C27" t="s">
        <v>809</v>
      </c>
      <c r="D27">
        <v>53</v>
      </c>
      <c r="E27" t="s">
        <v>812</v>
      </c>
      <c r="F27" s="2">
        <v>0.37847222222222221</v>
      </c>
    </row>
    <row r="28" spans="1:6" x14ac:dyDescent="0.3">
      <c r="A28" t="s">
        <v>805</v>
      </c>
      <c r="B28" s="1">
        <v>45227</v>
      </c>
      <c r="C28" t="s">
        <v>834</v>
      </c>
      <c r="D28">
        <v>81</v>
      </c>
      <c r="E28" t="s">
        <v>810</v>
      </c>
      <c r="F28" s="2">
        <v>0.3298611111111111</v>
      </c>
    </row>
    <row r="29" spans="1:6" x14ac:dyDescent="0.3">
      <c r="A29" t="s">
        <v>805</v>
      </c>
      <c r="B29" s="1">
        <v>45203</v>
      </c>
      <c r="C29" t="s">
        <v>835</v>
      </c>
      <c r="D29">
        <v>64</v>
      </c>
      <c r="E29" t="s">
        <v>812</v>
      </c>
      <c r="F29" s="2">
        <v>0.51180555555555551</v>
      </c>
    </row>
    <row r="30" spans="1:6" x14ac:dyDescent="0.3">
      <c r="A30" t="s">
        <v>805</v>
      </c>
      <c r="B30" s="1">
        <v>45214</v>
      </c>
      <c r="C30" t="s">
        <v>836</v>
      </c>
      <c r="D30">
        <v>72</v>
      </c>
      <c r="E30" t="s">
        <v>807</v>
      </c>
      <c r="F30" s="2">
        <v>0.87013888888888891</v>
      </c>
    </row>
    <row r="31" spans="1:6" x14ac:dyDescent="0.3">
      <c r="A31" t="s">
        <v>805</v>
      </c>
      <c r="B31" s="1">
        <v>45211</v>
      </c>
      <c r="C31" t="s">
        <v>837</v>
      </c>
      <c r="D31">
        <v>37</v>
      </c>
      <c r="E31" t="s">
        <v>807</v>
      </c>
      <c r="F31" s="2">
        <v>0.22430555555555556</v>
      </c>
    </row>
    <row r="32" spans="1:6" x14ac:dyDescent="0.3">
      <c r="A32" t="s">
        <v>805</v>
      </c>
      <c r="B32" s="1">
        <v>45211</v>
      </c>
      <c r="C32" t="s">
        <v>838</v>
      </c>
      <c r="D32">
        <v>75</v>
      </c>
      <c r="E32" t="s">
        <v>807</v>
      </c>
      <c r="F32" s="2">
        <v>0.27916666666666667</v>
      </c>
    </row>
    <row r="33" spans="1:6" x14ac:dyDescent="0.3">
      <c r="A33" t="s">
        <v>805</v>
      </c>
      <c r="B33" s="1">
        <v>45208</v>
      </c>
      <c r="C33" t="s">
        <v>839</v>
      </c>
      <c r="D33">
        <v>115</v>
      </c>
      <c r="E33" t="s">
        <v>807</v>
      </c>
      <c r="F33" s="2">
        <v>0.95763888888888893</v>
      </c>
    </row>
    <row r="34" spans="1:6" x14ac:dyDescent="0.3">
      <c r="A34" t="s">
        <v>805</v>
      </c>
      <c r="B34" s="1">
        <v>45221</v>
      </c>
      <c r="C34" t="s">
        <v>840</v>
      </c>
      <c r="D34">
        <v>6</v>
      </c>
      <c r="E34" t="s">
        <v>812</v>
      </c>
      <c r="F34" s="2">
        <v>0.83611111111111114</v>
      </c>
    </row>
    <row r="35" spans="1:6" x14ac:dyDescent="0.3">
      <c r="A35" t="s">
        <v>805</v>
      </c>
      <c r="B35" s="1">
        <v>45219</v>
      </c>
      <c r="C35" t="s">
        <v>841</v>
      </c>
      <c r="D35">
        <v>92</v>
      </c>
      <c r="E35" t="s">
        <v>807</v>
      </c>
      <c r="F35" s="2">
        <v>0.84027777777777779</v>
      </c>
    </row>
    <row r="36" spans="1:6" x14ac:dyDescent="0.3">
      <c r="A36" t="s">
        <v>805</v>
      </c>
      <c r="B36" s="1">
        <v>45217</v>
      </c>
      <c r="C36" t="s">
        <v>842</v>
      </c>
      <c r="D36">
        <v>97</v>
      </c>
      <c r="E36" t="s">
        <v>810</v>
      </c>
      <c r="F36" s="2">
        <v>0.96875</v>
      </c>
    </row>
    <row r="37" spans="1:6" x14ac:dyDescent="0.3">
      <c r="A37" t="s">
        <v>805</v>
      </c>
      <c r="B37" s="1">
        <v>45205</v>
      </c>
      <c r="C37" t="s">
        <v>843</v>
      </c>
      <c r="D37">
        <v>19</v>
      </c>
      <c r="E37" t="s">
        <v>810</v>
      </c>
      <c r="F37" s="2">
        <v>0.6</v>
      </c>
    </row>
    <row r="38" spans="1:6" x14ac:dyDescent="0.3">
      <c r="A38" t="s">
        <v>805</v>
      </c>
      <c r="B38" s="1">
        <v>45208</v>
      </c>
      <c r="C38" t="s">
        <v>844</v>
      </c>
      <c r="D38">
        <v>92</v>
      </c>
      <c r="E38" t="s">
        <v>807</v>
      </c>
      <c r="F38" s="2">
        <v>0.86388888888888893</v>
      </c>
    </row>
    <row r="39" spans="1:6" x14ac:dyDescent="0.3">
      <c r="A39" t="s">
        <v>805</v>
      </c>
      <c r="B39" s="1">
        <v>45217</v>
      </c>
      <c r="C39" t="s">
        <v>845</v>
      </c>
      <c r="D39">
        <v>118</v>
      </c>
      <c r="E39" t="s">
        <v>810</v>
      </c>
      <c r="F39" s="2">
        <v>0.3215277777777778</v>
      </c>
    </row>
    <row r="40" spans="1:6" x14ac:dyDescent="0.3">
      <c r="A40" t="s">
        <v>805</v>
      </c>
      <c r="B40" s="1">
        <v>45210</v>
      </c>
      <c r="C40" t="s">
        <v>846</v>
      </c>
      <c r="D40">
        <v>73</v>
      </c>
      <c r="E40" t="s">
        <v>807</v>
      </c>
      <c r="F40" s="2">
        <v>5.1388888888888887E-2</v>
      </c>
    </row>
    <row r="41" spans="1:6" x14ac:dyDescent="0.3">
      <c r="A41" t="s">
        <v>805</v>
      </c>
      <c r="B41" s="1">
        <v>45226</v>
      </c>
      <c r="C41" t="s">
        <v>847</v>
      </c>
      <c r="D41">
        <v>101</v>
      </c>
      <c r="E41" t="s">
        <v>807</v>
      </c>
      <c r="F41" s="2">
        <v>7.7083333333333337E-2</v>
      </c>
    </row>
    <row r="42" spans="1:6" x14ac:dyDescent="0.3">
      <c r="A42" t="s">
        <v>805</v>
      </c>
      <c r="B42" s="1">
        <v>45202</v>
      </c>
      <c r="C42" t="s">
        <v>848</v>
      </c>
      <c r="D42">
        <v>103</v>
      </c>
      <c r="E42" t="s">
        <v>810</v>
      </c>
      <c r="F42" s="2">
        <v>0.2902777777777778</v>
      </c>
    </row>
    <row r="43" spans="1:6" x14ac:dyDescent="0.3">
      <c r="A43" t="s">
        <v>805</v>
      </c>
      <c r="B43" s="1">
        <v>45230</v>
      </c>
      <c r="C43" t="s">
        <v>849</v>
      </c>
      <c r="D43">
        <v>87</v>
      </c>
      <c r="E43" t="s">
        <v>810</v>
      </c>
      <c r="F43" s="2">
        <v>0.78888888888888886</v>
      </c>
    </row>
    <row r="44" spans="1:6" x14ac:dyDescent="0.3">
      <c r="A44" t="s">
        <v>805</v>
      </c>
      <c r="B44" s="1">
        <v>45222</v>
      </c>
      <c r="C44" t="s">
        <v>850</v>
      </c>
      <c r="D44">
        <v>48</v>
      </c>
      <c r="E44" t="s">
        <v>807</v>
      </c>
      <c r="F44" s="2">
        <v>0.42569444444444443</v>
      </c>
    </row>
    <row r="45" spans="1:6" x14ac:dyDescent="0.3">
      <c r="A45" t="s">
        <v>805</v>
      </c>
      <c r="B45" s="1">
        <v>45220</v>
      </c>
      <c r="C45" t="s">
        <v>851</v>
      </c>
      <c r="D45">
        <v>19</v>
      </c>
      <c r="E45" t="s">
        <v>807</v>
      </c>
      <c r="F45" s="2">
        <v>0.64236111111111116</v>
      </c>
    </row>
    <row r="46" spans="1:6" x14ac:dyDescent="0.3">
      <c r="A46" t="s">
        <v>805</v>
      </c>
      <c r="B46" s="1">
        <v>45228</v>
      </c>
      <c r="C46" t="s">
        <v>846</v>
      </c>
      <c r="D46">
        <v>42</v>
      </c>
      <c r="E46" t="s">
        <v>807</v>
      </c>
      <c r="F46" s="2">
        <v>0.85347222222222219</v>
      </c>
    </row>
    <row r="47" spans="1:6" x14ac:dyDescent="0.3">
      <c r="A47" t="s">
        <v>805</v>
      </c>
      <c r="B47" s="1">
        <v>45204</v>
      </c>
      <c r="C47" t="s">
        <v>852</v>
      </c>
      <c r="D47">
        <v>60</v>
      </c>
      <c r="E47" t="s">
        <v>807</v>
      </c>
      <c r="F47" s="2">
        <v>0.33888888888888891</v>
      </c>
    </row>
    <row r="48" spans="1:6" x14ac:dyDescent="0.3">
      <c r="A48" t="s">
        <v>805</v>
      </c>
      <c r="B48" s="1">
        <v>45207</v>
      </c>
      <c r="C48" t="s">
        <v>853</v>
      </c>
      <c r="D48">
        <v>25</v>
      </c>
      <c r="E48" t="s">
        <v>812</v>
      </c>
      <c r="F48" s="2">
        <v>0.98263888888888884</v>
      </c>
    </row>
    <row r="49" spans="1:6" x14ac:dyDescent="0.3">
      <c r="A49" t="s">
        <v>854</v>
      </c>
      <c r="B49" s="1">
        <v>45218</v>
      </c>
      <c r="C49" t="s">
        <v>855</v>
      </c>
      <c r="D49">
        <v>17</v>
      </c>
      <c r="E49" t="s">
        <v>812</v>
      </c>
      <c r="F49" s="2">
        <v>0.63541666666666663</v>
      </c>
    </row>
    <row r="50" spans="1:6" x14ac:dyDescent="0.3">
      <c r="A50" t="s">
        <v>854</v>
      </c>
      <c r="B50" s="1">
        <v>45225</v>
      </c>
      <c r="C50" t="s">
        <v>856</v>
      </c>
      <c r="D50">
        <v>14</v>
      </c>
      <c r="E50" t="s">
        <v>807</v>
      </c>
      <c r="F50" s="2">
        <v>0.66041666666666665</v>
      </c>
    </row>
    <row r="51" spans="1:6" x14ac:dyDescent="0.3">
      <c r="A51" t="s">
        <v>854</v>
      </c>
      <c r="B51" s="1">
        <v>45213</v>
      </c>
      <c r="C51" t="s">
        <v>857</v>
      </c>
      <c r="D51">
        <v>73</v>
      </c>
      <c r="E51" t="s">
        <v>812</v>
      </c>
      <c r="F51" s="2">
        <v>0.25416666666666665</v>
      </c>
    </row>
    <row r="52" spans="1:6" x14ac:dyDescent="0.3">
      <c r="A52" t="s">
        <v>854</v>
      </c>
      <c r="B52" s="1">
        <v>45203</v>
      </c>
      <c r="C52" t="s">
        <v>858</v>
      </c>
      <c r="D52">
        <v>32</v>
      </c>
      <c r="E52" t="s">
        <v>807</v>
      </c>
      <c r="F52" s="2">
        <v>0.89375000000000004</v>
      </c>
    </row>
    <row r="53" spans="1:6" x14ac:dyDescent="0.3">
      <c r="A53" t="s">
        <v>854</v>
      </c>
      <c r="B53" s="1">
        <v>45211</v>
      </c>
      <c r="C53" t="s">
        <v>841</v>
      </c>
      <c r="D53">
        <v>69</v>
      </c>
      <c r="E53" t="s">
        <v>810</v>
      </c>
      <c r="F53" s="2">
        <v>0.55972222222222223</v>
      </c>
    </row>
    <row r="54" spans="1:6" x14ac:dyDescent="0.3">
      <c r="A54" t="s">
        <v>854</v>
      </c>
      <c r="B54" s="1">
        <v>45214</v>
      </c>
      <c r="C54" t="s">
        <v>859</v>
      </c>
      <c r="D54">
        <v>38</v>
      </c>
      <c r="E54" t="s">
        <v>807</v>
      </c>
      <c r="F54" s="2">
        <v>0.9604166666666667</v>
      </c>
    </row>
    <row r="55" spans="1:6" x14ac:dyDescent="0.3">
      <c r="A55" t="s">
        <v>854</v>
      </c>
      <c r="B55" s="1">
        <v>45221</v>
      </c>
      <c r="C55" t="s">
        <v>860</v>
      </c>
      <c r="D55">
        <v>21</v>
      </c>
      <c r="E55" t="s">
        <v>810</v>
      </c>
      <c r="F55" s="2">
        <v>0.8618055555555556</v>
      </c>
    </row>
    <row r="56" spans="1:6" x14ac:dyDescent="0.3">
      <c r="A56" t="s">
        <v>854</v>
      </c>
      <c r="B56" s="1">
        <v>45203</v>
      </c>
      <c r="C56" t="s">
        <v>861</v>
      </c>
      <c r="D56">
        <v>49</v>
      </c>
      <c r="E56" t="s">
        <v>807</v>
      </c>
      <c r="F56" s="2">
        <v>5.9027777777777776E-2</v>
      </c>
    </row>
    <row r="57" spans="1:6" x14ac:dyDescent="0.3">
      <c r="A57" t="s">
        <v>854</v>
      </c>
      <c r="B57" s="1">
        <v>45223</v>
      </c>
      <c r="C57" t="s">
        <v>862</v>
      </c>
      <c r="D57">
        <v>117</v>
      </c>
      <c r="E57" t="s">
        <v>812</v>
      </c>
      <c r="F57" s="2">
        <v>0.45208333333333334</v>
      </c>
    </row>
    <row r="58" spans="1:6" x14ac:dyDescent="0.3">
      <c r="A58" t="s">
        <v>854</v>
      </c>
      <c r="B58" s="1">
        <v>45227</v>
      </c>
      <c r="C58" t="s">
        <v>863</v>
      </c>
      <c r="D58">
        <v>13</v>
      </c>
      <c r="E58" t="s">
        <v>810</v>
      </c>
      <c r="F58" s="2">
        <v>0.13541666666666666</v>
      </c>
    </row>
    <row r="59" spans="1:6" x14ac:dyDescent="0.3">
      <c r="A59" t="s">
        <v>854</v>
      </c>
      <c r="B59" s="1">
        <v>45206</v>
      </c>
      <c r="C59" t="s">
        <v>864</v>
      </c>
      <c r="D59">
        <v>117</v>
      </c>
      <c r="E59" t="s">
        <v>812</v>
      </c>
      <c r="F59" s="2">
        <v>0.27361111111111114</v>
      </c>
    </row>
    <row r="60" spans="1:6" x14ac:dyDescent="0.3">
      <c r="A60" t="s">
        <v>854</v>
      </c>
      <c r="B60" s="1">
        <v>45214</v>
      </c>
      <c r="C60" t="s">
        <v>855</v>
      </c>
      <c r="D60">
        <v>36</v>
      </c>
      <c r="E60" t="s">
        <v>810</v>
      </c>
      <c r="F60" s="2">
        <v>0.18541666666666667</v>
      </c>
    </row>
    <row r="61" spans="1:6" x14ac:dyDescent="0.3">
      <c r="A61" t="s">
        <v>854</v>
      </c>
      <c r="B61" s="1">
        <v>45205</v>
      </c>
      <c r="C61" t="s">
        <v>865</v>
      </c>
      <c r="D61">
        <v>52</v>
      </c>
      <c r="E61" t="s">
        <v>810</v>
      </c>
      <c r="F61" s="2">
        <v>0.35347222222222224</v>
      </c>
    </row>
    <row r="62" spans="1:6" x14ac:dyDescent="0.3">
      <c r="A62" t="s">
        <v>854</v>
      </c>
      <c r="B62" s="1">
        <v>45207</v>
      </c>
      <c r="C62" t="s">
        <v>866</v>
      </c>
      <c r="D62">
        <v>41</v>
      </c>
      <c r="E62" t="s">
        <v>807</v>
      </c>
      <c r="F62" s="2">
        <v>0.10277777777777777</v>
      </c>
    </row>
    <row r="63" spans="1:6" x14ac:dyDescent="0.3">
      <c r="A63" t="s">
        <v>854</v>
      </c>
      <c r="B63" s="1">
        <v>45225</v>
      </c>
      <c r="C63" t="s">
        <v>867</v>
      </c>
      <c r="D63">
        <v>25</v>
      </c>
      <c r="E63" t="s">
        <v>807</v>
      </c>
      <c r="F63" s="2">
        <v>0.71250000000000002</v>
      </c>
    </row>
    <row r="64" spans="1:6" x14ac:dyDescent="0.3">
      <c r="A64" t="s">
        <v>854</v>
      </c>
      <c r="B64" s="1">
        <v>45201</v>
      </c>
      <c r="C64" t="s">
        <v>868</v>
      </c>
      <c r="D64">
        <v>61</v>
      </c>
      <c r="E64" t="s">
        <v>807</v>
      </c>
      <c r="F64" s="2">
        <v>0.8569444444444444</v>
      </c>
    </row>
    <row r="65" spans="1:6" x14ac:dyDescent="0.3">
      <c r="A65" t="s">
        <v>854</v>
      </c>
      <c r="B65" s="1">
        <v>45229</v>
      </c>
      <c r="C65" t="s">
        <v>869</v>
      </c>
      <c r="D65">
        <v>74</v>
      </c>
      <c r="E65" t="s">
        <v>812</v>
      </c>
      <c r="F65" s="2">
        <v>0.2986111111111111</v>
      </c>
    </row>
    <row r="66" spans="1:6" x14ac:dyDescent="0.3">
      <c r="A66" t="s">
        <v>854</v>
      </c>
      <c r="B66" s="1">
        <v>45213</v>
      </c>
      <c r="C66" t="s">
        <v>870</v>
      </c>
      <c r="D66">
        <v>95</v>
      </c>
      <c r="E66" t="s">
        <v>807</v>
      </c>
      <c r="F66" s="2">
        <v>0.64583333333333337</v>
      </c>
    </row>
    <row r="67" spans="1:6" x14ac:dyDescent="0.3">
      <c r="A67" t="s">
        <v>854</v>
      </c>
      <c r="B67" s="1">
        <v>45206</v>
      </c>
      <c r="C67" t="s">
        <v>871</v>
      </c>
      <c r="D67">
        <v>43</v>
      </c>
      <c r="E67" t="s">
        <v>807</v>
      </c>
      <c r="F67" s="2">
        <v>0.5395833333333333</v>
      </c>
    </row>
    <row r="68" spans="1:6" x14ac:dyDescent="0.3">
      <c r="A68" t="s">
        <v>854</v>
      </c>
      <c r="B68" s="1">
        <v>45201</v>
      </c>
      <c r="C68" t="s">
        <v>872</v>
      </c>
      <c r="D68">
        <v>83</v>
      </c>
      <c r="E68" t="s">
        <v>810</v>
      </c>
      <c r="F68" s="2">
        <v>0.22500000000000001</v>
      </c>
    </row>
    <row r="69" spans="1:6" x14ac:dyDescent="0.3">
      <c r="A69" t="s">
        <v>854</v>
      </c>
      <c r="B69" s="1">
        <v>45200</v>
      </c>
      <c r="C69" t="s">
        <v>873</v>
      </c>
      <c r="D69">
        <v>108</v>
      </c>
      <c r="E69" t="s">
        <v>812</v>
      </c>
      <c r="F69" s="2">
        <v>0.51111111111111107</v>
      </c>
    </row>
    <row r="70" spans="1:6" x14ac:dyDescent="0.3">
      <c r="A70" t="s">
        <v>854</v>
      </c>
      <c r="B70" s="1">
        <v>45229</v>
      </c>
      <c r="C70" t="s">
        <v>832</v>
      </c>
      <c r="D70">
        <v>88</v>
      </c>
      <c r="E70" t="s">
        <v>812</v>
      </c>
      <c r="F70" s="2">
        <v>0.59583333333333333</v>
      </c>
    </row>
    <row r="71" spans="1:6" x14ac:dyDescent="0.3">
      <c r="A71" t="s">
        <v>854</v>
      </c>
      <c r="B71" s="1">
        <v>45213</v>
      </c>
      <c r="C71" t="s">
        <v>874</v>
      </c>
      <c r="D71">
        <v>72</v>
      </c>
      <c r="E71" t="s">
        <v>810</v>
      </c>
      <c r="F71" s="2">
        <v>0.94861111111111107</v>
      </c>
    </row>
    <row r="72" spans="1:6" x14ac:dyDescent="0.3">
      <c r="A72" t="s">
        <v>854</v>
      </c>
      <c r="B72" s="1">
        <v>45225</v>
      </c>
      <c r="C72" t="s">
        <v>875</v>
      </c>
      <c r="D72">
        <v>6</v>
      </c>
      <c r="E72" t="s">
        <v>810</v>
      </c>
      <c r="F72" s="2">
        <v>0.73750000000000004</v>
      </c>
    </row>
    <row r="73" spans="1:6" x14ac:dyDescent="0.3">
      <c r="A73" t="s">
        <v>854</v>
      </c>
      <c r="B73" s="1">
        <v>45222</v>
      </c>
      <c r="C73" t="s">
        <v>876</v>
      </c>
      <c r="D73">
        <v>90</v>
      </c>
      <c r="E73" t="s">
        <v>807</v>
      </c>
      <c r="F73" s="2">
        <v>0.63124999999999998</v>
      </c>
    </row>
    <row r="74" spans="1:6" x14ac:dyDescent="0.3">
      <c r="A74" t="s">
        <v>854</v>
      </c>
      <c r="B74" s="1">
        <v>45206</v>
      </c>
      <c r="C74" t="s">
        <v>877</v>
      </c>
      <c r="D74">
        <v>109</v>
      </c>
      <c r="E74" t="s">
        <v>812</v>
      </c>
      <c r="F74" s="2">
        <v>0.3840277777777778</v>
      </c>
    </row>
    <row r="75" spans="1:6" x14ac:dyDescent="0.3">
      <c r="A75" t="s">
        <v>854</v>
      </c>
      <c r="B75" s="1">
        <v>45230</v>
      </c>
      <c r="C75" t="s">
        <v>878</v>
      </c>
      <c r="D75">
        <v>75</v>
      </c>
      <c r="E75" t="s">
        <v>807</v>
      </c>
      <c r="F75" s="2">
        <v>6.7361111111111108E-2</v>
      </c>
    </row>
    <row r="76" spans="1:6" x14ac:dyDescent="0.3">
      <c r="A76" t="s">
        <v>854</v>
      </c>
      <c r="B76" s="1">
        <v>45223</v>
      </c>
      <c r="C76" t="s">
        <v>879</v>
      </c>
      <c r="D76">
        <v>43</v>
      </c>
      <c r="E76" t="s">
        <v>810</v>
      </c>
      <c r="F76" s="2">
        <v>0.7104166666666667</v>
      </c>
    </row>
    <row r="77" spans="1:6" x14ac:dyDescent="0.3">
      <c r="A77" t="s">
        <v>854</v>
      </c>
      <c r="B77" s="1">
        <v>45223</v>
      </c>
      <c r="C77" t="s">
        <v>880</v>
      </c>
      <c r="D77">
        <v>89</v>
      </c>
      <c r="E77" t="s">
        <v>807</v>
      </c>
      <c r="F77" s="2">
        <v>0.41875000000000001</v>
      </c>
    </row>
    <row r="78" spans="1:6" x14ac:dyDescent="0.3">
      <c r="A78" t="s">
        <v>854</v>
      </c>
      <c r="B78" s="1">
        <v>45201</v>
      </c>
      <c r="C78" t="s">
        <v>843</v>
      </c>
      <c r="D78">
        <v>18</v>
      </c>
      <c r="E78" t="s">
        <v>812</v>
      </c>
      <c r="F78" s="2">
        <v>0.77083333333333337</v>
      </c>
    </row>
    <row r="79" spans="1:6" x14ac:dyDescent="0.3">
      <c r="A79" t="s">
        <v>854</v>
      </c>
      <c r="B79" s="1">
        <v>45216</v>
      </c>
      <c r="C79" t="s">
        <v>881</v>
      </c>
      <c r="D79">
        <v>117</v>
      </c>
      <c r="E79" t="s">
        <v>807</v>
      </c>
      <c r="F79" s="2">
        <v>0.67361111111111116</v>
      </c>
    </row>
    <row r="80" spans="1:6" x14ac:dyDescent="0.3">
      <c r="A80" t="s">
        <v>854</v>
      </c>
      <c r="B80" s="1">
        <v>45201</v>
      </c>
      <c r="C80" t="s">
        <v>882</v>
      </c>
      <c r="D80">
        <v>22</v>
      </c>
      <c r="E80" t="s">
        <v>812</v>
      </c>
      <c r="F80" s="2">
        <v>0.67013888888888884</v>
      </c>
    </row>
    <row r="81" spans="1:6" x14ac:dyDescent="0.3">
      <c r="A81" t="s">
        <v>854</v>
      </c>
      <c r="B81" s="1">
        <v>45227</v>
      </c>
      <c r="C81" t="s">
        <v>883</v>
      </c>
      <c r="D81">
        <v>38</v>
      </c>
      <c r="E81" t="s">
        <v>807</v>
      </c>
      <c r="F81" s="2">
        <v>0.21111111111111111</v>
      </c>
    </row>
    <row r="82" spans="1:6" x14ac:dyDescent="0.3">
      <c r="A82" t="s">
        <v>854</v>
      </c>
      <c r="B82" s="1">
        <v>45219</v>
      </c>
      <c r="C82" t="s">
        <v>884</v>
      </c>
      <c r="D82">
        <v>19</v>
      </c>
      <c r="E82" t="s">
        <v>807</v>
      </c>
      <c r="F82" s="2">
        <v>0.11319444444444444</v>
      </c>
    </row>
    <row r="83" spans="1:6" x14ac:dyDescent="0.3">
      <c r="A83" t="s">
        <v>854</v>
      </c>
      <c r="B83" s="1">
        <v>45227</v>
      </c>
      <c r="C83" t="s">
        <v>885</v>
      </c>
      <c r="D83">
        <v>118</v>
      </c>
      <c r="E83" t="s">
        <v>812</v>
      </c>
      <c r="F83" s="2">
        <v>0.30902777777777779</v>
      </c>
    </row>
    <row r="84" spans="1:6" x14ac:dyDescent="0.3">
      <c r="A84" t="s">
        <v>854</v>
      </c>
      <c r="B84" s="1">
        <v>45203</v>
      </c>
      <c r="C84" t="s">
        <v>886</v>
      </c>
      <c r="D84">
        <v>18</v>
      </c>
      <c r="E84" t="s">
        <v>812</v>
      </c>
      <c r="F84" s="2">
        <v>0.76041666666666663</v>
      </c>
    </row>
    <row r="85" spans="1:6" x14ac:dyDescent="0.3">
      <c r="A85" t="s">
        <v>854</v>
      </c>
      <c r="B85" s="1">
        <v>45218</v>
      </c>
      <c r="C85" t="s">
        <v>887</v>
      </c>
      <c r="D85">
        <v>100</v>
      </c>
      <c r="E85" t="s">
        <v>812</v>
      </c>
      <c r="F85" s="2">
        <v>0.79305555555555551</v>
      </c>
    </row>
    <row r="86" spans="1:6" x14ac:dyDescent="0.3">
      <c r="A86" t="s">
        <v>854</v>
      </c>
      <c r="B86" s="1">
        <v>45219</v>
      </c>
      <c r="C86" t="s">
        <v>888</v>
      </c>
      <c r="D86">
        <v>75</v>
      </c>
      <c r="E86" t="s">
        <v>807</v>
      </c>
      <c r="F86" s="2">
        <v>0.10138888888888889</v>
      </c>
    </row>
    <row r="87" spans="1:6" x14ac:dyDescent="0.3">
      <c r="A87" t="s">
        <v>854</v>
      </c>
      <c r="B87" s="1">
        <v>45221</v>
      </c>
      <c r="C87" t="s">
        <v>889</v>
      </c>
      <c r="D87">
        <v>24</v>
      </c>
      <c r="E87" t="s">
        <v>807</v>
      </c>
      <c r="F87" s="2">
        <v>0.77500000000000002</v>
      </c>
    </row>
    <row r="88" spans="1:6" x14ac:dyDescent="0.3">
      <c r="A88" t="s">
        <v>854</v>
      </c>
      <c r="B88" s="1">
        <v>45216</v>
      </c>
      <c r="C88" t="s">
        <v>890</v>
      </c>
      <c r="D88">
        <v>39</v>
      </c>
      <c r="E88" t="s">
        <v>807</v>
      </c>
      <c r="F88" s="2">
        <v>0.45763888888888887</v>
      </c>
    </row>
    <row r="89" spans="1:6" x14ac:dyDescent="0.3">
      <c r="A89" t="s">
        <v>854</v>
      </c>
      <c r="B89" s="1">
        <v>45208</v>
      </c>
      <c r="C89" t="s">
        <v>891</v>
      </c>
      <c r="D89">
        <v>41</v>
      </c>
      <c r="E89" t="s">
        <v>810</v>
      </c>
      <c r="F89" s="2">
        <v>0.27916666666666667</v>
      </c>
    </row>
    <row r="90" spans="1:6" x14ac:dyDescent="0.3">
      <c r="A90" t="s">
        <v>854</v>
      </c>
      <c r="B90" s="1">
        <v>45222</v>
      </c>
      <c r="C90" t="s">
        <v>892</v>
      </c>
      <c r="D90">
        <v>82</v>
      </c>
      <c r="E90" t="s">
        <v>807</v>
      </c>
      <c r="F90" s="2">
        <v>0.42708333333333331</v>
      </c>
    </row>
    <row r="91" spans="1:6" x14ac:dyDescent="0.3">
      <c r="A91" t="s">
        <v>854</v>
      </c>
      <c r="B91" s="1">
        <v>45208</v>
      </c>
      <c r="C91" t="s">
        <v>893</v>
      </c>
      <c r="D91">
        <v>31</v>
      </c>
      <c r="E91" t="s">
        <v>812</v>
      </c>
      <c r="F91" s="2">
        <v>0.50555555555555554</v>
      </c>
    </row>
    <row r="92" spans="1:6" x14ac:dyDescent="0.3">
      <c r="A92" t="s">
        <v>854</v>
      </c>
      <c r="B92" s="1">
        <v>45221</v>
      </c>
      <c r="C92" t="s">
        <v>894</v>
      </c>
      <c r="D92">
        <v>96</v>
      </c>
      <c r="E92" t="s">
        <v>812</v>
      </c>
      <c r="F92" s="2">
        <v>0.84652777777777777</v>
      </c>
    </row>
    <row r="93" spans="1:6" x14ac:dyDescent="0.3">
      <c r="A93" t="s">
        <v>854</v>
      </c>
      <c r="B93" s="1">
        <v>45214</v>
      </c>
      <c r="C93" t="s">
        <v>895</v>
      </c>
      <c r="D93">
        <v>48</v>
      </c>
      <c r="E93" t="s">
        <v>812</v>
      </c>
      <c r="F93" s="2">
        <v>0.45763888888888887</v>
      </c>
    </row>
    <row r="94" spans="1:6" x14ac:dyDescent="0.3">
      <c r="A94" t="s">
        <v>854</v>
      </c>
      <c r="B94" s="1">
        <v>45224</v>
      </c>
      <c r="C94" t="s">
        <v>896</v>
      </c>
      <c r="D94">
        <v>31</v>
      </c>
      <c r="E94" t="s">
        <v>807</v>
      </c>
      <c r="F94" s="2">
        <v>8.3333333333333329E-2</v>
      </c>
    </row>
    <row r="95" spans="1:6" x14ac:dyDescent="0.3">
      <c r="A95" t="s">
        <v>854</v>
      </c>
      <c r="B95" s="1">
        <v>45214</v>
      </c>
      <c r="C95" t="s">
        <v>897</v>
      </c>
      <c r="D95">
        <v>92</v>
      </c>
      <c r="E95" t="s">
        <v>812</v>
      </c>
      <c r="F95" s="2">
        <v>0.81666666666666665</v>
      </c>
    </row>
    <row r="96" spans="1:6" x14ac:dyDescent="0.3">
      <c r="A96" t="s">
        <v>898</v>
      </c>
      <c r="B96" s="1">
        <v>45228</v>
      </c>
      <c r="C96" t="s">
        <v>900</v>
      </c>
      <c r="D96">
        <v>118</v>
      </c>
      <c r="E96" t="s">
        <v>812</v>
      </c>
      <c r="F96" s="2">
        <v>0.34097222222222223</v>
      </c>
    </row>
    <row r="97" spans="1:6" x14ac:dyDescent="0.3">
      <c r="A97" t="s">
        <v>898</v>
      </c>
      <c r="B97" s="1">
        <v>45218</v>
      </c>
      <c r="C97" t="s">
        <v>901</v>
      </c>
      <c r="D97">
        <v>85</v>
      </c>
      <c r="E97" t="s">
        <v>812</v>
      </c>
      <c r="F97" s="2">
        <v>0.3347222222222222</v>
      </c>
    </row>
    <row r="98" spans="1:6" x14ac:dyDescent="0.3">
      <c r="A98" t="s">
        <v>898</v>
      </c>
      <c r="B98" s="1">
        <v>45203</v>
      </c>
      <c r="C98" t="s">
        <v>902</v>
      </c>
      <c r="D98">
        <v>78</v>
      </c>
      <c r="E98" t="s">
        <v>812</v>
      </c>
      <c r="F98" s="2">
        <v>0.81041666666666667</v>
      </c>
    </row>
    <row r="99" spans="1:6" x14ac:dyDescent="0.3">
      <c r="A99" t="s">
        <v>898</v>
      </c>
      <c r="B99" s="1">
        <v>45211</v>
      </c>
      <c r="C99" t="s">
        <v>903</v>
      </c>
      <c r="D99">
        <v>29</v>
      </c>
      <c r="E99" t="s">
        <v>810</v>
      </c>
      <c r="F99" s="2">
        <v>0.99305555555555558</v>
      </c>
    </row>
    <row r="100" spans="1:6" x14ac:dyDescent="0.3">
      <c r="A100" t="s">
        <v>898</v>
      </c>
      <c r="B100" s="1">
        <v>45210</v>
      </c>
      <c r="C100" t="s">
        <v>904</v>
      </c>
      <c r="D100">
        <v>96</v>
      </c>
      <c r="E100" t="s">
        <v>807</v>
      </c>
      <c r="F100" s="2">
        <v>0.56805555555555554</v>
      </c>
    </row>
    <row r="101" spans="1:6" x14ac:dyDescent="0.3">
      <c r="A101" t="s">
        <v>898</v>
      </c>
      <c r="B101" s="1">
        <v>45216</v>
      </c>
      <c r="C101" t="s">
        <v>905</v>
      </c>
      <c r="D101">
        <v>94</v>
      </c>
      <c r="E101" t="s">
        <v>807</v>
      </c>
      <c r="F101" s="2">
        <v>0.14166666666666666</v>
      </c>
    </row>
    <row r="102" spans="1:6" x14ac:dyDescent="0.3">
      <c r="A102" t="s">
        <v>898</v>
      </c>
      <c r="B102" s="1">
        <v>45228</v>
      </c>
      <c r="C102" t="s">
        <v>906</v>
      </c>
      <c r="D102">
        <v>54</v>
      </c>
      <c r="E102" t="s">
        <v>807</v>
      </c>
      <c r="F102" s="2">
        <v>0.7583333333333333</v>
      </c>
    </row>
    <row r="103" spans="1:6" x14ac:dyDescent="0.3">
      <c r="A103" t="s">
        <v>898</v>
      </c>
      <c r="B103" s="1">
        <v>45208</v>
      </c>
      <c r="C103" t="s">
        <v>907</v>
      </c>
      <c r="D103">
        <v>68</v>
      </c>
      <c r="E103" t="s">
        <v>807</v>
      </c>
      <c r="F103" s="2">
        <v>7.2916666666666671E-2</v>
      </c>
    </row>
    <row r="104" spans="1:6" x14ac:dyDescent="0.3">
      <c r="A104" t="s">
        <v>898</v>
      </c>
      <c r="B104" s="1">
        <v>45229</v>
      </c>
      <c r="C104" t="s">
        <v>908</v>
      </c>
      <c r="D104">
        <v>36</v>
      </c>
      <c r="E104" t="s">
        <v>810</v>
      </c>
      <c r="F104" s="2">
        <v>0.73819444444444449</v>
      </c>
    </row>
    <row r="105" spans="1:6" x14ac:dyDescent="0.3">
      <c r="A105" t="s">
        <v>898</v>
      </c>
      <c r="B105" s="1">
        <v>45223</v>
      </c>
      <c r="C105" t="s">
        <v>909</v>
      </c>
      <c r="D105">
        <v>23</v>
      </c>
      <c r="E105" t="s">
        <v>807</v>
      </c>
      <c r="F105" s="2">
        <v>0.99097222222222225</v>
      </c>
    </row>
    <row r="106" spans="1:6" x14ac:dyDescent="0.3">
      <c r="A106" t="s">
        <v>898</v>
      </c>
      <c r="B106" s="1">
        <v>45221</v>
      </c>
      <c r="C106" t="s">
        <v>910</v>
      </c>
      <c r="D106">
        <v>88</v>
      </c>
      <c r="E106" t="s">
        <v>810</v>
      </c>
      <c r="F106" s="2">
        <v>0.26597222222222222</v>
      </c>
    </row>
    <row r="107" spans="1:6" x14ac:dyDescent="0.3">
      <c r="A107" t="s">
        <v>898</v>
      </c>
      <c r="B107" s="1">
        <v>45213</v>
      </c>
      <c r="C107" t="s">
        <v>911</v>
      </c>
      <c r="D107">
        <v>93</v>
      </c>
      <c r="E107" t="s">
        <v>807</v>
      </c>
      <c r="F107" s="2">
        <v>0.1125</v>
      </c>
    </row>
    <row r="108" spans="1:6" x14ac:dyDescent="0.3">
      <c r="A108" t="s">
        <v>898</v>
      </c>
      <c r="B108" s="1">
        <v>45229</v>
      </c>
      <c r="C108" t="s">
        <v>912</v>
      </c>
      <c r="D108">
        <v>5</v>
      </c>
      <c r="E108" t="s">
        <v>807</v>
      </c>
      <c r="F108" s="2">
        <v>0.44374999999999998</v>
      </c>
    </row>
    <row r="109" spans="1:6" x14ac:dyDescent="0.3">
      <c r="A109" t="s">
        <v>898</v>
      </c>
      <c r="B109" s="1">
        <v>45210</v>
      </c>
      <c r="C109" t="s">
        <v>913</v>
      </c>
      <c r="D109">
        <v>119</v>
      </c>
      <c r="E109" t="s">
        <v>812</v>
      </c>
      <c r="F109" s="2">
        <v>0.91249999999999998</v>
      </c>
    </row>
    <row r="110" spans="1:6" x14ac:dyDescent="0.3">
      <c r="A110" t="s">
        <v>898</v>
      </c>
      <c r="B110" s="1">
        <v>45203</v>
      </c>
      <c r="C110" t="s">
        <v>914</v>
      </c>
      <c r="D110">
        <v>101</v>
      </c>
      <c r="E110" t="s">
        <v>812</v>
      </c>
      <c r="F110" s="2">
        <v>0.99791666666666667</v>
      </c>
    </row>
    <row r="111" spans="1:6" x14ac:dyDescent="0.3">
      <c r="A111" t="s">
        <v>898</v>
      </c>
      <c r="B111" s="1">
        <v>45209</v>
      </c>
      <c r="C111" t="s">
        <v>915</v>
      </c>
      <c r="D111">
        <v>115</v>
      </c>
      <c r="E111" t="s">
        <v>812</v>
      </c>
      <c r="F111" s="2">
        <v>0.67986111111111114</v>
      </c>
    </row>
    <row r="112" spans="1:6" x14ac:dyDescent="0.3">
      <c r="A112" t="s">
        <v>898</v>
      </c>
      <c r="B112" s="1">
        <v>45221</v>
      </c>
      <c r="C112" t="s">
        <v>916</v>
      </c>
      <c r="D112">
        <v>103</v>
      </c>
      <c r="E112" t="s">
        <v>810</v>
      </c>
      <c r="F112" s="2">
        <v>0.55555555555555558</v>
      </c>
    </row>
    <row r="113" spans="1:6" x14ac:dyDescent="0.3">
      <c r="A113" t="s">
        <v>898</v>
      </c>
      <c r="B113" s="1">
        <v>45212</v>
      </c>
      <c r="C113" t="s">
        <v>917</v>
      </c>
      <c r="D113">
        <v>118</v>
      </c>
      <c r="E113" t="s">
        <v>812</v>
      </c>
      <c r="F113" s="2">
        <v>0.9291666666666667</v>
      </c>
    </row>
    <row r="114" spans="1:6" x14ac:dyDescent="0.3">
      <c r="A114" t="s">
        <v>898</v>
      </c>
      <c r="B114" s="1">
        <v>45217</v>
      </c>
      <c r="C114" t="s">
        <v>918</v>
      </c>
      <c r="D114">
        <v>18</v>
      </c>
      <c r="E114" t="s">
        <v>812</v>
      </c>
      <c r="F114" s="2">
        <v>0.17499999999999999</v>
      </c>
    </row>
    <row r="115" spans="1:6" x14ac:dyDescent="0.3">
      <c r="A115" t="s">
        <v>898</v>
      </c>
      <c r="B115" s="1">
        <v>45213</v>
      </c>
      <c r="C115" t="s">
        <v>919</v>
      </c>
      <c r="D115">
        <v>104</v>
      </c>
      <c r="E115" t="s">
        <v>807</v>
      </c>
      <c r="F115" s="2">
        <v>0.89166666666666672</v>
      </c>
    </row>
    <row r="116" spans="1:6" x14ac:dyDescent="0.3">
      <c r="A116" t="s">
        <v>898</v>
      </c>
      <c r="B116" s="1">
        <v>45221</v>
      </c>
      <c r="C116" t="s">
        <v>920</v>
      </c>
      <c r="D116">
        <v>59</v>
      </c>
      <c r="E116" t="s">
        <v>807</v>
      </c>
      <c r="F116" s="2">
        <v>0.99791666666666667</v>
      </c>
    </row>
    <row r="117" spans="1:6" x14ac:dyDescent="0.3">
      <c r="A117" t="s">
        <v>898</v>
      </c>
      <c r="B117" s="1">
        <v>45205</v>
      </c>
      <c r="C117" t="s">
        <v>921</v>
      </c>
      <c r="D117">
        <v>33</v>
      </c>
      <c r="E117" t="s">
        <v>812</v>
      </c>
      <c r="F117" s="2">
        <v>0.81666666666666665</v>
      </c>
    </row>
    <row r="118" spans="1:6" x14ac:dyDescent="0.3">
      <c r="A118" t="s">
        <v>898</v>
      </c>
      <c r="B118" s="1">
        <v>45209</v>
      </c>
      <c r="C118" t="s">
        <v>922</v>
      </c>
      <c r="D118">
        <v>27</v>
      </c>
      <c r="E118" t="s">
        <v>812</v>
      </c>
      <c r="F118" s="2">
        <v>0.52430555555555558</v>
      </c>
    </row>
    <row r="119" spans="1:6" x14ac:dyDescent="0.3">
      <c r="A119" t="s">
        <v>898</v>
      </c>
      <c r="B119" s="1">
        <v>45209</v>
      </c>
      <c r="C119" t="s">
        <v>924</v>
      </c>
      <c r="D119">
        <v>94</v>
      </c>
      <c r="E119" t="s">
        <v>810</v>
      </c>
      <c r="F119" s="2">
        <v>0.26874999999999999</v>
      </c>
    </row>
    <row r="120" spans="1:6" x14ac:dyDescent="0.3">
      <c r="A120" t="s">
        <v>898</v>
      </c>
      <c r="B120" s="1">
        <v>45225</v>
      </c>
      <c r="C120" t="s">
        <v>872</v>
      </c>
      <c r="D120">
        <v>71</v>
      </c>
      <c r="E120" t="s">
        <v>807</v>
      </c>
      <c r="F120" s="2">
        <v>0.77638888888888891</v>
      </c>
    </row>
    <row r="121" spans="1:6" x14ac:dyDescent="0.3">
      <c r="A121" t="s">
        <v>898</v>
      </c>
      <c r="B121" s="1">
        <v>45220</v>
      </c>
      <c r="C121" t="s">
        <v>867</v>
      </c>
      <c r="D121">
        <v>64</v>
      </c>
      <c r="E121" t="s">
        <v>810</v>
      </c>
      <c r="F121" s="2">
        <v>0.43680555555555556</v>
      </c>
    </row>
    <row r="122" spans="1:6" x14ac:dyDescent="0.3">
      <c r="A122" t="s">
        <v>898</v>
      </c>
      <c r="B122" s="1">
        <v>45214</v>
      </c>
      <c r="C122" t="s">
        <v>925</v>
      </c>
      <c r="D122">
        <v>11</v>
      </c>
      <c r="E122" t="s">
        <v>812</v>
      </c>
      <c r="F122" s="2">
        <v>0.61319444444444449</v>
      </c>
    </row>
    <row r="123" spans="1:6" x14ac:dyDescent="0.3">
      <c r="A123" t="s">
        <v>898</v>
      </c>
      <c r="B123" s="1">
        <v>45206</v>
      </c>
      <c r="C123" t="s">
        <v>926</v>
      </c>
      <c r="D123">
        <v>76</v>
      </c>
      <c r="E123" t="s">
        <v>812</v>
      </c>
      <c r="F123" s="2">
        <v>0.6875</v>
      </c>
    </row>
    <row r="124" spans="1:6" x14ac:dyDescent="0.3">
      <c r="A124" t="s">
        <v>898</v>
      </c>
      <c r="B124" s="1">
        <v>45225</v>
      </c>
      <c r="C124" t="s">
        <v>927</v>
      </c>
      <c r="D124">
        <v>36</v>
      </c>
      <c r="E124" t="s">
        <v>807</v>
      </c>
      <c r="F124" s="2">
        <v>0.96527777777777779</v>
      </c>
    </row>
    <row r="125" spans="1:6" x14ac:dyDescent="0.3">
      <c r="A125" t="s">
        <v>898</v>
      </c>
      <c r="B125" s="1">
        <v>45221</v>
      </c>
      <c r="C125" t="s">
        <v>928</v>
      </c>
      <c r="D125">
        <v>113</v>
      </c>
      <c r="E125" t="s">
        <v>812</v>
      </c>
      <c r="F125" s="2">
        <v>9.583333333333334E-2</v>
      </c>
    </row>
    <row r="126" spans="1:6" x14ac:dyDescent="0.3">
      <c r="A126" t="s">
        <v>898</v>
      </c>
      <c r="B126" s="1">
        <v>45216</v>
      </c>
      <c r="C126" t="s">
        <v>929</v>
      </c>
      <c r="D126">
        <v>20</v>
      </c>
      <c r="E126" t="s">
        <v>812</v>
      </c>
      <c r="F126" s="2">
        <v>0.90277777777777779</v>
      </c>
    </row>
    <row r="127" spans="1:6" x14ac:dyDescent="0.3">
      <c r="A127" t="s">
        <v>898</v>
      </c>
      <c r="B127" s="1">
        <v>45219</v>
      </c>
      <c r="C127" t="s">
        <v>930</v>
      </c>
      <c r="D127">
        <v>63</v>
      </c>
      <c r="E127" t="s">
        <v>812</v>
      </c>
      <c r="F127" s="2">
        <v>0.4201388888888889</v>
      </c>
    </row>
    <row r="128" spans="1:6" x14ac:dyDescent="0.3">
      <c r="A128" t="s">
        <v>898</v>
      </c>
      <c r="B128" s="1">
        <v>45226</v>
      </c>
      <c r="C128" t="s">
        <v>931</v>
      </c>
      <c r="D128">
        <v>22</v>
      </c>
      <c r="E128" t="s">
        <v>812</v>
      </c>
      <c r="F128" s="2">
        <v>0.3215277777777778</v>
      </c>
    </row>
    <row r="129" spans="1:6" x14ac:dyDescent="0.3">
      <c r="A129" t="s">
        <v>898</v>
      </c>
      <c r="B129" s="1">
        <v>45209</v>
      </c>
      <c r="C129" t="s">
        <v>932</v>
      </c>
      <c r="D129">
        <v>107</v>
      </c>
      <c r="E129" t="s">
        <v>810</v>
      </c>
      <c r="F129" s="2">
        <v>0.32708333333333334</v>
      </c>
    </row>
    <row r="130" spans="1:6" x14ac:dyDescent="0.3">
      <c r="A130" t="s">
        <v>898</v>
      </c>
      <c r="B130" s="1">
        <v>45206</v>
      </c>
      <c r="C130" t="s">
        <v>933</v>
      </c>
      <c r="D130">
        <v>64</v>
      </c>
      <c r="E130" t="s">
        <v>810</v>
      </c>
      <c r="F130" s="2">
        <v>0.1673611111111111</v>
      </c>
    </row>
    <row r="131" spans="1:6" x14ac:dyDescent="0.3">
      <c r="A131" t="s">
        <v>898</v>
      </c>
      <c r="B131" s="1">
        <v>45201</v>
      </c>
      <c r="C131" t="s">
        <v>934</v>
      </c>
      <c r="D131">
        <v>90</v>
      </c>
      <c r="E131" t="s">
        <v>810</v>
      </c>
      <c r="F131" s="2">
        <v>0.3125</v>
      </c>
    </row>
    <row r="132" spans="1:6" x14ac:dyDescent="0.3">
      <c r="A132" t="s">
        <v>898</v>
      </c>
      <c r="B132" s="1">
        <v>45219</v>
      </c>
      <c r="C132" t="s">
        <v>935</v>
      </c>
      <c r="D132">
        <v>72</v>
      </c>
      <c r="E132" t="s">
        <v>810</v>
      </c>
      <c r="F132" s="2">
        <v>0.10347222222222222</v>
      </c>
    </row>
    <row r="133" spans="1:6" x14ac:dyDescent="0.3">
      <c r="A133" t="s">
        <v>936</v>
      </c>
      <c r="B133" s="1">
        <v>45200</v>
      </c>
      <c r="C133" t="s">
        <v>937</v>
      </c>
      <c r="D133">
        <v>24</v>
      </c>
      <c r="E133" t="s">
        <v>812</v>
      </c>
      <c r="F133" s="2">
        <v>0.51458333333333328</v>
      </c>
    </row>
    <row r="134" spans="1:6" x14ac:dyDescent="0.3">
      <c r="A134" t="s">
        <v>936</v>
      </c>
      <c r="B134" s="1">
        <v>45221</v>
      </c>
      <c r="C134" t="s">
        <v>938</v>
      </c>
      <c r="D134">
        <v>60</v>
      </c>
      <c r="E134" t="s">
        <v>810</v>
      </c>
      <c r="F134" s="2">
        <v>0.91041666666666665</v>
      </c>
    </row>
    <row r="135" spans="1:6" x14ac:dyDescent="0.3">
      <c r="A135" t="s">
        <v>936</v>
      </c>
      <c r="B135" s="1">
        <v>45212</v>
      </c>
      <c r="C135" t="s">
        <v>939</v>
      </c>
      <c r="D135">
        <v>27</v>
      </c>
      <c r="E135" t="s">
        <v>812</v>
      </c>
      <c r="F135" s="2">
        <v>0.96527777777777779</v>
      </c>
    </row>
    <row r="136" spans="1:6" x14ac:dyDescent="0.3">
      <c r="A136" t="s">
        <v>936</v>
      </c>
      <c r="B136" s="1">
        <v>45226</v>
      </c>
      <c r="C136" t="s">
        <v>940</v>
      </c>
      <c r="D136">
        <v>98</v>
      </c>
      <c r="E136" t="s">
        <v>812</v>
      </c>
      <c r="F136" s="2">
        <v>0.62361111111111112</v>
      </c>
    </row>
    <row r="137" spans="1:6" x14ac:dyDescent="0.3">
      <c r="A137" t="s">
        <v>936</v>
      </c>
      <c r="B137" s="1">
        <v>45204</v>
      </c>
      <c r="C137" t="s">
        <v>938</v>
      </c>
      <c r="D137">
        <v>71</v>
      </c>
      <c r="E137" t="s">
        <v>812</v>
      </c>
      <c r="F137" s="2">
        <v>0.81527777777777777</v>
      </c>
    </row>
    <row r="138" spans="1:6" x14ac:dyDescent="0.3">
      <c r="A138" t="s">
        <v>936</v>
      </c>
      <c r="B138" s="1">
        <v>45200</v>
      </c>
      <c r="C138" t="s">
        <v>941</v>
      </c>
      <c r="D138">
        <v>88</v>
      </c>
      <c r="E138" t="s">
        <v>812</v>
      </c>
      <c r="F138" s="2">
        <v>0.52569444444444446</v>
      </c>
    </row>
    <row r="139" spans="1:6" x14ac:dyDescent="0.3">
      <c r="A139" t="s">
        <v>936</v>
      </c>
      <c r="B139" s="1">
        <v>45218</v>
      </c>
      <c r="C139" t="s">
        <v>942</v>
      </c>
      <c r="D139">
        <v>39</v>
      </c>
      <c r="E139" t="s">
        <v>807</v>
      </c>
      <c r="F139" s="2">
        <v>0.87569444444444444</v>
      </c>
    </row>
    <row r="140" spans="1:6" x14ac:dyDescent="0.3">
      <c r="A140" t="s">
        <v>936</v>
      </c>
      <c r="B140" s="1">
        <v>45202</v>
      </c>
      <c r="C140" t="s">
        <v>943</v>
      </c>
      <c r="D140">
        <v>83</v>
      </c>
      <c r="E140" t="s">
        <v>807</v>
      </c>
      <c r="F140" s="2">
        <v>0.8520833333333333</v>
      </c>
    </row>
    <row r="141" spans="1:6" x14ac:dyDescent="0.3">
      <c r="A141" t="s">
        <v>936</v>
      </c>
      <c r="B141" s="1">
        <v>45204</v>
      </c>
      <c r="C141" t="s">
        <v>944</v>
      </c>
      <c r="D141">
        <v>108</v>
      </c>
      <c r="E141" t="s">
        <v>810</v>
      </c>
      <c r="F141" s="2">
        <v>0.59097222222222223</v>
      </c>
    </row>
    <row r="142" spans="1:6" x14ac:dyDescent="0.3">
      <c r="A142" t="s">
        <v>936</v>
      </c>
      <c r="B142" s="1">
        <v>45201</v>
      </c>
      <c r="C142" t="s">
        <v>945</v>
      </c>
      <c r="D142">
        <v>73</v>
      </c>
      <c r="E142" t="s">
        <v>807</v>
      </c>
      <c r="F142" s="2">
        <v>0.35</v>
      </c>
    </row>
    <row r="143" spans="1:6" x14ac:dyDescent="0.3">
      <c r="A143" t="s">
        <v>936</v>
      </c>
      <c r="B143" s="1">
        <v>45210</v>
      </c>
      <c r="C143" t="s">
        <v>946</v>
      </c>
      <c r="D143">
        <v>104</v>
      </c>
      <c r="E143" t="s">
        <v>812</v>
      </c>
      <c r="F143" s="2">
        <v>0.27013888888888887</v>
      </c>
    </row>
    <row r="144" spans="1:6" x14ac:dyDescent="0.3">
      <c r="A144" t="s">
        <v>936</v>
      </c>
      <c r="B144" s="1">
        <v>45210</v>
      </c>
      <c r="C144" t="s">
        <v>947</v>
      </c>
      <c r="D144">
        <v>66</v>
      </c>
      <c r="E144" t="s">
        <v>807</v>
      </c>
      <c r="F144" s="2">
        <v>0.45</v>
      </c>
    </row>
    <row r="145" spans="1:6" x14ac:dyDescent="0.3">
      <c r="A145" t="s">
        <v>936</v>
      </c>
      <c r="B145" s="1">
        <v>45228</v>
      </c>
      <c r="C145" t="s">
        <v>948</v>
      </c>
      <c r="D145">
        <v>64</v>
      </c>
      <c r="E145" t="s">
        <v>810</v>
      </c>
      <c r="F145" s="2">
        <v>0.51180555555555551</v>
      </c>
    </row>
    <row r="146" spans="1:6" x14ac:dyDescent="0.3">
      <c r="A146" t="s">
        <v>936</v>
      </c>
      <c r="B146" s="1">
        <v>45224</v>
      </c>
      <c r="C146" t="s">
        <v>949</v>
      </c>
      <c r="D146">
        <v>60</v>
      </c>
      <c r="E146" t="s">
        <v>810</v>
      </c>
      <c r="F146" s="2">
        <v>0.55277777777777781</v>
      </c>
    </row>
    <row r="147" spans="1:6" x14ac:dyDescent="0.3">
      <c r="A147" t="s">
        <v>936</v>
      </c>
      <c r="B147" s="1">
        <v>45226</v>
      </c>
      <c r="C147" t="s">
        <v>950</v>
      </c>
      <c r="D147">
        <v>110</v>
      </c>
      <c r="E147" t="s">
        <v>810</v>
      </c>
      <c r="F147" s="2">
        <v>0.10416666666666667</v>
      </c>
    </row>
    <row r="148" spans="1:6" x14ac:dyDescent="0.3">
      <c r="A148" t="s">
        <v>936</v>
      </c>
      <c r="B148" s="1">
        <v>45200</v>
      </c>
      <c r="C148" t="s">
        <v>841</v>
      </c>
      <c r="D148">
        <v>98</v>
      </c>
      <c r="E148" t="s">
        <v>807</v>
      </c>
      <c r="F148" s="2">
        <v>0.9819444444444444</v>
      </c>
    </row>
    <row r="149" spans="1:6" x14ac:dyDescent="0.3">
      <c r="A149" t="s">
        <v>936</v>
      </c>
      <c r="B149" s="1">
        <v>45201</v>
      </c>
      <c r="C149" t="s">
        <v>951</v>
      </c>
      <c r="D149">
        <v>80</v>
      </c>
      <c r="E149" t="s">
        <v>807</v>
      </c>
      <c r="F149" s="2">
        <v>0.46805555555555556</v>
      </c>
    </row>
    <row r="150" spans="1:6" x14ac:dyDescent="0.3">
      <c r="A150" t="s">
        <v>936</v>
      </c>
      <c r="B150" s="1">
        <v>45220</v>
      </c>
      <c r="C150" t="s">
        <v>952</v>
      </c>
      <c r="D150">
        <v>39</v>
      </c>
      <c r="E150" t="s">
        <v>807</v>
      </c>
      <c r="F150" s="2">
        <v>0.11736111111111111</v>
      </c>
    </row>
    <row r="151" spans="1:6" x14ac:dyDescent="0.3">
      <c r="A151" t="s">
        <v>936</v>
      </c>
      <c r="B151" s="1">
        <v>45230</v>
      </c>
      <c r="C151" t="s">
        <v>851</v>
      </c>
      <c r="D151">
        <v>46</v>
      </c>
      <c r="E151" t="s">
        <v>810</v>
      </c>
      <c r="F151" s="2">
        <v>0.83472222222222225</v>
      </c>
    </row>
    <row r="152" spans="1:6" x14ac:dyDescent="0.3">
      <c r="A152" t="s">
        <v>936</v>
      </c>
      <c r="B152" s="1">
        <v>45204</v>
      </c>
      <c r="C152" t="s">
        <v>954</v>
      </c>
      <c r="D152">
        <v>111</v>
      </c>
      <c r="E152" t="s">
        <v>810</v>
      </c>
      <c r="F152" s="2">
        <v>0.29722222222222222</v>
      </c>
    </row>
    <row r="153" spans="1:6" x14ac:dyDescent="0.3">
      <c r="A153" t="s">
        <v>936</v>
      </c>
      <c r="B153" s="1">
        <v>45215</v>
      </c>
      <c r="C153" t="s">
        <v>955</v>
      </c>
      <c r="D153">
        <v>16</v>
      </c>
      <c r="E153" t="s">
        <v>810</v>
      </c>
      <c r="F153" s="2">
        <v>0.87986111111111109</v>
      </c>
    </row>
    <row r="154" spans="1:6" x14ac:dyDescent="0.3">
      <c r="A154" t="s">
        <v>936</v>
      </c>
      <c r="B154" s="1">
        <v>45218</v>
      </c>
      <c r="C154" t="s">
        <v>956</v>
      </c>
      <c r="D154">
        <v>40</v>
      </c>
      <c r="E154" t="s">
        <v>810</v>
      </c>
      <c r="F154" s="2">
        <v>0.27013888888888887</v>
      </c>
    </row>
    <row r="155" spans="1:6" x14ac:dyDescent="0.3">
      <c r="A155" t="s">
        <v>936</v>
      </c>
      <c r="B155" s="1">
        <v>45222</v>
      </c>
      <c r="C155" t="s">
        <v>957</v>
      </c>
      <c r="D155">
        <v>117</v>
      </c>
      <c r="E155" t="s">
        <v>810</v>
      </c>
      <c r="F155" s="2">
        <v>0.36736111111111114</v>
      </c>
    </row>
    <row r="156" spans="1:6" x14ac:dyDescent="0.3">
      <c r="A156" t="s">
        <v>936</v>
      </c>
      <c r="B156" s="1">
        <v>45211</v>
      </c>
      <c r="C156" t="s">
        <v>958</v>
      </c>
      <c r="D156">
        <v>62</v>
      </c>
      <c r="E156" t="s">
        <v>812</v>
      </c>
      <c r="F156" s="2">
        <v>0.23472222222222222</v>
      </c>
    </row>
    <row r="157" spans="1:6" x14ac:dyDescent="0.3">
      <c r="A157" t="s">
        <v>936</v>
      </c>
      <c r="B157" s="1">
        <v>45219</v>
      </c>
      <c r="C157" t="s">
        <v>959</v>
      </c>
      <c r="D157">
        <v>36</v>
      </c>
      <c r="E157" t="s">
        <v>807</v>
      </c>
      <c r="F157" s="2">
        <v>0.98958333333333337</v>
      </c>
    </row>
    <row r="158" spans="1:6" x14ac:dyDescent="0.3">
      <c r="A158" t="s">
        <v>936</v>
      </c>
      <c r="B158" s="1">
        <v>45203</v>
      </c>
      <c r="C158" t="s">
        <v>960</v>
      </c>
      <c r="D158">
        <v>101</v>
      </c>
      <c r="E158" t="s">
        <v>807</v>
      </c>
      <c r="F158" s="2">
        <v>0.22152777777777777</v>
      </c>
    </row>
    <row r="159" spans="1:6" x14ac:dyDescent="0.3">
      <c r="A159" t="s">
        <v>936</v>
      </c>
      <c r="B159" s="1">
        <v>45203</v>
      </c>
      <c r="C159" t="s">
        <v>961</v>
      </c>
      <c r="D159">
        <v>64</v>
      </c>
      <c r="E159" t="s">
        <v>812</v>
      </c>
      <c r="F159" s="2">
        <v>0.75069444444444444</v>
      </c>
    </row>
    <row r="160" spans="1:6" x14ac:dyDescent="0.3">
      <c r="A160" t="s">
        <v>936</v>
      </c>
      <c r="B160" s="1">
        <v>45229</v>
      </c>
      <c r="C160" t="s">
        <v>962</v>
      </c>
      <c r="D160">
        <v>77</v>
      </c>
      <c r="E160" t="s">
        <v>807</v>
      </c>
      <c r="F160" s="2">
        <v>0.4</v>
      </c>
    </row>
    <row r="161" spans="1:6" x14ac:dyDescent="0.3">
      <c r="A161" t="s">
        <v>936</v>
      </c>
      <c r="B161" s="1">
        <v>45221</v>
      </c>
      <c r="C161" t="s">
        <v>963</v>
      </c>
      <c r="D161">
        <v>83</v>
      </c>
      <c r="E161" t="s">
        <v>812</v>
      </c>
      <c r="F161" s="2">
        <v>0.51736111111111116</v>
      </c>
    </row>
    <row r="162" spans="1:6" x14ac:dyDescent="0.3">
      <c r="A162" t="s">
        <v>936</v>
      </c>
      <c r="B162" s="1">
        <v>45230</v>
      </c>
      <c r="C162" t="s">
        <v>964</v>
      </c>
      <c r="D162">
        <v>90</v>
      </c>
      <c r="E162" t="s">
        <v>807</v>
      </c>
      <c r="F162" s="2">
        <v>0.92500000000000004</v>
      </c>
    </row>
    <row r="163" spans="1:6" x14ac:dyDescent="0.3">
      <c r="A163" t="s">
        <v>936</v>
      </c>
      <c r="B163" s="1">
        <v>45202</v>
      </c>
      <c r="C163" t="s">
        <v>965</v>
      </c>
      <c r="D163">
        <v>53</v>
      </c>
      <c r="E163" t="s">
        <v>812</v>
      </c>
      <c r="F163" s="2">
        <v>0.78055555555555556</v>
      </c>
    </row>
    <row r="164" spans="1:6" x14ac:dyDescent="0.3">
      <c r="A164" t="s">
        <v>936</v>
      </c>
      <c r="B164" s="1">
        <v>45226</v>
      </c>
      <c r="C164" t="s">
        <v>966</v>
      </c>
      <c r="D164">
        <v>48</v>
      </c>
      <c r="E164" t="s">
        <v>807</v>
      </c>
      <c r="F164" s="2">
        <v>0.84375</v>
      </c>
    </row>
    <row r="165" spans="1:6" x14ac:dyDescent="0.3">
      <c r="A165" t="s">
        <v>936</v>
      </c>
      <c r="B165" s="1">
        <v>45203</v>
      </c>
      <c r="C165" t="s">
        <v>967</v>
      </c>
      <c r="D165">
        <v>8</v>
      </c>
      <c r="E165" t="s">
        <v>810</v>
      </c>
      <c r="F165" s="2">
        <v>0.9506944444444444</v>
      </c>
    </row>
    <row r="166" spans="1:6" x14ac:dyDescent="0.3">
      <c r="A166" t="s">
        <v>936</v>
      </c>
      <c r="B166" s="1">
        <v>45209</v>
      </c>
      <c r="C166" t="s">
        <v>968</v>
      </c>
      <c r="D166">
        <v>68</v>
      </c>
      <c r="E166" t="s">
        <v>810</v>
      </c>
      <c r="F166" s="2">
        <v>0.90138888888888891</v>
      </c>
    </row>
    <row r="167" spans="1:6" x14ac:dyDescent="0.3">
      <c r="A167" t="s">
        <v>936</v>
      </c>
      <c r="B167" s="1">
        <v>45225</v>
      </c>
      <c r="C167" t="s">
        <v>969</v>
      </c>
      <c r="D167">
        <v>113</v>
      </c>
      <c r="E167" t="s">
        <v>807</v>
      </c>
      <c r="F167" s="2">
        <v>0.15972222222222221</v>
      </c>
    </row>
    <row r="168" spans="1:6" x14ac:dyDescent="0.3">
      <c r="A168" t="s">
        <v>936</v>
      </c>
      <c r="B168" s="1">
        <v>45218</v>
      </c>
      <c r="C168" t="s">
        <v>970</v>
      </c>
      <c r="D168">
        <v>46</v>
      </c>
      <c r="E168" t="s">
        <v>812</v>
      </c>
      <c r="F168" s="2">
        <v>5.6944444444444443E-2</v>
      </c>
    </row>
    <row r="169" spans="1:6" x14ac:dyDescent="0.3">
      <c r="A169" t="s">
        <v>936</v>
      </c>
      <c r="B169" s="1">
        <v>45217</v>
      </c>
      <c r="C169" t="s">
        <v>971</v>
      </c>
      <c r="D169">
        <v>28</v>
      </c>
      <c r="E169" t="s">
        <v>807</v>
      </c>
      <c r="F169" s="2">
        <v>0.5708333333333333</v>
      </c>
    </row>
    <row r="170" spans="1:6" x14ac:dyDescent="0.3">
      <c r="A170" t="s">
        <v>936</v>
      </c>
      <c r="B170" s="1">
        <v>45211</v>
      </c>
      <c r="C170" t="s">
        <v>836</v>
      </c>
      <c r="D170">
        <v>67</v>
      </c>
      <c r="E170" t="s">
        <v>807</v>
      </c>
      <c r="F170" s="2">
        <v>0.10555555555555556</v>
      </c>
    </row>
    <row r="171" spans="1:6" x14ac:dyDescent="0.3">
      <c r="A171" t="s">
        <v>936</v>
      </c>
      <c r="B171" s="1">
        <v>45220</v>
      </c>
      <c r="C171" t="s">
        <v>972</v>
      </c>
      <c r="D171">
        <v>32</v>
      </c>
      <c r="E171" t="s">
        <v>810</v>
      </c>
      <c r="F171" s="2">
        <v>0.41666666666666669</v>
      </c>
    </row>
    <row r="172" spans="1:6" x14ac:dyDescent="0.3">
      <c r="A172" t="s">
        <v>936</v>
      </c>
      <c r="B172" s="1">
        <v>45227</v>
      </c>
      <c r="C172" t="s">
        <v>973</v>
      </c>
      <c r="D172">
        <v>50</v>
      </c>
      <c r="E172" t="s">
        <v>812</v>
      </c>
      <c r="F172" s="2">
        <v>0.57777777777777772</v>
      </c>
    </row>
    <row r="173" spans="1:6" x14ac:dyDescent="0.3">
      <c r="A173" t="s">
        <v>936</v>
      </c>
      <c r="B173" s="1">
        <v>45215</v>
      </c>
      <c r="C173" t="s">
        <v>974</v>
      </c>
      <c r="D173">
        <v>107</v>
      </c>
      <c r="E173" t="s">
        <v>810</v>
      </c>
      <c r="F173" s="2">
        <v>0.14374999999999999</v>
      </c>
    </row>
    <row r="174" spans="1:6" x14ac:dyDescent="0.3">
      <c r="A174" t="s">
        <v>936</v>
      </c>
      <c r="B174" s="1">
        <v>45230</v>
      </c>
      <c r="C174" t="s">
        <v>975</v>
      </c>
      <c r="D174">
        <v>38</v>
      </c>
      <c r="E174" t="s">
        <v>807</v>
      </c>
      <c r="F174" s="2">
        <v>0.4861111111111111</v>
      </c>
    </row>
    <row r="175" spans="1:6" x14ac:dyDescent="0.3">
      <c r="A175" t="s">
        <v>936</v>
      </c>
      <c r="B175" s="1">
        <v>45228</v>
      </c>
      <c r="C175" t="s">
        <v>976</v>
      </c>
      <c r="D175">
        <v>48</v>
      </c>
      <c r="E175" t="s">
        <v>810</v>
      </c>
      <c r="F175" s="2">
        <v>0.61458333333333337</v>
      </c>
    </row>
    <row r="176" spans="1:6" x14ac:dyDescent="0.3">
      <c r="A176" t="s">
        <v>977</v>
      </c>
      <c r="B176" s="1">
        <v>45215</v>
      </c>
      <c r="C176" t="s">
        <v>978</v>
      </c>
      <c r="D176">
        <v>7</v>
      </c>
      <c r="E176" t="s">
        <v>812</v>
      </c>
      <c r="F176" s="2">
        <v>0.59791666666666665</v>
      </c>
    </row>
    <row r="177" spans="1:6" x14ac:dyDescent="0.3">
      <c r="A177" t="s">
        <v>977</v>
      </c>
      <c r="B177" s="1">
        <v>45205</v>
      </c>
      <c r="C177" t="s">
        <v>840</v>
      </c>
      <c r="D177">
        <v>102</v>
      </c>
      <c r="E177" t="s">
        <v>810</v>
      </c>
      <c r="F177" s="2">
        <v>5.2777777777777778E-2</v>
      </c>
    </row>
    <row r="178" spans="1:6" x14ac:dyDescent="0.3">
      <c r="A178" t="s">
        <v>977</v>
      </c>
      <c r="B178" s="1">
        <v>45230</v>
      </c>
      <c r="C178" t="s">
        <v>979</v>
      </c>
      <c r="D178">
        <v>91</v>
      </c>
      <c r="E178" t="s">
        <v>807</v>
      </c>
      <c r="F178" s="2">
        <v>0.62986111111111109</v>
      </c>
    </row>
    <row r="179" spans="1:6" x14ac:dyDescent="0.3">
      <c r="A179" t="s">
        <v>977</v>
      </c>
      <c r="B179" s="1">
        <v>45226</v>
      </c>
      <c r="C179" t="s">
        <v>980</v>
      </c>
      <c r="D179">
        <v>110</v>
      </c>
      <c r="E179" t="s">
        <v>810</v>
      </c>
      <c r="F179" s="2">
        <v>0.10069444444444445</v>
      </c>
    </row>
    <row r="180" spans="1:6" x14ac:dyDescent="0.3">
      <c r="A180" t="s">
        <v>977</v>
      </c>
      <c r="B180" s="1">
        <v>45215</v>
      </c>
      <c r="C180" t="s">
        <v>981</v>
      </c>
      <c r="D180">
        <v>39</v>
      </c>
      <c r="E180" t="s">
        <v>812</v>
      </c>
      <c r="F180" s="2">
        <v>0.10833333333333334</v>
      </c>
    </row>
    <row r="181" spans="1:6" x14ac:dyDescent="0.3">
      <c r="A181" t="s">
        <v>977</v>
      </c>
      <c r="B181" s="1">
        <v>45220</v>
      </c>
      <c r="C181" t="s">
        <v>982</v>
      </c>
      <c r="D181">
        <v>78</v>
      </c>
      <c r="E181" t="s">
        <v>807</v>
      </c>
      <c r="F181" s="2">
        <v>0.87708333333333333</v>
      </c>
    </row>
    <row r="182" spans="1:6" x14ac:dyDescent="0.3">
      <c r="A182" t="s">
        <v>977</v>
      </c>
      <c r="B182" s="1">
        <v>45204</v>
      </c>
      <c r="C182" t="s">
        <v>983</v>
      </c>
      <c r="D182">
        <v>10</v>
      </c>
      <c r="E182" t="s">
        <v>807</v>
      </c>
      <c r="F182" s="2">
        <v>0.20208333333333334</v>
      </c>
    </row>
    <row r="183" spans="1:6" x14ac:dyDescent="0.3">
      <c r="A183" t="s">
        <v>977</v>
      </c>
      <c r="B183" s="1">
        <v>45218</v>
      </c>
      <c r="C183" t="s">
        <v>984</v>
      </c>
      <c r="D183">
        <v>102</v>
      </c>
      <c r="E183" t="s">
        <v>807</v>
      </c>
      <c r="F183" s="2">
        <v>0.37847222222222221</v>
      </c>
    </row>
    <row r="184" spans="1:6" x14ac:dyDescent="0.3">
      <c r="A184" t="s">
        <v>977</v>
      </c>
      <c r="B184" s="1">
        <v>45207</v>
      </c>
      <c r="C184" t="s">
        <v>985</v>
      </c>
      <c r="D184">
        <v>101</v>
      </c>
      <c r="E184" t="s">
        <v>812</v>
      </c>
      <c r="F184" s="2">
        <v>0.14930555555555555</v>
      </c>
    </row>
    <row r="185" spans="1:6" x14ac:dyDescent="0.3">
      <c r="A185" t="s">
        <v>977</v>
      </c>
      <c r="B185" s="1">
        <v>45224</v>
      </c>
      <c r="C185" t="s">
        <v>986</v>
      </c>
      <c r="D185">
        <v>27</v>
      </c>
      <c r="E185" t="s">
        <v>807</v>
      </c>
      <c r="F185" s="2">
        <v>0.56805555555555554</v>
      </c>
    </row>
    <row r="186" spans="1:6" x14ac:dyDescent="0.3">
      <c r="A186" t="s">
        <v>977</v>
      </c>
      <c r="B186" s="1">
        <v>45219</v>
      </c>
      <c r="C186" t="s">
        <v>987</v>
      </c>
      <c r="D186">
        <v>65</v>
      </c>
      <c r="E186" t="s">
        <v>810</v>
      </c>
      <c r="F186" s="2">
        <v>0.80138888888888893</v>
      </c>
    </row>
    <row r="187" spans="1:6" x14ac:dyDescent="0.3">
      <c r="A187" t="s">
        <v>977</v>
      </c>
      <c r="B187" s="1">
        <v>45224</v>
      </c>
      <c r="C187" t="s">
        <v>988</v>
      </c>
      <c r="D187">
        <v>71</v>
      </c>
      <c r="E187" t="s">
        <v>807</v>
      </c>
      <c r="F187" s="2">
        <v>0.68333333333333335</v>
      </c>
    </row>
    <row r="188" spans="1:6" x14ac:dyDescent="0.3">
      <c r="A188" t="s">
        <v>977</v>
      </c>
      <c r="B188" s="1">
        <v>45214</v>
      </c>
      <c r="C188" t="s">
        <v>989</v>
      </c>
      <c r="D188">
        <v>88</v>
      </c>
      <c r="E188" t="s">
        <v>812</v>
      </c>
      <c r="F188" s="2">
        <v>0.59652777777777777</v>
      </c>
    </row>
    <row r="189" spans="1:6" x14ac:dyDescent="0.3">
      <c r="A189" t="s">
        <v>977</v>
      </c>
      <c r="B189" s="1">
        <v>45227</v>
      </c>
      <c r="C189" t="s">
        <v>990</v>
      </c>
      <c r="D189">
        <v>61</v>
      </c>
      <c r="E189" t="s">
        <v>810</v>
      </c>
      <c r="F189" s="2">
        <v>0.76875000000000004</v>
      </c>
    </row>
    <row r="190" spans="1:6" x14ac:dyDescent="0.3">
      <c r="A190" t="s">
        <v>977</v>
      </c>
      <c r="B190" s="1">
        <v>45209</v>
      </c>
      <c r="C190" t="s">
        <v>991</v>
      </c>
      <c r="D190">
        <v>40</v>
      </c>
      <c r="E190" t="s">
        <v>812</v>
      </c>
      <c r="F190" s="2">
        <v>0.77708333333333335</v>
      </c>
    </row>
    <row r="191" spans="1:6" x14ac:dyDescent="0.3">
      <c r="A191" t="s">
        <v>977</v>
      </c>
      <c r="B191" s="1">
        <v>45201</v>
      </c>
      <c r="C191" t="s">
        <v>992</v>
      </c>
      <c r="D191">
        <v>28</v>
      </c>
      <c r="E191" t="s">
        <v>810</v>
      </c>
      <c r="F191" s="2">
        <v>0.82430555555555551</v>
      </c>
    </row>
    <row r="192" spans="1:6" x14ac:dyDescent="0.3">
      <c r="A192" t="s">
        <v>977</v>
      </c>
      <c r="B192" s="1">
        <v>45203</v>
      </c>
      <c r="C192" t="s">
        <v>993</v>
      </c>
      <c r="D192">
        <v>79</v>
      </c>
      <c r="E192" t="s">
        <v>810</v>
      </c>
      <c r="F192" s="2">
        <v>0.27777777777777779</v>
      </c>
    </row>
    <row r="193" spans="1:6" x14ac:dyDescent="0.3">
      <c r="A193" t="s">
        <v>977</v>
      </c>
      <c r="B193" s="1">
        <v>45206</v>
      </c>
      <c r="C193" t="s">
        <v>994</v>
      </c>
      <c r="D193">
        <v>60</v>
      </c>
      <c r="E193" t="s">
        <v>812</v>
      </c>
      <c r="F193" s="2">
        <v>0.36249999999999999</v>
      </c>
    </row>
    <row r="194" spans="1:6" x14ac:dyDescent="0.3">
      <c r="A194" t="s">
        <v>977</v>
      </c>
      <c r="B194" s="1">
        <v>45202</v>
      </c>
      <c r="C194" t="s">
        <v>995</v>
      </c>
      <c r="D194">
        <v>86</v>
      </c>
      <c r="E194" t="s">
        <v>812</v>
      </c>
      <c r="F194" s="2">
        <v>0.21875</v>
      </c>
    </row>
    <row r="195" spans="1:6" x14ac:dyDescent="0.3">
      <c r="A195" t="s">
        <v>977</v>
      </c>
      <c r="B195" s="1">
        <v>45205</v>
      </c>
      <c r="C195" t="s">
        <v>996</v>
      </c>
      <c r="D195">
        <v>109</v>
      </c>
      <c r="E195" t="s">
        <v>812</v>
      </c>
      <c r="F195" s="2">
        <v>0.71111111111111114</v>
      </c>
    </row>
    <row r="196" spans="1:6" x14ac:dyDescent="0.3">
      <c r="A196" t="s">
        <v>977</v>
      </c>
      <c r="B196" s="1">
        <v>45214</v>
      </c>
      <c r="C196" t="s">
        <v>998</v>
      </c>
      <c r="D196">
        <v>16</v>
      </c>
      <c r="E196" t="s">
        <v>807</v>
      </c>
      <c r="F196" s="2">
        <v>0.94305555555555554</v>
      </c>
    </row>
    <row r="197" spans="1:6" x14ac:dyDescent="0.3">
      <c r="A197" t="s">
        <v>977</v>
      </c>
      <c r="B197" s="1">
        <v>45215</v>
      </c>
      <c r="C197" t="s">
        <v>824</v>
      </c>
      <c r="D197">
        <v>65</v>
      </c>
      <c r="E197" t="s">
        <v>812</v>
      </c>
      <c r="F197" s="2">
        <v>0.37638888888888888</v>
      </c>
    </row>
    <row r="198" spans="1:6" x14ac:dyDescent="0.3">
      <c r="A198" t="s">
        <v>977</v>
      </c>
      <c r="B198" s="1">
        <v>45207</v>
      </c>
      <c r="C198" t="s">
        <v>875</v>
      </c>
      <c r="D198">
        <v>49</v>
      </c>
      <c r="E198" t="s">
        <v>810</v>
      </c>
      <c r="F198" s="2">
        <v>0.40625</v>
      </c>
    </row>
    <row r="199" spans="1:6" x14ac:dyDescent="0.3">
      <c r="A199" t="s">
        <v>977</v>
      </c>
      <c r="B199" s="1">
        <v>45209</v>
      </c>
      <c r="C199" t="s">
        <v>999</v>
      </c>
      <c r="D199">
        <v>57</v>
      </c>
      <c r="E199" t="s">
        <v>807</v>
      </c>
      <c r="F199" s="2">
        <v>0.95486111111111116</v>
      </c>
    </row>
    <row r="200" spans="1:6" x14ac:dyDescent="0.3">
      <c r="A200" t="s">
        <v>977</v>
      </c>
      <c r="B200" s="1">
        <v>45214</v>
      </c>
      <c r="C200" t="s">
        <v>863</v>
      </c>
      <c r="D200">
        <v>47</v>
      </c>
      <c r="E200" t="s">
        <v>812</v>
      </c>
      <c r="F200" s="2">
        <v>0.11319444444444444</v>
      </c>
    </row>
    <row r="201" spans="1:6" x14ac:dyDescent="0.3">
      <c r="A201" t="s">
        <v>977</v>
      </c>
      <c r="B201" s="1">
        <v>45207</v>
      </c>
      <c r="C201" t="s">
        <v>1000</v>
      </c>
      <c r="D201">
        <v>46</v>
      </c>
      <c r="E201" t="s">
        <v>807</v>
      </c>
      <c r="F201" s="2">
        <v>0.36805555555555558</v>
      </c>
    </row>
    <row r="202" spans="1:6" x14ac:dyDescent="0.3">
      <c r="A202" t="s">
        <v>977</v>
      </c>
      <c r="B202" s="1">
        <v>45225</v>
      </c>
      <c r="C202" t="s">
        <v>1001</v>
      </c>
      <c r="D202">
        <v>90</v>
      </c>
      <c r="E202" t="s">
        <v>810</v>
      </c>
      <c r="F202" s="2">
        <v>0.85902777777777772</v>
      </c>
    </row>
    <row r="203" spans="1:6" x14ac:dyDescent="0.3">
      <c r="A203" t="s">
        <v>977</v>
      </c>
      <c r="B203" s="1">
        <v>45221</v>
      </c>
      <c r="C203" t="s">
        <v>1002</v>
      </c>
      <c r="D203">
        <v>18</v>
      </c>
      <c r="E203" t="s">
        <v>810</v>
      </c>
      <c r="F203" s="2">
        <v>0.26874999999999999</v>
      </c>
    </row>
    <row r="204" spans="1:6" x14ac:dyDescent="0.3">
      <c r="A204" t="s">
        <v>977</v>
      </c>
      <c r="B204" s="1">
        <v>45203</v>
      </c>
      <c r="C204" t="s">
        <v>1003</v>
      </c>
      <c r="D204">
        <v>114</v>
      </c>
      <c r="E204" t="s">
        <v>810</v>
      </c>
      <c r="F204" s="2">
        <v>0.71805555555555556</v>
      </c>
    </row>
    <row r="205" spans="1:6" x14ac:dyDescent="0.3">
      <c r="A205" t="s">
        <v>977</v>
      </c>
      <c r="B205" s="1">
        <v>45220</v>
      </c>
      <c r="C205" t="s">
        <v>1004</v>
      </c>
      <c r="D205">
        <v>25</v>
      </c>
      <c r="E205" t="s">
        <v>807</v>
      </c>
      <c r="F205" s="2">
        <v>0.20694444444444443</v>
      </c>
    </row>
    <row r="206" spans="1:6" x14ac:dyDescent="0.3">
      <c r="A206" t="s">
        <v>977</v>
      </c>
      <c r="B206" s="1">
        <v>45208</v>
      </c>
      <c r="C206" t="s">
        <v>1005</v>
      </c>
      <c r="D206">
        <v>47</v>
      </c>
      <c r="E206" t="s">
        <v>807</v>
      </c>
      <c r="F206" s="2">
        <v>0.16944444444444445</v>
      </c>
    </row>
    <row r="207" spans="1:6" x14ac:dyDescent="0.3">
      <c r="A207" t="s">
        <v>977</v>
      </c>
      <c r="B207" s="1">
        <v>45201</v>
      </c>
      <c r="C207" t="s">
        <v>1006</v>
      </c>
      <c r="D207">
        <v>57</v>
      </c>
      <c r="E207" t="s">
        <v>812</v>
      </c>
      <c r="F207" s="2">
        <v>0.24305555555555555</v>
      </c>
    </row>
    <row r="208" spans="1:6" x14ac:dyDescent="0.3">
      <c r="A208" t="s">
        <v>977</v>
      </c>
      <c r="B208" s="1">
        <v>45209</v>
      </c>
      <c r="C208" t="s">
        <v>938</v>
      </c>
      <c r="D208">
        <v>93</v>
      </c>
      <c r="E208" t="s">
        <v>812</v>
      </c>
      <c r="F208" s="2">
        <v>0.82430555555555551</v>
      </c>
    </row>
    <row r="209" spans="1:6" x14ac:dyDescent="0.3">
      <c r="A209" t="s">
        <v>977</v>
      </c>
      <c r="B209" s="1">
        <v>45226</v>
      </c>
      <c r="C209" t="s">
        <v>1007</v>
      </c>
      <c r="D209">
        <v>68</v>
      </c>
      <c r="E209" t="s">
        <v>812</v>
      </c>
      <c r="F209" s="2">
        <v>0.79027777777777775</v>
      </c>
    </row>
    <row r="210" spans="1:6" x14ac:dyDescent="0.3">
      <c r="A210" t="s">
        <v>977</v>
      </c>
      <c r="B210" s="1">
        <v>45209</v>
      </c>
      <c r="C210" t="s">
        <v>928</v>
      </c>
      <c r="D210">
        <v>41</v>
      </c>
      <c r="E210" t="s">
        <v>810</v>
      </c>
      <c r="F210" s="2">
        <v>0.58819444444444446</v>
      </c>
    </row>
    <row r="211" spans="1:6" x14ac:dyDescent="0.3">
      <c r="A211" t="s">
        <v>977</v>
      </c>
      <c r="B211" s="1">
        <v>45214</v>
      </c>
      <c r="C211" t="s">
        <v>1008</v>
      </c>
      <c r="D211">
        <v>89</v>
      </c>
      <c r="E211" t="s">
        <v>812</v>
      </c>
      <c r="F211" s="2">
        <v>0.92986111111111114</v>
      </c>
    </row>
    <row r="212" spans="1:6" x14ac:dyDescent="0.3">
      <c r="A212" t="s">
        <v>977</v>
      </c>
      <c r="B212" s="1">
        <v>45222</v>
      </c>
      <c r="C212" t="s">
        <v>1009</v>
      </c>
      <c r="D212">
        <v>56</v>
      </c>
      <c r="E212" t="s">
        <v>807</v>
      </c>
      <c r="F212" s="2">
        <v>0.51180555555555551</v>
      </c>
    </row>
    <row r="213" spans="1:6" x14ac:dyDescent="0.3">
      <c r="A213" t="s">
        <v>977</v>
      </c>
      <c r="B213" s="1">
        <v>45216</v>
      </c>
      <c r="C213" t="s">
        <v>1010</v>
      </c>
      <c r="D213">
        <v>109</v>
      </c>
      <c r="E213" t="s">
        <v>812</v>
      </c>
      <c r="F213" s="2">
        <v>0.72986111111111107</v>
      </c>
    </row>
    <row r="214" spans="1:6" x14ac:dyDescent="0.3">
      <c r="A214" t="s">
        <v>977</v>
      </c>
      <c r="B214" s="1">
        <v>45214</v>
      </c>
      <c r="C214" t="s">
        <v>1011</v>
      </c>
      <c r="D214">
        <v>102</v>
      </c>
      <c r="E214" t="s">
        <v>810</v>
      </c>
      <c r="F214" s="2">
        <v>0.10972222222222222</v>
      </c>
    </row>
    <row r="215" spans="1:6" x14ac:dyDescent="0.3">
      <c r="A215" t="s">
        <v>977</v>
      </c>
      <c r="B215" s="1">
        <v>45201</v>
      </c>
      <c r="C215" t="s">
        <v>828</v>
      </c>
      <c r="D215">
        <v>75</v>
      </c>
      <c r="E215" t="s">
        <v>812</v>
      </c>
      <c r="F215" s="2">
        <v>0.57430555555555551</v>
      </c>
    </row>
    <row r="216" spans="1:6" x14ac:dyDescent="0.3">
      <c r="A216" t="s">
        <v>977</v>
      </c>
      <c r="B216" s="1">
        <v>45210</v>
      </c>
      <c r="C216" t="s">
        <v>1012</v>
      </c>
      <c r="D216">
        <v>9</v>
      </c>
      <c r="E216" t="s">
        <v>810</v>
      </c>
      <c r="F216" s="2">
        <v>0.80277777777777781</v>
      </c>
    </row>
    <row r="217" spans="1:6" x14ac:dyDescent="0.3">
      <c r="A217" t="s">
        <v>977</v>
      </c>
      <c r="B217" s="1">
        <v>45200</v>
      </c>
      <c r="C217" t="s">
        <v>849</v>
      </c>
      <c r="D217">
        <v>63</v>
      </c>
      <c r="E217" t="s">
        <v>810</v>
      </c>
      <c r="F217" s="2">
        <v>9.3055555555555558E-2</v>
      </c>
    </row>
    <row r="218" spans="1:6" x14ac:dyDescent="0.3">
      <c r="A218" t="s">
        <v>977</v>
      </c>
      <c r="B218" s="1">
        <v>45230</v>
      </c>
      <c r="C218" t="s">
        <v>1013</v>
      </c>
      <c r="D218">
        <v>16</v>
      </c>
      <c r="E218" t="s">
        <v>810</v>
      </c>
      <c r="F218" s="2">
        <v>0.91180555555555554</v>
      </c>
    </row>
    <row r="219" spans="1:6" x14ac:dyDescent="0.3">
      <c r="A219" t="s">
        <v>977</v>
      </c>
      <c r="B219" s="1">
        <v>45227</v>
      </c>
      <c r="C219" t="s">
        <v>916</v>
      </c>
      <c r="D219">
        <v>45</v>
      </c>
      <c r="E219" t="s">
        <v>812</v>
      </c>
      <c r="F219" s="2">
        <v>0.77569444444444446</v>
      </c>
    </row>
    <row r="220" spans="1:6" x14ac:dyDescent="0.3">
      <c r="A220" t="s">
        <v>1014</v>
      </c>
      <c r="B220" s="1">
        <v>45212</v>
      </c>
      <c r="C220" t="s">
        <v>1015</v>
      </c>
      <c r="D220">
        <v>113</v>
      </c>
      <c r="E220" t="s">
        <v>812</v>
      </c>
      <c r="F220" s="2">
        <v>0.62430555555555556</v>
      </c>
    </row>
    <row r="221" spans="1:6" x14ac:dyDescent="0.3">
      <c r="A221" t="s">
        <v>1014</v>
      </c>
      <c r="B221" s="1">
        <v>45210</v>
      </c>
      <c r="C221" t="s">
        <v>1016</v>
      </c>
      <c r="D221">
        <v>43</v>
      </c>
      <c r="E221" t="s">
        <v>810</v>
      </c>
      <c r="F221" s="2">
        <v>0.28055555555555556</v>
      </c>
    </row>
    <row r="222" spans="1:6" x14ac:dyDescent="0.3">
      <c r="A222" t="s">
        <v>1014</v>
      </c>
      <c r="B222" s="1">
        <v>45207</v>
      </c>
      <c r="C222" t="s">
        <v>1017</v>
      </c>
      <c r="D222">
        <v>54</v>
      </c>
      <c r="E222" t="s">
        <v>807</v>
      </c>
      <c r="F222" s="2">
        <v>0.54305555555555551</v>
      </c>
    </row>
    <row r="223" spans="1:6" x14ac:dyDescent="0.3">
      <c r="A223" t="s">
        <v>1014</v>
      </c>
      <c r="B223" s="1">
        <v>45210</v>
      </c>
      <c r="C223" t="s">
        <v>1018</v>
      </c>
      <c r="D223">
        <v>114</v>
      </c>
      <c r="E223" t="s">
        <v>812</v>
      </c>
      <c r="F223" s="2">
        <v>0.97916666666666663</v>
      </c>
    </row>
    <row r="224" spans="1:6" x14ac:dyDescent="0.3">
      <c r="A224" t="s">
        <v>1014</v>
      </c>
      <c r="B224" s="1">
        <v>45222</v>
      </c>
      <c r="C224" t="s">
        <v>1019</v>
      </c>
      <c r="D224">
        <v>66</v>
      </c>
      <c r="E224" t="s">
        <v>807</v>
      </c>
      <c r="F224" s="2">
        <v>0.51666666666666672</v>
      </c>
    </row>
    <row r="225" spans="1:6" x14ac:dyDescent="0.3">
      <c r="A225" t="s">
        <v>1014</v>
      </c>
      <c r="B225" s="1">
        <v>45221</v>
      </c>
      <c r="C225" t="s">
        <v>1020</v>
      </c>
      <c r="D225">
        <v>18</v>
      </c>
      <c r="E225" t="s">
        <v>807</v>
      </c>
      <c r="F225" s="2">
        <v>0.83958333333333335</v>
      </c>
    </row>
    <row r="226" spans="1:6" x14ac:dyDescent="0.3">
      <c r="A226" t="s">
        <v>1014</v>
      </c>
      <c r="B226" s="1">
        <v>45215</v>
      </c>
      <c r="C226" t="s">
        <v>1021</v>
      </c>
      <c r="D226">
        <v>35</v>
      </c>
      <c r="E226" t="s">
        <v>807</v>
      </c>
      <c r="F226" s="2">
        <v>4.7222222222222221E-2</v>
      </c>
    </row>
    <row r="227" spans="1:6" x14ac:dyDescent="0.3">
      <c r="A227" t="s">
        <v>1014</v>
      </c>
      <c r="B227" s="1">
        <v>45216</v>
      </c>
      <c r="C227" t="s">
        <v>885</v>
      </c>
      <c r="D227">
        <v>53</v>
      </c>
      <c r="E227" t="s">
        <v>810</v>
      </c>
      <c r="F227" s="2">
        <v>0.76458333333333328</v>
      </c>
    </row>
    <row r="228" spans="1:6" x14ac:dyDescent="0.3">
      <c r="A228" t="s">
        <v>1014</v>
      </c>
      <c r="B228" s="1">
        <v>45227</v>
      </c>
      <c r="C228" t="s">
        <v>1022</v>
      </c>
      <c r="D228">
        <v>78</v>
      </c>
      <c r="E228" t="s">
        <v>810</v>
      </c>
      <c r="F228" s="2">
        <v>0.16319444444444445</v>
      </c>
    </row>
    <row r="229" spans="1:6" x14ac:dyDescent="0.3">
      <c r="A229" t="s">
        <v>1014</v>
      </c>
      <c r="B229" s="1">
        <v>45227</v>
      </c>
      <c r="C229" t="s">
        <v>954</v>
      </c>
      <c r="D229">
        <v>50</v>
      </c>
      <c r="E229" t="s">
        <v>810</v>
      </c>
      <c r="F229" s="2">
        <v>0.58750000000000002</v>
      </c>
    </row>
    <row r="230" spans="1:6" x14ac:dyDescent="0.3">
      <c r="A230" t="s">
        <v>1014</v>
      </c>
      <c r="B230" s="1">
        <v>45216</v>
      </c>
      <c r="C230" t="s">
        <v>1023</v>
      </c>
      <c r="D230">
        <v>78</v>
      </c>
      <c r="E230" t="s">
        <v>812</v>
      </c>
      <c r="F230" s="2">
        <v>0.58333333333333337</v>
      </c>
    </row>
    <row r="231" spans="1:6" x14ac:dyDescent="0.3">
      <c r="A231" t="s">
        <v>1014</v>
      </c>
      <c r="B231" s="1">
        <v>45223</v>
      </c>
      <c r="C231" t="s">
        <v>1024</v>
      </c>
      <c r="D231">
        <v>42</v>
      </c>
      <c r="E231" t="s">
        <v>810</v>
      </c>
      <c r="F231" s="2">
        <v>0.18472222222222223</v>
      </c>
    </row>
    <row r="232" spans="1:6" x14ac:dyDescent="0.3">
      <c r="A232" t="s">
        <v>1014</v>
      </c>
      <c r="B232" s="1">
        <v>45227</v>
      </c>
      <c r="C232" t="s">
        <v>1025</v>
      </c>
      <c r="D232">
        <v>94</v>
      </c>
      <c r="E232" t="s">
        <v>812</v>
      </c>
      <c r="F232" s="2">
        <v>0.83958333333333335</v>
      </c>
    </row>
    <row r="233" spans="1:6" x14ac:dyDescent="0.3">
      <c r="A233" t="s">
        <v>1014</v>
      </c>
      <c r="B233" s="1">
        <v>45202</v>
      </c>
      <c r="C233" t="s">
        <v>1026</v>
      </c>
      <c r="D233">
        <v>42</v>
      </c>
      <c r="E233" t="s">
        <v>807</v>
      </c>
      <c r="F233" s="2">
        <v>0.65972222222222221</v>
      </c>
    </row>
    <row r="234" spans="1:6" x14ac:dyDescent="0.3">
      <c r="A234" t="s">
        <v>1014</v>
      </c>
      <c r="B234" s="1">
        <v>45208</v>
      </c>
      <c r="C234" t="s">
        <v>1027</v>
      </c>
      <c r="D234">
        <v>7</v>
      </c>
      <c r="E234" t="s">
        <v>812</v>
      </c>
      <c r="F234" s="2">
        <v>0.44374999999999998</v>
      </c>
    </row>
    <row r="235" spans="1:6" x14ac:dyDescent="0.3">
      <c r="A235" t="s">
        <v>1014</v>
      </c>
      <c r="B235" s="1">
        <v>45222</v>
      </c>
      <c r="C235" t="s">
        <v>1028</v>
      </c>
      <c r="D235">
        <v>111</v>
      </c>
      <c r="E235" t="s">
        <v>807</v>
      </c>
      <c r="F235" s="2">
        <v>0.52847222222222223</v>
      </c>
    </row>
    <row r="236" spans="1:6" x14ac:dyDescent="0.3">
      <c r="A236" t="s">
        <v>1014</v>
      </c>
      <c r="B236" s="1">
        <v>45202</v>
      </c>
      <c r="C236" t="s">
        <v>1029</v>
      </c>
      <c r="D236">
        <v>89</v>
      </c>
      <c r="E236" t="s">
        <v>812</v>
      </c>
      <c r="F236" s="2">
        <v>0.45416666666666666</v>
      </c>
    </row>
    <row r="237" spans="1:6" x14ac:dyDescent="0.3">
      <c r="A237" t="s">
        <v>1014</v>
      </c>
      <c r="B237" s="1">
        <v>45221</v>
      </c>
      <c r="C237" t="s">
        <v>1030</v>
      </c>
      <c r="D237">
        <v>55</v>
      </c>
      <c r="E237" t="s">
        <v>810</v>
      </c>
      <c r="F237" s="2">
        <v>0.72499999999999998</v>
      </c>
    </row>
    <row r="238" spans="1:6" x14ac:dyDescent="0.3">
      <c r="A238" t="s">
        <v>1014</v>
      </c>
      <c r="B238" s="1">
        <v>45230</v>
      </c>
      <c r="C238" t="s">
        <v>1003</v>
      </c>
      <c r="D238">
        <v>40</v>
      </c>
      <c r="E238" t="s">
        <v>807</v>
      </c>
      <c r="F238" s="2">
        <v>0.44444444444444442</v>
      </c>
    </row>
    <row r="239" spans="1:6" x14ac:dyDescent="0.3">
      <c r="A239" t="s">
        <v>1014</v>
      </c>
      <c r="B239" s="1">
        <v>45222</v>
      </c>
      <c r="C239" t="s">
        <v>1031</v>
      </c>
      <c r="D239">
        <v>6</v>
      </c>
      <c r="E239" t="s">
        <v>812</v>
      </c>
      <c r="F239" s="2">
        <v>0.66319444444444442</v>
      </c>
    </row>
    <row r="240" spans="1:6" x14ac:dyDescent="0.3">
      <c r="A240" t="s">
        <v>1014</v>
      </c>
      <c r="B240" s="1">
        <v>45217</v>
      </c>
      <c r="C240" t="s">
        <v>1032</v>
      </c>
      <c r="D240">
        <v>77</v>
      </c>
      <c r="E240" t="s">
        <v>812</v>
      </c>
      <c r="F240" s="2">
        <v>6.8750000000000006E-2</v>
      </c>
    </row>
    <row r="241" spans="1:6" x14ac:dyDescent="0.3">
      <c r="A241" t="s">
        <v>1014</v>
      </c>
      <c r="B241" s="1">
        <v>45202</v>
      </c>
      <c r="C241" t="s">
        <v>1033</v>
      </c>
      <c r="D241">
        <v>115</v>
      </c>
      <c r="E241" t="s">
        <v>810</v>
      </c>
      <c r="F241" s="2">
        <v>0.31944444444444442</v>
      </c>
    </row>
    <row r="242" spans="1:6" x14ac:dyDescent="0.3">
      <c r="A242" t="s">
        <v>1014</v>
      </c>
      <c r="B242" s="1">
        <v>45221</v>
      </c>
      <c r="C242" t="s">
        <v>1034</v>
      </c>
      <c r="D242">
        <v>92</v>
      </c>
      <c r="E242" t="s">
        <v>810</v>
      </c>
      <c r="F242" s="2">
        <v>0.38472222222222224</v>
      </c>
    </row>
    <row r="243" spans="1:6" x14ac:dyDescent="0.3">
      <c r="A243" t="s">
        <v>1014</v>
      </c>
      <c r="B243" s="1">
        <v>45223</v>
      </c>
      <c r="C243" t="s">
        <v>1035</v>
      </c>
      <c r="D243">
        <v>104</v>
      </c>
      <c r="E243" t="s">
        <v>810</v>
      </c>
      <c r="F243" s="2">
        <v>0.10208333333333333</v>
      </c>
    </row>
    <row r="244" spans="1:6" x14ac:dyDescent="0.3">
      <c r="A244" t="s">
        <v>1014</v>
      </c>
      <c r="B244" s="1">
        <v>45203</v>
      </c>
      <c r="C244" t="s">
        <v>1036</v>
      </c>
      <c r="D244">
        <v>100</v>
      </c>
      <c r="E244" t="s">
        <v>812</v>
      </c>
      <c r="F244" s="2">
        <v>0.86458333333333337</v>
      </c>
    </row>
    <row r="245" spans="1:6" x14ac:dyDescent="0.3">
      <c r="A245" t="s">
        <v>1014</v>
      </c>
      <c r="B245" s="1">
        <v>45227</v>
      </c>
      <c r="C245" t="s">
        <v>1037</v>
      </c>
      <c r="D245">
        <v>11</v>
      </c>
      <c r="E245" t="s">
        <v>810</v>
      </c>
      <c r="F245" s="2">
        <v>0.14444444444444443</v>
      </c>
    </row>
    <row r="246" spans="1:6" x14ac:dyDescent="0.3">
      <c r="A246" t="s">
        <v>1014</v>
      </c>
      <c r="B246" s="1">
        <v>45205</v>
      </c>
      <c r="C246" t="s">
        <v>1038</v>
      </c>
      <c r="D246">
        <v>82</v>
      </c>
      <c r="E246" t="s">
        <v>812</v>
      </c>
      <c r="F246" s="2">
        <v>0.92986111111111114</v>
      </c>
    </row>
    <row r="247" spans="1:6" x14ac:dyDescent="0.3">
      <c r="A247" t="s">
        <v>1014</v>
      </c>
      <c r="B247" s="1">
        <v>45210</v>
      </c>
      <c r="C247" t="s">
        <v>1040</v>
      </c>
      <c r="D247">
        <v>68</v>
      </c>
      <c r="E247" t="s">
        <v>812</v>
      </c>
      <c r="F247" s="2">
        <v>5.4166666666666669E-2</v>
      </c>
    </row>
    <row r="248" spans="1:6" x14ac:dyDescent="0.3">
      <c r="A248" t="s">
        <v>1014</v>
      </c>
      <c r="B248" s="1">
        <v>45211</v>
      </c>
      <c r="C248" t="s">
        <v>833</v>
      </c>
      <c r="D248">
        <v>111</v>
      </c>
      <c r="E248" t="s">
        <v>807</v>
      </c>
      <c r="F248" s="2">
        <v>0.47708333333333336</v>
      </c>
    </row>
    <row r="249" spans="1:6" x14ac:dyDescent="0.3">
      <c r="A249" t="s">
        <v>1014</v>
      </c>
      <c r="B249" s="1">
        <v>45204</v>
      </c>
      <c r="C249" t="s">
        <v>1041</v>
      </c>
      <c r="D249">
        <v>120</v>
      </c>
      <c r="E249" t="s">
        <v>810</v>
      </c>
      <c r="F249" s="2">
        <v>0.31458333333333333</v>
      </c>
    </row>
    <row r="250" spans="1:6" x14ac:dyDescent="0.3">
      <c r="A250" t="s">
        <v>1014</v>
      </c>
      <c r="B250" s="1">
        <v>45213</v>
      </c>
      <c r="C250" t="s">
        <v>1042</v>
      </c>
      <c r="D250">
        <v>120</v>
      </c>
      <c r="E250" t="s">
        <v>807</v>
      </c>
      <c r="F250" s="2">
        <v>0.77986111111111112</v>
      </c>
    </row>
    <row r="251" spans="1:6" x14ac:dyDescent="0.3">
      <c r="A251" t="s">
        <v>1014</v>
      </c>
      <c r="B251" s="1">
        <v>45225</v>
      </c>
      <c r="C251" t="s">
        <v>1043</v>
      </c>
      <c r="D251">
        <v>41</v>
      </c>
      <c r="E251" t="s">
        <v>812</v>
      </c>
      <c r="F251" s="2">
        <v>0.21527777777777779</v>
      </c>
    </row>
    <row r="252" spans="1:6" x14ac:dyDescent="0.3">
      <c r="A252" t="s">
        <v>1014</v>
      </c>
      <c r="B252" s="1">
        <v>45205</v>
      </c>
      <c r="C252" t="s">
        <v>836</v>
      </c>
      <c r="D252">
        <v>104</v>
      </c>
      <c r="E252" t="s">
        <v>807</v>
      </c>
      <c r="F252" s="2">
        <v>0.11041666666666666</v>
      </c>
    </row>
    <row r="253" spans="1:6" x14ac:dyDescent="0.3">
      <c r="A253" t="s">
        <v>1014</v>
      </c>
      <c r="B253" s="1">
        <v>45227</v>
      </c>
      <c r="C253" t="s">
        <v>1044</v>
      </c>
      <c r="D253">
        <v>107</v>
      </c>
      <c r="E253" t="s">
        <v>810</v>
      </c>
      <c r="F253" s="2">
        <v>0.52708333333333335</v>
      </c>
    </row>
    <row r="254" spans="1:6" x14ac:dyDescent="0.3">
      <c r="A254" t="s">
        <v>1014</v>
      </c>
      <c r="B254" s="1">
        <v>45221</v>
      </c>
      <c r="C254" t="s">
        <v>1045</v>
      </c>
      <c r="D254">
        <v>34</v>
      </c>
      <c r="E254" t="s">
        <v>810</v>
      </c>
      <c r="F254" s="2">
        <v>0.31319444444444444</v>
      </c>
    </row>
    <row r="255" spans="1:6" x14ac:dyDescent="0.3">
      <c r="A255" t="s">
        <v>1014</v>
      </c>
      <c r="B255" s="1">
        <v>45229</v>
      </c>
      <c r="C255" t="s">
        <v>1046</v>
      </c>
      <c r="D255">
        <v>82</v>
      </c>
      <c r="E255" t="s">
        <v>812</v>
      </c>
      <c r="F255" s="2">
        <v>0.75624999999999998</v>
      </c>
    </row>
    <row r="256" spans="1:6" x14ac:dyDescent="0.3">
      <c r="A256" t="s">
        <v>1014</v>
      </c>
      <c r="B256" s="1">
        <v>45207</v>
      </c>
      <c r="C256" t="s">
        <v>911</v>
      </c>
      <c r="D256">
        <v>107</v>
      </c>
      <c r="E256" t="s">
        <v>810</v>
      </c>
      <c r="F256" s="2">
        <v>0.61111111111111116</v>
      </c>
    </row>
    <row r="257" spans="1:6" x14ac:dyDescent="0.3">
      <c r="A257" t="s">
        <v>1014</v>
      </c>
      <c r="B257" s="1">
        <v>45208</v>
      </c>
      <c r="C257" t="s">
        <v>1047</v>
      </c>
      <c r="D257">
        <v>50</v>
      </c>
      <c r="E257" t="s">
        <v>807</v>
      </c>
      <c r="F257" s="2">
        <v>0.59444444444444444</v>
      </c>
    </row>
    <row r="258" spans="1:6" x14ac:dyDescent="0.3">
      <c r="A258" t="s">
        <v>1014</v>
      </c>
      <c r="B258" s="1">
        <v>45225</v>
      </c>
      <c r="C258" t="s">
        <v>1045</v>
      </c>
      <c r="D258">
        <v>86</v>
      </c>
      <c r="E258" t="s">
        <v>807</v>
      </c>
      <c r="F258" s="2">
        <v>0.62291666666666667</v>
      </c>
    </row>
    <row r="259" spans="1:6" x14ac:dyDescent="0.3">
      <c r="A259" t="s">
        <v>1014</v>
      </c>
      <c r="B259" s="1">
        <v>45209</v>
      </c>
      <c r="C259" t="s">
        <v>985</v>
      </c>
      <c r="D259">
        <v>29</v>
      </c>
      <c r="E259" t="s">
        <v>810</v>
      </c>
      <c r="F259" s="2">
        <v>0.89861111111111114</v>
      </c>
    </row>
    <row r="260" spans="1:6" x14ac:dyDescent="0.3">
      <c r="A260" t="s">
        <v>1014</v>
      </c>
      <c r="B260" s="1">
        <v>45205</v>
      </c>
      <c r="C260" t="s">
        <v>1049</v>
      </c>
      <c r="D260">
        <v>84</v>
      </c>
      <c r="E260" t="s">
        <v>812</v>
      </c>
      <c r="F260" s="2">
        <v>0.10277777777777777</v>
      </c>
    </row>
    <row r="261" spans="1:6" x14ac:dyDescent="0.3">
      <c r="A261" t="s">
        <v>1014</v>
      </c>
      <c r="B261" s="1">
        <v>45230</v>
      </c>
      <c r="C261" t="s">
        <v>1050</v>
      </c>
      <c r="D261">
        <v>37</v>
      </c>
      <c r="E261" t="s">
        <v>810</v>
      </c>
      <c r="F261" s="2">
        <v>0.48402777777777778</v>
      </c>
    </row>
    <row r="262" spans="1:6" x14ac:dyDescent="0.3">
      <c r="A262" t="s">
        <v>1014</v>
      </c>
      <c r="B262" s="1">
        <v>45209</v>
      </c>
      <c r="C262" t="s">
        <v>1051</v>
      </c>
      <c r="D262">
        <v>91</v>
      </c>
      <c r="E262" t="s">
        <v>812</v>
      </c>
      <c r="F262" s="2">
        <v>0.8520833333333333</v>
      </c>
    </row>
    <row r="263" spans="1:6" x14ac:dyDescent="0.3">
      <c r="A263" t="s">
        <v>1014</v>
      </c>
      <c r="B263" s="1">
        <v>45222</v>
      </c>
      <c r="C263" t="s">
        <v>1052</v>
      </c>
      <c r="D263">
        <v>101</v>
      </c>
      <c r="E263" t="s">
        <v>810</v>
      </c>
      <c r="F263" s="2">
        <v>0.35347222222222224</v>
      </c>
    </row>
    <row r="264" spans="1:6" x14ac:dyDescent="0.3">
      <c r="A264" t="s">
        <v>1053</v>
      </c>
      <c r="B264" s="1">
        <v>45207</v>
      </c>
      <c r="C264" t="s">
        <v>1054</v>
      </c>
      <c r="D264">
        <v>99</v>
      </c>
      <c r="E264" t="s">
        <v>810</v>
      </c>
      <c r="F264" s="2">
        <v>0.71388888888888891</v>
      </c>
    </row>
    <row r="265" spans="1:6" x14ac:dyDescent="0.3">
      <c r="A265" t="s">
        <v>1053</v>
      </c>
      <c r="B265" s="1">
        <v>45212</v>
      </c>
      <c r="C265" t="s">
        <v>956</v>
      </c>
      <c r="D265">
        <v>58</v>
      </c>
      <c r="E265" t="s">
        <v>810</v>
      </c>
      <c r="F265" s="2">
        <v>0.59930555555555554</v>
      </c>
    </row>
    <row r="266" spans="1:6" x14ac:dyDescent="0.3">
      <c r="A266" t="s">
        <v>1053</v>
      </c>
      <c r="B266" s="1">
        <v>45221</v>
      </c>
      <c r="C266" t="s">
        <v>1055</v>
      </c>
      <c r="D266">
        <v>72</v>
      </c>
      <c r="E266" t="s">
        <v>810</v>
      </c>
      <c r="F266" s="2">
        <v>0.98888888888888893</v>
      </c>
    </row>
    <row r="267" spans="1:6" x14ac:dyDescent="0.3">
      <c r="A267" t="s">
        <v>1053</v>
      </c>
      <c r="B267" s="1">
        <v>45230</v>
      </c>
      <c r="C267" t="s">
        <v>1032</v>
      </c>
      <c r="D267">
        <v>19</v>
      </c>
      <c r="E267" t="s">
        <v>810</v>
      </c>
      <c r="F267" s="2">
        <v>0.72638888888888886</v>
      </c>
    </row>
    <row r="268" spans="1:6" x14ac:dyDescent="0.3">
      <c r="A268" t="s">
        <v>1053</v>
      </c>
      <c r="B268" s="1">
        <v>45218</v>
      </c>
      <c r="C268" t="s">
        <v>1056</v>
      </c>
      <c r="D268">
        <v>100</v>
      </c>
      <c r="E268" t="s">
        <v>807</v>
      </c>
      <c r="F268" s="2">
        <v>0.99027777777777781</v>
      </c>
    </row>
    <row r="269" spans="1:6" x14ac:dyDescent="0.3">
      <c r="A269" t="s">
        <v>1053</v>
      </c>
      <c r="B269" s="1">
        <v>45204</v>
      </c>
      <c r="C269" t="s">
        <v>1057</v>
      </c>
      <c r="D269">
        <v>13</v>
      </c>
      <c r="E269" t="s">
        <v>812</v>
      </c>
      <c r="F269" s="2">
        <v>0.57013888888888886</v>
      </c>
    </row>
    <row r="270" spans="1:6" x14ac:dyDescent="0.3">
      <c r="A270" t="s">
        <v>1053</v>
      </c>
      <c r="B270" s="1">
        <v>45203</v>
      </c>
      <c r="C270" t="s">
        <v>1058</v>
      </c>
      <c r="D270">
        <v>65</v>
      </c>
      <c r="E270" t="s">
        <v>812</v>
      </c>
      <c r="F270" s="2">
        <v>0.65208333333333335</v>
      </c>
    </row>
    <row r="271" spans="1:6" x14ac:dyDescent="0.3">
      <c r="A271" t="s">
        <v>1053</v>
      </c>
      <c r="B271" s="1">
        <v>45213</v>
      </c>
      <c r="C271" t="s">
        <v>1059</v>
      </c>
      <c r="D271">
        <v>62</v>
      </c>
      <c r="E271" t="s">
        <v>807</v>
      </c>
      <c r="F271" s="2">
        <v>0.3347222222222222</v>
      </c>
    </row>
    <row r="272" spans="1:6" x14ac:dyDescent="0.3">
      <c r="A272" t="s">
        <v>1053</v>
      </c>
      <c r="B272" s="1">
        <v>45222</v>
      </c>
      <c r="C272" t="s">
        <v>1060</v>
      </c>
      <c r="D272">
        <v>104</v>
      </c>
      <c r="E272" t="s">
        <v>812</v>
      </c>
      <c r="F272" s="2">
        <v>0.46736111111111112</v>
      </c>
    </row>
    <row r="273" spans="1:6" x14ac:dyDescent="0.3">
      <c r="A273" t="s">
        <v>1053</v>
      </c>
      <c r="B273" s="1">
        <v>45214</v>
      </c>
      <c r="C273" t="s">
        <v>1061</v>
      </c>
      <c r="D273">
        <v>51</v>
      </c>
      <c r="E273" t="s">
        <v>812</v>
      </c>
      <c r="F273" s="2">
        <v>0.59375</v>
      </c>
    </row>
    <row r="274" spans="1:6" x14ac:dyDescent="0.3">
      <c r="A274" t="s">
        <v>1053</v>
      </c>
      <c r="B274" s="1">
        <v>45227</v>
      </c>
      <c r="C274" t="s">
        <v>893</v>
      </c>
      <c r="D274">
        <v>70</v>
      </c>
      <c r="E274" t="s">
        <v>812</v>
      </c>
      <c r="F274" s="2">
        <v>0.46250000000000002</v>
      </c>
    </row>
    <row r="275" spans="1:6" x14ac:dyDescent="0.3">
      <c r="A275" t="s">
        <v>1053</v>
      </c>
      <c r="B275" s="1">
        <v>45221</v>
      </c>
      <c r="C275" t="s">
        <v>1062</v>
      </c>
      <c r="D275">
        <v>80</v>
      </c>
      <c r="E275" t="s">
        <v>812</v>
      </c>
      <c r="F275" s="2">
        <v>0.48194444444444445</v>
      </c>
    </row>
    <row r="276" spans="1:6" x14ac:dyDescent="0.3">
      <c r="A276" t="s">
        <v>1053</v>
      </c>
      <c r="B276" s="1">
        <v>45228</v>
      </c>
      <c r="C276" t="s">
        <v>1063</v>
      </c>
      <c r="D276">
        <v>18</v>
      </c>
      <c r="E276" t="s">
        <v>812</v>
      </c>
      <c r="F276" s="2">
        <v>0.84861111111111109</v>
      </c>
    </row>
    <row r="277" spans="1:6" x14ac:dyDescent="0.3">
      <c r="A277" t="s">
        <v>1053</v>
      </c>
      <c r="B277" s="1">
        <v>45201</v>
      </c>
      <c r="C277" t="s">
        <v>931</v>
      </c>
      <c r="D277">
        <v>62</v>
      </c>
      <c r="E277" t="s">
        <v>810</v>
      </c>
      <c r="F277" s="2">
        <v>0.51180555555555551</v>
      </c>
    </row>
    <row r="278" spans="1:6" x14ac:dyDescent="0.3">
      <c r="A278" t="s">
        <v>1053</v>
      </c>
      <c r="B278" s="1">
        <v>45206</v>
      </c>
      <c r="C278" t="s">
        <v>1064</v>
      </c>
      <c r="D278">
        <v>69</v>
      </c>
      <c r="E278" t="s">
        <v>807</v>
      </c>
      <c r="F278" s="2">
        <v>0.16250000000000001</v>
      </c>
    </row>
    <row r="279" spans="1:6" x14ac:dyDescent="0.3">
      <c r="A279" t="s">
        <v>1053</v>
      </c>
      <c r="B279" s="1">
        <v>45226</v>
      </c>
      <c r="C279" t="s">
        <v>1065</v>
      </c>
      <c r="D279">
        <v>33</v>
      </c>
      <c r="E279" t="s">
        <v>812</v>
      </c>
      <c r="F279" s="2">
        <v>0.58680555555555558</v>
      </c>
    </row>
    <row r="280" spans="1:6" x14ac:dyDescent="0.3">
      <c r="A280" t="s">
        <v>1053</v>
      </c>
      <c r="B280" s="1">
        <v>45221</v>
      </c>
      <c r="C280" t="s">
        <v>1066</v>
      </c>
      <c r="D280">
        <v>83</v>
      </c>
      <c r="E280" t="s">
        <v>812</v>
      </c>
      <c r="F280" s="2">
        <v>0.27847222222222223</v>
      </c>
    </row>
    <row r="281" spans="1:6" x14ac:dyDescent="0.3">
      <c r="A281" t="s">
        <v>1053</v>
      </c>
      <c r="B281" s="1">
        <v>45220</v>
      </c>
      <c r="C281" t="s">
        <v>913</v>
      </c>
      <c r="D281">
        <v>10</v>
      </c>
      <c r="E281" t="s">
        <v>812</v>
      </c>
      <c r="F281" s="2">
        <v>0.79236111111111107</v>
      </c>
    </row>
    <row r="282" spans="1:6" x14ac:dyDescent="0.3">
      <c r="A282" t="s">
        <v>1053</v>
      </c>
      <c r="B282" s="1">
        <v>45201</v>
      </c>
      <c r="C282" t="s">
        <v>1055</v>
      </c>
      <c r="D282">
        <v>98</v>
      </c>
      <c r="E282" t="s">
        <v>810</v>
      </c>
      <c r="F282" s="2">
        <v>0.42708333333333331</v>
      </c>
    </row>
    <row r="283" spans="1:6" x14ac:dyDescent="0.3">
      <c r="A283" t="s">
        <v>1053</v>
      </c>
      <c r="B283" s="1">
        <v>45204</v>
      </c>
      <c r="C283" t="s">
        <v>1067</v>
      </c>
      <c r="D283">
        <v>105</v>
      </c>
      <c r="E283" t="s">
        <v>812</v>
      </c>
      <c r="F283" s="2">
        <v>0.75902777777777775</v>
      </c>
    </row>
    <row r="284" spans="1:6" x14ac:dyDescent="0.3">
      <c r="A284" t="s">
        <v>1053</v>
      </c>
      <c r="B284" s="1">
        <v>45202</v>
      </c>
      <c r="C284" t="s">
        <v>1068</v>
      </c>
      <c r="D284">
        <v>115</v>
      </c>
      <c r="E284" t="s">
        <v>812</v>
      </c>
      <c r="F284" s="2">
        <v>0.71736111111111112</v>
      </c>
    </row>
    <row r="285" spans="1:6" x14ac:dyDescent="0.3">
      <c r="A285" t="s">
        <v>1053</v>
      </c>
      <c r="B285" s="1">
        <v>45218</v>
      </c>
      <c r="C285" t="s">
        <v>1069</v>
      </c>
      <c r="D285">
        <v>89</v>
      </c>
      <c r="E285" t="s">
        <v>807</v>
      </c>
      <c r="F285" s="2">
        <v>0.28611111111111109</v>
      </c>
    </row>
    <row r="286" spans="1:6" x14ac:dyDescent="0.3">
      <c r="A286" t="s">
        <v>1053</v>
      </c>
      <c r="B286" s="1">
        <v>45227</v>
      </c>
      <c r="C286" t="s">
        <v>836</v>
      </c>
      <c r="D286">
        <v>71</v>
      </c>
      <c r="E286" t="s">
        <v>810</v>
      </c>
      <c r="F286" s="2">
        <v>0.30625000000000002</v>
      </c>
    </row>
    <row r="287" spans="1:6" x14ac:dyDescent="0.3">
      <c r="A287" t="s">
        <v>1053</v>
      </c>
      <c r="B287" s="1">
        <v>45224</v>
      </c>
      <c r="C287" t="s">
        <v>961</v>
      </c>
      <c r="D287">
        <v>43</v>
      </c>
      <c r="E287" t="s">
        <v>812</v>
      </c>
      <c r="F287" s="2">
        <v>0.2013888888888889</v>
      </c>
    </row>
    <row r="288" spans="1:6" x14ac:dyDescent="0.3">
      <c r="A288" t="s">
        <v>1053</v>
      </c>
      <c r="B288" s="1">
        <v>45228</v>
      </c>
      <c r="C288" t="s">
        <v>806</v>
      </c>
      <c r="D288">
        <v>63</v>
      </c>
      <c r="E288" t="s">
        <v>807</v>
      </c>
      <c r="F288" s="2">
        <v>0.79166666666666663</v>
      </c>
    </row>
    <row r="289" spans="1:6" x14ac:dyDescent="0.3">
      <c r="A289" t="s">
        <v>1053</v>
      </c>
      <c r="B289" s="1">
        <v>45208</v>
      </c>
      <c r="C289" t="s">
        <v>858</v>
      </c>
      <c r="D289">
        <v>87</v>
      </c>
      <c r="E289" t="s">
        <v>807</v>
      </c>
      <c r="F289" s="2">
        <v>0.17222222222222222</v>
      </c>
    </row>
    <row r="290" spans="1:6" x14ac:dyDescent="0.3">
      <c r="A290" t="s">
        <v>1053</v>
      </c>
      <c r="B290" s="1">
        <v>45217</v>
      </c>
      <c r="C290" t="s">
        <v>1070</v>
      </c>
      <c r="D290">
        <v>8</v>
      </c>
      <c r="E290" t="s">
        <v>807</v>
      </c>
      <c r="F290" s="2">
        <v>0.36875000000000002</v>
      </c>
    </row>
    <row r="291" spans="1:6" x14ac:dyDescent="0.3">
      <c r="A291" t="s">
        <v>1053</v>
      </c>
      <c r="B291" s="1">
        <v>45205</v>
      </c>
      <c r="C291" t="s">
        <v>894</v>
      </c>
      <c r="D291">
        <v>12</v>
      </c>
      <c r="E291" t="s">
        <v>807</v>
      </c>
      <c r="F291" s="2">
        <v>0.15416666666666667</v>
      </c>
    </row>
    <row r="292" spans="1:6" x14ac:dyDescent="0.3">
      <c r="A292" t="s">
        <v>1053</v>
      </c>
      <c r="B292" s="1">
        <v>45200</v>
      </c>
      <c r="C292" t="s">
        <v>1071</v>
      </c>
      <c r="D292">
        <v>113</v>
      </c>
      <c r="E292" t="s">
        <v>807</v>
      </c>
      <c r="F292" s="2">
        <v>0.49305555555555558</v>
      </c>
    </row>
    <row r="293" spans="1:6" x14ac:dyDescent="0.3">
      <c r="A293" t="s">
        <v>1053</v>
      </c>
      <c r="B293" s="1">
        <v>45225</v>
      </c>
      <c r="C293" t="s">
        <v>940</v>
      </c>
      <c r="D293">
        <v>56</v>
      </c>
      <c r="E293" t="s">
        <v>810</v>
      </c>
      <c r="F293" s="2">
        <v>0.31736111111111109</v>
      </c>
    </row>
    <row r="294" spans="1:6" x14ac:dyDescent="0.3">
      <c r="A294" t="s">
        <v>1053</v>
      </c>
      <c r="B294" s="1">
        <v>45208</v>
      </c>
      <c r="C294" t="s">
        <v>856</v>
      </c>
      <c r="D294">
        <v>92</v>
      </c>
      <c r="E294" t="s">
        <v>812</v>
      </c>
      <c r="F294" s="2">
        <v>4.7222222222222221E-2</v>
      </c>
    </row>
    <row r="295" spans="1:6" x14ac:dyDescent="0.3">
      <c r="A295" t="s">
        <v>1073</v>
      </c>
      <c r="B295" s="1">
        <v>45221</v>
      </c>
      <c r="C295" t="s">
        <v>1013</v>
      </c>
      <c r="D295">
        <v>43</v>
      </c>
      <c r="E295" t="s">
        <v>807</v>
      </c>
      <c r="F295" s="2">
        <v>0.14305555555555555</v>
      </c>
    </row>
    <row r="296" spans="1:6" x14ac:dyDescent="0.3">
      <c r="A296" t="s">
        <v>1073</v>
      </c>
      <c r="B296" s="1">
        <v>45211</v>
      </c>
      <c r="C296" t="s">
        <v>1074</v>
      </c>
      <c r="D296">
        <v>32</v>
      </c>
      <c r="E296" t="s">
        <v>810</v>
      </c>
      <c r="F296" s="2">
        <v>0.90833333333333333</v>
      </c>
    </row>
    <row r="297" spans="1:6" x14ac:dyDescent="0.3">
      <c r="A297" t="s">
        <v>1073</v>
      </c>
      <c r="B297" s="1">
        <v>45213</v>
      </c>
      <c r="C297" t="s">
        <v>1075</v>
      </c>
      <c r="D297">
        <v>103</v>
      </c>
      <c r="E297" t="s">
        <v>810</v>
      </c>
      <c r="F297" s="2">
        <v>0.9604166666666667</v>
      </c>
    </row>
    <row r="298" spans="1:6" x14ac:dyDescent="0.3">
      <c r="A298" t="s">
        <v>1073</v>
      </c>
      <c r="B298" s="1">
        <v>45209</v>
      </c>
      <c r="C298" t="s">
        <v>1072</v>
      </c>
      <c r="D298">
        <v>102</v>
      </c>
      <c r="E298" t="s">
        <v>812</v>
      </c>
      <c r="F298" s="2">
        <v>0.46250000000000002</v>
      </c>
    </row>
    <row r="299" spans="1:6" x14ac:dyDescent="0.3">
      <c r="A299" t="s">
        <v>1073</v>
      </c>
      <c r="B299" s="1">
        <v>45218</v>
      </c>
      <c r="C299" t="s">
        <v>963</v>
      </c>
      <c r="D299">
        <v>37</v>
      </c>
      <c r="E299" t="s">
        <v>812</v>
      </c>
      <c r="F299" s="2">
        <v>0.67569444444444449</v>
      </c>
    </row>
    <row r="300" spans="1:6" x14ac:dyDescent="0.3">
      <c r="A300" t="s">
        <v>1073</v>
      </c>
      <c r="B300" s="1">
        <v>45204</v>
      </c>
      <c r="C300" t="s">
        <v>1076</v>
      </c>
      <c r="D300">
        <v>42</v>
      </c>
      <c r="E300" t="s">
        <v>810</v>
      </c>
      <c r="F300" s="2">
        <v>0.89583333333333337</v>
      </c>
    </row>
    <row r="301" spans="1:6" x14ac:dyDescent="0.3">
      <c r="A301" t="s">
        <v>1073</v>
      </c>
      <c r="B301" s="1">
        <v>45207</v>
      </c>
      <c r="C301" t="s">
        <v>1077</v>
      </c>
      <c r="D301">
        <v>46</v>
      </c>
      <c r="E301" t="s">
        <v>810</v>
      </c>
      <c r="F301" s="2">
        <v>0.14027777777777778</v>
      </c>
    </row>
    <row r="302" spans="1:6" x14ac:dyDescent="0.3">
      <c r="A302" t="s">
        <v>1073</v>
      </c>
      <c r="B302" s="1">
        <v>45227</v>
      </c>
      <c r="C302" t="s">
        <v>1067</v>
      </c>
      <c r="D302">
        <v>20</v>
      </c>
      <c r="E302" t="s">
        <v>807</v>
      </c>
      <c r="F302" s="2">
        <v>0.72430555555555554</v>
      </c>
    </row>
    <row r="303" spans="1:6" x14ac:dyDescent="0.3">
      <c r="A303" t="s">
        <v>1073</v>
      </c>
      <c r="B303" s="1">
        <v>45203</v>
      </c>
      <c r="C303" t="s">
        <v>1078</v>
      </c>
      <c r="D303">
        <v>5</v>
      </c>
      <c r="E303" t="s">
        <v>807</v>
      </c>
      <c r="F303" s="2">
        <v>0.35833333333333334</v>
      </c>
    </row>
    <row r="304" spans="1:6" x14ac:dyDescent="0.3">
      <c r="A304" t="s">
        <v>1073</v>
      </c>
      <c r="B304" s="1">
        <v>45207</v>
      </c>
      <c r="C304" t="s">
        <v>1079</v>
      </c>
      <c r="D304">
        <v>68</v>
      </c>
      <c r="E304" t="s">
        <v>807</v>
      </c>
      <c r="F304" s="2">
        <v>0.57916666666666672</v>
      </c>
    </row>
    <row r="305" spans="1:6" x14ac:dyDescent="0.3">
      <c r="A305" t="s">
        <v>1073</v>
      </c>
      <c r="B305" s="1">
        <v>45217</v>
      </c>
      <c r="C305" t="s">
        <v>945</v>
      </c>
      <c r="D305">
        <v>100</v>
      </c>
      <c r="E305" t="s">
        <v>807</v>
      </c>
      <c r="F305" s="2">
        <v>0.81874999999999998</v>
      </c>
    </row>
    <row r="306" spans="1:6" x14ac:dyDescent="0.3">
      <c r="A306" t="s">
        <v>1073</v>
      </c>
      <c r="B306" s="1">
        <v>45221</v>
      </c>
      <c r="C306" t="s">
        <v>1080</v>
      </c>
      <c r="D306">
        <v>60</v>
      </c>
      <c r="E306" t="s">
        <v>812</v>
      </c>
      <c r="F306" s="2">
        <v>0.85763888888888884</v>
      </c>
    </row>
    <row r="307" spans="1:6" x14ac:dyDescent="0.3">
      <c r="A307" t="s">
        <v>1073</v>
      </c>
      <c r="B307" s="1">
        <v>45200</v>
      </c>
      <c r="C307" t="s">
        <v>1081</v>
      </c>
      <c r="D307">
        <v>27</v>
      </c>
      <c r="E307" t="s">
        <v>807</v>
      </c>
      <c r="F307" s="2">
        <v>0.83263888888888893</v>
      </c>
    </row>
    <row r="308" spans="1:6" x14ac:dyDescent="0.3">
      <c r="A308" t="s">
        <v>1073</v>
      </c>
      <c r="B308" s="1">
        <v>45221</v>
      </c>
      <c r="C308" t="s">
        <v>847</v>
      </c>
      <c r="D308">
        <v>21</v>
      </c>
      <c r="E308" t="s">
        <v>807</v>
      </c>
      <c r="F308" s="2">
        <v>0.92847222222222225</v>
      </c>
    </row>
    <row r="309" spans="1:6" x14ac:dyDescent="0.3">
      <c r="A309" t="s">
        <v>1073</v>
      </c>
      <c r="B309" s="1">
        <v>45200</v>
      </c>
      <c r="C309" t="s">
        <v>1082</v>
      </c>
      <c r="D309">
        <v>53</v>
      </c>
      <c r="E309" t="s">
        <v>810</v>
      </c>
      <c r="F309" s="2">
        <v>0.22013888888888888</v>
      </c>
    </row>
    <row r="310" spans="1:6" x14ac:dyDescent="0.3">
      <c r="A310" t="s">
        <v>1073</v>
      </c>
      <c r="B310" s="1">
        <v>45222</v>
      </c>
      <c r="C310" t="s">
        <v>1083</v>
      </c>
      <c r="D310">
        <v>73</v>
      </c>
      <c r="E310" t="s">
        <v>807</v>
      </c>
      <c r="F310" s="2">
        <v>0.4152777777777778</v>
      </c>
    </row>
    <row r="311" spans="1:6" x14ac:dyDescent="0.3">
      <c r="A311" t="s">
        <v>1073</v>
      </c>
      <c r="B311" s="1">
        <v>45210</v>
      </c>
      <c r="C311" t="s">
        <v>995</v>
      </c>
      <c r="D311">
        <v>95</v>
      </c>
      <c r="E311" t="s">
        <v>810</v>
      </c>
      <c r="F311" s="2">
        <v>0.45833333333333331</v>
      </c>
    </row>
    <row r="312" spans="1:6" x14ac:dyDescent="0.3">
      <c r="A312" t="s">
        <v>1073</v>
      </c>
      <c r="B312" s="1">
        <v>45205</v>
      </c>
      <c r="C312" t="s">
        <v>1084</v>
      </c>
      <c r="D312">
        <v>34</v>
      </c>
      <c r="E312" t="s">
        <v>807</v>
      </c>
      <c r="F312" s="2">
        <v>0.19166666666666668</v>
      </c>
    </row>
    <row r="313" spans="1:6" x14ac:dyDescent="0.3">
      <c r="A313" t="s">
        <v>1073</v>
      </c>
      <c r="B313" s="1">
        <v>45221</v>
      </c>
      <c r="C313" t="s">
        <v>1085</v>
      </c>
      <c r="D313">
        <v>69</v>
      </c>
      <c r="E313" t="s">
        <v>807</v>
      </c>
      <c r="F313" s="2">
        <v>0.50277777777777777</v>
      </c>
    </row>
    <row r="314" spans="1:6" x14ac:dyDescent="0.3">
      <c r="A314" t="s">
        <v>1073</v>
      </c>
      <c r="B314" s="1">
        <v>45204</v>
      </c>
      <c r="C314" t="s">
        <v>1086</v>
      </c>
      <c r="D314">
        <v>76</v>
      </c>
      <c r="E314" t="s">
        <v>810</v>
      </c>
      <c r="F314" s="2">
        <v>0.98611111111111116</v>
      </c>
    </row>
    <row r="315" spans="1:6" x14ac:dyDescent="0.3">
      <c r="A315" t="s">
        <v>1073</v>
      </c>
      <c r="B315" s="1">
        <v>45200</v>
      </c>
      <c r="C315" t="s">
        <v>822</v>
      </c>
      <c r="D315">
        <v>111</v>
      </c>
      <c r="E315" t="s">
        <v>812</v>
      </c>
      <c r="F315" s="2">
        <v>0.11597222222222223</v>
      </c>
    </row>
    <row r="316" spans="1:6" x14ac:dyDescent="0.3">
      <c r="A316" t="s">
        <v>1073</v>
      </c>
      <c r="B316" s="1">
        <v>45216</v>
      </c>
      <c r="C316" t="s">
        <v>965</v>
      </c>
      <c r="D316">
        <v>90</v>
      </c>
      <c r="E316" t="s">
        <v>812</v>
      </c>
      <c r="F316" s="2">
        <v>0.26666666666666666</v>
      </c>
    </row>
    <row r="317" spans="1:6" x14ac:dyDescent="0.3">
      <c r="A317" t="s">
        <v>1073</v>
      </c>
      <c r="B317" s="1">
        <v>45213</v>
      </c>
      <c r="C317" t="s">
        <v>1087</v>
      </c>
      <c r="D317">
        <v>108</v>
      </c>
      <c r="E317" t="s">
        <v>810</v>
      </c>
      <c r="F317" s="2">
        <v>0.59791666666666665</v>
      </c>
    </row>
    <row r="318" spans="1:6" x14ac:dyDescent="0.3">
      <c r="A318" t="s">
        <v>1073</v>
      </c>
      <c r="B318" s="1">
        <v>45205</v>
      </c>
      <c r="C318" t="s">
        <v>1088</v>
      </c>
      <c r="D318">
        <v>50</v>
      </c>
      <c r="E318" t="s">
        <v>810</v>
      </c>
      <c r="F318" s="2">
        <v>0.47152777777777777</v>
      </c>
    </row>
    <row r="319" spans="1:6" x14ac:dyDescent="0.3">
      <c r="A319" t="s">
        <v>1073</v>
      </c>
      <c r="B319" s="1">
        <v>45223</v>
      </c>
      <c r="C319" t="s">
        <v>1089</v>
      </c>
      <c r="D319">
        <v>14</v>
      </c>
      <c r="E319" t="s">
        <v>812</v>
      </c>
      <c r="F319" s="2">
        <v>0.45069444444444445</v>
      </c>
    </row>
    <row r="320" spans="1:6" x14ac:dyDescent="0.3">
      <c r="A320" t="s">
        <v>1073</v>
      </c>
      <c r="B320" s="1">
        <v>45230</v>
      </c>
      <c r="C320" t="s">
        <v>1090</v>
      </c>
      <c r="D320">
        <v>55</v>
      </c>
      <c r="E320" t="s">
        <v>810</v>
      </c>
      <c r="F320" s="2">
        <v>0.77638888888888891</v>
      </c>
    </row>
    <row r="321" spans="1:6" x14ac:dyDescent="0.3">
      <c r="A321" t="s">
        <v>1073</v>
      </c>
      <c r="B321" s="1">
        <v>45202</v>
      </c>
      <c r="C321" t="s">
        <v>1091</v>
      </c>
      <c r="D321">
        <v>115</v>
      </c>
      <c r="E321" t="s">
        <v>810</v>
      </c>
      <c r="F321" s="2">
        <v>4.791666666666667E-2</v>
      </c>
    </row>
    <row r="322" spans="1:6" x14ac:dyDescent="0.3">
      <c r="A322" t="s">
        <v>1073</v>
      </c>
      <c r="B322" s="1">
        <v>45205</v>
      </c>
      <c r="C322" t="s">
        <v>1092</v>
      </c>
      <c r="D322">
        <v>99</v>
      </c>
      <c r="E322" t="s">
        <v>810</v>
      </c>
      <c r="F322" s="2">
        <v>0.79374999999999996</v>
      </c>
    </row>
    <row r="323" spans="1:6" x14ac:dyDescent="0.3">
      <c r="A323" t="s">
        <v>1073</v>
      </c>
      <c r="B323" s="1">
        <v>45214</v>
      </c>
      <c r="C323" t="s">
        <v>1093</v>
      </c>
      <c r="D323">
        <v>60</v>
      </c>
      <c r="E323" t="s">
        <v>810</v>
      </c>
      <c r="F323" s="2">
        <v>0.89375000000000004</v>
      </c>
    </row>
    <row r="324" spans="1:6" x14ac:dyDescent="0.3">
      <c r="A324" t="s">
        <v>1073</v>
      </c>
      <c r="B324" s="1">
        <v>45215</v>
      </c>
      <c r="C324" t="s">
        <v>974</v>
      </c>
      <c r="D324">
        <v>7</v>
      </c>
      <c r="E324" t="s">
        <v>812</v>
      </c>
      <c r="F324" s="2">
        <v>0.81111111111111112</v>
      </c>
    </row>
    <row r="325" spans="1:6" x14ac:dyDescent="0.3">
      <c r="A325" t="s">
        <v>1073</v>
      </c>
      <c r="B325" s="1">
        <v>45213</v>
      </c>
      <c r="C325" t="s">
        <v>1094</v>
      </c>
      <c r="D325">
        <v>63</v>
      </c>
      <c r="E325" t="s">
        <v>810</v>
      </c>
      <c r="F325" s="2">
        <v>0.34236111111111112</v>
      </c>
    </row>
    <row r="326" spans="1:6" x14ac:dyDescent="0.3">
      <c r="A326" t="s">
        <v>1073</v>
      </c>
      <c r="B326" s="1">
        <v>45224</v>
      </c>
      <c r="C326" t="s">
        <v>962</v>
      </c>
      <c r="D326">
        <v>14</v>
      </c>
      <c r="E326" t="s">
        <v>812</v>
      </c>
      <c r="F326" s="2">
        <v>0.67152777777777772</v>
      </c>
    </row>
    <row r="327" spans="1:6" x14ac:dyDescent="0.3">
      <c r="A327" t="s">
        <v>1073</v>
      </c>
      <c r="B327" s="1">
        <v>45211</v>
      </c>
      <c r="C327" t="s">
        <v>869</v>
      </c>
      <c r="D327">
        <v>115</v>
      </c>
      <c r="E327" t="s">
        <v>807</v>
      </c>
      <c r="F327" s="2">
        <v>0.54652777777777772</v>
      </c>
    </row>
    <row r="328" spans="1:6" x14ac:dyDescent="0.3">
      <c r="A328" t="s">
        <v>1073</v>
      </c>
      <c r="B328" s="1">
        <v>45209</v>
      </c>
      <c r="C328" t="s">
        <v>834</v>
      </c>
      <c r="D328">
        <v>45</v>
      </c>
      <c r="E328" t="s">
        <v>812</v>
      </c>
      <c r="F328" s="2">
        <v>0.90486111111111112</v>
      </c>
    </row>
    <row r="329" spans="1:6" x14ac:dyDescent="0.3">
      <c r="A329" t="s">
        <v>1073</v>
      </c>
      <c r="B329" s="1">
        <v>45218</v>
      </c>
      <c r="C329" t="s">
        <v>1095</v>
      </c>
      <c r="D329">
        <v>78</v>
      </c>
      <c r="E329" t="s">
        <v>807</v>
      </c>
      <c r="F329" s="2">
        <v>0.6479166666666667</v>
      </c>
    </row>
    <row r="330" spans="1:6" x14ac:dyDescent="0.3">
      <c r="A330" t="s">
        <v>1073</v>
      </c>
      <c r="B330" s="1">
        <v>45221</v>
      </c>
      <c r="C330" t="s">
        <v>1096</v>
      </c>
      <c r="D330">
        <v>59</v>
      </c>
      <c r="E330" t="s">
        <v>812</v>
      </c>
      <c r="F330" s="2">
        <v>0.37638888888888888</v>
      </c>
    </row>
    <row r="331" spans="1:6" x14ac:dyDescent="0.3">
      <c r="A331" t="s">
        <v>1073</v>
      </c>
      <c r="B331" s="1">
        <v>45207</v>
      </c>
      <c r="C331" t="s">
        <v>1097</v>
      </c>
      <c r="D331">
        <v>78</v>
      </c>
      <c r="E331" t="s">
        <v>812</v>
      </c>
      <c r="F331" s="2">
        <v>0.52638888888888891</v>
      </c>
    </row>
    <row r="332" spans="1:6" x14ac:dyDescent="0.3">
      <c r="A332" t="s">
        <v>1098</v>
      </c>
      <c r="B332" s="1">
        <v>45201</v>
      </c>
      <c r="C332" t="s">
        <v>1099</v>
      </c>
      <c r="D332">
        <v>103</v>
      </c>
      <c r="E332" t="s">
        <v>807</v>
      </c>
      <c r="F332" s="2">
        <v>5.7638888888888892E-2</v>
      </c>
    </row>
    <row r="333" spans="1:6" x14ac:dyDescent="0.3">
      <c r="A333" t="s">
        <v>1098</v>
      </c>
      <c r="B333" s="1">
        <v>45226</v>
      </c>
      <c r="C333" t="s">
        <v>1100</v>
      </c>
      <c r="D333">
        <v>74</v>
      </c>
      <c r="E333" t="s">
        <v>812</v>
      </c>
      <c r="F333" s="2">
        <v>0.37777777777777777</v>
      </c>
    </row>
    <row r="334" spans="1:6" x14ac:dyDescent="0.3">
      <c r="A334" t="s">
        <v>1098</v>
      </c>
      <c r="B334" s="1">
        <v>45220</v>
      </c>
      <c r="C334" t="s">
        <v>1101</v>
      </c>
      <c r="D334">
        <v>111</v>
      </c>
      <c r="E334" t="s">
        <v>812</v>
      </c>
      <c r="F334" s="2">
        <v>0.11041666666666666</v>
      </c>
    </row>
    <row r="335" spans="1:6" x14ac:dyDescent="0.3">
      <c r="A335" t="s">
        <v>1098</v>
      </c>
      <c r="B335" s="1">
        <v>45219</v>
      </c>
      <c r="C335" t="s">
        <v>1102</v>
      </c>
      <c r="D335">
        <v>99</v>
      </c>
      <c r="E335" t="s">
        <v>810</v>
      </c>
      <c r="F335" s="2">
        <v>0.68333333333333335</v>
      </c>
    </row>
    <row r="336" spans="1:6" x14ac:dyDescent="0.3">
      <c r="A336" t="s">
        <v>1098</v>
      </c>
      <c r="B336" s="1">
        <v>45214</v>
      </c>
      <c r="C336" t="s">
        <v>885</v>
      </c>
      <c r="D336">
        <v>118</v>
      </c>
      <c r="E336" t="s">
        <v>807</v>
      </c>
      <c r="F336" s="2">
        <v>0.77430555555555558</v>
      </c>
    </row>
    <row r="337" spans="1:6" x14ac:dyDescent="0.3">
      <c r="A337" t="s">
        <v>1098</v>
      </c>
      <c r="B337" s="1">
        <v>45230</v>
      </c>
      <c r="C337" t="s">
        <v>1103</v>
      </c>
      <c r="D337">
        <v>72</v>
      </c>
      <c r="E337" t="s">
        <v>812</v>
      </c>
      <c r="F337" s="2">
        <v>0.99791666666666667</v>
      </c>
    </row>
    <row r="338" spans="1:6" x14ac:dyDescent="0.3">
      <c r="A338" t="s">
        <v>1098</v>
      </c>
      <c r="B338" s="1">
        <v>45201</v>
      </c>
      <c r="C338" t="s">
        <v>1104</v>
      </c>
      <c r="D338">
        <v>9</v>
      </c>
      <c r="E338" t="s">
        <v>807</v>
      </c>
      <c r="F338" s="2">
        <v>0.62361111111111112</v>
      </c>
    </row>
    <row r="339" spans="1:6" x14ac:dyDescent="0.3">
      <c r="A339" t="s">
        <v>1098</v>
      </c>
      <c r="B339" s="1">
        <v>45225</v>
      </c>
      <c r="C339" t="s">
        <v>1105</v>
      </c>
      <c r="D339">
        <v>89</v>
      </c>
      <c r="E339" t="s">
        <v>807</v>
      </c>
      <c r="F339" s="2">
        <v>0.77847222222222223</v>
      </c>
    </row>
    <row r="340" spans="1:6" x14ac:dyDescent="0.3">
      <c r="A340" t="s">
        <v>1098</v>
      </c>
      <c r="B340" s="1">
        <v>45206</v>
      </c>
      <c r="C340" t="s">
        <v>1106</v>
      </c>
      <c r="D340">
        <v>48</v>
      </c>
      <c r="E340" t="s">
        <v>812</v>
      </c>
      <c r="F340" s="2">
        <v>0.44305555555555554</v>
      </c>
    </row>
    <row r="341" spans="1:6" x14ac:dyDescent="0.3">
      <c r="A341" t="s">
        <v>1098</v>
      </c>
      <c r="B341" s="1">
        <v>45215</v>
      </c>
      <c r="C341" t="s">
        <v>853</v>
      </c>
      <c r="D341">
        <v>117</v>
      </c>
      <c r="E341" t="s">
        <v>812</v>
      </c>
      <c r="F341" s="2">
        <v>0.67291666666666672</v>
      </c>
    </row>
    <row r="342" spans="1:6" x14ac:dyDescent="0.3">
      <c r="A342" t="s">
        <v>1098</v>
      </c>
      <c r="B342" s="1">
        <v>45230</v>
      </c>
      <c r="C342" t="s">
        <v>1107</v>
      </c>
      <c r="D342">
        <v>103</v>
      </c>
      <c r="E342" t="s">
        <v>807</v>
      </c>
      <c r="F342" s="2">
        <v>6.1111111111111109E-2</v>
      </c>
    </row>
    <row r="343" spans="1:6" x14ac:dyDescent="0.3">
      <c r="A343" t="s">
        <v>1098</v>
      </c>
      <c r="B343" s="1">
        <v>45203</v>
      </c>
      <c r="C343" t="s">
        <v>1026</v>
      </c>
      <c r="D343">
        <v>84</v>
      </c>
      <c r="E343" t="s">
        <v>812</v>
      </c>
      <c r="F343" s="2">
        <v>0.44791666666666669</v>
      </c>
    </row>
    <row r="344" spans="1:6" x14ac:dyDescent="0.3">
      <c r="A344" t="s">
        <v>1098</v>
      </c>
      <c r="B344" s="1">
        <v>45202</v>
      </c>
      <c r="C344" t="s">
        <v>1108</v>
      </c>
      <c r="D344">
        <v>21</v>
      </c>
      <c r="E344" t="s">
        <v>807</v>
      </c>
      <c r="F344" s="2">
        <v>0.69513888888888886</v>
      </c>
    </row>
    <row r="345" spans="1:6" x14ac:dyDescent="0.3">
      <c r="A345" t="s">
        <v>1098</v>
      </c>
      <c r="B345" s="1">
        <v>45205</v>
      </c>
      <c r="C345" t="s">
        <v>1109</v>
      </c>
      <c r="D345">
        <v>81</v>
      </c>
      <c r="E345" t="s">
        <v>812</v>
      </c>
      <c r="F345" s="2">
        <v>5.2083333333333336E-2</v>
      </c>
    </row>
    <row r="346" spans="1:6" x14ac:dyDescent="0.3">
      <c r="A346" t="s">
        <v>1098</v>
      </c>
      <c r="B346" s="1">
        <v>45222</v>
      </c>
      <c r="C346" t="s">
        <v>1110</v>
      </c>
      <c r="D346">
        <v>53</v>
      </c>
      <c r="E346" t="s">
        <v>810</v>
      </c>
      <c r="F346" s="2">
        <v>0.60277777777777775</v>
      </c>
    </row>
    <row r="347" spans="1:6" x14ac:dyDescent="0.3">
      <c r="A347" t="s">
        <v>1098</v>
      </c>
      <c r="B347" s="1">
        <v>45216</v>
      </c>
      <c r="C347" t="s">
        <v>926</v>
      </c>
      <c r="D347">
        <v>24</v>
      </c>
      <c r="E347" t="s">
        <v>812</v>
      </c>
      <c r="F347" s="2">
        <v>0.69374999999999998</v>
      </c>
    </row>
    <row r="348" spans="1:6" x14ac:dyDescent="0.3">
      <c r="A348" t="s">
        <v>1098</v>
      </c>
      <c r="B348" s="1">
        <v>45205</v>
      </c>
      <c r="C348" t="s">
        <v>1111</v>
      </c>
      <c r="D348">
        <v>25</v>
      </c>
      <c r="E348" t="s">
        <v>807</v>
      </c>
      <c r="F348" s="2">
        <v>0.47430555555555554</v>
      </c>
    </row>
    <row r="349" spans="1:6" x14ac:dyDescent="0.3">
      <c r="A349" t="s">
        <v>1098</v>
      </c>
      <c r="B349" s="1">
        <v>45229</v>
      </c>
      <c r="C349" t="s">
        <v>1112</v>
      </c>
      <c r="D349">
        <v>28</v>
      </c>
      <c r="E349" t="s">
        <v>812</v>
      </c>
      <c r="F349" s="2">
        <v>0.39166666666666666</v>
      </c>
    </row>
    <row r="350" spans="1:6" x14ac:dyDescent="0.3">
      <c r="A350" t="s">
        <v>1098</v>
      </c>
      <c r="B350" s="1">
        <v>45213</v>
      </c>
      <c r="C350" t="s">
        <v>1113</v>
      </c>
      <c r="D350">
        <v>111</v>
      </c>
      <c r="E350" t="s">
        <v>807</v>
      </c>
      <c r="F350" s="2">
        <v>0.4465277777777778</v>
      </c>
    </row>
    <row r="351" spans="1:6" x14ac:dyDescent="0.3">
      <c r="A351" t="s">
        <v>1098</v>
      </c>
      <c r="B351" s="1">
        <v>45219</v>
      </c>
      <c r="C351" t="s">
        <v>1114</v>
      </c>
      <c r="D351">
        <v>93</v>
      </c>
      <c r="E351" t="s">
        <v>812</v>
      </c>
      <c r="F351" s="2">
        <v>7.6388888888888895E-2</v>
      </c>
    </row>
    <row r="352" spans="1:6" x14ac:dyDescent="0.3">
      <c r="A352" t="s">
        <v>1098</v>
      </c>
      <c r="B352" s="1">
        <v>45220</v>
      </c>
      <c r="C352" t="s">
        <v>1077</v>
      </c>
      <c r="D352">
        <v>103</v>
      </c>
      <c r="E352" t="s">
        <v>807</v>
      </c>
      <c r="F352" s="2">
        <v>0.84791666666666665</v>
      </c>
    </row>
    <row r="353" spans="1:6" x14ac:dyDescent="0.3">
      <c r="A353" t="s">
        <v>1098</v>
      </c>
      <c r="B353" s="1">
        <v>45202</v>
      </c>
      <c r="C353" t="s">
        <v>832</v>
      </c>
      <c r="D353">
        <v>84</v>
      </c>
      <c r="E353" t="s">
        <v>807</v>
      </c>
      <c r="F353" s="2">
        <v>0.42083333333333334</v>
      </c>
    </row>
    <row r="354" spans="1:6" x14ac:dyDescent="0.3">
      <c r="A354" t="s">
        <v>1098</v>
      </c>
      <c r="B354" s="1">
        <v>45217</v>
      </c>
      <c r="C354" t="s">
        <v>1115</v>
      </c>
      <c r="D354">
        <v>108</v>
      </c>
      <c r="E354" t="s">
        <v>812</v>
      </c>
      <c r="F354" s="2">
        <v>0.89166666666666672</v>
      </c>
    </row>
    <row r="355" spans="1:6" x14ac:dyDescent="0.3">
      <c r="A355" t="s">
        <v>1098</v>
      </c>
      <c r="B355" s="1">
        <v>45209</v>
      </c>
      <c r="C355" t="s">
        <v>1116</v>
      </c>
      <c r="D355">
        <v>120</v>
      </c>
      <c r="E355" t="s">
        <v>807</v>
      </c>
      <c r="F355" s="2">
        <v>0.36527777777777776</v>
      </c>
    </row>
    <row r="356" spans="1:6" x14ac:dyDescent="0.3">
      <c r="A356" t="s">
        <v>1098</v>
      </c>
      <c r="B356" s="1">
        <v>45227</v>
      </c>
      <c r="C356" t="s">
        <v>1079</v>
      </c>
      <c r="D356">
        <v>26</v>
      </c>
      <c r="E356" t="s">
        <v>810</v>
      </c>
      <c r="F356" s="2">
        <v>0.91527777777777775</v>
      </c>
    </row>
    <row r="357" spans="1:6" x14ac:dyDescent="0.3">
      <c r="A357" t="s">
        <v>1098</v>
      </c>
      <c r="B357" s="1">
        <v>45219</v>
      </c>
      <c r="C357" t="s">
        <v>1070</v>
      </c>
      <c r="D357">
        <v>97</v>
      </c>
      <c r="E357" t="s">
        <v>810</v>
      </c>
      <c r="F357" s="2">
        <v>0.18124999999999999</v>
      </c>
    </row>
    <row r="358" spans="1:6" x14ac:dyDescent="0.3">
      <c r="A358" t="s">
        <v>1098</v>
      </c>
      <c r="B358" s="1">
        <v>45202</v>
      </c>
      <c r="C358" t="s">
        <v>1117</v>
      </c>
      <c r="D358">
        <v>61</v>
      </c>
      <c r="E358" t="s">
        <v>812</v>
      </c>
      <c r="F358" s="2">
        <v>0.77916666666666667</v>
      </c>
    </row>
    <row r="359" spans="1:6" x14ac:dyDescent="0.3">
      <c r="A359" t="s">
        <v>1098</v>
      </c>
      <c r="B359" s="1">
        <v>45204</v>
      </c>
      <c r="C359" t="s">
        <v>1118</v>
      </c>
      <c r="D359">
        <v>10</v>
      </c>
      <c r="E359" t="s">
        <v>807</v>
      </c>
      <c r="F359" s="2">
        <v>0.47152777777777777</v>
      </c>
    </row>
    <row r="360" spans="1:6" x14ac:dyDescent="0.3">
      <c r="A360" t="s">
        <v>1098</v>
      </c>
      <c r="B360" s="1">
        <v>45230</v>
      </c>
      <c r="C360" t="s">
        <v>1119</v>
      </c>
      <c r="D360">
        <v>57</v>
      </c>
      <c r="E360" t="s">
        <v>807</v>
      </c>
      <c r="F360" s="2">
        <v>0.86388888888888893</v>
      </c>
    </row>
    <row r="361" spans="1:6" x14ac:dyDescent="0.3">
      <c r="A361" t="s">
        <v>1098</v>
      </c>
      <c r="B361" s="1">
        <v>45221</v>
      </c>
      <c r="C361" t="s">
        <v>1120</v>
      </c>
      <c r="D361">
        <v>51</v>
      </c>
      <c r="E361" t="s">
        <v>807</v>
      </c>
      <c r="F361" s="2">
        <v>0.50555555555555554</v>
      </c>
    </row>
    <row r="362" spans="1:6" x14ac:dyDescent="0.3">
      <c r="A362" t="s">
        <v>1098</v>
      </c>
      <c r="B362" s="1">
        <v>45219</v>
      </c>
      <c r="C362" t="s">
        <v>1121</v>
      </c>
      <c r="D362">
        <v>91</v>
      </c>
      <c r="E362" t="s">
        <v>812</v>
      </c>
      <c r="F362" s="2">
        <v>0.92013888888888884</v>
      </c>
    </row>
    <row r="363" spans="1:6" x14ac:dyDescent="0.3">
      <c r="A363" t="s">
        <v>1098</v>
      </c>
      <c r="B363" s="1">
        <v>45209</v>
      </c>
      <c r="C363" t="s">
        <v>1122</v>
      </c>
      <c r="D363">
        <v>97</v>
      </c>
      <c r="E363" t="s">
        <v>812</v>
      </c>
      <c r="F363" s="2">
        <v>0.72499999999999998</v>
      </c>
    </row>
    <row r="364" spans="1:6" x14ac:dyDescent="0.3">
      <c r="A364" t="s">
        <v>1098</v>
      </c>
      <c r="B364" s="1">
        <v>45220</v>
      </c>
      <c r="C364" t="s">
        <v>1123</v>
      </c>
      <c r="D364">
        <v>35</v>
      </c>
      <c r="E364" t="s">
        <v>810</v>
      </c>
      <c r="F364" s="2">
        <v>0.45277777777777778</v>
      </c>
    </row>
    <row r="365" spans="1:6" x14ac:dyDescent="0.3">
      <c r="A365" t="s">
        <v>1098</v>
      </c>
      <c r="B365" s="1">
        <v>45204</v>
      </c>
      <c r="C365" t="s">
        <v>1124</v>
      </c>
      <c r="D365">
        <v>61</v>
      </c>
      <c r="E365" t="s">
        <v>807</v>
      </c>
      <c r="F365" s="2">
        <v>0.90555555555555556</v>
      </c>
    </row>
    <row r="366" spans="1:6" x14ac:dyDescent="0.3">
      <c r="A366" t="s">
        <v>1098</v>
      </c>
      <c r="B366" s="1">
        <v>45226</v>
      </c>
      <c r="C366" t="s">
        <v>1125</v>
      </c>
      <c r="D366">
        <v>83</v>
      </c>
      <c r="E366" t="s">
        <v>810</v>
      </c>
      <c r="F366" s="2">
        <v>0.98819444444444449</v>
      </c>
    </row>
    <row r="367" spans="1:6" x14ac:dyDescent="0.3">
      <c r="A367" t="s">
        <v>1098</v>
      </c>
      <c r="B367" s="1">
        <v>45229</v>
      </c>
      <c r="C367" t="s">
        <v>1126</v>
      </c>
      <c r="D367">
        <v>41</v>
      </c>
      <c r="E367" t="s">
        <v>812</v>
      </c>
      <c r="F367" s="2">
        <v>0.67013888888888884</v>
      </c>
    </row>
    <row r="368" spans="1:6" x14ac:dyDescent="0.3">
      <c r="A368" t="s">
        <v>1098</v>
      </c>
      <c r="B368" s="1">
        <v>45220</v>
      </c>
      <c r="C368" t="s">
        <v>1127</v>
      </c>
      <c r="D368">
        <v>101</v>
      </c>
      <c r="E368" t="s">
        <v>812</v>
      </c>
      <c r="F368" s="2">
        <v>0.89375000000000004</v>
      </c>
    </row>
    <row r="369" spans="1:6" x14ac:dyDescent="0.3">
      <c r="A369" t="s">
        <v>1098</v>
      </c>
      <c r="B369" s="1">
        <v>45216</v>
      </c>
      <c r="C369" t="s">
        <v>955</v>
      </c>
      <c r="D369">
        <v>100</v>
      </c>
      <c r="E369" t="s">
        <v>810</v>
      </c>
      <c r="F369" s="2">
        <v>0.45902777777777776</v>
      </c>
    </row>
    <row r="370" spans="1:6" x14ac:dyDescent="0.3">
      <c r="A370" t="s">
        <v>1098</v>
      </c>
      <c r="B370" s="1">
        <v>45211</v>
      </c>
      <c r="C370" t="s">
        <v>862</v>
      </c>
      <c r="D370">
        <v>105</v>
      </c>
      <c r="E370" t="s">
        <v>807</v>
      </c>
      <c r="F370" s="2">
        <v>0.38263888888888886</v>
      </c>
    </row>
    <row r="371" spans="1:6" x14ac:dyDescent="0.3">
      <c r="A371" t="s">
        <v>1098</v>
      </c>
      <c r="B371" s="1">
        <v>45230</v>
      </c>
      <c r="C371" t="s">
        <v>1128</v>
      </c>
      <c r="D371">
        <v>62</v>
      </c>
      <c r="E371" t="s">
        <v>807</v>
      </c>
      <c r="F371" s="2">
        <v>0.26458333333333334</v>
      </c>
    </row>
    <row r="372" spans="1:6" x14ac:dyDescent="0.3">
      <c r="A372" t="s">
        <v>1098</v>
      </c>
      <c r="B372" s="1">
        <v>45230</v>
      </c>
      <c r="C372" t="s">
        <v>1129</v>
      </c>
      <c r="D372">
        <v>34</v>
      </c>
      <c r="E372" t="s">
        <v>807</v>
      </c>
      <c r="F372" s="2">
        <v>0.6333333333333333</v>
      </c>
    </row>
    <row r="373" spans="1:6" x14ac:dyDescent="0.3">
      <c r="A373" t="s">
        <v>1098</v>
      </c>
      <c r="B373" s="1">
        <v>45207</v>
      </c>
      <c r="C373" t="s">
        <v>1130</v>
      </c>
      <c r="D373">
        <v>73</v>
      </c>
      <c r="E373" t="s">
        <v>812</v>
      </c>
      <c r="F373" s="2">
        <v>0.17291666666666666</v>
      </c>
    </row>
    <row r="374" spans="1:6" x14ac:dyDescent="0.3">
      <c r="A374" t="s">
        <v>1098</v>
      </c>
      <c r="B374" s="1">
        <v>45202</v>
      </c>
      <c r="C374" t="s">
        <v>1131</v>
      </c>
      <c r="D374">
        <v>35</v>
      </c>
      <c r="E374" t="s">
        <v>807</v>
      </c>
      <c r="F374" s="2">
        <v>0.41249999999999998</v>
      </c>
    </row>
    <row r="375" spans="1:6" x14ac:dyDescent="0.3">
      <c r="A375" t="s">
        <v>1098</v>
      </c>
      <c r="B375" s="1">
        <v>45225</v>
      </c>
      <c r="C375" t="s">
        <v>1132</v>
      </c>
      <c r="D375">
        <v>44</v>
      </c>
      <c r="E375" t="s">
        <v>807</v>
      </c>
      <c r="F375" s="2">
        <v>0.14722222222222223</v>
      </c>
    </row>
    <row r="376" spans="1:6" x14ac:dyDescent="0.3">
      <c r="A376" t="s">
        <v>1133</v>
      </c>
      <c r="B376" s="1">
        <v>45207</v>
      </c>
      <c r="C376" t="s">
        <v>1056</v>
      </c>
      <c r="D376">
        <v>118</v>
      </c>
      <c r="E376" t="s">
        <v>812</v>
      </c>
      <c r="F376" s="2">
        <v>0.37986111111111109</v>
      </c>
    </row>
    <row r="377" spans="1:6" x14ac:dyDescent="0.3">
      <c r="A377" t="s">
        <v>1133</v>
      </c>
      <c r="B377" s="1">
        <v>45201</v>
      </c>
      <c r="C377" t="s">
        <v>1134</v>
      </c>
      <c r="D377">
        <v>56</v>
      </c>
      <c r="E377" t="s">
        <v>812</v>
      </c>
      <c r="F377" s="2">
        <v>0.30972222222222223</v>
      </c>
    </row>
    <row r="378" spans="1:6" x14ac:dyDescent="0.3">
      <c r="A378" t="s">
        <v>1133</v>
      </c>
      <c r="B378" s="1">
        <v>45220</v>
      </c>
      <c r="C378" t="s">
        <v>1135</v>
      </c>
      <c r="D378">
        <v>100</v>
      </c>
      <c r="E378" t="s">
        <v>812</v>
      </c>
      <c r="F378" s="2">
        <v>0.81180555555555556</v>
      </c>
    </row>
    <row r="379" spans="1:6" x14ac:dyDescent="0.3">
      <c r="A379" t="s">
        <v>1133</v>
      </c>
      <c r="B379" s="1">
        <v>45202</v>
      </c>
      <c r="C379" t="s">
        <v>1136</v>
      </c>
      <c r="D379">
        <v>61</v>
      </c>
      <c r="E379" t="s">
        <v>810</v>
      </c>
      <c r="F379" s="2">
        <v>0.16180555555555556</v>
      </c>
    </row>
    <row r="380" spans="1:6" x14ac:dyDescent="0.3">
      <c r="A380" t="s">
        <v>1133</v>
      </c>
      <c r="B380" s="1">
        <v>45228</v>
      </c>
      <c r="C380" t="s">
        <v>1137</v>
      </c>
      <c r="D380">
        <v>119</v>
      </c>
      <c r="E380" t="s">
        <v>807</v>
      </c>
      <c r="F380" s="2">
        <v>0.65138888888888891</v>
      </c>
    </row>
    <row r="381" spans="1:6" x14ac:dyDescent="0.3">
      <c r="A381" t="s">
        <v>1133</v>
      </c>
      <c r="B381" s="1">
        <v>45216</v>
      </c>
      <c r="C381" t="s">
        <v>1138</v>
      </c>
      <c r="D381">
        <v>48</v>
      </c>
      <c r="E381" t="s">
        <v>807</v>
      </c>
      <c r="F381" s="2">
        <v>0.76041666666666663</v>
      </c>
    </row>
    <row r="382" spans="1:6" x14ac:dyDescent="0.3">
      <c r="A382" t="s">
        <v>1133</v>
      </c>
      <c r="B382" s="1">
        <v>45222</v>
      </c>
      <c r="C382" t="s">
        <v>1139</v>
      </c>
      <c r="D382">
        <v>28</v>
      </c>
      <c r="E382" t="s">
        <v>810</v>
      </c>
      <c r="F382" s="2">
        <v>0.17916666666666667</v>
      </c>
    </row>
    <row r="383" spans="1:6" x14ac:dyDescent="0.3">
      <c r="A383" t="s">
        <v>1133</v>
      </c>
      <c r="B383" s="1">
        <v>45211</v>
      </c>
      <c r="C383" t="s">
        <v>1141</v>
      </c>
      <c r="D383">
        <v>93</v>
      </c>
      <c r="E383" t="s">
        <v>812</v>
      </c>
      <c r="F383" s="2">
        <v>0.31666666666666665</v>
      </c>
    </row>
    <row r="384" spans="1:6" x14ac:dyDescent="0.3">
      <c r="A384" t="s">
        <v>1133</v>
      </c>
      <c r="B384" s="1">
        <v>45213</v>
      </c>
      <c r="C384" t="s">
        <v>931</v>
      </c>
      <c r="D384">
        <v>68</v>
      </c>
      <c r="E384" t="s">
        <v>812</v>
      </c>
      <c r="F384" s="2">
        <v>0.23749999999999999</v>
      </c>
    </row>
    <row r="385" spans="1:6" x14ac:dyDescent="0.3">
      <c r="A385" t="s">
        <v>1133</v>
      </c>
      <c r="B385" s="1">
        <v>45221</v>
      </c>
      <c r="C385" t="s">
        <v>827</v>
      </c>
      <c r="D385">
        <v>52</v>
      </c>
      <c r="E385" t="s">
        <v>812</v>
      </c>
      <c r="F385" s="2">
        <v>0.10625</v>
      </c>
    </row>
    <row r="386" spans="1:6" x14ac:dyDescent="0.3">
      <c r="A386" t="s">
        <v>1133</v>
      </c>
      <c r="B386" s="1">
        <v>45211</v>
      </c>
      <c r="C386" t="s">
        <v>1142</v>
      </c>
      <c r="D386">
        <v>107</v>
      </c>
      <c r="E386" t="s">
        <v>807</v>
      </c>
      <c r="F386" s="2">
        <v>0.10625</v>
      </c>
    </row>
    <row r="387" spans="1:6" x14ac:dyDescent="0.3">
      <c r="A387" t="s">
        <v>1133</v>
      </c>
      <c r="B387" s="1">
        <v>45217</v>
      </c>
      <c r="C387" t="s">
        <v>945</v>
      </c>
      <c r="D387">
        <v>71</v>
      </c>
      <c r="E387" t="s">
        <v>810</v>
      </c>
      <c r="F387" s="2">
        <v>0.70138888888888884</v>
      </c>
    </row>
    <row r="388" spans="1:6" x14ac:dyDescent="0.3">
      <c r="A388" t="s">
        <v>1133</v>
      </c>
      <c r="B388" s="1">
        <v>45216</v>
      </c>
      <c r="C388" t="s">
        <v>1143</v>
      </c>
      <c r="D388">
        <v>39</v>
      </c>
      <c r="E388" t="s">
        <v>807</v>
      </c>
      <c r="F388" s="2">
        <v>0.70902777777777781</v>
      </c>
    </row>
    <row r="389" spans="1:6" x14ac:dyDescent="0.3">
      <c r="A389" t="s">
        <v>1133</v>
      </c>
      <c r="B389" s="1">
        <v>45212</v>
      </c>
      <c r="C389" t="s">
        <v>1144</v>
      </c>
      <c r="D389">
        <v>107</v>
      </c>
      <c r="E389" t="s">
        <v>810</v>
      </c>
      <c r="F389" s="2">
        <v>0.62638888888888888</v>
      </c>
    </row>
    <row r="390" spans="1:6" x14ac:dyDescent="0.3">
      <c r="A390" t="s">
        <v>1133</v>
      </c>
      <c r="B390" s="1">
        <v>45220</v>
      </c>
      <c r="C390" t="s">
        <v>1145</v>
      </c>
      <c r="D390">
        <v>15</v>
      </c>
      <c r="E390" t="s">
        <v>812</v>
      </c>
      <c r="F390" s="2">
        <v>0.51597222222222228</v>
      </c>
    </row>
    <row r="391" spans="1:6" x14ac:dyDescent="0.3">
      <c r="A391" t="s">
        <v>1133</v>
      </c>
      <c r="B391" s="1">
        <v>45208</v>
      </c>
      <c r="C391" t="s">
        <v>872</v>
      </c>
      <c r="D391">
        <v>98</v>
      </c>
      <c r="E391" t="s">
        <v>812</v>
      </c>
      <c r="F391" s="2">
        <v>0.95902777777777781</v>
      </c>
    </row>
    <row r="392" spans="1:6" x14ac:dyDescent="0.3">
      <c r="A392" t="s">
        <v>1133</v>
      </c>
      <c r="B392" s="1">
        <v>45211</v>
      </c>
      <c r="C392" t="s">
        <v>1146</v>
      </c>
      <c r="D392">
        <v>59</v>
      </c>
      <c r="E392" t="s">
        <v>812</v>
      </c>
      <c r="F392" s="2">
        <v>9.8611111111111108E-2</v>
      </c>
    </row>
    <row r="393" spans="1:6" x14ac:dyDescent="0.3">
      <c r="A393" t="s">
        <v>1133</v>
      </c>
      <c r="B393" s="1">
        <v>45207</v>
      </c>
      <c r="C393" t="s">
        <v>1147</v>
      </c>
      <c r="D393">
        <v>15</v>
      </c>
      <c r="E393" t="s">
        <v>810</v>
      </c>
      <c r="F393" s="2">
        <v>0.98750000000000004</v>
      </c>
    </row>
    <row r="394" spans="1:6" x14ac:dyDescent="0.3">
      <c r="A394" t="s">
        <v>1133</v>
      </c>
      <c r="B394" s="1">
        <v>45220</v>
      </c>
      <c r="C394" t="s">
        <v>1148</v>
      </c>
      <c r="D394">
        <v>60</v>
      </c>
      <c r="E394" t="s">
        <v>812</v>
      </c>
      <c r="F394" s="2">
        <v>0.15902777777777777</v>
      </c>
    </row>
    <row r="395" spans="1:6" x14ac:dyDescent="0.3">
      <c r="A395" t="s">
        <v>1133</v>
      </c>
      <c r="B395" s="1">
        <v>45218</v>
      </c>
      <c r="C395" t="s">
        <v>1079</v>
      </c>
      <c r="D395">
        <v>82</v>
      </c>
      <c r="E395" t="s">
        <v>807</v>
      </c>
      <c r="F395" s="2">
        <v>0.9916666666666667</v>
      </c>
    </row>
    <row r="396" spans="1:6" x14ac:dyDescent="0.3">
      <c r="A396" t="s">
        <v>1133</v>
      </c>
      <c r="B396" s="1">
        <v>45210</v>
      </c>
      <c r="C396" t="s">
        <v>1149</v>
      </c>
      <c r="D396">
        <v>110</v>
      </c>
      <c r="E396" t="s">
        <v>807</v>
      </c>
      <c r="F396" s="2">
        <v>0.16805555555555557</v>
      </c>
    </row>
    <row r="397" spans="1:6" x14ac:dyDescent="0.3">
      <c r="A397" t="s">
        <v>1133</v>
      </c>
      <c r="B397" s="1">
        <v>45211</v>
      </c>
      <c r="C397" t="s">
        <v>1150</v>
      </c>
      <c r="D397">
        <v>28</v>
      </c>
      <c r="E397" t="s">
        <v>807</v>
      </c>
      <c r="F397" s="2">
        <v>0.72291666666666665</v>
      </c>
    </row>
    <row r="398" spans="1:6" x14ac:dyDescent="0.3">
      <c r="A398" t="s">
        <v>1133</v>
      </c>
      <c r="B398" s="1">
        <v>45226</v>
      </c>
      <c r="C398" t="s">
        <v>1151</v>
      </c>
      <c r="D398">
        <v>74</v>
      </c>
      <c r="E398" t="s">
        <v>810</v>
      </c>
      <c r="F398" s="2">
        <v>0.84097222222222223</v>
      </c>
    </row>
    <row r="399" spans="1:6" x14ac:dyDescent="0.3">
      <c r="A399" t="s">
        <v>1133</v>
      </c>
      <c r="B399" s="1">
        <v>45226</v>
      </c>
      <c r="C399" t="s">
        <v>1152</v>
      </c>
      <c r="D399">
        <v>42</v>
      </c>
      <c r="E399" t="s">
        <v>807</v>
      </c>
      <c r="F399" s="2">
        <v>0.89513888888888893</v>
      </c>
    </row>
    <row r="400" spans="1:6" x14ac:dyDescent="0.3">
      <c r="A400" t="s">
        <v>1133</v>
      </c>
      <c r="B400" s="1">
        <v>45222</v>
      </c>
      <c r="C400" t="s">
        <v>1153</v>
      </c>
      <c r="D400">
        <v>46</v>
      </c>
      <c r="E400" t="s">
        <v>812</v>
      </c>
      <c r="F400" s="2">
        <v>0.65277777777777779</v>
      </c>
    </row>
    <row r="401" spans="1:6" x14ac:dyDescent="0.3">
      <c r="A401" t="s">
        <v>1133</v>
      </c>
      <c r="B401" s="1">
        <v>45205</v>
      </c>
      <c r="C401" t="s">
        <v>1154</v>
      </c>
      <c r="D401">
        <v>18</v>
      </c>
      <c r="E401" t="s">
        <v>810</v>
      </c>
      <c r="F401" s="2">
        <v>0.16944444444444445</v>
      </c>
    </row>
    <row r="402" spans="1:6" x14ac:dyDescent="0.3">
      <c r="A402" t="s">
        <v>1133</v>
      </c>
      <c r="B402" s="1">
        <v>45222</v>
      </c>
      <c r="C402" t="s">
        <v>1155</v>
      </c>
      <c r="D402">
        <v>15</v>
      </c>
      <c r="E402" t="s">
        <v>812</v>
      </c>
      <c r="F402" s="2">
        <v>0.58472222222222225</v>
      </c>
    </row>
    <row r="403" spans="1:6" x14ac:dyDescent="0.3">
      <c r="A403" t="s">
        <v>1133</v>
      </c>
      <c r="B403" s="1">
        <v>45209</v>
      </c>
      <c r="C403" t="s">
        <v>1061</v>
      </c>
      <c r="D403">
        <v>46</v>
      </c>
      <c r="E403" t="s">
        <v>810</v>
      </c>
      <c r="F403" s="2">
        <v>0.25138888888888888</v>
      </c>
    </row>
    <row r="404" spans="1:6" x14ac:dyDescent="0.3">
      <c r="A404" t="s">
        <v>1133</v>
      </c>
      <c r="B404" s="1">
        <v>45225</v>
      </c>
      <c r="C404" t="s">
        <v>1106</v>
      </c>
      <c r="D404">
        <v>89</v>
      </c>
      <c r="E404" t="s">
        <v>807</v>
      </c>
      <c r="F404" s="2">
        <v>0.28888888888888886</v>
      </c>
    </row>
    <row r="405" spans="1:6" x14ac:dyDescent="0.3">
      <c r="A405" t="s">
        <v>1133</v>
      </c>
      <c r="B405" s="1">
        <v>45201</v>
      </c>
      <c r="C405" t="s">
        <v>1156</v>
      </c>
      <c r="D405">
        <v>42</v>
      </c>
      <c r="E405" t="s">
        <v>812</v>
      </c>
      <c r="F405" s="2">
        <v>0.45763888888888887</v>
      </c>
    </row>
    <row r="406" spans="1:6" x14ac:dyDescent="0.3">
      <c r="A406" t="s">
        <v>1133</v>
      </c>
      <c r="B406" s="1">
        <v>45209</v>
      </c>
      <c r="C406" t="s">
        <v>1006</v>
      </c>
      <c r="D406">
        <v>44</v>
      </c>
      <c r="E406" t="s">
        <v>812</v>
      </c>
      <c r="F406" s="2">
        <v>0.68402777777777779</v>
      </c>
    </row>
    <row r="407" spans="1:6" x14ac:dyDescent="0.3">
      <c r="A407" t="s">
        <v>1133</v>
      </c>
      <c r="B407" s="1">
        <v>45226</v>
      </c>
      <c r="C407" t="s">
        <v>1157</v>
      </c>
      <c r="D407">
        <v>62</v>
      </c>
      <c r="E407" t="s">
        <v>810</v>
      </c>
      <c r="F407" s="2">
        <v>0.72916666666666663</v>
      </c>
    </row>
    <row r="408" spans="1:6" x14ac:dyDescent="0.3">
      <c r="A408" t="s">
        <v>1133</v>
      </c>
      <c r="B408" s="1">
        <v>45208</v>
      </c>
      <c r="C408" t="s">
        <v>1063</v>
      </c>
      <c r="D408">
        <v>82</v>
      </c>
      <c r="E408" t="s">
        <v>812</v>
      </c>
      <c r="F408" s="2">
        <v>7.4999999999999997E-2</v>
      </c>
    </row>
    <row r="409" spans="1:6" x14ac:dyDescent="0.3">
      <c r="A409" t="s">
        <v>1133</v>
      </c>
      <c r="B409" s="1">
        <v>45220</v>
      </c>
      <c r="C409" t="s">
        <v>1158</v>
      </c>
      <c r="D409">
        <v>96</v>
      </c>
      <c r="E409" t="s">
        <v>807</v>
      </c>
      <c r="F409" s="2">
        <v>0.26250000000000001</v>
      </c>
    </row>
    <row r="410" spans="1:6" x14ac:dyDescent="0.3">
      <c r="A410" t="s">
        <v>1133</v>
      </c>
      <c r="B410" s="1">
        <v>45211</v>
      </c>
      <c r="C410" t="s">
        <v>1159</v>
      </c>
      <c r="D410">
        <v>59</v>
      </c>
      <c r="E410" t="s">
        <v>810</v>
      </c>
      <c r="F410" s="2">
        <v>7.9861111111111105E-2</v>
      </c>
    </row>
    <row r="411" spans="1:6" x14ac:dyDescent="0.3">
      <c r="A411" t="s">
        <v>1133</v>
      </c>
      <c r="B411" s="1">
        <v>45220</v>
      </c>
      <c r="C411" t="s">
        <v>834</v>
      </c>
      <c r="D411">
        <v>26</v>
      </c>
      <c r="E411" t="s">
        <v>812</v>
      </c>
      <c r="F411" s="2">
        <v>0.4284722222222222</v>
      </c>
    </row>
    <row r="412" spans="1:6" x14ac:dyDescent="0.3">
      <c r="A412" t="s">
        <v>1133</v>
      </c>
      <c r="B412" s="1">
        <v>45203</v>
      </c>
      <c r="C412" t="s">
        <v>1160</v>
      </c>
      <c r="D412">
        <v>93</v>
      </c>
      <c r="E412" t="s">
        <v>810</v>
      </c>
      <c r="F412" s="2">
        <v>0.47708333333333336</v>
      </c>
    </row>
    <row r="413" spans="1:6" x14ac:dyDescent="0.3">
      <c r="A413" t="s">
        <v>1161</v>
      </c>
      <c r="B413" s="1">
        <v>45202</v>
      </c>
      <c r="C413" t="s">
        <v>1162</v>
      </c>
      <c r="D413">
        <v>68</v>
      </c>
      <c r="E413" t="s">
        <v>812</v>
      </c>
      <c r="F413" s="2">
        <v>0.91249999999999998</v>
      </c>
    </row>
    <row r="414" spans="1:6" x14ac:dyDescent="0.3">
      <c r="A414" t="s">
        <v>1161</v>
      </c>
      <c r="B414" s="1">
        <v>45210</v>
      </c>
      <c r="C414" t="s">
        <v>1001</v>
      </c>
      <c r="D414">
        <v>118</v>
      </c>
      <c r="E414" t="s">
        <v>807</v>
      </c>
      <c r="F414" s="2">
        <v>0.89027777777777772</v>
      </c>
    </row>
    <row r="415" spans="1:6" x14ac:dyDescent="0.3">
      <c r="A415" t="s">
        <v>1161</v>
      </c>
      <c r="B415" s="1">
        <v>45222</v>
      </c>
      <c r="C415" t="s">
        <v>920</v>
      </c>
      <c r="D415">
        <v>85</v>
      </c>
      <c r="E415" t="s">
        <v>807</v>
      </c>
      <c r="F415" s="2">
        <v>0.1076388888888889</v>
      </c>
    </row>
    <row r="416" spans="1:6" x14ac:dyDescent="0.3">
      <c r="A416" t="s">
        <v>1161</v>
      </c>
      <c r="B416" s="1">
        <v>45217</v>
      </c>
      <c r="C416" t="s">
        <v>923</v>
      </c>
      <c r="D416">
        <v>74</v>
      </c>
      <c r="E416" t="s">
        <v>812</v>
      </c>
      <c r="F416" s="2">
        <v>0.41458333333333336</v>
      </c>
    </row>
    <row r="417" spans="1:6" x14ac:dyDescent="0.3">
      <c r="A417" t="s">
        <v>1161</v>
      </c>
      <c r="B417" s="1">
        <v>45209</v>
      </c>
      <c r="C417" t="s">
        <v>1163</v>
      </c>
      <c r="D417">
        <v>42</v>
      </c>
      <c r="E417" t="s">
        <v>812</v>
      </c>
      <c r="F417" s="2">
        <v>0.23958333333333334</v>
      </c>
    </row>
    <row r="418" spans="1:6" x14ac:dyDescent="0.3">
      <c r="A418" t="s">
        <v>1161</v>
      </c>
      <c r="B418" s="1">
        <v>45222</v>
      </c>
      <c r="C418" t="s">
        <v>1021</v>
      </c>
      <c r="D418">
        <v>87</v>
      </c>
      <c r="E418" t="s">
        <v>810</v>
      </c>
      <c r="F418" s="2">
        <v>0.94444444444444442</v>
      </c>
    </row>
    <row r="419" spans="1:6" x14ac:dyDescent="0.3">
      <c r="A419" t="s">
        <v>1161</v>
      </c>
      <c r="B419" s="1">
        <v>45205</v>
      </c>
      <c r="C419" t="s">
        <v>1164</v>
      </c>
      <c r="D419">
        <v>43</v>
      </c>
      <c r="E419" t="s">
        <v>810</v>
      </c>
      <c r="F419" s="2">
        <v>0.48055555555555557</v>
      </c>
    </row>
    <row r="420" spans="1:6" x14ac:dyDescent="0.3">
      <c r="A420" t="s">
        <v>1161</v>
      </c>
      <c r="B420" s="1">
        <v>45207</v>
      </c>
      <c r="C420" t="s">
        <v>1165</v>
      </c>
      <c r="D420">
        <v>66</v>
      </c>
      <c r="E420" t="s">
        <v>810</v>
      </c>
      <c r="F420" s="2">
        <v>0.13333333333333333</v>
      </c>
    </row>
    <row r="421" spans="1:6" x14ac:dyDescent="0.3">
      <c r="A421" t="s">
        <v>1161</v>
      </c>
      <c r="B421" s="1">
        <v>45225</v>
      </c>
      <c r="C421" t="s">
        <v>1166</v>
      </c>
      <c r="D421">
        <v>36</v>
      </c>
      <c r="E421" t="s">
        <v>812</v>
      </c>
      <c r="F421" s="2">
        <v>0.17708333333333334</v>
      </c>
    </row>
    <row r="422" spans="1:6" x14ac:dyDescent="0.3">
      <c r="A422" t="s">
        <v>1161</v>
      </c>
      <c r="B422" s="1">
        <v>45225</v>
      </c>
      <c r="C422" t="s">
        <v>1167</v>
      </c>
      <c r="D422">
        <v>108</v>
      </c>
      <c r="E422" t="s">
        <v>812</v>
      </c>
      <c r="F422" s="2">
        <v>0.62569444444444444</v>
      </c>
    </row>
    <row r="423" spans="1:6" x14ac:dyDescent="0.3">
      <c r="A423" t="s">
        <v>1161</v>
      </c>
      <c r="B423" s="1">
        <v>45211</v>
      </c>
      <c r="C423" t="s">
        <v>1168</v>
      </c>
      <c r="D423">
        <v>108</v>
      </c>
      <c r="E423" t="s">
        <v>810</v>
      </c>
      <c r="F423" s="2">
        <v>0.73333333333333328</v>
      </c>
    </row>
    <row r="424" spans="1:6" x14ac:dyDescent="0.3">
      <c r="A424" t="s">
        <v>1161</v>
      </c>
      <c r="B424" s="1">
        <v>45211</v>
      </c>
      <c r="C424" t="s">
        <v>1169</v>
      </c>
      <c r="D424">
        <v>92</v>
      </c>
      <c r="E424" t="s">
        <v>807</v>
      </c>
      <c r="F424" s="2">
        <v>0.61875000000000002</v>
      </c>
    </row>
    <row r="425" spans="1:6" x14ac:dyDescent="0.3">
      <c r="A425" t="s">
        <v>1161</v>
      </c>
      <c r="B425" s="1">
        <v>45217</v>
      </c>
      <c r="C425" t="s">
        <v>1114</v>
      </c>
      <c r="D425">
        <v>56</v>
      </c>
      <c r="E425" t="s">
        <v>807</v>
      </c>
      <c r="F425" s="2">
        <v>0.19375000000000001</v>
      </c>
    </row>
    <row r="426" spans="1:6" x14ac:dyDescent="0.3">
      <c r="A426" t="s">
        <v>1161</v>
      </c>
      <c r="B426" s="1">
        <v>45228</v>
      </c>
      <c r="C426" t="s">
        <v>1170</v>
      </c>
      <c r="D426">
        <v>43</v>
      </c>
      <c r="E426" t="s">
        <v>812</v>
      </c>
      <c r="F426" s="2">
        <v>8.611111111111111E-2</v>
      </c>
    </row>
    <row r="427" spans="1:6" x14ac:dyDescent="0.3">
      <c r="A427" t="s">
        <v>1161</v>
      </c>
      <c r="B427" s="1">
        <v>45209</v>
      </c>
      <c r="C427" t="s">
        <v>1171</v>
      </c>
      <c r="D427">
        <v>63</v>
      </c>
      <c r="E427" t="s">
        <v>807</v>
      </c>
      <c r="F427" s="2">
        <v>0.53125</v>
      </c>
    </row>
    <row r="428" spans="1:6" x14ac:dyDescent="0.3">
      <c r="A428" t="s">
        <v>1161</v>
      </c>
      <c r="B428" s="1">
        <v>45223</v>
      </c>
      <c r="C428" t="s">
        <v>1172</v>
      </c>
      <c r="D428">
        <v>14</v>
      </c>
      <c r="E428" t="s">
        <v>812</v>
      </c>
      <c r="F428" s="2">
        <v>0.6479166666666667</v>
      </c>
    </row>
    <row r="429" spans="1:6" x14ac:dyDescent="0.3">
      <c r="A429" t="s">
        <v>1161</v>
      </c>
      <c r="B429" s="1">
        <v>45213</v>
      </c>
      <c r="C429" t="s">
        <v>1173</v>
      </c>
      <c r="D429">
        <v>93</v>
      </c>
      <c r="E429" t="s">
        <v>810</v>
      </c>
      <c r="F429" s="2">
        <v>0.57777777777777772</v>
      </c>
    </row>
    <row r="430" spans="1:6" x14ac:dyDescent="0.3">
      <c r="A430" t="s">
        <v>1161</v>
      </c>
      <c r="B430" s="1">
        <v>45218</v>
      </c>
      <c r="C430" t="s">
        <v>1151</v>
      </c>
      <c r="D430">
        <v>12</v>
      </c>
      <c r="E430" t="s">
        <v>812</v>
      </c>
      <c r="F430" s="2">
        <v>8.8888888888888892E-2</v>
      </c>
    </row>
    <row r="431" spans="1:6" x14ac:dyDescent="0.3">
      <c r="A431" t="s">
        <v>1161</v>
      </c>
      <c r="B431" s="1">
        <v>45210</v>
      </c>
      <c r="C431" t="s">
        <v>1174</v>
      </c>
      <c r="D431">
        <v>25</v>
      </c>
      <c r="E431" t="s">
        <v>812</v>
      </c>
      <c r="F431" s="2">
        <v>0.83611111111111114</v>
      </c>
    </row>
    <row r="432" spans="1:6" x14ac:dyDescent="0.3">
      <c r="A432" t="s">
        <v>1161</v>
      </c>
      <c r="B432" s="1">
        <v>45214</v>
      </c>
      <c r="C432" t="s">
        <v>1175</v>
      </c>
      <c r="D432">
        <v>61</v>
      </c>
      <c r="E432" t="s">
        <v>812</v>
      </c>
      <c r="F432" s="2">
        <v>0.61319444444444449</v>
      </c>
    </row>
    <row r="433" spans="1:6" x14ac:dyDescent="0.3">
      <c r="A433" t="s">
        <v>1161</v>
      </c>
      <c r="B433" s="1">
        <v>45216</v>
      </c>
      <c r="C433" t="s">
        <v>1126</v>
      </c>
      <c r="D433">
        <v>58</v>
      </c>
      <c r="E433" t="s">
        <v>807</v>
      </c>
      <c r="F433" s="2">
        <v>0.46388888888888891</v>
      </c>
    </row>
    <row r="434" spans="1:6" x14ac:dyDescent="0.3">
      <c r="A434" t="s">
        <v>1161</v>
      </c>
      <c r="B434" s="1">
        <v>45228</v>
      </c>
      <c r="C434" t="s">
        <v>1176</v>
      </c>
      <c r="D434">
        <v>66</v>
      </c>
      <c r="E434" t="s">
        <v>812</v>
      </c>
      <c r="F434" s="2">
        <v>0.73611111111111116</v>
      </c>
    </row>
    <row r="435" spans="1:6" x14ac:dyDescent="0.3">
      <c r="A435" t="s">
        <v>1161</v>
      </c>
      <c r="B435" s="1">
        <v>45218</v>
      </c>
      <c r="C435" t="s">
        <v>1015</v>
      </c>
      <c r="D435">
        <v>64</v>
      </c>
      <c r="E435" t="s">
        <v>807</v>
      </c>
      <c r="F435" s="2">
        <v>0.24236111111111111</v>
      </c>
    </row>
    <row r="436" spans="1:6" x14ac:dyDescent="0.3">
      <c r="A436" t="s">
        <v>1161</v>
      </c>
      <c r="B436" s="1">
        <v>45230</v>
      </c>
      <c r="C436" t="s">
        <v>1177</v>
      </c>
      <c r="D436">
        <v>31</v>
      </c>
      <c r="E436" t="s">
        <v>810</v>
      </c>
      <c r="F436" s="2">
        <v>0.18541666666666667</v>
      </c>
    </row>
    <row r="437" spans="1:6" x14ac:dyDescent="0.3">
      <c r="A437" t="s">
        <v>1161</v>
      </c>
      <c r="B437" s="1">
        <v>45216</v>
      </c>
      <c r="C437" t="s">
        <v>1178</v>
      </c>
      <c r="D437">
        <v>48</v>
      </c>
      <c r="E437" t="s">
        <v>810</v>
      </c>
      <c r="F437" s="2">
        <v>7.8472222222222221E-2</v>
      </c>
    </row>
    <row r="438" spans="1:6" x14ac:dyDescent="0.3">
      <c r="A438" t="s">
        <v>1161</v>
      </c>
      <c r="B438" s="1">
        <v>45203</v>
      </c>
      <c r="C438" t="s">
        <v>1179</v>
      </c>
      <c r="D438">
        <v>82</v>
      </c>
      <c r="E438" t="s">
        <v>807</v>
      </c>
      <c r="F438" s="2">
        <v>0.67291666666666672</v>
      </c>
    </row>
    <row r="439" spans="1:6" x14ac:dyDescent="0.3">
      <c r="A439" t="s">
        <v>1161</v>
      </c>
      <c r="B439" s="1">
        <v>45209</v>
      </c>
      <c r="C439" t="s">
        <v>1151</v>
      </c>
      <c r="D439">
        <v>23</v>
      </c>
      <c r="E439" t="s">
        <v>812</v>
      </c>
      <c r="F439" s="2">
        <v>0.21527777777777779</v>
      </c>
    </row>
    <row r="440" spans="1:6" x14ac:dyDescent="0.3">
      <c r="A440" t="s">
        <v>1161</v>
      </c>
      <c r="B440" s="1">
        <v>45210</v>
      </c>
      <c r="C440" t="s">
        <v>998</v>
      </c>
      <c r="D440">
        <v>45</v>
      </c>
      <c r="E440" t="s">
        <v>810</v>
      </c>
      <c r="F440" s="2">
        <v>0.92638888888888893</v>
      </c>
    </row>
    <row r="441" spans="1:6" x14ac:dyDescent="0.3">
      <c r="A441" t="s">
        <v>1161</v>
      </c>
      <c r="B441" s="1">
        <v>45211</v>
      </c>
      <c r="C441" t="s">
        <v>1180</v>
      </c>
      <c r="D441">
        <v>115</v>
      </c>
      <c r="E441" t="s">
        <v>812</v>
      </c>
      <c r="F441" s="2">
        <v>0.70625000000000004</v>
      </c>
    </row>
    <row r="442" spans="1:6" x14ac:dyDescent="0.3">
      <c r="A442" t="s">
        <v>1161</v>
      </c>
      <c r="B442" s="1">
        <v>45209</v>
      </c>
      <c r="C442" t="s">
        <v>1181</v>
      </c>
      <c r="D442">
        <v>96</v>
      </c>
      <c r="E442" t="s">
        <v>807</v>
      </c>
      <c r="F442" s="2">
        <v>9.4444444444444442E-2</v>
      </c>
    </row>
    <row r="443" spans="1:6" x14ac:dyDescent="0.3">
      <c r="A443" t="s">
        <v>1161</v>
      </c>
      <c r="B443" s="1">
        <v>45206</v>
      </c>
      <c r="C443" t="s">
        <v>998</v>
      </c>
      <c r="D443">
        <v>45</v>
      </c>
      <c r="E443" t="s">
        <v>812</v>
      </c>
      <c r="F443" s="2">
        <v>0.85763888888888884</v>
      </c>
    </row>
    <row r="444" spans="1:6" x14ac:dyDescent="0.3">
      <c r="A444" t="s">
        <v>1161</v>
      </c>
      <c r="B444" s="1">
        <v>45208</v>
      </c>
      <c r="C444" t="s">
        <v>1182</v>
      </c>
      <c r="D444">
        <v>98</v>
      </c>
      <c r="E444" t="s">
        <v>810</v>
      </c>
      <c r="F444" s="2">
        <v>0.19444444444444445</v>
      </c>
    </row>
    <row r="445" spans="1:6" x14ac:dyDescent="0.3">
      <c r="A445" t="s">
        <v>1161</v>
      </c>
      <c r="B445" s="1">
        <v>45209</v>
      </c>
      <c r="C445" t="s">
        <v>897</v>
      </c>
      <c r="D445">
        <v>115</v>
      </c>
      <c r="E445" t="s">
        <v>812</v>
      </c>
      <c r="F445" s="2">
        <v>0.81527777777777777</v>
      </c>
    </row>
    <row r="446" spans="1:6" x14ac:dyDescent="0.3">
      <c r="A446" t="s">
        <v>1161</v>
      </c>
      <c r="B446" s="1">
        <v>45202</v>
      </c>
      <c r="C446" t="s">
        <v>1183</v>
      </c>
      <c r="D446">
        <v>49</v>
      </c>
      <c r="E446" t="s">
        <v>810</v>
      </c>
      <c r="F446" s="2">
        <v>0.69513888888888886</v>
      </c>
    </row>
    <row r="447" spans="1:6" x14ac:dyDescent="0.3">
      <c r="A447" t="s">
        <v>1161</v>
      </c>
      <c r="B447" s="1">
        <v>45205</v>
      </c>
      <c r="C447" t="s">
        <v>1184</v>
      </c>
      <c r="D447">
        <v>56</v>
      </c>
      <c r="E447" t="s">
        <v>812</v>
      </c>
      <c r="F447" s="2">
        <v>0.77569444444444446</v>
      </c>
    </row>
    <row r="448" spans="1:6" x14ac:dyDescent="0.3">
      <c r="A448" t="s">
        <v>1161</v>
      </c>
      <c r="B448" s="1">
        <v>45204</v>
      </c>
      <c r="C448" t="s">
        <v>1031</v>
      </c>
      <c r="D448">
        <v>21</v>
      </c>
      <c r="E448" t="s">
        <v>810</v>
      </c>
      <c r="F448" s="2">
        <v>0.23749999999999999</v>
      </c>
    </row>
    <row r="449" spans="1:6" x14ac:dyDescent="0.3">
      <c r="A449" t="s">
        <v>1161</v>
      </c>
      <c r="B449" s="1">
        <v>45219</v>
      </c>
      <c r="C449" t="s">
        <v>882</v>
      </c>
      <c r="D449">
        <v>102</v>
      </c>
      <c r="E449" t="s">
        <v>810</v>
      </c>
      <c r="F449" s="2">
        <v>0.99791666666666667</v>
      </c>
    </row>
    <row r="450" spans="1:6" x14ac:dyDescent="0.3">
      <c r="A450" t="s">
        <v>1161</v>
      </c>
      <c r="B450" s="1">
        <v>45219</v>
      </c>
      <c r="C450" t="s">
        <v>1185</v>
      </c>
      <c r="D450">
        <v>52</v>
      </c>
      <c r="E450" t="s">
        <v>810</v>
      </c>
      <c r="F450" s="2">
        <v>0.45347222222222222</v>
      </c>
    </row>
    <row r="451" spans="1:6" x14ac:dyDescent="0.3">
      <c r="A451" t="s">
        <v>1161</v>
      </c>
      <c r="B451" s="1">
        <v>45229</v>
      </c>
      <c r="C451" t="s">
        <v>1186</v>
      </c>
      <c r="D451">
        <v>70</v>
      </c>
      <c r="E451" t="s">
        <v>807</v>
      </c>
      <c r="F451" s="2">
        <v>0.75138888888888888</v>
      </c>
    </row>
    <row r="452" spans="1:6" x14ac:dyDescent="0.3">
      <c r="A452" t="s">
        <v>1161</v>
      </c>
      <c r="B452" s="1">
        <v>45201</v>
      </c>
      <c r="C452" t="s">
        <v>1077</v>
      </c>
      <c r="D452">
        <v>18</v>
      </c>
      <c r="E452" t="s">
        <v>807</v>
      </c>
      <c r="F452" s="2">
        <v>0.86736111111111114</v>
      </c>
    </row>
    <row r="453" spans="1:6" x14ac:dyDescent="0.3">
      <c r="A453" t="s">
        <v>1161</v>
      </c>
      <c r="B453" s="1">
        <v>45218</v>
      </c>
      <c r="C453" t="s">
        <v>851</v>
      </c>
      <c r="D453">
        <v>45</v>
      </c>
      <c r="E453" t="s">
        <v>812</v>
      </c>
      <c r="F453" s="2">
        <v>0.36180555555555555</v>
      </c>
    </row>
    <row r="454" spans="1:6" x14ac:dyDescent="0.3">
      <c r="A454" t="s">
        <v>1161</v>
      </c>
      <c r="B454" s="1">
        <v>45206</v>
      </c>
      <c r="C454" t="s">
        <v>1188</v>
      </c>
      <c r="D454">
        <v>35</v>
      </c>
      <c r="E454" t="s">
        <v>812</v>
      </c>
      <c r="F454" s="2">
        <v>0.7680555555555556</v>
      </c>
    </row>
    <row r="455" spans="1:6" x14ac:dyDescent="0.3">
      <c r="A455" t="s">
        <v>1161</v>
      </c>
      <c r="B455" s="1">
        <v>45219</v>
      </c>
      <c r="C455" t="s">
        <v>1189</v>
      </c>
      <c r="D455">
        <v>64</v>
      </c>
      <c r="E455" t="s">
        <v>812</v>
      </c>
      <c r="F455" s="2">
        <v>0.83402777777777781</v>
      </c>
    </row>
    <row r="456" spans="1:6" x14ac:dyDescent="0.3">
      <c r="A456" t="s">
        <v>1190</v>
      </c>
      <c r="B456" s="1">
        <v>45201</v>
      </c>
      <c r="C456" t="s">
        <v>1164</v>
      </c>
      <c r="D456">
        <v>45</v>
      </c>
      <c r="E456" t="s">
        <v>810</v>
      </c>
      <c r="F456" s="2">
        <v>4.3055555555555555E-2</v>
      </c>
    </row>
    <row r="457" spans="1:6" x14ac:dyDescent="0.3">
      <c r="A457" t="s">
        <v>1190</v>
      </c>
      <c r="B457" s="1">
        <v>45204</v>
      </c>
      <c r="C457" t="s">
        <v>1191</v>
      </c>
      <c r="D457">
        <v>66</v>
      </c>
      <c r="E457" t="s">
        <v>807</v>
      </c>
      <c r="F457" s="2">
        <v>0.93125000000000002</v>
      </c>
    </row>
    <row r="458" spans="1:6" x14ac:dyDescent="0.3">
      <c r="A458" t="s">
        <v>1190</v>
      </c>
      <c r="B458" s="1">
        <v>45225</v>
      </c>
      <c r="C458" t="s">
        <v>1192</v>
      </c>
      <c r="D458">
        <v>49</v>
      </c>
      <c r="E458" t="s">
        <v>807</v>
      </c>
      <c r="F458" s="2">
        <v>0.6479166666666667</v>
      </c>
    </row>
    <row r="459" spans="1:6" x14ac:dyDescent="0.3">
      <c r="A459" t="s">
        <v>1190</v>
      </c>
      <c r="B459" s="1">
        <v>45214</v>
      </c>
      <c r="C459" t="s">
        <v>836</v>
      </c>
      <c r="D459">
        <v>76</v>
      </c>
      <c r="E459" t="s">
        <v>812</v>
      </c>
      <c r="F459" s="2">
        <v>0.19305555555555556</v>
      </c>
    </row>
    <row r="460" spans="1:6" x14ac:dyDescent="0.3">
      <c r="A460" t="s">
        <v>1190</v>
      </c>
      <c r="B460" s="1">
        <v>45228</v>
      </c>
      <c r="C460" t="s">
        <v>1193</v>
      </c>
      <c r="D460">
        <v>106</v>
      </c>
      <c r="E460" t="s">
        <v>807</v>
      </c>
      <c r="F460" s="2">
        <v>0.67222222222222228</v>
      </c>
    </row>
    <row r="461" spans="1:6" x14ac:dyDescent="0.3">
      <c r="A461" t="s">
        <v>1190</v>
      </c>
      <c r="B461" s="1">
        <v>45210</v>
      </c>
      <c r="C461" t="s">
        <v>1194</v>
      </c>
      <c r="D461">
        <v>97</v>
      </c>
      <c r="E461" t="s">
        <v>807</v>
      </c>
      <c r="F461" s="2">
        <v>0.80555555555555558</v>
      </c>
    </row>
    <row r="462" spans="1:6" x14ac:dyDescent="0.3">
      <c r="A462" t="s">
        <v>1190</v>
      </c>
      <c r="B462" s="1">
        <v>45205</v>
      </c>
      <c r="C462" t="s">
        <v>1195</v>
      </c>
      <c r="D462">
        <v>40</v>
      </c>
      <c r="E462" t="s">
        <v>812</v>
      </c>
      <c r="F462" s="2">
        <v>0.52708333333333335</v>
      </c>
    </row>
    <row r="463" spans="1:6" x14ac:dyDescent="0.3">
      <c r="A463" t="s">
        <v>1190</v>
      </c>
      <c r="B463" s="1">
        <v>45223</v>
      </c>
      <c r="C463" t="s">
        <v>1120</v>
      </c>
      <c r="D463">
        <v>41</v>
      </c>
      <c r="E463" t="s">
        <v>812</v>
      </c>
      <c r="F463" s="2">
        <v>0.40069444444444446</v>
      </c>
    </row>
    <row r="464" spans="1:6" x14ac:dyDescent="0.3">
      <c r="A464" t="s">
        <v>1190</v>
      </c>
      <c r="B464" s="1">
        <v>45210</v>
      </c>
      <c r="C464" t="s">
        <v>1196</v>
      </c>
      <c r="D464">
        <v>20</v>
      </c>
      <c r="E464" t="s">
        <v>807</v>
      </c>
      <c r="F464" s="2">
        <v>0.70347222222222228</v>
      </c>
    </row>
    <row r="465" spans="1:6" x14ac:dyDescent="0.3">
      <c r="A465" t="s">
        <v>1190</v>
      </c>
      <c r="B465" s="1">
        <v>45216</v>
      </c>
      <c r="C465" t="s">
        <v>991</v>
      </c>
      <c r="D465">
        <v>78</v>
      </c>
      <c r="E465" t="s">
        <v>810</v>
      </c>
      <c r="F465" s="2">
        <v>0.72986111111111107</v>
      </c>
    </row>
    <row r="466" spans="1:6" x14ac:dyDescent="0.3">
      <c r="A466" t="s">
        <v>1190</v>
      </c>
      <c r="B466" s="1">
        <v>45222</v>
      </c>
      <c r="C466" t="s">
        <v>976</v>
      </c>
      <c r="D466">
        <v>91</v>
      </c>
      <c r="E466" t="s">
        <v>812</v>
      </c>
      <c r="F466" s="2">
        <v>0.7631944444444444</v>
      </c>
    </row>
    <row r="467" spans="1:6" x14ac:dyDescent="0.3">
      <c r="A467" t="s">
        <v>1190</v>
      </c>
      <c r="B467" s="1">
        <v>45210</v>
      </c>
      <c r="C467" t="s">
        <v>1198</v>
      </c>
      <c r="D467">
        <v>53</v>
      </c>
      <c r="E467" t="s">
        <v>807</v>
      </c>
      <c r="F467" s="2">
        <v>0.87986111111111109</v>
      </c>
    </row>
    <row r="468" spans="1:6" x14ac:dyDescent="0.3">
      <c r="A468" t="s">
        <v>1190</v>
      </c>
      <c r="B468" s="1">
        <v>45213</v>
      </c>
      <c r="C468" t="s">
        <v>1196</v>
      </c>
      <c r="D468">
        <v>119</v>
      </c>
      <c r="E468" t="s">
        <v>812</v>
      </c>
      <c r="F468" s="2">
        <v>0.7631944444444444</v>
      </c>
    </row>
    <row r="469" spans="1:6" x14ac:dyDescent="0.3">
      <c r="A469" t="s">
        <v>1190</v>
      </c>
      <c r="B469" s="1">
        <v>45225</v>
      </c>
      <c r="C469" t="s">
        <v>1017</v>
      </c>
      <c r="D469">
        <v>55</v>
      </c>
      <c r="E469" t="s">
        <v>810</v>
      </c>
      <c r="F469" s="2">
        <v>0.99652777777777779</v>
      </c>
    </row>
    <row r="470" spans="1:6" x14ac:dyDescent="0.3">
      <c r="A470" t="s">
        <v>1190</v>
      </c>
      <c r="B470" s="1">
        <v>45222</v>
      </c>
      <c r="C470" t="s">
        <v>870</v>
      </c>
      <c r="D470">
        <v>109</v>
      </c>
      <c r="E470" t="s">
        <v>810</v>
      </c>
      <c r="F470" s="2">
        <v>0.83402777777777781</v>
      </c>
    </row>
    <row r="471" spans="1:6" x14ac:dyDescent="0.3">
      <c r="A471" t="s">
        <v>1190</v>
      </c>
      <c r="B471" s="1">
        <v>45219</v>
      </c>
      <c r="C471" t="s">
        <v>1019</v>
      </c>
      <c r="D471">
        <v>49</v>
      </c>
      <c r="E471" t="s">
        <v>807</v>
      </c>
      <c r="F471" s="2">
        <v>0.63611111111111107</v>
      </c>
    </row>
    <row r="472" spans="1:6" x14ac:dyDescent="0.3">
      <c r="A472" t="s">
        <v>1190</v>
      </c>
      <c r="B472" s="1">
        <v>45230</v>
      </c>
      <c r="C472" t="s">
        <v>1199</v>
      </c>
      <c r="D472">
        <v>103</v>
      </c>
      <c r="E472" t="s">
        <v>812</v>
      </c>
      <c r="F472" s="2">
        <v>0.86805555555555558</v>
      </c>
    </row>
    <row r="473" spans="1:6" x14ac:dyDescent="0.3">
      <c r="A473" t="s">
        <v>1190</v>
      </c>
      <c r="B473" s="1">
        <v>45224</v>
      </c>
      <c r="C473" t="s">
        <v>1200</v>
      </c>
      <c r="D473">
        <v>107</v>
      </c>
      <c r="E473" t="s">
        <v>812</v>
      </c>
      <c r="F473" s="2">
        <v>0.77500000000000002</v>
      </c>
    </row>
    <row r="474" spans="1:6" x14ac:dyDescent="0.3">
      <c r="A474" t="s">
        <v>1190</v>
      </c>
      <c r="B474" s="1">
        <v>45207</v>
      </c>
      <c r="C474" t="s">
        <v>975</v>
      </c>
      <c r="D474">
        <v>23</v>
      </c>
      <c r="E474" t="s">
        <v>812</v>
      </c>
      <c r="F474" s="2">
        <v>0.9604166666666667</v>
      </c>
    </row>
    <row r="475" spans="1:6" x14ac:dyDescent="0.3">
      <c r="A475" t="s">
        <v>1190</v>
      </c>
      <c r="B475" s="1">
        <v>45218</v>
      </c>
      <c r="C475" t="s">
        <v>844</v>
      </c>
      <c r="D475">
        <v>42</v>
      </c>
      <c r="E475" t="s">
        <v>810</v>
      </c>
      <c r="F475" s="2">
        <v>0.63194444444444442</v>
      </c>
    </row>
    <row r="476" spans="1:6" x14ac:dyDescent="0.3">
      <c r="A476" t="s">
        <v>1190</v>
      </c>
      <c r="B476" s="1">
        <v>45216</v>
      </c>
      <c r="C476" t="s">
        <v>1201</v>
      </c>
      <c r="D476">
        <v>10</v>
      </c>
      <c r="E476" t="s">
        <v>810</v>
      </c>
      <c r="F476" s="2">
        <v>0.86527777777777781</v>
      </c>
    </row>
    <row r="477" spans="1:6" x14ac:dyDescent="0.3">
      <c r="A477" t="s">
        <v>1190</v>
      </c>
      <c r="B477" s="1">
        <v>45219</v>
      </c>
      <c r="C477" t="s">
        <v>950</v>
      </c>
      <c r="D477">
        <v>41</v>
      </c>
      <c r="E477" t="s">
        <v>810</v>
      </c>
      <c r="F477" s="2">
        <v>0.50624999999999998</v>
      </c>
    </row>
    <row r="478" spans="1:6" x14ac:dyDescent="0.3">
      <c r="A478" t="s">
        <v>1190</v>
      </c>
      <c r="B478" s="1">
        <v>45226</v>
      </c>
      <c r="C478" t="s">
        <v>1202</v>
      </c>
      <c r="D478">
        <v>96</v>
      </c>
      <c r="E478" t="s">
        <v>812</v>
      </c>
      <c r="F478" s="2">
        <v>0.88541666666666663</v>
      </c>
    </row>
    <row r="479" spans="1:6" x14ac:dyDescent="0.3">
      <c r="A479" t="s">
        <v>1190</v>
      </c>
      <c r="B479" s="1">
        <v>45201</v>
      </c>
      <c r="C479" t="s">
        <v>1203</v>
      </c>
      <c r="D479">
        <v>15</v>
      </c>
      <c r="E479" t="s">
        <v>807</v>
      </c>
      <c r="F479" s="2">
        <v>0.78055555555555556</v>
      </c>
    </row>
    <row r="480" spans="1:6" x14ac:dyDescent="0.3">
      <c r="A480" t="s">
        <v>1190</v>
      </c>
      <c r="B480" s="1">
        <v>45203</v>
      </c>
      <c r="C480" t="s">
        <v>938</v>
      </c>
      <c r="D480">
        <v>49</v>
      </c>
      <c r="E480" t="s">
        <v>810</v>
      </c>
      <c r="F480" s="2">
        <v>0.25069444444444444</v>
      </c>
    </row>
    <row r="481" spans="1:6" x14ac:dyDescent="0.3">
      <c r="A481" t="s">
        <v>1190</v>
      </c>
      <c r="B481" s="1">
        <v>45214</v>
      </c>
      <c r="C481" t="s">
        <v>846</v>
      </c>
      <c r="D481">
        <v>61</v>
      </c>
      <c r="E481" t="s">
        <v>812</v>
      </c>
      <c r="F481" s="2">
        <v>0.43472222222222223</v>
      </c>
    </row>
    <row r="482" spans="1:6" x14ac:dyDescent="0.3">
      <c r="A482" t="s">
        <v>1190</v>
      </c>
      <c r="B482" s="1">
        <v>45204</v>
      </c>
      <c r="C482" t="s">
        <v>953</v>
      </c>
      <c r="D482">
        <v>88</v>
      </c>
      <c r="E482" t="s">
        <v>812</v>
      </c>
      <c r="F482" s="2">
        <v>0.57222222222222219</v>
      </c>
    </row>
    <row r="483" spans="1:6" x14ac:dyDescent="0.3">
      <c r="A483" t="s">
        <v>1190</v>
      </c>
      <c r="B483" s="1">
        <v>45206</v>
      </c>
      <c r="C483" t="s">
        <v>1204</v>
      </c>
      <c r="D483">
        <v>37</v>
      </c>
      <c r="E483" t="s">
        <v>807</v>
      </c>
      <c r="F483" s="2">
        <v>0.56388888888888888</v>
      </c>
    </row>
    <row r="484" spans="1:6" x14ac:dyDescent="0.3">
      <c r="A484" t="s">
        <v>1190</v>
      </c>
      <c r="B484" s="1">
        <v>45224</v>
      </c>
      <c r="C484" t="s">
        <v>1205</v>
      </c>
      <c r="D484">
        <v>100</v>
      </c>
      <c r="E484" t="s">
        <v>807</v>
      </c>
      <c r="F484" s="2">
        <v>0.83194444444444449</v>
      </c>
    </row>
    <row r="485" spans="1:6" x14ac:dyDescent="0.3">
      <c r="A485" t="s">
        <v>1190</v>
      </c>
      <c r="B485" s="1">
        <v>45215</v>
      </c>
      <c r="C485" t="s">
        <v>1116</v>
      </c>
      <c r="D485">
        <v>66</v>
      </c>
      <c r="E485" t="s">
        <v>812</v>
      </c>
      <c r="F485" s="2">
        <v>0.99027777777777781</v>
      </c>
    </row>
    <row r="486" spans="1:6" x14ac:dyDescent="0.3">
      <c r="A486" t="s">
        <v>1190</v>
      </c>
      <c r="B486" s="1">
        <v>45201</v>
      </c>
      <c r="C486" t="s">
        <v>997</v>
      </c>
      <c r="D486">
        <v>32</v>
      </c>
      <c r="E486" t="s">
        <v>807</v>
      </c>
      <c r="F486" s="2">
        <v>0.92222222222222228</v>
      </c>
    </row>
    <row r="487" spans="1:6" x14ac:dyDescent="0.3">
      <c r="A487" t="s">
        <v>1190</v>
      </c>
      <c r="B487" s="1">
        <v>45216</v>
      </c>
      <c r="C487" t="s">
        <v>1200</v>
      </c>
      <c r="D487">
        <v>30</v>
      </c>
      <c r="E487" t="s">
        <v>810</v>
      </c>
      <c r="F487" s="2">
        <v>0.27430555555555558</v>
      </c>
    </row>
    <row r="488" spans="1:6" x14ac:dyDescent="0.3">
      <c r="A488" t="s">
        <v>1190</v>
      </c>
      <c r="B488" s="1">
        <v>45210</v>
      </c>
      <c r="C488" t="s">
        <v>1005</v>
      </c>
      <c r="D488">
        <v>110</v>
      </c>
      <c r="E488" t="s">
        <v>812</v>
      </c>
      <c r="F488" s="2">
        <v>0.89583333333333337</v>
      </c>
    </row>
    <row r="489" spans="1:6" x14ac:dyDescent="0.3">
      <c r="A489" t="s">
        <v>1190</v>
      </c>
      <c r="B489" s="1">
        <v>45216</v>
      </c>
      <c r="C489" t="s">
        <v>1206</v>
      </c>
      <c r="D489">
        <v>73</v>
      </c>
      <c r="E489" t="s">
        <v>810</v>
      </c>
      <c r="F489" s="2">
        <v>0.51388888888888884</v>
      </c>
    </row>
    <row r="490" spans="1:6" x14ac:dyDescent="0.3">
      <c r="A490" t="s">
        <v>1190</v>
      </c>
      <c r="B490" s="1">
        <v>45230</v>
      </c>
      <c r="C490" t="s">
        <v>935</v>
      </c>
      <c r="D490">
        <v>39</v>
      </c>
      <c r="E490" t="s">
        <v>812</v>
      </c>
      <c r="F490" s="2">
        <v>0.22847222222222222</v>
      </c>
    </row>
    <row r="491" spans="1:6" x14ac:dyDescent="0.3">
      <c r="A491" t="s">
        <v>1190</v>
      </c>
      <c r="B491" s="1">
        <v>45229</v>
      </c>
      <c r="C491" t="s">
        <v>954</v>
      </c>
      <c r="D491">
        <v>76</v>
      </c>
      <c r="E491" t="s">
        <v>810</v>
      </c>
      <c r="F491" s="2">
        <v>0.72291666666666665</v>
      </c>
    </row>
    <row r="492" spans="1:6" x14ac:dyDescent="0.3">
      <c r="A492" t="s">
        <v>1190</v>
      </c>
      <c r="B492" s="1">
        <v>45217</v>
      </c>
      <c r="C492" t="s">
        <v>1207</v>
      </c>
      <c r="D492">
        <v>94</v>
      </c>
      <c r="E492" t="s">
        <v>807</v>
      </c>
      <c r="F492" s="2">
        <v>0.48819444444444443</v>
      </c>
    </row>
    <row r="493" spans="1:6" x14ac:dyDescent="0.3">
      <c r="A493" t="s">
        <v>1190</v>
      </c>
      <c r="B493" s="1">
        <v>45224</v>
      </c>
      <c r="C493" t="s">
        <v>861</v>
      </c>
      <c r="D493">
        <v>39</v>
      </c>
      <c r="E493" t="s">
        <v>807</v>
      </c>
      <c r="F493" s="2">
        <v>0.98819444444444449</v>
      </c>
    </row>
    <row r="494" spans="1:6" x14ac:dyDescent="0.3">
      <c r="A494" t="s">
        <v>1190</v>
      </c>
      <c r="B494" s="1">
        <v>45220</v>
      </c>
      <c r="C494" t="s">
        <v>1109</v>
      </c>
      <c r="D494">
        <v>22</v>
      </c>
      <c r="E494" t="s">
        <v>810</v>
      </c>
      <c r="F494" s="2">
        <v>0.92777777777777781</v>
      </c>
    </row>
    <row r="495" spans="1:6" x14ac:dyDescent="0.3">
      <c r="A495" t="s">
        <v>1190</v>
      </c>
      <c r="B495" s="1">
        <v>45219</v>
      </c>
      <c r="C495" t="s">
        <v>1208</v>
      </c>
      <c r="D495">
        <v>18</v>
      </c>
      <c r="E495" t="s">
        <v>812</v>
      </c>
      <c r="F495" s="2">
        <v>0.6333333333333333</v>
      </c>
    </row>
    <row r="496" spans="1:6" x14ac:dyDescent="0.3">
      <c r="A496" t="s">
        <v>1190</v>
      </c>
      <c r="B496" s="1">
        <v>45230</v>
      </c>
      <c r="C496" t="s">
        <v>1209</v>
      </c>
      <c r="D496">
        <v>83</v>
      </c>
      <c r="E496" t="s">
        <v>812</v>
      </c>
      <c r="F496" s="2">
        <v>0.3034722222222222</v>
      </c>
    </row>
    <row r="497" spans="1:6" x14ac:dyDescent="0.3">
      <c r="A497" t="s">
        <v>1190</v>
      </c>
      <c r="B497" s="1">
        <v>45217</v>
      </c>
      <c r="C497" t="s">
        <v>1210</v>
      </c>
      <c r="D497">
        <v>99</v>
      </c>
      <c r="E497" t="s">
        <v>810</v>
      </c>
      <c r="F497" s="2">
        <v>0.38472222222222224</v>
      </c>
    </row>
    <row r="498" spans="1:6" x14ac:dyDescent="0.3">
      <c r="A498" t="s">
        <v>1190</v>
      </c>
      <c r="B498" s="1">
        <v>45230</v>
      </c>
      <c r="C498" t="s">
        <v>1211</v>
      </c>
      <c r="D498">
        <v>80</v>
      </c>
      <c r="E498" t="s">
        <v>810</v>
      </c>
      <c r="F498" s="2">
        <v>0.40902777777777777</v>
      </c>
    </row>
    <row r="499" spans="1:6" x14ac:dyDescent="0.3">
      <c r="A499" t="s">
        <v>1190</v>
      </c>
      <c r="B499" s="1">
        <v>45209</v>
      </c>
      <c r="C499" t="s">
        <v>1212</v>
      </c>
      <c r="D499">
        <v>35</v>
      </c>
      <c r="E499" t="s">
        <v>807</v>
      </c>
      <c r="F499" s="2">
        <v>0.92569444444444449</v>
      </c>
    </row>
    <row r="500" spans="1:6" x14ac:dyDescent="0.3">
      <c r="A500" t="s">
        <v>1190</v>
      </c>
      <c r="B500" s="1">
        <v>45222</v>
      </c>
      <c r="C500" t="s">
        <v>1213</v>
      </c>
      <c r="D500">
        <v>36</v>
      </c>
      <c r="E500" t="s">
        <v>807</v>
      </c>
      <c r="F500" s="2">
        <v>0.93819444444444444</v>
      </c>
    </row>
    <row r="501" spans="1:6" x14ac:dyDescent="0.3">
      <c r="A501" t="s">
        <v>1214</v>
      </c>
      <c r="B501" s="1">
        <v>45202</v>
      </c>
      <c r="C501" t="s">
        <v>1215</v>
      </c>
      <c r="D501">
        <v>109</v>
      </c>
      <c r="E501" t="s">
        <v>810</v>
      </c>
      <c r="F501" s="2">
        <v>0.52916666666666667</v>
      </c>
    </row>
    <row r="502" spans="1:6" x14ac:dyDescent="0.3">
      <c r="A502" t="s">
        <v>1214</v>
      </c>
      <c r="B502" s="1">
        <v>45203</v>
      </c>
      <c r="C502" t="s">
        <v>1216</v>
      </c>
      <c r="D502">
        <v>5</v>
      </c>
      <c r="E502" t="s">
        <v>807</v>
      </c>
      <c r="F502" s="2">
        <v>0.21388888888888888</v>
      </c>
    </row>
    <row r="503" spans="1:6" x14ac:dyDescent="0.3">
      <c r="A503" t="s">
        <v>1214</v>
      </c>
      <c r="B503" s="1">
        <v>45215</v>
      </c>
      <c r="C503" t="s">
        <v>1217</v>
      </c>
      <c r="D503">
        <v>100</v>
      </c>
      <c r="E503" t="s">
        <v>807</v>
      </c>
      <c r="F503" s="2">
        <v>0.45763888888888887</v>
      </c>
    </row>
    <row r="504" spans="1:6" x14ac:dyDescent="0.3">
      <c r="A504" t="s">
        <v>1214</v>
      </c>
      <c r="B504" s="1">
        <v>45212</v>
      </c>
      <c r="C504" t="s">
        <v>819</v>
      </c>
      <c r="D504">
        <v>79</v>
      </c>
      <c r="E504" t="s">
        <v>807</v>
      </c>
      <c r="F504" s="2">
        <v>0.31111111111111112</v>
      </c>
    </row>
    <row r="505" spans="1:6" x14ac:dyDescent="0.3">
      <c r="A505" t="s">
        <v>1214</v>
      </c>
      <c r="B505" s="1">
        <v>45224</v>
      </c>
      <c r="C505" t="s">
        <v>1219</v>
      </c>
      <c r="D505">
        <v>14</v>
      </c>
      <c r="E505" t="s">
        <v>807</v>
      </c>
      <c r="F505" s="2">
        <v>0.34791666666666665</v>
      </c>
    </row>
    <row r="506" spans="1:6" x14ac:dyDescent="0.3">
      <c r="A506" t="s">
        <v>1214</v>
      </c>
      <c r="B506" s="1">
        <v>45209</v>
      </c>
      <c r="C506" t="s">
        <v>1185</v>
      </c>
      <c r="D506">
        <v>10</v>
      </c>
      <c r="E506" t="s">
        <v>810</v>
      </c>
      <c r="F506" s="2">
        <v>0.78194444444444444</v>
      </c>
    </row>
    <row r="507" spans="1:6" x14ac:dyDescent="0.3">
      <c r="A507" t="s">
        <v>1214</v>
      </c>
      <c r="B507" s="1">
        <v>45220</v>
      </c>
      <c r="C507" t="s">
        <v>895</v>
      </c>
      <c r="D507">
        <v>49</v>
      </c>
      <c r="E507" t="s">
        <v>812</v>
      </c>
      <c r="F507" s="2">
        <v>0.48888888888888887</v>
      </c>
    </row>
    <row r="508" spans="1:6" x14ac:dyDescent="0.3">
      <c r="A508" t="s">
        <v>1214</v>
      </c>
      <c r="B508" s="1">
        <v>45207</v>
      </c>
      <c r="C508" t="s">
        <v>1220</v>
      </c>
      <c r="D508">
        <v>94</v>
      </c>
      <c r="E508" t="s">
        <v>810</v>
      </c>
      <c r="F508" s="2">
        <v>7.0833333333333331E-2</v>
      </c>
    </row>
    <row r="509" spans="1:6" x14ac:dyDescent="0.3">
      <c r="A509" t="s">
        <v>1214</v>
      </c>
      <c r="B509" s="1">
        <v>45203</v>
      </c>
      <c r="C509" t="s">
        <v>1221</v>
      </c>
      <c r="D509">
        <v>13</v>
      </c>
      <c r="E509" t="s">
        <v>810</v>
      </c>
      <c r="F509" s="2">
        <v>0.59652777777777777</v>
      </c>
    </row>
    <row r="510" spans="1:6" x14ac:dyDescent="0.3">
      <c r="A510" t="s">
        <v>1214</v>
      </c>
      <c r="B510" s="1">
        <v>45205</v>
      </c>
      <c r="C510" t="s">
        <v>889</v>
      </c>
      <c r="D510">
        <v>74</v>
      </c>
      <c r="E510" t="s">
        <v>810</v>
      </c>
      <c r="F510" s="2">
        <v>0.52986111111111112</v>
      </c>
    </row>
    <row r="511" spans="1:6" x14ac:dyDescent="0.3">
      <c r="A511" t="s">
        <v>1214</v>
      </c>
      <c r="B511" s="1">
        <v>45216</v>
      </c>
      <c r="C511" t="s">
        <v>808</v>
      </c>
      <c r="D511">
        <v>12</v>
      </c>
      <c r="E511" t="s">
        <v>807</v>
      </c>
      <c r="F511" s="2">
        <v>0.9506944444444444</v>
      </c>
    </row>
    <row r="512" spans="1:6" x14ac:dyDescent="0.3">
      <c r="A512" t="s">
        <v>1214</v>
      </c>
      <c r="B512" s="1">
        <v>45209</v>
      </c>
      <c r="C512" t="s">
        <v>997</v>
      </c>
      <c r="D512">
        <v>119</v>
      </c>
      <c r="E512" t="s">
        <v>807</v>
      </c>
      <c r="F512" s="2">
        <v>0.92152777777777772</v>
      </c>
    </row>
    <row r="513" spans="1:6" x14ac:dyDescent="0.3">
      <c r="A513" t="s">
        <v>1214</v>
      </c>
      <c r="B513" s="1">
        <v>45220</v>
      </c>
      <c r="C513" t="s">
        <v>1184</v>
      </c>
      <c r="D513">
        <v>13</v>
      </c>
      <c r="E513" t="s">
        <v>810</v>
      </c>
      <c r="F513" s="2">
        <v>0.39097222222222222</v>
      </c>
    </row>
    <row r="514" spans="1:6" x14ac:dyDescent="0.3">
      <c r="A514" t="s">
        <v>1214</v>
      </c>
      <c r="B514" s="1">
        <v>45219</v>
      </c>
      <c r="C514" t="s">
        <v>825</v>
      </c>
      <c r="D514">
        <v>65</v>
      </c>
      <c r="E514" t="s">
        <v>807</v>
      </c>
      <c r="F514" s="2">
        <v>0.30138888888888887</v>
      </c>
    </row>
    <row r="515" spans="1:6" x14ac:dyDescent="0.3">
      <c r="A515" t="s">
        <v>1214</v>
      </c>
      <c r="B515" s="1">
        <v>45230</v>
      </c>
      <c r="C515" t="s">
        <v>1222</v>
      </c>
      <c r="D515">
        <v>9</v>
      </c>
      <c r="E515" t="s">
        <v>812</v>
      </c>
      <c r="F515" s="2">
        <v>0.1875</v>
      </c>
    </row>
    <row r="516" spans="1:6" x14ac:dyDescent="0.3">
      <c r="A516" t="s">
        <v>1214</v>
      </c>
      <c r="B516" s="1">
        <v>45204</v>
      </c>
      <c r="C516" t="s">
        <v>1223</v>
      </c>
      <c r="D516">
        <v>41</v>
      </c>
      <c r="E516" t="s">
        <v>812</v>
      </c>
      <c r="F516" s="2">
        <v>0.61597222222222225</v>
      </c>
    </row>
    <row r="517" spans="1:6" x14ac:dyDescent="0.3">
      <c r="A517" t="s">
        <v>1214</v>
      </c>
      <c r="B517" s="1">
        <v>45219</v>
      </c>
      <c r="C517" t="s">
        <v>814</v>
      </c>
      <c r="D517">
        <v>57</v>
      </c>
      <c r="E517" t="s">
        <v>807</v>
      </c>
      <c r="F517" s="2">
        <v>0.47638888888888886</v>
      </c>
    </row>
    <row r="518" spans="1:6" x14ac:dyDescent="0.3">
      <c r="A518" t="s">
        <v>1214</v>
      </c>
      <c r="B518" s="1">
        <v>45222</v>
      </c>
      <c r="C518" t="s">
        <v>1224</v>
      </c>
      <c r="D518">
        <v>28</v>
      </c>
      <c r="E518" t="s">
        <v>810</v>
      </c>
      <c r="F518" s="2">
        <v>0.74861111111111112</v>
      </c>
    </row>
    <row r="519" spans="1:6" x14ac:dyDescent="0.3">
      <c r="A519" t="s">
        <v>1214</v>
      </c>
      <c r="B519" s="1">
        <v>45215</v>
      </c>
      <c r="C519" t="s">
        <v>1225</v>
      </c>
      <c r="D519">
        <v>103</v>
      </c>
      <c r="E519" t="s">
        <v>807</v>
      </c>
      <c r="F519" s="2">
        <v>0.74375000000000002</v>
      </c>
    </row>
    <row r="520" spans="1:6" x14ac:dyDescent="0.3">
      <c r="A520" t="s">
        <v>1214</v>
      </c>
      <c r="B520" s="1">
        <v>45221</v>
      </c>
      <c r="C520" t="s">
        <v>1226</v>
      </c>
      <c r="D520">
        <v>22</v>
      </c>
      <c r="E520" t="s">
        <v>807</v>
      </c>
      <c r="F520" s="2">
        <v>0.28333333333333333</v>
      </c>
    </row>
    <row r="521" spans="1:6" x14ac:dyDescent="0.3">
      <c r="A521" t="s">
        <v>1214</v>
      </c>
      <c r="B521" s="1">
        <v>45207</v>
      </c>
      <c r="C521" t="s">
        <v>1227</v>
      </c>
      <c r="D521">
        <v>103</v>
      </c>
      <c r="E521" t="s">
        <v>807</v>
      </c>
      <c r="F521" s="2">
        <v>0.90833333333333333</v>
      </c>
    </row>
    <row r="522" spans="1:6" x14ac:dyDescent="0.3">
      <c r="A522" t="s">
        <v>1214</v>
      </c>
      <c r="B522" s="1">
        <v>45219</v>
      </c>
      <c r="C522" t="s">
        <v>1228</v>
      </c>
      <c r="D522">
        <v>87</v>
      </c>
      <c r="E522" t="s">
        <v>810</v>
      </c>
      <c r="F522" s="2">
        <v>0.10625</v>
      </c>
    </row>
    <row r="523" spans="1:6" x14ac:dyDescent="0.3">
      <c r="A523" t="s">
        <v>1214</v>
      </c>
      <c r="B523" s="1">
        <v>45214</v>
      </c>
      <c r="C523" t="s">
        <v>1229</v>
      </c>
      <c r="D523">
        <v>98</v>
      </c>
      <c r="E523" t="s">
        <v>812</v>
      </c>
      <c r="F523" s="2">
        <v>0.69791666666666663</v>
      </c>
    </row>
    <row r="524" spans="1:6" x14ac:dyDescent="0.3">
      <c r="A524" t="s">
        <v>1214</v>
      </c>
      <c r="B524" s="1">
        <v>45211</v>
      </c>
      <c r="C524" t="s">
        <v>923</v>
      </c>
      <c r="D524">
        <v>87</v>
      </c>
      <c r="E524" t="s">
        <v>807</v>
      </c>
      <c r="F524" s="2">
        <v>0.12361111111111112</v>
      </c>
    </row>
    <row r="525" spans="1:6" x14ac:dyDescent="0.3">
      <c r="A525" t="s">
        <v>1214</v>
      </c>
      <c r="B525" s="1">
        <v>45218</v>
      </c>
      <c r="C525" t="s">
        <v>1081</v>
      </c>
      <c r="D525">
        <v>58</v>
      </c>
      <c r="E525" t="s">
        <v>810</v>
      </c>
      <c r="F525" s="2">
        <v>0.12708333333333333</v>
      </c>
    </row>
    <row r="526" spans="1:6" x14ac:dyDescent="0.3">
      <c r="A526" t="s">
        <v>1214</v>
      </c>
      <c r="B526" s="1">
        <v>45226</v>
      </c>
      <c r="C526" t="s">
        <v>1230</v>
      </c>
      <c r="D526">
        <v>52</v>
      </c>
      <c r="E526" t="s">
        <v>810</v>
      </c>
      <c r="F526" s="2">
        <v>0.74791666666666667</v>
      </c>
    </row>
    <row r="527" spans="1:6" x14ac:dyDescent="0.3">
      <c r="A527" t="s">
        <v>1214</v>
      </c>
      <c r="B527" s="1">
        <v>45216</v>
      </c>
      <c r="C527" t="s">
        <v>1231</v>
      </c>
      <c r="D527">
        <v>119</v>
      </c>
      <c r="E527" t="s">
        <v>812</v>
      </c>
      <c r="F527" s="2">
        <v>0.27500000000000002</v>
      </c>
    </row>
    <row r="528" spans="1:6" x14ac:dyDescent="0.3">
      <c r="A528" t="s">
        <v>1214</v>
      </c>
      <c r="B528" s="1">
        <v>45217</v>
      </c>
      <c r="C528" t="s">
        <v>941</v>
      </c>
      <c r="D528">
        <v>53</v>
      </c>
      <c r="E528" t="s">
        <v>810</v>
      </c>
      <c r="F528" s="2">
        <v>0.1736111111111111</v>
      </c>
    </row>
    <row r="529" spans="1:6" x14ac:dyDescent="0.3">
      <c r="A529" t="s">
        <v>1214</v>
      </c>
      <c r="B529" s="1">
        <v>45210</v>
      </c>
      <c r="C529" t="s">
        <v>1232</v>
      </c>
      <c r="D529">
        <v>62</v>
      </c>
      <c r="E529" t="s">
        <v>810</v>
      </c>
      <c r="F529" s="2">
        <v>0.68611111111111112</v>
      </c>
    </row>
    <row r="530" spans="1:6" x14ac:dyDescent="0.3">
      <c r="A530" t="s">
        <v>1214</v>
      </c>
      <c r="B530" s="1">
        <v>45203</v>
      </c>
      <c r="C530" t="s">
        <v>1233</v>
      </c>
      <c r="D530">
        <v>116</v>
      </c>
      <c r="E530" t="s">
        <v>810</v>
      </c>
      <c r="F530" s="2">
        <v>0.88402777777777775</v>
      </c>
    </row>
    <row r="531" spans="1:6" x14ac:dyDescent="0.3">
      <c r="A531" t="s">
        <v>1214</v>
      </c>
      <c r="B531" s="1">
        <v>45222</v>
      </c>
      <c r="C531" t="s">
        <v>813</v>
      </c>
      <c r="D531">
        <v>53</v>
      </c>
      <c r="E531" t="s">
        <v>812</v>
      </c>
      <c r="F531" s="2">
        <v>0.77152777777777781</v>
      </c>
    </row>
    <row r="532" spans="1:6" x14ac:dyDescent="0.3">
      <c r="A532" t="s">
        <v>1214</v>
      </c>
      <c r="B532" s="1">
        <v>45202</v>
      </c>
      <c r="C532" t="s">
        <v>1234</v>
      </c>
      <c r="D532">
        <v>53</v>
      </c>
      <c r="E532" t="s">
        <v>807</v>
      </c>
      <c r="F532" s="2">
        <v>0.68611111111111112</v>
      </c>
    </row>
    <row r="533" spans="1:6" x14ac:dyDescent="0.3">
      <c r="A533" t="s">
        <v>1214</v>
      </c>
      <c r="B533" s="1">
        <v>45225</v>
      </c>
      <c r="C533" t="s">
        <v>1235</v>
      </c>
      <c r="D533">
        <v>15</v>
      </c>
      <c r="E533" t="s">
        <v>812</v>
      </c>
      <c r="F533" s="2">
        <v>6.1805555555555558E-2</v>
      </c>
    </row>
    <row r="534" spans="1:6" x14ac:dyDescent="0.3">
      <c r="A534" t="s">
        <v>1214</v>
      </c>
      <c r="B534" s="1">
        <v>45204</v>
      </c>
      <c r="C534" t="s">
        <v>1236</v>
      </c>
      <c r="D534">
        <v>92</v>
      </c>
      <c r="E534" t="s">
        <v>807</v>
      </c>
      <c r="F534" s="2">
        <v>0.68472222222222223</v>
      </c>
    </row>
    <row r="535" spans="1:6" x14ac:dyDescent="0.3">
      <c r="A535" t="s">
        <v>1214</v>
      </c>
      <c r="B535" s="1">
        <v>45214</v>
      </c>
      <c r="C535" t="s">
        <v>1237</v>
      </c>
      <c r="D535">
        <v>89</v>
      </c>
      <c r="E535" t="s">
        <v>810</v>
      </c>
      <c r="F535" s="2">
        <v>0.75208333333333333</v>
      </c>
    </row>
    <row r="536" spans="1:6" x14ac:dyDescent="0.3">
      <c r="A536" t="s">
        <v>1214</v>
      </c>
      <c r="B536" s="1">
        <v>45225</v>
      </c>
      <c r="C536" t="s">
        <v>1238</v>
      </c>
      <c r="D536">
        <v>74</v>
      </c>
      <c r="E536" t="s">
        <v>807</v>
      </c>
      <c r="F536" s="2">
        <v>0.40694444444444444</v>
      </c>
    </row>
    <row r="537" spans="1:6" x14ac:dyDescent="0.3">
      <c r="A537" t="s">
        <v>1214</v>
      </c>
      <c r="B537" s="1">
        <v>45200</v>
      </c>
      <c r="C537" t="s">
        <v>1239</v>
      </c>
      <c r="D537">
        <v>22</v>
      </c>
      <c r="E537" t="s">
        <v>812</v>
      </c>
      <c r="F537" s="2">
        <v>0.51111111111111107</v>
      </c>
    </row>
    <row r="538" spans="1:6" x14ac:dyDescent="0.3">
      <c r="A538" t="s">
        <v>1240</v>
      </c>
      <c r="B538" s="1">
        <v>45221</v>
      </c>
      <c r="C538" t="s">
        <v>1241</v>
      </c>
      <c r="D538">
        <v>87</v>
      </c>
      <c r="E538" t="s">
        <v>810</v>
      </c>
      <c r="F538" s="2">
        <v>0.56597222222222221</v>
      </c>
    </row>
    <row r="539" spans="1:6" x14ac:dyDescent="0.3">
      <c r="A539" t="s">
        <v>1240</v>
      </c>
      <c r="B539" s="1">
        <v>45215</v>
      </c>
      <c r="C539" t="s">
        <v>1226</v>
      </c>
      <c r="D539">
        <v>99</v>
      </c>
      <c r="E539" t="s">
        <v>810</v>
      </c>
      <c r="F539" s="2">
        <v>5.6944444444444443E-2</v>
      </c>
    </row>
    <row r="540" spans="1:6" x14ac:dyDescent="0.3">
      <c r="A540" t="s">
        <v>1240</v>
      </c>
      <c r="B540" s="1">
        <v>45230</v>
      </c>
      <c r="C540" t="s">
        <v>876</v>
      </c>
      <c r="D540">
        <v>67</v>
      </c>
      <c r="E540" t="s">
        <v>807</v>
      </c>
      <c r="F540" s="2">
        <v>0.86250000000000004</v>
      </c>
    </row>
    <row r="541" spans="1:6" x14ac:dyDescent="0.3">
      <c r="A541" t="s">
        <v>1240</v>
      </c>
      <c r="B541" s="1">
        <v>45212</v>
      </c>
      <c r="C541" t="s">
        <v>1242</v>
      </c>
      <c r="D541">
        <v>63</v>
      </c>
      <c r="E541" t="s">
        <v>807</v>
      </c>
      <c r="F541" s="2">
        <v>0.68055555555555558</v>
      </c>
    </row>
    <row r="542" spans="1:6" x14ac:dyDescent="0.3">
      <c r="A542" t="s">
        <v>1240</v>
      </c>
      <c r="B542" s="1">
        <v>45222</v>
      </c>
      <c r="C542" t="s">
        <v>1243</v>
      </c>
      <c r="D542">
        <v>26</v>
      </c>
      <c r="E542" t="s">
        <v>812</v>
      </c>
      <c r="F542" s="2">
        <v>0.55972222222222223</v>
      </c>
    </row>
    <row r="543" spans="1:6" x14ac:dyDescent="0.3">
      <c r="A543" t="s">
        <v>1240</v>
      </c>
      <c r="B543" s="1">
        <v>45204</v>
      </c>
      <c r="C543" t="s">
        <v>959</v>
      </c>
      <c r="D543">
        <v>98</v>
      </c>
      <c r="E543" t="s">
        <v>812</v>
      </c>
      <c r="F543" s="2">
        <v>0.39166666666666666</v>
      </c>
    </row>
    <row r="544" spans="1:6" x14ac:dyDescent="0.3">
      <c r="A544" t="s">
        <v>1240</v>
      </c>
      <c r="B544" s="1">
        <v>45205</v>
      </c>
      <c r="C544" t="s">
        <v>1244</v>
      </c>
      <c r="D544">
        <v>106</v>
      </c>
      <c r="E544" t="s">
        <v>812</v>
      </c>
      <c r="F544" s="2">
        <v>0.72916666666666663</v>
      </c>
    </row>
    <row r="545" spans="1:6" x14ac:dyDescent="0.3">
      <c r="A545" t="s">
        <v>1240</v>
      </c>
      <c r="B545" s="1">
        <v>45207</v>
      </c>
      <c r="C545" t="s">
        <v>811</v>
      </c>
      <c r="D545">
        <v>50</v>
      </c>
      <c r="E545" t="s">
        <v>810</v>
      </c>
      <c r="F545" s="2">
        <v>0.30486111111111114</v>
      </c>
    </row>
    <row r="546" spans="1:6" x14ac:dyDescent="0.3">
      <c r="A546" t="s">
        <v>1240</v>
      </c>
      <c r="B546" s="1">
        <v>45227</v>
      </c>
      <c r="C546" t="s">
        <v>931</v>
      </c>
      <c r="D546">
        <v>26</v>
      </c>
      <c r="E546" t="s">
        <v>812</v>
      </c>
      <c r="F546" s="2">
        <v>0.92291666666666672</v>
      </c>
    </row>
    <row r="547" spans="1:6" x14ac:dyDescent="0.3">
      <c r="A547" t="s">
        <v>1240</v>
      </c>
      <c r="B547" s="1">
        <v>45225</v>
      </c>
      <c r="C547" t="s">
        <v>1245</v>
      </c>
      <c r="D547">
        <v>22</v>
      </c>
      <c r="E547" t="s">
        <v>807</v>
      </c>
      <c r="F547" s="2">
        <v>0.62361111111111112</v>
      </c>
    </row>
    <row r="548" spans="1:6" x14ac:dyDescent="0.3">
      <c r="A548" t="s">
        <v>1240</v>
      </c>
      <c r="B548" s="1">
        <v>45201</v>
      </c>
      <c r="C548" t="s">
        <v>1246</v>
      </c>
      <c r="D548">
        <v>97</v>
      </c>
      <c r="E548" t="s">
        <v>810</v>
      </c>
      <c r="F548" s="2">
        <v>0.72638888888888886</v>
      </c>
    </row>
    <row r="549" spans="1:6" x14ac:dyDescent="0.3">
      <c r="A549" t="s">
        <v>1240</v>
      </c>
      <c r="B549" s="1">
        <v>45230</v>
      </c>
      <c r="C549" t="s">
        <v>959</v>
      </c>
      <c r="D549">
        <v>74</v>
      </c>
      <c r="E549" t="s">
        <v>807</v>
      </c>
      <c r="F549" s="2">
        <v>0.56597222222222221</v>
      </c>
    </row>
    <row r="550" spans="1:6" x14ac:dyDescent="0.3">
      <c r="A550" t="s">
        <v>1240</v>
      </c>
      <c r="B550" s="1">
        <v>45216</v>
      </c>
      <c r="C550" t="s">
        <v>1112</v>
      </c>
      <c r="D550">
        <v>67</v>
      </c>
      <c r="E550" t="s">
        <v>810</v>
      </c>
      <c r="F550" s="2">
        <v>0.18333333333333332</v>
      </c>
    </row>
    <row r="551" spans="1:6" x14ac:dyDescent="0.3">
      <c r="A551" t="s">
        <v>1240</v>
      </c>
      <c r="B551" s="1">
        <v>45207</v>
      </c>
      <c r="C551" t="s">
        <v>1247</v>
      </c>
      <c r="D551">
        <v>28</v>
      </c>
      <c r="E551" t="s">
        <v>807</v>
      </c>
      <c r="F551" s="2">
        <v>0.34236111111111112</v>
      </c>
    </row>
    <row r="552" spans="1:6" x14ac:dyDescent="0.3">
      <c r="A552" t="s">
        <v>1240</v>
      </c>
      <c r="B552" s="1">
        <v>45210</v>
      </c>
      <c r="C552" t="s">
        <v>1248</v>
      </c>
      <c r="D552">
        <v>118</v>
      </c>
      <c r="E552" t="s">
        <v>807</v>
      </c>
      <c r="F552" s="2">
        <v>0.83680555555555558</v>
      </c>
    </row>
    <row r="553" spans="1:6" x14ac:dyDescent="0.3">
      <c r="A553" t="s">
        <v>1240</v>
      </c>
      <c r="B553" s="1">
        <v>45229</v>
      </c>
      <c r="C553" t="s">
        <v>1249</v>
      </c>
      <c r="D553">
        <v>74</v>
      </c>
      <c r="E553" t="s">
        <v>812</v>
      </c>
      <c r="F553" s="2">
        <v>0.62083333333333335</v>
      </c>
    </row>
    <row r="554" spans="1:6" x14ac:dyDescent="0.3">
      <c r="A554" t="s">
        <v>1240</v>
      </c>
      <c r="B554" s="1">
        <v>45211</v>
      </c>
      <c r="C554" t="s">
        <v>894</v>
      </c>
      <c r="D554">
        <v>87</v>
      </c>
      <c r="E554" t="s">
        <v>812</v>
      </c>
      <c r="F554" s="2">
        <v>0.10694444444444444</v>
      </c>
    </row>
    <row r="555" spans="1:6" x14ac:dyDescent="0.3">
      <c r="A555" t="s">
        <v>1240</v>
      </c>
      <c r="B555" s="1">
        <v>45223</v>
      </c>
      <c r="C555" t="s">
        <v>1052</v>
      </c>
      <c r="D555">
        <v>12</v>
      </c>
      <c r="E555" t="s">
        <v>810</v>
      </c>
      <c r="F555" s="2">
        <v>0.25208333333333333</v>
      </c>
    </row>
    <row r="556" spans="1:6" x14ac:dyDescent="0.3">
      <c r="A556" t="s">
        <v>1240</v>
      </c>
      <c r="B556" s="1">
        <v>45208</v>
      </c>
      <c r="C556" t="s">
        <v>1250</v>
      </c>
      <c r="D556">
        <v>72</v>
      </c>
      <c r="E556" t="s">
        <v>812</v>
      </c>
      <c r="F556" s="2">
        <v>0.52986111111111112</v>
      </c>
    </row>
    <row r="557" spans="1:6" x14ac:dyDescent="0.3">
      <c r="A557" t="s">
        <v>1240</v>
      </c>
      <c r="B557" s="1">
        <v>45219</v>
      </c>
      <c r="C557" t="s">
        <v>1032</v>
      </c>
      <c r="D557">
        <v>9</v>
      </c>
      <c r="E557" t="s">
        <v>810</v>
      </c>
      <c r="F557" s="2">
        <v>0.79305555555555551</v>
      </c>
    </row>
    <row r="558" spans="1:6" x14ac:dyDescent="0.3">
      <c r="A558" t="s">
        <v>1240</v>
      </c>
      <c r="B558" s="1">
        <v>45227</v>
      </c>
      <c r="C558" t="s">
        <v>1251</v>
      </c>
      <c r="D558">
        <v>112</v>
      </c>
      <c r="E558" t="s">
        <v>807</v>
      </c>
      <c r="F558" s="2">
        <v>9.166666666666666E-2</v>
      </c>
    </row>
    <row r="559" spans="1:6" x14ac:dyDescent="0.3">
      <c r="A559" t="s">
        <v>1240</v>
      </c>
      <c r="B559" s="1">
        <v>45225</v>
      </c>
      <c r="C559" t="s">
        <v>1252</v>
      </c>
      <c r="D559">
        <v>113</v>
      </c>
      <c r="E559" t="s">
        <v>810</v>
      </c>
      <c r="F559" s="2">
        <v>0.78194444444444444</v>
      </c>
    </row>
    <row r="560" spans="1:6" x14ac:dyDescent="0.3">
      <c r="A560" t="s">
        <v>1240</v>
      </c>
      <c r="B560" s="1">
        <v>45221</v>
      </c>
      <c r="C560" t="s">
        <v>837</v>
      </c>
      <c r="D560">
        <v>14</v>
      </c>
      <c r="E560" t="s">
        <v>807</v>
      </c>
      <c r="F560" s="2">
        <v>0.71736111111111112</v>
      </c>
    </row>
    <row r="561" spans="1:6" x14ac:dyDescent="0.3">
      <c r="A561" t="s">
        <v>1240</v>
      </c>
      <c r="B561" s="1">
        <v>45215</v>
      </c>
      <c r="C561" t="s">
        <v>1253</v>
      </c>
      <c r="D561">
        <v>109</v>
      </c>
      <c r="E561" t="s">
        <v>807</v>
      </c>
      <c r="F561" s="2">
        <v>0.28819444444444442</v>
      </c>
    </row>
    <row r="562" spans="1:6" x14ac:dyDescent="0.3">
      <c r="A562" t="s">
        <v>1240</v>
      </c>
      <c r="B562" s="1">
        <v>45229</v>
      </c>
      <c r="C562" t="s">
        <v>1090</v>
      </c>
      <c r="D562">
        <v>90</v>
      </c>
      <c r="E562" t="s">
        <v>807</v>
      </c>
      <c r="F562" s="2">
        <v>0.42986111111111114</v>
      </c>
    </row>
    <row r="563" spans="1:6" x14ac:dyDescent="0.3">
      <c r="A563" t="s">
        <v>1240</v>
      </c>
      <c r="B563" s="1">
        <v>45229</v>
      </c>
      <c r="C563" t="s">
        <v>851</v>
      </c>
      <c r="D563">
        <v>102</v>
      </c>
      <c r="E563" t="s">
        <v>810</v>
      </c>
      <c r="F563" s="2">
        <v>0.28263888888888888</v>
      </c>
    </row>
    <row r="564" spans="1:6" x14ac:dyDescent="0.3">
      <c r="A564" t="s">
        <v>1240</v>
      </c>
      <c r="B564" s="1">
        <v>45203</v>
      </c>
      <c r="C564" t="s">
        <v>1254</v>
      </c>
      <c r="D564">
        <v>5</v>
      </c>
      <c r="E564" t="s">
        <v>812</v>
      </c>
      <c r="F564" s="2">
        <v>0.9916666666666667</v>
      </c>
    </row>
    <row r="565" spans="1:6" x14ac:dyDescent="0.3">
      <c r="A565" t="s">
        <v>1240</v>
      </c>
      <c r="B565" s="1">
        <v>45215</v>
      </c>
      <c r="C565" t="s">
        <v>1255</v>
      </c>
      <c r="D565">
        <v>57</v>
      </c>
      <c r="E565" t="s">
        <v>812</v>
      </c>
      <c r="F565" s="2">
        <v>0.32222222222222224</v>
      </c>
    </row>
    <row r="566" spans="1:6" x14ac:dyDescent="0.3">
      <c r="A566" t="s">
        <v>1240</v>
      </c>
      <c r="B566" s="1">
        <v>45219</v>
      </c>
      <c r="C566" t="s">
        <v>1256</v>
      </c>
      <c r="D566">
        <v>22</v>
      </c>
      <c r="E566" t="s">
        <v>807</v>
      </c>
      <c r="F566" s="2">
        <v>0.92569444444444449</v>
      </c>
    </row>
    <row r="567" spans="1:6" x14ac:dyDescent="0.3">
      <c r="A567" t="s">
        <v>1240</v>
      </c>
      <c r="B567" s="1">
        <v>45212</v>
      </c>
      <c r="C567" t="s">
        <v>978</v>
      </c>
      <c r="D567">
        <v>112</v>
      </c>
      <c r="E567" t="s">
        <v>807</v>
      </c>
      <c r="F567" s="2">
        <v>0.31597222222222221</v>
      </c>
    </row>
    <row r="568" spans="1:6" x14ac:dyDescent="0.3">
      <c r="A568" t="s">
        <v>1240</v>
      </c>
      <c r="B568" s="1">
        <v>45210</v>
      </c>
      <c r="C568" t="s">
        <v>907</v>
      </c>
      <c r="D568">
        <v>85</v>
      </c>
      <c r="E568" t="s">
        <v>810</v>
      </c>
      <c r="F568" s="2">
        <v>0.39166666666666666</v>
      </c>
    </row>
    <row r="569" spans="1:6" x14ac:dyDescent="0.3">
      <c r="A569" t="s">
        <v>1240</v>
      </c>
      <c r="B569" s="1">
        <v>45214</v>
      </c>
      <c r="C569" t="s">
        <v>1257</v>
      </c>
      <c r="D569">
        <v>34</v>
      </c>
      <c r="E569" t="s">
        <v>812</v>
      </c>
      <c r="F569" s="2">
        <v>0.7368055555555556</v>
      </c>
    </row>
    <row r="570" spans="1:6" x14ac:dyDescent="0.3">
      <c r="A570" t="s">
        <v>1240</v>
      </c>
      <c r="B570" s="1">
        <v>45211</v>
      </c>
      <c r="C570" t="s">
        <v>1001</v>
      </c>
      <c r="D570">
        <v>13</v>
      </c>
      <c r="E570" t="s">
        <v>810</v>
      </c>
      <c r="F570" s="2">
        <v>0.38611111111111113</v>
      </c>
    </row>
    <row r="571" spans="1:6" x14ac:dyDescent="0.3">
      <c r="A571" t="s">
        <v>1240</v>
      </c>
      <c r="B571" s="1">
        <v>45211</v>
      </c>
      <c r="C571" t="s">
        <v>1258</v>
      </c>
      <c r="D571">
        <v>95</v>
      </c>
      <c r="E571" t="s">
        <v>810</v>
      </c>
      <c r="F571" s="2">
        <v>0.7055555555555556</v>
      </c>
    </row>
    <row r="572" spans="1:6" x14ac:dyDescent="0.3">
      <c r="A572" t="s">
        <v>1240</v>
      </c>
      <c r="B572" s="1">
        <v>45215</v>
      </c>
      <c r="C572" t="s">
        <v>1259</v>
      </c>
      <c r="D572">
        <v>24</v>
      </c>
      <c r="E572" t="s">
        <v>810</v>
      </c>
      <c r="F572" s="2">
        <v>0.58750000000000002</v>
      </c>
    </row>
    <row r="573" spans="1:6" x14ac:dyDescent="0.3">
      <c r="A573" t="s">
        <v>1240</v>
      </c>
      <c r="B573" s="1">
        <v>45225</v>
      </c>
      <c r="C573" t="s">
        <v>1091</v>
      </c>
      <c r="D573">
        <v>6</v>
      </c>
      <c r="E573" t="s">
        <v>807</v>
      </c>
      <c r="F573" s="2">
        <v>0.97916666666666663</v>
      </c>
    </row>
    <row r="574" spans="1:6" x14ac:dyDescent="0.3">
      <c r="A574" t="s">
        <v>1240</v>
      </c>
      <c r="B574" s="1">
        <v>45224</v>
      </c>
      <c r="C574" t="s">
        <v>831</v>
      </c>
      <c r="D574">
        <v>32</v>
      </c>
      <c r="E574" t="s">
        <v>807</v>
      </c>
      <c r="F574" s="2">
        <v>0.45694444444444443</v>
      </c>
    </row>
    <row r="575" spans="1:6" x14ac:dyDescent="0.3">
      <c r="A575" t="s">
        <v>1240</v>
      </c>
      <c r="B575" s="1">
        <v>45206</v>
      </c>
      <c r="C575" t="s">
        <v>1260</v>
      </c>
      <c r="D575">
        <v>69</v>
      </c>
      <c r="E575" t="s">
        <v>812</v>
      </c>
      <c r="F575" s="2">
        <v>0.47222222222222221</v>
      </c>
    </row>
    <row r="576" spans="1:6" x14ac:dyDescent="0.3">
      <c r="A576" t="s">
        <v>1240</v>
      </c>
      <c r="B576" s="1">
        <v>45213</v>
      </c>
      <c r="C576" t="s">
        <v>1146</v>
      </c>
      <c r="D576">
        <v>63</v>
      </c>
      <c r="E576" t="s">
        <v>807</v>
      </c>
      <c r="F576" s="2">
        <v>6.6666666666666666E-2</v>
      </c>
    </row>
    <row r="577" spans="1:6" x14ac:dyDescent="0.3">
      <c r="A577" t="s">
        <v>1240</v>
      </c>
      <c r="B577" s="1">
        <v>45227</v>
      </c>
      <c r="C577" t="s">
        <v>1261</v>
      </c>
      <c r="D577">
        <v>52</v>
      </c>
      <c r="E577" t="s">
        <v>807</v>
      </c>
      <c r="F577" s="2">
        <v>0.32430555555555557</v>
      </c>
    </row>
    <row r="578" spans="1:6" x14ac:dyDescent="0.3">
      <c r="A578" t="s">
        <v>1240</v>
      </c>
      <c r="B578" s="1">
        <v>45217</v>
      </c>
      <c r="C578" t="s">
        <v>965</v>
      </c>
      <c r="D578">
        <v>84</v>
      </c>
      <c r="E578" t="s">
        <v>807</v>
      </c>
      <c r="F578" s="2">
        <v>0.77569444444444446</v>
      </c>
    </row>
    <row r="579" spans="1:6" x14ac:dyDescent="0.3">
      <c r="A579" t="s">
        <v>1240</v>
      </c>
      <c r="B579" s="1">
        <v>45223</v>
      </c>
      <c r="C579" t="s">
        <v>1263</v>
      </c>
      <c r="D579">
        <v>86</v>
      </c>
      <c r="E579" t="s">
        <v>810</v>
      </c>
      <c r="F579" s="2">
        <v>0.5541666666666667</v>
      </c>
    </row>
    <row r="580" spans="1:6" x14ac:dyDescent="0.3">
      <c r="A580" t="s">
        <v>1240</v>
      </c>
      <c r="B580" s="1">
        <v>45204</v>
      </c>
      <c r="C580" t="s">
        <v>1193</v>
      </c>
      <c r="D580">
        <v>90</v>
      </c>
      <c r="E580" t="s">
        <v>812</v>
      </c>
      <c r="F580" s="2">
        <v>0.26458333333333334</v>
      </c>
    </row>
    <row r="581" spans="1:6" x14ac:dyDescent="0.3">
      <c r="A581" t="s">
        <v>1240</v>
      </c>
      <c r="B581" s="1">
        <v>45207</v>
      </c>
      <c r="C581" t="s">
        <v>1264</v>
      </c>
      <c r="D581">
        <v>83</v>
      </c>
      <c r="E581" t="s">
        <v>807</v>
      </c>
      <c r="F581" s="2">
        <v>0.52500000000000002</v>
      </c>
    </row>
    <row r="582" spans="1:6" x14ac:dyDescent="0.3">
      <c r="A582" t="s">
        <v>1240</v>
      </c>
      <c r="B582" s="1">
        <v>45226</v>
      </c>
      <c r="C582" t="s">
        <v>1265</v>
      </c>
      <c r="D582">
        <v>66</v>
      </c>
      <c r="E582" t="s">
        <v>812</v>
      </c>
      <c r="F582" s="2">
        <v>0.31319444444444444</v>
      </c>
    </row>
    <row r="583" spans="1:6" x14ac:dyDescent="0.3">
      <c r="A583" t="s">
        <v>1240</v>
      </c>
      <c r="B583" s="1">
        <v>45217</v>
      </c>
      <c r="C583" t="s">
        <v>1266</v>
      </c>
      <c r="D583">
        <v>89</v>
      </c>
      <c r="E583" t="s">
        <v>807</v>
      </c>
      <c r="F583" s="2">
        <v>0.86319444444444449</v>
      </c>
    </row>
    <row r="584" spans="1:6" x14ac:dyDescent="0.3">
      <c r="A584" t="s">
        <v>1240</v>
      </c>
      <c r="B584" s="1">
        <v>45210</v>
      </c>
      <c r="C584" t="s">
        <v>1267</v>
      </c>
      <c r="D584">
        <v>67</v>
      </c>
      <c r="E584" t="s">
        <v>810</v>
      </c>
      <c r="F584" s="2">
        <v>0.36666666666666664</v>
      </c>
    </row>
    <row r="585" spans="1:6" x14ac:dyDescent="0.3">
      <c r="A585" t="s">
        <v>1240</v>
      </c>
      <c r="B585" s="1">
        <v>45226</v>
      </c>
      <c r="C585" t="s">
        <v>1059</v>
      </c>
      <c r="D585">
        <v>7</v>
      </c>
      <c r="E585" t="s">
        <v>807</v>
      </c>
      <c r="F585" s="2">
        <v>0.65694444444444444</v>
      </c>
    </row>
    <row r="586" spans="1:6" x14ac:dyDescent="0.3">
      <c r="A586" t="s">
        <v>1268</v>
      </c>
      <c r="B586" s="1">
        <v>45224</v>
      </c>
      <c r="C586" t="s">
        <v>1269</v>
      </c>
      <c r="D586">
        <v>83</v>
      </c>
      <c r="E586" t="s">
        <v>810</v>
      </c>
      <c r="F586" s="2">
        <v>0.96388888888888891</v>
      </c>
    </row>
    <row r="587" spans="1:6" x14ac:dyDescent="0.3">
      <c r="A587" t="s">
        <v>1268</v>
      </c>
      <c r="B587" s="1">
        <v>45225</v>
      </c>
      <c r="C587" t="s">
        <v>1270</v>
      </c>
      <c r="D587">
        <v>30</v>
      </c>
      <c r="E587" t="s">
        <v>807</v>
      </c>
      <c r="F587" s="2">
        <v>0.94861111111111107</v>
      </c>
    </row>
    <row r="588" spans="1:6" x14ac:dyDescent="0.3">
      <c r="A588" t="s">
        <v>1268</v>
      </c>
      <c r="B588" s="1">
        <v>45202</v>
      </c>
      <c r="C588" t="s">
        <v>1271</v>
      </c>
      <c r="D588">
        <v>63</v>
      </c>
      <c r="E588" t="s">
        <v>810</v>
      </c>
      <c r="F588" s="2">
        <v>0.69930555555555551</v>
      </c>
    </row>
    <row r="589" spans="1:6" x14ac:dyDescent="0.3">
      <c r="A589" t="s">
        <v>1268</v>
      </c>
      <c r="B589" s="1">
        <v>45211</v>
      </c>
      <c r="C589" t="s">
        <v>1115</v>
      </c>
      <c r="D589">
        <v>18</v>
      </c>
      <c r="E589" t="s">
        <v>812</v>
      </c>
      <c r="F589" s="2">
        <v>4.583333333333333E-2</v>
      </c>
    </row>
    <row r="590" spans="1:6" x14ac:dyDescent="0.3">
      <c r="A590" t="s">
        <v>1268</v>
      </c>
      <c r="B590" s="1">
        <v>45213</v>
      </c>
      <c r="C590" t="s">
        <v>1272</v>
      </c>
      <c r="D590">
        <v>22</v>
      </c>
      <c r="E590" t="s">
        <v>812</v>
      </c>
      <c r="F590" s="2">
        <v>0.32847222222222222</v>
      </c>
    </row>
    <row r="591" spans="1:6" x14ac:dyDescent="0.3">
      <c r="A591" t="s">
        <v>1268</v>
      </c>
      <c r="B591" s="1">
        <v>45202</v>
      </c>
      <c r="C591" t="s">
        <v>1185</v>
      </c>
      <c r="D591">
        <v>43</v>
      </c>
      <c r="E591" t="s">
        <v>807</v>
      </c>
      <c r="F591" s="2">
        <v>0.44305555555555554</v>
      </c>
    </row>
    <row r="592" spans="1:6" x14ac:dyDescent="0.3">
      <c r="A592" t="s">
        <v>1268</v>
      </c>
      <c r="B592" s="1">
        <v>45224</v>
      </c>
      <c r="C592" t="s">
        <v>1029</v>
      </c>
      <c r="D592">
        <v>5</v>
      </c>
      <c r="E592" t="s">
        <v>812</v>
      </c>
      <c r="F592" s="2">
        <v>0.81805555555555554</v>
      </c>
    </row>
    <row r="593" spans="1:6" x14ac:dyDescent="0.3">
      <c r="A593" t="s">
        <v>1268</v>
      </c>
      <c r="B593" s="1">
        <v>45212</v>
      </c>
      <c r="C593" t="s">
        <v>1273</v>
      </c>
      <c r="D593">
        <v>55</v>
      </c>
      <c r="E593" t="s">
        <v>810</v>
      </c>
      <c r="F593" s="2">
        <v>0.41736111111111113</v>
      </c>
    </row>
    <row r="594" spans="1:6" x14ac:dyDescent="0.3">
      <c r="A594" t="s">
        <v>1268</v>
      </c>
      <c r="B594" s="1">
        <v>45220</v>
      </c>
      <c r="C594" t="s">
        <v>1274</v>
      </c>
      <c r="D594">
        <v>47</v>
      </c>
      <c r="E594" t="s">
        <v>812</v>
      </c>
      <c r="F594" s="2">
        <v>0.36805555555555558</v>
      </c>
    </row>
    <row r="595" spans="1:6" x14ac:dyDescent="0.3">
      <c r="A595" t="s">
        <v>1268</v>
      </c>
      <c r="B595" s="1">
        <v>45214</v>
      </c>
      <c r="C595" t="s">
        <v>1275</v>
      </c>
      <c r="D595">
        <v>112</v>
      </c>
      <c r="E595" t="s">
        <v>810</v>
      </c>
      <c r="F595" s="2">
        <v>0.63472222222222219</v>
      </c>
    </row>
    <row r="596" spans="1:6" x14ac:dyDescent="0.3">
      <c r="A596" t="s">
        <v>1268</v>
      </c>
      <c r="B596" s="1">
        <v>45211</v>
      </c>
      <c r="C596" t="s">
        <v>1116</v>
      </c>
      <c r="D596">
        <v>84</v>
      </c>
      <c r="E596" t="s">
        <v>812</v>
      </c>
      <c r="F596" s="2">
        <v>0.72499999999999998</v>
      </c>
    </row>
    <row r="597" spans="1:6" x14ac:dyDescent="0.3">
      <c r="A597" t="s">
        <v>1268</v>
      </c>
      <c r="B597" s="1">
        <v>45213</v>
      </c>
      <c r="C597" t="s">
        <v>1276</v>
      </c>
      <c r="D597">
        <v>53</v>
      </c>
      <c r="E597" t="s">
        <v>810</v>
      </c>
      <c r="F597" s="2">
        <v>0.23819444444444443</v>
      </c>
    </row>
    <row r="598" spans="1:6" x14ac:dyDescent="0.3">
      <c r="A598" t="s">
        <v>1268</v>
      </c>
      <c r="B598" s="1">
        <v>45218</v>
      </c>
      <c r="C598" t="s">
        <v>887</v>
      </c>
      <c r="D598">
        <v>107</v>
      </c>
      <c r="E598" t="s">
        <v>810</v>
      </c>
      <c r="F598" s="2">
        <v>0.89166666666666672</v>
      </c>
    </row>
    <row r="599" spans="1:6" x14ac:dyDescent="0.3">
      <c r="A599" t="s">
        <v>1268</v>
      </c>
      <c r="B599" s="1">
        <v>45202</v>
      </c>
      <c r="C599" t="s">
        <v>1277</v>
      </c>
      <c r="D599">
        <v>115</v>
      </c>
      <c r="E599" t="s">
        <v>810</v>
      </c>
      <c r="F599" s="2">
        <v>0.8041666666666667</v>
      </c>
    </row>
    <row r="600" spans="1:6" x14ac:dyDescent="0.3">
      <c r="A600" t="s">
        <v>1268</v>
      </c>
      <c r="B600" s="1">
        <v>45225</v>
      </c>
      <c r="C600" t="s">
        <v>1278</v>
      </c>
      <c r="D600">
        <v>47</v>
      </c>
      <c r="E600" t="s">
        <v>812</v>
      </c>
      <c r="F600" s="2">
        <v>0.32291666666666669</v>
      </c>
    </row>
    <row r="601" spans="1:6" x14ac:dyDescent="0.3">
      <c r="A601" t="s">
        <v>1268</v>
      </c>
      <c r="B601" s="1">
        <v>45202</v>
      </c>
      <c r="C601" t="s">
        <v>1279</v>
      </c>
      <c r="D601">
        <v>61</v>
      </c>
      <c r="E601" t="s">
        <v>810</v>
      </c>
      <c r="F601" s="2">
        <v>9.5138888888888884E-2</v>
      </c>
    </row>
    <row r="602" spans="1:6" x14ac:dyDescent="0.3">
      <c r="A602" t="s">
        <v>1268</v>
      </c>
      <c r="B602" s="1">
        <v>45204</v>
      </c>
      <c r="C602" t="s">
        <v>975</v>
      </c>
      <c r="D602">
        <v>47</v>
      </c>
      <c r="E602" t="s">
        <v>807</v>
      </c>
      <c r="F602" s="2">
        <v>0.53125</v>
      </c>
    </row>
    <row r="603" spans="1:6" x14ac:dyDescent="0.3">
      <c r="A603" t="s">
        <v>1268</v>
      </c>
      <c r="B603" s="1">
        <v>45225</v>
      </c>
      <c r="C603" t="s">
        <v>1280</v>
      </c>
      <c r="D603">
        <v>60</v>
      </c>
      <c r="E603" t="s">
        <v>812</v>
      </c>
      <c r="F603" s="2">
        <v>0.83958333333333335</v>
      </c>
    </row>
    <row r="604" spans="1:6" x14ac:dyDescent="0.3">
      <c r="A604" t="s">
        <v>1268</v>
      </c>
      <c r="B604" s="1">
        <v>45223</v>
      </c>
      <c r="C604" t="s">
        <v>1152</v>
      </c>
      <c r="D604">
        <v>109</v>
      </c>
      <c r="E604" t="s">
        <v>810</v>
      </c>
      <c r="F604" s="2">
        <v>0.51388888888888884</v>
      </c>
    </row>
    <row r="605" spans="1:6" x14ac:dyDescent="0.3">
      <c r="A605" t="s">
        <v>1268</v>
      </c>
      <c r="B605" s="1">
        <v>45211</v>
      </c>
      <c r="C605" t="s">
        <v>1281</v>
      </c>
      <c r="D605">
        <v>110</v>
      </c>
      <c r="E605" t="s">
        <v>810</v>
      </c>
      <c r="F605" s="2">
        <v>0.12847222222222221</v>
      </c>
    </row>
    <row r="606" spans="1:6" x14ac:dyDescent="0.3">
      <c r="A606" t="s">
        <v>1268</v>
      </c>
      <c r="B606" s="1">
        <v>45200</v>
      </c>
      <c r="C606" t="s">
        <v>1108</v>
      </c>
      <c r="D606">
        <v>115</v>
      </c>
      <c r="E606" t="s">
        <v>810</v>
      </c>
      <c r="F606" s="2">
        <v>0.39444444444444443</v>
      </c>
    </row>
    <row r="607" spans="1:6" x14ac:dyDescent="0.3">
      <c r="A607" t="s">
        <v>1268</v>
      </c>
      <c r="B607" s="1">
        <v>45211</v>
      </c>
      <c r="C607" t="s">
        <v>1282</v>
      </c>
      <c r="D607">
        <v>88</v>
      </c>
      <c r="E607" t="s">
        <v>810</v>
      </c>
      <c r="F607" s="2">
        <v>0.33750000000000002</v>
      </c>
    </row>
    <row r="608" spans="1:6" x14ac:dyDescent="0.3">
      <c r="A608" t="s">
        <v>1268</v>
      </c>
      <c r="B608" s="1">
        <v>45204</v>
      </c>
      <c r="C608" t="s">
        <v>1283</v>
      </c>
      <c r="D608">
        <v>81</v>
      </c>
      <c r="E608" t="s">
        <v>807</v>
      </c>
      <c r="F608" s="2">
        <v>9.0972222222222218E-2</v>
      </c>
    </row>
    <row r="609" spans="1:6" x14ac:dyDescent="0.3">
      <c r="A609" t="s">
        <v>1268</v>
      </c>
      <c r="B609" s="1">
        <v>45213</v>
      </c>
      <c r="C609" t="s">
        <v>1284</v>
      </c>
      <c r="D609">
        <v>22</v>
      </c>
      <c r="E609" t="s">
        <v>807</v>
      </c>
      <c r="F609" s="2">
        <v>0.60763888888888884</v>
      </c>
    </row>
    <row r="610" spans="1:6" x14ac:dyDescent="0.3">
      <c r="A610" t="s">
        <v>1268</v>
      </c>
      <c r="B610" s="1">
        <v>45217</v>
      </c>
      <c r="C610" t="s">
        <v>1006</v>
      </c>
      <c r="D610">
        <v>43</v>
      </c>
      <c r="E610" t="s">
        <v>807</v>
      </c>
      <c r="F610" s="2">
        <v>0.68472222222222223</v>
      </c>
    </row>
    <row r="611" spans="1:6" x14ac:dyDescent="0.3">
      <c r="A611" t="s">
        <v>1268</v>
      </c>
      <c r="B611" s="1">
        <v>45211</v>
      </c>
      <c r="C611" t="s">
        <v>1285</v>
      </c>
      <c r="D611">
        <v>82</v>
      </c>
      <c r="E611" t="s">
        <v>810</v>
      </c>
      <c r="F611" s="2">
        <v>0.71180555555555558</v>
      </c>
    </row>
    <row r="612" spans="1:6" x14ac:dyDescent="0.3">
      <c r="A612" t="s">
        <v>1268</v>
      </c>
      <c r="B612" s="1">
        <v>45219</v>
      </c>
      <c r="C612" t="s">
        <v>847</v>
      </c>
      <c r="D612">
        <v>93</v>
      </c>
      <c r="E612" t="s">
        <v>812</v>
      </c>
      <c r="F612" s="2">
        <v>0.82638888888888884</v>
      </c>
    </row>
    <row r="613" spans="1:6" x14ac:dyDescent="0.3">
      <c r="A613" t="s">
        <v>1268</v>
      </c>
      <c r="B613" s="1">
        <v>45210</v>
      </c>
      <c r="C613" t="s">
        <v>1286</v>
      </c>
      <c r="D613">
        <v>30</v>
      </c>
      <c r="E613" t="s">
        <v>807</v>
      </c>
      <c r="F613" s="2">
        <v>0.5</v>
      </c>
    </row>
    <row r="614" spans="1:6" x14ac:dyDescent="0.3">
      <c r="A614" t="s">
        <v>1268</v>
      </c>
      <c r="B614" s="1">
        <v>45209</v>
      </c>
      <c r="C614" t="s">
        <v>1287</v>
      </c>
      <c r="D614">
        <v>66</v>
      </c>
      <c r="E614" t="s">
        <v>810</v>
      </c>
      <c r="F614" s="2">
        <v>0.55833333333333335</v>
      </c>
    </row>
    <row r="615" spans="1:6" x14ac:dyDescent="0.3">
      <c r="A615" t="s">
        <v>1268</v>
      </c>
      <c r="B615" s="1">
        <v>45224</v>
      </c>
      <c r="C615" t="s">
        <v>1288</v>
      </c>
      <c r="D615">
        <v>45</v>
      </c>
      <c r="E615" t="s">
        <v>810</v>
      </c>
      <c r="F615" s="2">
        <v>0.11527777777777778</v>
      </c>
    </row>
    <row r="616" spans="1:6" x14ac:dyDescent="0.3">
      <c r="A616" t="s">
        <v>1268</v>
      </c>
      <c r="B616" s="1">
        <v>45228</v>
      </c>
      <c r="C616" t="s">
        <v>1267</v>
      </c>
      <c r="D616">
        <v>27</v>
      </c>
      <c r="E616" t="s">
        <v>807</v>
      </c>
      <c r="F616" s="2">
        <v>0.74791666666666667</v>
      </c>
    </row>
    <row r="617" spans="1:6" x14ac:dyDescent="0.3">
      <c r="A617" t="s">
        <v>1268</v>
      </c>
      <c r="B617" s="1">
        <v>45207</v>
      </c>
      <c r="C617" t="s">
        <v>1258</v>
      </c>
      <c r="D617">
        <v>55</v>
      </c>
      <c r="E617" t="s">
        <v>810</v>
      </c>
      <c r="F617" s="2">
        <v>0.7729166666666667</v>
      </c>
    </row>
    <row r="618" spans="1:6" x14ac:dyDescent="0.3">
      <c r="A618" t="s">
        <v>1268</v>
      </c>
      <c r="B618" s="1">
        <v>45205</v>
      </c>
      <c r="C618" t="s">
        <v>1258</v>
      </c>
      <c r="D618">
        <v>45</v>
      </c>
      <c r="E618" t="s">
        <v>810</v>
      </c>
      <c r="F618" s="2">
        <v>0.89166666666666672</v>
      </c>
    </row>
    <row r="619" spans="1:6" x14ac:dyDescent="0.3">
      <c r="A619" t="s">
        <v>1268</v>
      </c>
      <c r="B619" s="1">
        <v>45205</v>
      </c>
      <c r="C619" t="s">
        <v>1289</v>
      </c>
      <c r="D619">
        <v>42</v>
      </c>
      <c r="E619" t="s">
        <v>810</v>
      </c>
      <c r="F619" s="2">
        <v>0.17847222222222223</v>
      </c>
    </row>
    <row r="620" spans="1:6" x14ac:dyDescent="0.3">
      <c r="A620" t="s">
        <v>1268</v>
      </c>
      <c r="B620" s="1">
        <v>45209</v>
      </c>
      <c r="C620" t="s">
        <v>1223</v>
      </c>
      <c r="D620">
        <v>99</v>
      </c>
      <c r="E620" t="s">
        <v>810</v>
      </c>
      <c r="F620" s="2">
        <v>0.35486111111111113</v>
      </c>
    </row>
    <row r="621" spans="1:6" x14ac:dyDescent="0.3">
      <c r="A621" t="s">
        <v>1268</v>
      </c>
      <c r="B621" s="1">
        <v>45204</v>
      </c>
      <c r="C621" t="s">
        <v>1290</v>
      </c>
      <c r="D621">
        <v>93</v>
      </c>
      <c r="E621" t="s">
        <v>812</v>
      </c>
      <c r="F621" s="2">
        <v>9.0277777777777776E-2</v>
      </c>
    </row>
    <row r="622" spans="1:6" x14ac:dyDescent="0.3">
      <c r="A622" t="s">
        <v>1268</v>
      </c>
      <c r="B622" s="1">
        <v>45213</v>
      </c>
      <c r="C622" t="s">
        <v>1291</v>
      </c>
      <c r="D622">
        <v>86</v>
      </c>
      <c r="E622" t="s">
        <v>812</v>
      </c>
      <c r="F622" s="2">
        <v>0.35138888888888886</v>
      </c>
    </row>
    <row r="623" spans="1:6" x14ac:dyDescent="0.3">
      <c r="A623" t="s">
        <v>1268</v>
      </c>
      <c r="B623" s="1">
        <v>45209</v>
      </c>
      <c r="C623" t="s">
        <v>1065</v>
      </c>
      <c r="D623">
        <v>67</v>
      </c>
      <c r="E623" t="s">
        <v>812</v>
      </c>
      <c r="F623" s="2">
        <v>0.65972222222222221</v>
      </c>
    </row>
    <row r="624" spans="1:6" x14ac:dyDescent="0.3">
      <c r="A624" t="s">
        <v>1268</v>
      </c>
      <c r="B624" s="1">
        <v>45202</v>
      </c>
      <c r="C624" t="s">
        <v>1292</v>
      </c>
      <c r="D624">
        <v>78</v>
      </c>
      <c r="E624" t="s">
        <v>807</v>
      </c>
      <c r="F624" s="2">
        <v>0.46944444444444444</v>
      </c>
    </row>
    <row r="625" spans="1:6" x14ac:dyDescent="0.3">
      <c r="A625" t="s">
        <v>1268</v>
      </c>
      <c r="B625" s="1">
        <v>45230</v>
      </c>
      <c r="C625" t="s">
        <v>948</v>
      </c>
      <c r="D625">
        <v>105</v>
      </c>
      <c r="E625" t="s">
        <v>807</v>
      </c>
      <c r="F625" s="2">
        <v>0.32361111111111113</v>
      </c>
    </row>
    <row r="626" spans="1:6" x14ac:dyDescent="0.3">
      <c r="A626" t="s">
        <v>1268</v>
      </c>
      <c r="B626" s="1">
        <v>45220</v>
      </c>
      <c r="C626" t="s">
        <v>978</v>
      </c>
      <c r="D626">
        <v>36</v>
      </c>
      <c r="E626" t="s">
        <v>807</v>
      </c>
      <c r="F626" s="2">
        <v>0.65138888888888891</v>
      </c>
    </row>
    <row r="627" spans="1:6" x14ac:dyDescent="0.3">
      <c r="A627" t="s">
        <v>1293</v>
      </c>
      <c r="B627" s="1">
        <v>45207</v>
      </c>
      <c r="C627" t="s">
        <v>931</v>
      </c>
      <c r="D627">
        <v>59</v>
      </c>
      <c r="E627" t="s">
        <v>807</v>
      </c>
      <c r="F627" s="2">
        <v>0.59930555555555554</v>
      </c>
    </row>
    <row r="628" spans="1:6" x14ac:dyDescent="0.3">
      <c r="A628" t="s">
        <v>1293</v>
      </c>
      <c r="B628" s="1">
        <v>45212</v>
      </c>
      <c r="C628" t="s">
        <v>1294</v>
      </c>
      <c r="D628">
        <v>28</v>
      </c>
      <c r="E628" t="s">
        <v>807</v>
      </c>
      <c r="F628" s="2">
        <v>0.61736111111111114</v>
      </c>
    </row>
    <row r="629" spans="1:6" x14ac:dyDescent="0.3">
      <c r="A629" t="s">
        <v>1293</v>
      </c>
      <c r="B629" s="1">
        <v>45221</v>
      </c>
      <c r="C629" t="s">
        <v>1219</v>
      </c>
      <c r="D629">
        <v>67</v>
      </c>
      <c r="E629" t="s">
        <v>807</v>
      </c>
      <c r="F629" s="2">
        <v>0.78055555555555556</v>
      </c>
    </row>
    <row r="630" spans="1:6" x14ac:dyDescent="0.3">
      <c r="A630" t="s">
        <v>1293</v>
      </c>
      <c r="B630" s="1">
        <v>45216</v>
      </c>
      <c r="C630" t="s">
        <v>1295</v>
      </c>
      <c r="D630">
        <v>86</v>
      </c>
      <c r="E630" t="s">
        <v>810</v>
      </c>
      <c r="F630" s="2">
        <v>0.18194444444444444</v>
      </c>
    </row>
    <row r="631" spans="1:6" x14ac:dyDescent="0.3">
      <c r="A631" t="s">
        <v>1293</v>
      </c>
      <c r="B631" s="1">
        <v>45200</v>
      </c>
      <c r="C631" t="s">
        <v>1095</v>
      </c>
      <c r="D631">
        <v>73</v>
      </c>
      <c r="E631" t="s">
        <v>810</v>
      </c>
      <c r="F631" s="2">
        <v>0.62916666666666665</v>
      </c>
    </row>
    <row r="632" spans="1:6" x14ac:dyDescent="0.3">
      <c r="A632" t="s">
        <v>1293</v>
      </c>
      <c r="B632" s="1">
        <v>45209</v>
      </c>
      <c r="C632" t="s">
        <v>1296</v>
      </c>
      <c r="D632">
        <v>93</v>
      </c>
      <c r="E632" t="s">
        <v>810</v>
      </c>
      <c r="F632" s="2">
        <v>0.58194444444444449</v>
      </c>
    </row>
    <row r="633" spans="1:6" x14ac:dyDescent="0.3">
      <c r="A633" t="s">
        <v>1293</v>
      </c>
      <c r="B633" s="1">
        <v>45230</v>
      </c>
      <c r="C633" t="s">
        <v>1187</v>
      </c>
      <c r="D633">
        <v>87</v>
      </c>
      <c r="E633" t="s">
        <v>812</v>
      </c>
      <c r="F633" s="2">
        <v>8.819444444444445E-2</v>
      </c>
    </row>
    <row r="634" spans="1:6" x14ac:dyDescent="0.3">
      <c r="A634" t="s">
        <v>1293</v>
      </c>
      <c r="B634" s="1">
        <v>45226</v>
      </c>
      <c r="C634" t="s">
        <v>1297</v>
      </c>
      <c r="D634">
        <v>27</v>
      </c>
      <c r="E634" t="s">
        <v>810</v>
      </c>
      <c r="F634" s="2">
        <v>0.96458333333333335</v>
      </c>
    </row>
    <row r="635" spans="1:6" x14ac:dyDescent="0.3">
      <c r="A635" t="s">
        <v>1293</v>
      </c>
      <c r="B635" s="1">
        <v>45211</v>
      </c>
      <c r="C635" t="s">
        <v>1298</v>
      </c>
      <c r="D635">
        <v>76</v>
      </c>
      <c r="E635" t="s">
        <v>810</v>
      </c>
      <c r="F635" s="2">
        <v>0.38958333333333334</v>
      </c>
    </row>
    <row r="636" spans="1:6" x14ac:dyDescent="0.3">
      <c r="A636" t="s">
        <v>1293</v>
      </c>
      <c r="B636" s="1">
        <v>45214</v>
      </c>
      <c r="C636" t="s">
        <v>981</v>
      </c>
      <c r="D636">
        <v>26</v>
      </c>
      <c r="E636" t="s">
        <v>810</v>
      </c>
      <c r="F636" s="2">
        <v>0.27291666666666664</v>
      </c>
    </row>
    <row r="637" spans="1:6" x14ac:dyDescent="0.3">
      <c r="A637" t="s">
        <v>1293</v>
      </c>
      <c r="B637" s="1">
        <v>45215</v>
      </c>
      <c r="C637" t="s">
        <v>925</v>
      </c>
      <c r="D637">
        <v>67</v>
      </c>
      <c r="E637" t="s">
        <v>812</v>
      </c>
      <c r="F637" s="2">
        <v>0.47916666666666669</v>
      </c>
    </row>
    <row r="638" spans="1:6" x14ac:dyDescent="0.3">
      <c r="A638" t="s">
        <v>1293</v>
      </c>
      <c r="B638" s="1">
        <v>45203</v>
      </c>
      <c r="C638" t="s">
        <v>1299</v>
      </c>
      <c r="D638">
        <v>41</v>
      </c>
      <c r="E638" t="s">
        <v>807</v>
      </c>
      <c r="F638" s="2">
        <v>0.61527777777777781</v>
      </c>
    </row>
    <row r="639" spans="1:6" x14ac:dyDescent="0.3">
      <c r="A639" t="s">
        <v>1293</v>
      </c>
      <c r="B639" s="1">
        <v>45222</v>
      </c>
      <c r="C639" t="s">
        <v>1002</v>
      </c>
      <c r="D639">
        <v>22</v>
      </c>
      <c r="E639" t="s">
        <v>810</v>
      </c>
      <c r="F639" s="2">
        <v>0.59722222222222221</v>
      </c>
    </row>
    <row r="640" spans="1:6" x14ac:dyDescent="0.3">
      <c r="A640" t="s">
        <v>1293</v>
      </c>
      <c r="B640" s="1">
        <v>45202</v>
      </c>
      <c r="C640" t="s">
        <v>1300</v>
      </c>
      <c r="D640">
        <v>28</v>
      </c>
      <c r="E640" t="s">
        <v>807</v>
      </c>
      <c r="F640" s="2">
        <v>0.37638888888888888</v>
      </c>
    </row>
    <row r="641" spans="1:6" x14ac:dyDescent="0.3">
      <c r="A641" t="s">
        <v>1293</v>
      </c>
      <c r="B641" s="1">
        <v>45225</v>
      </c>
      <c r="C641" t="s">
        <v>1236</v>
      </c>
      <c r="D641">
        <v>45</v>
      </c>
      <c r="E641" t="s">
        <v>807</v>
      </c>
      <c r="F641" s="2">
        <v>0.92152777777777772</v>
      </c>
    </row>
    <row r="642" spans="1:6" x14ac:dyDescent="0.3">
      <c r="A642" t="s">
        <v>1293</v>
      </c>
      <c r="B642" s="1">
        <v>45200</v>
      </c>
      <c r="C642" t="s">
        <v>1301</v>
      </c>
      <c r="D642">
        <v>112</v>
      </c>
      <c r="E642" t="s">
        <v>807</v>
      </c>
      <c r="F642" s="2">
        <v>0.44513888888888886</v>
      </c>
    </row>
    <row r="643" spans="1:6" x14ac:dyDescent="0.3">
      <c r="A643" t="s">
        <v>1293</v>
      </c>
      <c r="B643" s="1">
        <v>45203</v>
      </c>
      <c r="C643" t="s">
        <v>1273</v>
      </c>
      <c r="D643">
        <v>62</v>
      </c>
      <c r="E643" t="s">
        <v>807</v>
      </c>
      <c r="F643" s="2">
        <v>0.91041666666666665</v>
      </c>
    </row>
    <row r="644" spans="1:6" x14ac:dyDescent="0.3">
      <c r="A644" t="s">
        <v>1293</v>
      </c>
      <c r="B644" s="1">
        <v>45205</v>
      </c>
      <c r="C644" t="s">
        <v>1302</v>
      </c>
      <c r="D644">
        <v>84</v>
      </c>
      <c r="E644" t="s">
        <v>810</v>
      </c>
      <c r="F644" s="2">
        <v>0.96875</v>
      </c>
    </row>
    <row r="645" spans="1:6" x14ac:dyDescent="0.3">
      <c r="A645" t="s">
        <v>1293</v>
      </c>
      <c r="B645" s="1">
        <v>45216</v>
      </c>
      <c r="C645" t="s">
        <v>1303</v>
      </c>
      <c r="D645">
        <v>11</v>
      </c>
      <c r="E645" t="s">
        <v>812</v>
      </c>
      <c r="F645" s="2">
        <v>0.2326388888888889</v>
      </c>
    </row>
    <row r="646" spans="1:6" x14ac:dyDescent="0.3">
      <c r="A646" t="s">
        <v>1293</v>
      </c>
      <c r="B646" s="1">
        <v>45205</v>
      </c>
      <c r="C646" t="s">
        <v>1304</v>
      </c>
      <c r="D646">
        <v>115</v>
      </c>
      <c r="E646" t="s">
        <v>810</v>
      </c>
      <c r="F646" s="2">
        <v>0.44097222222222221</v>
      </c>
    </row>
    <row r="647" spans="1:6" x14ac:dyDescent="0.3">
      <c r="A647" t="s">
        <v>1293</v>
      </c>
      <c r="B647" s="1">
        <v>45213</v>
      </c>
      <c r="C647" t="s">
        <v>1228</v>
      </c>
      <c r="D647">
        <v>50</v>
      </c>
      <c r="E647" t="s">
        <v>812</v>
      </c>
      <c r="F647" s="2">
        <v>0.59305555555555556</v>
      </c>
    </row>
    <row r="648" spans="1:6" x14ac:dyDescent="0.3">
      <c r="A648" t="s">
        <v>1293</v>
      </c>
      <c r="B648" s="1">
        <v>45225</v>
      </c>
      <c r="C648" t="s">
        <v>1305</v>
      </c>
      <c r="D648">
        <v>6</v>
      </c>
      <c r="E648" t="s">
        <v>810</v>
      </c>
      <c r="F648" s="2">
        <v>0.52777777777777779</v>
      </c>
    </row>
    <row r="649" spans="1:6" x14ac:dyDescent="0.3">
      <c r="A649" t="s">
        <v>1293</v>
      </c>
      <c r="B649" s="1">
        <v>45205</v>
      </c>
      <c r="C649" t="s">
        <v>989</v>
      </c>
      <c r="D649">
        <v>67</v>
      </c>
      <c r="E649" t="s">
        <v>810</v>
      </c>
      <c r="F649" s="2">
        <v>0.2361111111111111</v>
      </c>
    </row>
    <row r="650" spans="1:6" x14ac:dyDescent="0.3">
      <c r="A650" t="s">
        <v>1293</v>
      </c>
      <c r="B650" s="1">
        <v>45221</v>
      </c>
      <c r="C650" t="s">
        <v>1306</v>
      </c>
      <c r="D650">
        <v>22</v>
      </c>
      <c r="E650" t="s">
        <v>807</v>
      </c>
      <c r="F650" s="2">
        <v>0.55902777777777779</v>
      </c>
    </row>
    <row r="651" spans="1:6" x14ac:dyDescent="0.3">
      <c r="A651" t="s">
        <v>1293</v>
      </c>
      <c r="B651" s="1">
        <v>45200</v>
      </c>
      <c r="C651" t="s">
        <v>997</v>
      </c>
      <c r="D651">
        <v>29</v>
      </c>
      <c r="E651" t="s">
        <v>812</v>
      </c>
      <c r="F651" s="2">
        <v>0.98541666666666672</v>
      </c>
    </row>
    <row r="652" spans="1:6" x14ac:dyDescent="0.3">
      <c r="A652" t="s">
        <v>1293</v>
      </c>
      <c r="B652" s="1">
        <v>45228</v>
      </c>
      <c r="C652" t="s">
        <v>896</v>
      </c>
      <c r="D652">
        <v>109</v>
      </c>
      <c r="E652" t="s">
        <v>810</v>
      </c>
      <c r="F652" s="2">
        <v>0.26944444444444443</v>
      </c>
    </row>
    <row r="653" spans="1:6" x14ac:dyDescent="0.3">
      <c r="A653" t="s">
        <v>1293</v>
      </c>
      <c r="B653" s="1">
        <v>45218</v>
      </c>
      <c r="C653" t="s">
        <v>999</v>
      </c>
      <c r="D653">
        <v>54</v>
      </c>
      <c r="E653" t="s">
        <v>812</v>
      </c>
      <c r="F653" s="2">
        <v>0.55833333333333335</v>
      </c>
    </row>
    <row r="654" spans="1:6" x14ac:dyDescent="0.3">
      <c r="A654" t="s">
        <v>1293</v>
      </c>
      <c r="B654" s="1">
        <v>45200</v>
      </c>
      <c r="C654" t="s">
        <v>814</v>
      </c>
      <c r="D654">
        <v>76</v>
      </c>
      <c r="E654" t="s">
        <v>812</v>
      </c>
      <c r="F654" s="2">
        <v>0.92569444444444449</v>
      </c>
    </row>
    <row r="655" spans="1:6" x14ac:dyDescent="0.3">
      <c r="A655" t="s">
        <v>1293</v>
      </c>
      <c r="B655" s="1">
        <v>45206</v>
      </c>
      <c r="C655" t="s">
        <v>1026</v>
      </c>
      <c r="D655">
        <v>69</v>
      </c>
      <c r="E655" t="s">
        <v>810</v>
      </c>
      <c r="F655" s="2">
        <v>0.36666666666666664</v>
      </c>
    </row>
    <row r="656" spans="1:6" x14ac:dyDescent="0.3">
      <c r="A656" t="s">
        <v>1293</v>
      </c>
      <c r="B656" s="1">
        <v>45222</v>
      </c>
      <c r="C656" t="s">
        <v>1307</v>
      </c>
      <c r="D656">
        <v>88</v>
      </c>
      <c r="E656" t="s">
        <v>812</v>
      </c>
      <c r="F656" s="2">
        <v>0.10833333333333334</v>
      </c>
    </row>
    <row r="657" spans="1:6" x14ac:dyDescent="0.3">
      <c r="A657" t="s">
        <v>1293</v>
      </c>
      <c r="B657" s="1">
        <v>45203</v>
      </c>
      <c r="C657" t="s">
        <v>1308</v>
      </c>
      <c r="D657">
        <v>68</v>
      </c>
      <c r="E657" t="s">
        <v>810</v>
      </c>
      <c r="F657" s="2">
        <v>0.71597222222222223</v>
      </c>
    </row>
    <row r="658" spans="1:6" x14ac:dyDescent="0.3">
      <c r="A658" t="s">
        <v>1293</v>
      </c>
      <c r="B658" s="1">
        <v>45211</v>
      </c>
      <c r="C658" t="s">
        <v>973</v>
      </c>
      <c r="D658">
        <v>57</v>
      </c>
      <c r="E658" t="s">
        <v>810</v>
      </c>
      <c r="F658" s="2">
        <v>0.42499999999999999</v>
      </c>
    </row>
    <row r="659" spans="1:6" x14ac:dyDescent="0.3">
      <c r="A659" t="s">
        <v>1293</v>
      </c>
      <c r="B659" s="1">
        <v>45214</v>
      </c>
      <c r="C659" t="s">
        <v>1309</v>
      </c>
      <c r="D659">
        <v>92</v>
      </c>
      <c r="E659" t="s">
        <v>807</v>
      </c>
      <c r="F659" s="2">
        <v>0.1361111111111111</v>
      </c>
    </row>
    <row r="660" spans="1:6" x14ac:dyDescent="0.3">
      <c r="A660" t="s">
        <v>1293</v>
      </c>
      <c r="B660" s="1">
        <v>45221</v>
      </c>
      <c r="C660" t="s">
        <v>1310</v>
      </c>
      <c r="D660">
        <v>67</v>
      </c>
      <c r="E660" t="s">
        <v>807</v>
      </c>
      <c r="F660" s="2">
        <v>0.6479166666666667</v>
      </c>
    </row>
    <row r="661" spans="1:6" x14ac:dyDescent="0.3">
      <c r="A661" t="s">
        <v>1293</v>
      </c>
      <c r="B661" s="1">
        <v>45230</v>
      </c>
      <c r="C661" t="s">
        <v>866</v>
      </c>
      <c r="D661">
        <v>58</v>
      </c>
      <c r="E661" t="s">
        <v>812</v>
      </c>
      <c r="F661" s="2">
        <v>0.84722222222222221</v>
      </c>
    </row>
    <row r="662" spans="1:6" x14ac:dyDescent="0.3">
      <c r="A662" t="s">
        <v>1293</v>
      </c>
      <c r="B662" s="1">
        <v>45219</v>
      </c>
      <c r="C662" t="s">
        <v>1215</v>
      </c>
      <c r="D662">
        <v>95</v>
      </c>
      <c r="E662" t="s">
        <v>807</v>
      </c>
      <c r="F662" s="2">
        <v>0.52708333333333335</v>
      </c>
    </row>
    <row r="663" spans="1:6" x14ac:dyDescent="0.3">
      <c r="A663" t="s">
        <v>1293</v>
      </c>
      <c r="B663" s="1">
        <v>45212</v>
      </c>
      <c r="C663" t="s">
        <v>922</v>
      </c>
      <c r="D663">
        <v>112</v>
      </c>
      <c r="E663" t="s">
        <v>812</v>
      </c>
      <c r="F663" s="2">
        <v>0.75486111111111109</v>
      </c>
    </row>
    <row r="664" spans="1:6" x14ac:dyDescent="0.3">
      <c r="A664" t="s">
        <v>1293</v>
      </c>
      <c r="B664" s="1">
        <v>45211</v>
      </c>
      <c r="C664" t="s">
        <v>923</v>
      </c>
      <c r="D664">
        <v>61</v>
      </c>
      <c r="E664" t="s">
        <v>810</v>
      </c>
      <c r="F664" s="2">
        <v>0.49583333333333335</v>
      </c>
    </row>
    <row r="665" spans="1:6" x14ac:dyDescent="0.3">
      <c r="A665" t="s">
        <v>1293</v>
      </c>
      <c r="B665" s="1">
        <v>45214</v>
      </c>
      <c r="C665" t="s">
        <v>1311</v>
      </c>
      <c r="D665">
        <v>67</v>
      </c>
      <c r="E665" t="s">
        <v>807</v>
      </c>
      <c r="F665" s="2">
        <v>0.7993055555555556</v>
      </c>
    </row>
    <row r="666" spans="1:6" x14ac:dyDescent="0.3">
      <c r="A666" t="s">
        <v>1293</v>
      </c>
      <c r="B666" s="1">
        <v>45226</v>
      </c>
      <c r="C666" t="s">
        <v>1123</v>
      </c>
      <c r="D666">
        <v>26</v>
      </c>
      <c r="E666" t="s">
        <v>810</v>
      </c>
      <c r="F666" s="2">
        <v>0.90625</v>
      </c>
    </row>
    <row r="667" spans="1:6" x14ac:dyDescent="0.3">
      <c r="A667" t="s">
        <v>1293</v>
      </c>
      <c r="B667" s="1">
        <v>45225</v>
      </c>
      <c r="C667" t="s">
        <v>1312</v>
      </c>
      <c r="D667">
        <v>15</v>
      </c>
      <c r="E667" t="s">
        <v>807</v>
      </c>
      <c r="F667" s="2">
        <v>0.4152777777777778</v>
      </c>
    </row>
    <row r="668" spans="1:6" x14ac:dyDescent="0.3">
      <c r="A668" t="s">
        <v>1293</v>
      </c>
      <c r="B668" s="1">
        <v>45219</v>
      </c>
      <c r="C668" t="s">
        <v>920</v>
      </c>
      <c r="D668">
        <v>77</v>
      </c>
      <c r="E668" t="s">
        <v>807</v>
      </c>
      <c r="F668" s="2">
        <v>0.75347222222222221</v>
      </c>
    </row>
    <row r="669" spans="1:6" x14ac:dyDescent="0.3">
      <c r="A669" t="s">
        <v>1293</v>
      </c>
      <c r="B669" s="1">
        <v>45221</v>
      </c>
      <c r="C669" t="s">
        <v>815</v>
      </c>
      <c r="D669">
        <v>8</v>
      </c>
      <c r="E669" t="s">
        <v>807</v>
      </c>
      <c r="F669" s="2">
        <v>0.18055555555555555</v>
      </c>
    </row>
    <row r="670" spans="1:6" x14ac:dyDescent="0.3">
      <c r="A670" t="s">
        <v>1293</v>
      </c>
      <c r="B670" s="1">
        <v>45203</v>
      </c>
      <c r="C670" t="s">
        <v>1217</v>
      </c>
      <c r="D670">
        <v>106</v>
      </c>
      <c r="E670" t="s">
        <v>810</v>
      </c>
      <c r="F670" s="2">
        <v>0.30486111111111114</v>
      </c>
    </row>
    <row r="671" spans="1:6" x14ac:dyDescent="0.3">
      <c r="A671" t="s">
        <v>1293</v>
      </c>
      <c r="B671" s="1">
        <v>45203</v>
      </c>
      <c r="C671" t="s">
        <v>918</v>
      </c>
      <c r="D671">
        <v>102</v>
      </c>
      <c r="E671" t="s">
        <v>812</v>
      </c>
      <c r="F671" s="2">
        <v>0.22430555555555556</v>
      </c>
    </row>
    <row r="672" spans="1:6" x14ac:dyDescent="0.3">
      <c r="A672" t="s">
        <v>1293</v>
      </c>
      <c r="B672" s="1">
        <v>45222</v>
      </c>
      <c r="C672" t="s">
        <v>1115</v>
      </c>
      <c r="D672">
        <v>33</v>
      </c>
      <c r="E672" t="s">
        <v>807</v>
      </c>
      <c r="F672" s="2">
        <v>0.18888888888888888</v>
      </c>
    </row>
    <row r="673" spans="1:6" x14ac:dyDescent="0.3">
      <c r="A673" t="s">
        <v>1293</v>
      </c>
      <c r="B673" s="1">
        <v>45212</v>
      </c>
      <c r="C673" t="s">
        <v>1313</v>
      </c>
      <c r="D673">
        <v>42</v>
      </c>
      <c r="E673" t="s">
        <v>810</v>
      </c>
      <c r="F673" s="2">
        <v>0.56805555555555554</v>
      </c>
    </row>
    <row r="674" spans="1:6" x14ac:dyDescent="0.3">
      <c r="A674" t="s">
        <v>1293</v>
      </c>
      <c r="B674" s="1">
        <v>45204</v>
      </c>
      <c r="C674" t="s">
        <v>1314</v>
      </c>
      <c r="D674">
        <v>9</v>
      </c>
      <c r="E674" t="s">
        <v>812</v>
      </c>
      <c r="F674" s="2">
        <v>0.76666666666666672</v>
      </c>
    </row>
    <row r="675" spans="1:6" x14ac:dyDescent="0.3">
      <c r="A675" t="s">
        <v>1315</v>
      </c>
      <c r="B675" s="1">
        <v>45202</v>
      </c>
      <c r="C675" t="s">
        <v>1015</v>
      </c>
      <c r="D675">
        <v>91</v>
      </c>
      <c r="E675" t="s">
        <v>810</v>
      </c>
      <c r="F675" s="2">
        <v>0.86805555555555558</v>
      </c>
    </row>
    <row r="676" spans="1:6" x14ac:dyDescent="0.3">
      <c r="A676" t="s">
        <v>1315</v>
      </c>
      <c r="B676" s="1">
        <v>45228</v>
      </c>
      <c r="C676" t="s">
        <v>1061</v>
      </c>
      <c r="D676">
        <v>23</v>
      </c>
      <c r="E676" t="s">
        <v>812</v>
      </c>
      <c r="F676" s="2">
        <v>0.10069444444444445</v>
      </c>
    </row>
    <row r="677" spans="1:6" x14ac:dyDescent="0.3">
      <c r="A677" t="s">
        <v>1315</v>
      </c>
      <c r="B677" s="1">
        <v>45216</v>
      </c>
      <c r="C677" t="s">
        <v>1131</v>
      </c>
      <c r="D677">
        <v>13</v>
      </c>
      <c r="E677" t="s">
        <v>812</v>
      </c>
      <c r="F677" s="2">
        <v>0.97013888888888888</v>
      </c>
    </row>
    <row r="678" spans="1:6" x14ac:dyDescent="0.3">
      <c r="A678" t="s">
        <v>1315</v>
      </c>
      <c r="B678" s="1">
        <v>45222</v>
      </c>
      <c r="C678" t="s">
        <v>834</v>
      </c>
      <c r="D678">
        <v>72</v>
      </c>
      <c r="E678" t="s">
        <v>810</v>
      </c>
      <c r="F678" s="2">
        <v>0.47847222222222224</v>
      </c>
    </row>
    <row r="679" spans="1:6" x14ac:dyDescent="0.3">
      <c r="A679" t="s">
        <v>1315</v>
      </c>
      <c r="B679" s="1">
        <v>45230</v>
      </c>
      <c r="C679" t="s">
        <v>1316</v>
      </c>
      <c r="D679">
        <v>77</v>
      </c>
      <c r="E679" t="s">
        <v>810</v>
      </c>
      <c r="F679" s="2">
        <v>0.63888888888888884</v>
      </c>
    </row>
    <row r="680" spans="1:6" x14ac:dyDescent="0.3">
      <c r="A680" t="s">
        <v>1315</v>
      </c>
      <c r="B680" s="1">
        <v>45224</v>
      </c>
      <c r="C680" t="s">
        <v>1280</v>
      </c>
      <c r="D680">
        <v>83</v>
      </c>
      <c r="E680" t="s">
        <v>812</v>
      </c>
      <c r="F680" s="2">
        <v>0.96180555555555558</v>
      </c>
    </row>
    <row r="681" spans="1:6" x14ac:dyDescent="0.3">
      <c r="A681" t="s">
        <v>1315</v>
      </c>
      <c r="B681" s="1">
        <v>45223</v>
      </c>
      <c r="C681" t="s">
        <v>1267</v>
      </c>
      <c r="D681">
        <v>88</v>
      </c>
      <c r="E681" t="s">
        <v>807</v>
      </c>
      <c r="F681" s="2">
        <v>0.61111111111111116</v>
      </c>
    </row>
    <row r="682" spans="1:6" x14ac:dyDescent="0.3">
      <c r="A682" t="s">
        <v>1315</v>
      </c>
      <c r="B682" s="1">
        <v>45221</v>
      </c>
      <c r="C682" t="s">
        <v>1317</v>
      </c>
      <c r="D682">
        <v>26</v>
      </c>
      <c r="E682" t="s">
        <v>807</v>
      </c>
      <c r="F682" s="2">
        <v>0.93194444444444446</v>
      </c>
    </row>
    <row r="683" spans="1:6" x14ac:dyDescent="0.3">
      <c r="A683" t="s">
        <v>1315</v>
      </c>
      <c r="B683" s="1">
        <v>45227</v>
      </c>
      <c r="C683" t="s">
        <v>1318</v>
      </c>
      <c r="D683">
        <v>61</v>
      </c>
      <c r="E683" t="s">
        <v>810</v>
      </c>
      <c r="F683" s="2">
        <v>0.11805555555555555</v>
      </c>
    </row>
    <row r="684" spans="1:6" x14ac:dyDescent="0.3">
      <c r="A684" t="s">
        <v>1315</v>
      </c>
      <c r="B684" s="1">
        <v>45217</v>
      </c>
      <c r="C684" t="s">
        <v>813</v>
      </c>
      <c r="D684">
        <v>49</v>
      </c>
      <c r="E684" t="s">
        <v>807</v>
      </c>
      <c r="F684" s="2">
        <v>0.50902777777777775</v>
      </c>
    </row>
    <row r="685" spans="1:6" x14ac:dyDescent="0.3">
      <c r="A685" t="s">
        <v>1315</v>
      </c>
      <c r="B685" s="1">
        <v>45230</v>
      </c>
      <c r="C685" t="s">
        <v>1319</v>
      </c>
      <c r="D685">
        <v>97</v>
      </c>
      <c r="E685" t="s">
        <v>807</v>
      </c>
      <c r="F685" s="2">
        <v>0.57777777777777772</v>
      </c>
    </row>
    <row r="686" spans="1:6" x14ac:dyDescent="0.3">
      <c r="A686" t="s">
        <v>1315</v>
      </c>
      <c r="B686" s="1">
        <v>45206</v>
      </c>
      <c r="C686" t="s">
        <v>1320</v>
      </c>
      <c r="D686">
        <v>32</v>
      </c>
      <c r="E686" t="s">
        <v>812</v>
      </c>
      <c r="F686" s="2">
        <v>0.63680555555555551</v>
      </c>
    </row>
    <row r="687" spans="1:6" x14ac:dyDescent="0.3">
      <c r="A687" t="s">
        <v>1315</v>
      </c>
      <c r="B687" s="1">
        <v>45210</v>
      </c>
      <c r="C687" t="s">
        <v>994</v>
      </c>
      <c r="D687">
        <v>85</v>
      </c>
      <c r="E687" t="s">
        <v>807</v>
      </c>
      <c r="F687" s="2">
        <v>0.38958333333333334</v>
      </c>
    </row>
    <row r="688" spans="1:6" x14ac:dyDescent="0.3">
      <c r="A688" t="s">
        <v>1315</v>
      </c>
      <c r="B688" s="1">
        <v>45217</v>
      </c>
      <c r="C688" t="s">
        <v>1321</v>
      </c>
      <c r="D688">
        <v>100</v>
      </c>
      <c r="E688" t="s">
        <v>807</v>
      </c>
      <c r="F688" s="2">
        <v>0.75555555555555554</v>
      </c>
    </row>
    <row r="689" spans="1:6" x14ac:dyDescent="0.3">
      <c r="A689" t="s">
        <v>1315</v>
      </c>
      <c r="B689" s="1">
        <v>45218</v>
      </c>
      <c r="C689" t="s">
        <v>1322</v>
      </c>
      <c r="D689">
        <v>24</v>
      </c>
      <c r="E689" t="s">
        <v>807</v>
      </c>
      <c r="F689" s="2">
        <v>0.65972222222222221</v>
      </c>
    </row>
    <row r="690" spans="1:6" x14ac:dyDescent="0.3">
      <c r="A690" t="s">
        <v>1315</v>
      </c>
      <c r="B690" s="1">
        <v>45210</v>
      </c>
      <c r="C690" t="s">
        <v>1232</v>
      </c>
      <c r="D690">
        <v>57</v>
      </c>
      <c r="E690" t="s">
        <v>812</v>
      </c>
      <c r="F690" s="2">
        <v>0.90833333333333333</v>
      </c>
    </row>
    <row r="691" spans="1:6" x14ac:dyDescent="0.3">
      <c r="A691" t="s">
        <v>1315</v>
      </c>
      <c r="B691" s="1">
        <v>45201</v>
      </c>
      <c r="C691" t="s">
        <v>1035</v>
      </c>
      <c r="D691">
        <v>83</v>
      </c>
      <c r="E691" t="s">
        <v>810</v>
      </c>
      <c r="F691" s="2">
        <v>4.583333333333333E-2</v>
      </c>
    </row>
    <row r="692" spans="1:6" x14ac:dyDescent="0.3">
      <c r="A692" t="s">
        <v>1315</v>
      </c>
      <c r="B692" s="1">
        <v>45220</v>
      </c>
      <c r="C692" t="s">
        <v>1323</v>
      </c>
      <c r="D692">
        <v>92</v>
      </c>
      <c r="E692" t="s">
        <v>812</v>
      </c>
      <c r="F692" s="2">
        <v>0.58402777777777781</v>
      </c>
    </row>
    <row r="693" spans="1:6" x14ac:dyDescent="0.3">
      <c r="A693" t="s">
        <v>1315</v>
      </c>
      <c r="B693" s="1">
        <v>45203</v>
      </c>
      <c r="C693" t="s">
        <v>1033</v>
      </c>
      <c r="D693">
        <v>61</v>
      </c>
      <c r="E693" t="s">
        <v>810</v>
      </c>
      <c r="F693" s="2">
        <v>0.22777777777777777</v>
      </c>
    </row>
    <row r="694" spans="1:6" x14ac:dyDescent="0.3">
      <c r="A694" t="s">
        <v>1315</v>
      </c>
      <c r="B694" s="1">
        <v>45206</v>
      </c>
      <c r="C694" t="s">
        <v>992</v>
      </c>
      <c r="D694">
        <v>32</v>
      </c>
      <c r="E694" t="s">
        <v>810</v>
      </c>
      <c r="F694" s="2">
        <v>0.95694444444444449</v>
      </c>
    </row>
    <row r="695" spans="1:6" x14ac:dyDescent="0.3">
      <c r="A695" t="s">
        <v>1315</v>
      </c>
      <c r="B695" s="1">
        <v>45204</v>
      </c>
      <c r="C695" t="s">
        <v>1324</v>
      </c>
      <c r="D695">
        <v>16</v>
      </c>
      <c r="E695" t="s">
        <v>812</v>
      </c>
      <c r="F695" s="2">
        <v>0.84652777777777777</v>
      </c>
    </row>
    <row r="696" spans="1:6" x14ac:dyDescent="0.3">
      <c r="A696" t="s">
        <v>1315</v>
      </c>
      <c r="B696" s="1">
        <v>45205</v>
      </c>
      <c r="C696" t="s">
        <v>1325</v>
      </c>
      <c r="D696">
        <v>119</v>
      </c>
      <c r="E696" t="s">
        <v>812</v>
      </c>
      <c r="F696" s="2">
        <v>0.33680555555555558</v>
      </c>
    </row>
    <row r="697" spans="1:6" x14ac:dyDescent="0.3">
      <c r="A697" t="s">
        <v>1315</v>
      </c>
      <c r="B697" s="1">
        <v>45220</v>
      </c>
      <c r="C697" t="s">
        <v>1071</v>
      </c>
      <c r="D697">
        <v>17</v>
      </c>
      <c r="E697" t="s">
        <v>810</v>
      </c>
      <c r="F697" s="2">
        <v>0.46944444444444444</v>
      </c>
    </row>
    <row r="698" spans="1:6" x14ac:dyDescent="0.3">
      <c r="A698" t="s">
        <v>1315</v>
      </c>
      <c r="B698" s="1">
        <v>45202</v>
      </c>
      <c r="C698" t="s">
        <v>1326</v>
      </c>
      <c r="D698">
        <v>22</v>
      </c>
      <c r="E698" t="s">
        <v>812</v>
      </c>
      <c r="F698" s="2">
        <v>0.48749999999999999</v>
      </c>
    </row>
    <row r="699" spans="1:6" x14ac:dyDescent="0.3">
      <c r="A699" t="s">
        <v>1315</v>
      </c>
      <c r="B699" s="1">
        <v>45228</v>
      </c>
      <c r="C699" t="s">
        <v>849</v>
      </c>
      <c r="D699">
        <v>101</v>
      </c>
      <c r="E699" t="s">
        <v>807</v>
      </c>
      <c r="F699" s="2">
        <v>0.84027777777777779</v>
      </c>
    </row>
    <row r="700" spans="1:6" x14ac:dyDescent="0.3">
      <c r="A700" t="s">
        <v>1315</v>
      </c>
      <c r="B700" s="1">
        <v>45201</v>
      </c>
      <c r="C700" t="s">
        <v>1327</v>
      </c>
      <c r="D700">
        <v>20</v>
      </c>
      <c r="E700" t="s">
        <v>810</v>
      </c>
      <c r="F700" s="2">
        <v>0.52777777777777779</v>
      </c>
    </row>
    <row r="701" spans="1:6" x14ac:dyDescent="0.3">
      <c r="A701" t="s">
        <v>1315</v>
      </c>
      <c r="B701" s="1">
        <v>45209</v>
      </c>
      <c r="C701" t="s">
        <v>1328</v>
      </c>
      <c r="D701">
        <v>80</v>
      </c>
      <c r="E701" t="s">
        <v>810</v>
      </c>
      <c r="F701" s="2">
        <v>0.98888888888888893</v>
      </c>
    </row>
    <row r="702" spans="1:6" x14ac:dyDescent="0.3">
      <c r="A702" t="s">
        <v>1315</v>
      </c>
      <c r="B702" s="1">
        <v>45224</v>
      </c>
      <c r="C702" t="s">
        <v>1236</v>
      </c>
      <c r="D702">
        <v>98</v>
      </c>
      <c r="E702" t="s">
        <v>810</v>
      </c>
      <c r="F702" s="2">
        <v>0.31041666666666667</v>
      </c>
    </row>
    <row r="703" spans="1:6" x14ac:dyDescent="0.3">
      <c r="A703" t="s">
        <v>1315</v>
      </c>
      <c r="B703" s="1">
        <v>45220</v>
      </c>
      <c r="C703" t="s">
        <v>851</v>
      </c>
      <c r="D703">
        <v>54</v>
      </c>
      <c r="E703" t="s">
        <v>810</v>
      </c>
      <c r="F703" s="2">
        <v>0.11458333333333333</v>
      </c>
    </row>
    <row r="704" spans="1:6" x14ac:dyDescent="0.3">
      <c r="A704" t="s">
        <v>1315</v>
      </c>
      <c r="B704" s="1">
        <v>45215</v>
      </c>
      <c r="C704" t="s">
        <v>1194</v>
      </c>
      <c r="D704">
        <v>59</v>
      </c>
      <c r="E704" t="s">
        <v>812</v>
      </c>
      <c r="F704" s="2">
        <v>8.8888888888888892E-2</v>
      </c>
    </row>
    <row r="705" spans="1:6" x14ac:dyDescent="0.3">
      <c r="A705" t="s">
        <v>1315</v>
      </c>
      <c r="B705" s="1">
        <v>45218</v>
      </c>
      <c r="C705" t="s">
        <v>1329</v>
      </c>
      <c r="D705">
        <v>45</v>
      </c>
      <c r="E705" t="s">
        <v>807</v>
      </c>
      <c r="F705" s="2">
        <v>0.31458333333333333</v>
      </c>
    </row>
    <row r="706" spans="1:6" x14ac:dyDescent="0.3">
      <c r="A706" t="s">
        <v>1315</v>
      </c>
      <c r="B706" s="1">
        <v>45221</v>
      </c>
      <c r="C706" t="s">
        <v>1330</v>
      </c>
      <c r="D706">
        <v>106</v>
      </c>
      <c r="E706" t="s">
        <v>812</v>
      </c>
      <c r="F706" s="2">
        <v>0.58333333333333337</v>
      </c>
    </row>
    <row r="707" spans="1:6" x14ac:dyDescent="0.3">
      <c r="A707" t="s">
        <v>1315</v>
      </c>
      <c r="B707" s="1">
        <v>45200</v>
      </c>
      <c r="C707" t="s">
        <v>1113</v>
      </c>
      <c r="D707">
        <v>22</v>
      </c>
      <c r="E707" t="s">
        <v>807</v>
      </c>
      <c r="F707" s="2">
        <v>0.93125000000000002</v>
      </c>
    </row>
    <row r="708" spans="1:6" x14ac:dyDescent="0.3">
      <c r="A708" t="s">
        <v>1315</v>
      </c>
      <c r="B708" s="1">
        <v>45226</v>
      </c>
      <c r="C708" t="s">
        <v>1331</v>
      </c>
      <c r="D708">
        <v>36</v>
      </c>
      <c r="E708" t="s">
        <v>810</v>
      </c>
      <c r="F708" s="2">
        <v>0.16319444444444445</v>
      </c>
    </row>
    <row r="709" spans="1:6" x14ac:dyDescent="0.3">
      <c r="A709" t="s">
        <v>1315</v>
      </c>
      <c r="B709" s="1">
        <v>45213</v>
      </c>
      <c r="C709" t="s">
        <v>1243</v>
      </c>
      <c r="D709">
        <v>40</v>
      </c>
      <c r="E709" t="s">
        <v>807</v>
      </c>
      <c r="F709" s="2">
        <v>0.92222222222222228</v>
      </c>
    </row>
    <row r="710" spans="1:6" x14ac:dyDescent="0.3">
      <c r="A710" t="s">
        <v>1315</v>
      </c>
      <c r="B710" s="1">
        <v>45215</v>
      </c>
      <c r="C710" t="s">
        <v>1332</v>
      </c>
      <c r="D710">
        <v>87</v>
      </c>
      <c r="E710" t="s">
        <v>807</v>
      </c>
      <c r="F710" s="2">
        <v>9.3055555555555558E-2</v>
      </c>
    </row>
    <row r="711" spans="1:6" x14ac:dyDescent="0.3">
      <c r="A711" t="s">
        <v>1315</v>
      </c>
      <c r="B711" s="1">
        <v>45212</v>
      </c>
      <c r="C711" t="s">
        <v>1126</v>
      </c>
      <c r="D711">
        <v>15</v>
      </c>
      <c r="E711" t="s">
        <v>810</v>
      </c>
      <c r="F711" s="2">
        <v>0.11527777777777778</v>
      </c>
    </row>
    <row r="712" spans="1:6" x14ac:dyDescent="0.3">
      <c r="A712" t="s">
        <v>1315</v>
      </c>
      <c r="B712" s="1">
        <v>45225</v>
      </c>
      <c r="C712" t="s">
        <v>901</v>
      </c>
      <c r="D712">
        <v>36</v>
      </c>
      <c r="E712" t="s">
        <v>812</v>
      </c>
      <c r="F712" s="2">
        <v>0.12916666666666668</v>
      </c>
    </row>
    <row r="713" spans="1:6" x14ac:dyDescent="0.3">
      <c r="A713" t="s">
        <v>1315</v>
      </c>
      <c r="B713" s="1">
        <v>45210</v>
      </c>
      <c r="C713" t="s">
        <v>1039</v>
      </c>
      <c r="D713">
        <v>75</v>
      </c>
      <c r="E713" t="s">
        <v>812</v>
      </c>
      <c r="F713" s="2">
        <v>0.49722222222222223</v>
      </c>
    </row>
    <row r="714" spans="1:6" x14ac:dyDescent="0.3">
      <c r="A714" t="s">
        <v>1315</v>
      </c>
      <c r="B714" s="1">
        <v>45209</v>
      </c>
      <c r="C714" t="s">
        <v>1333</v>
      </c>
      <c r="D714">
        <v>81</v>
      </c>
      <c r="E714" t="s">
        <v>810</v>
      </c>
      <c r="F714" s="2">
        <v>0.18333333333333332</v>
      </c>
    </row>
    <row r="715" spans="1:6" x14ac:dyDescent="0.3">
      <c r="A715" t="s">
        <v>1315</v>
      </c>
      <c r="B715" s="1">
        <v>45224</v>
      </c>
      <c r="C715" t="s">
        <v>1334</v>
      </c>
      <c r="D715">
        <v>81</v>
      </c>
      <c r="E715" t="s">
        <v>810</v>
      </c>
      <c r="F715" s="2">
        <v>0.19513888888888889</v>
      </c>
    </row>
    <row r="716" spans="1:6" x14ac:dyDescent="0.3">
      <c r="A716" t="s">
        <v>1335</v>
      </c>
      <c r="B716" s="1">
        <v>45223</v>
      </c>
      <c r="C716" t="s">
        <v>1244</v>
      </c>
      <c r="D716">
        <v>42</v>
      </c>
      <c r="E716" t="s">
        <v>812</v>
      </c>
      <c r="F716" s="2">
        <v>0.29375000000000001</v>
      </c>
    </row>
    <row r="717" spans="1:6" x14ac:dyDescent="0.3">
      <c r="A717" t="s">
        <v>1335</v>
      </c>
      <c r="B717" s="1">
        <v>45207</v>
      </c>
      <c r="C717" t="s">
        <v>1336</v>
      </c>
      <c r="D717">
        <v>77</v>
      </c>
      <c r="E717" t="s">
        <v>812</v>
      </c>
      <c r="F717" s="2">
        <v>0.12430555555555556</v>
      </c>
    </row>
    <row r="718" spans="1:6" x14ac:dyDescent="0.3">
      <c r="A718" t="s">
        <v>1335</v>
      </c>
      <c r="B718" s="1">
        <v>45213</v>
      </c>
      <c r="C718" t="s">
        <v>1239</v>
      </c>
      <c r="D718">
        <v>105</v>
      </c>
      <c r="E718" t="s">
        <v>810</v>
      </c>
      <c r="F718" s="2">
        <v>0.1451388888888889</v>
      </c>
    </row>
    <row r="719" spans="1:6" x14ac:dyDescent="0.3">
      <c r="A719" t="s">
        <v>1335</v>
      </c>
      <c r="B719" s="1">
        <v>45219</v>
      </c>
      <c r="C719" t="s">
        <v>1337</v>
      </c>
      <c r="D719">
        <v>43</v>
      </c>
      <c r="E719" t="s">
        <v>810</v>
      </c>
      <c r="F719" s="2">
        <v>0.79374999999999996</v>
      </c>
    </row>
    <row r="720" spans="1:6" x14ac:dyDescent="0.3">
      <c r="A720" t="s">
        <v>1335</v>
      </c>
      <c r="B720" s="1">
        <v>45209</v>
      </c>
      <c r="C720" t="s">
        <v>1338</v>
      </c>
      <c r="D720">
        <v>99</v>
      </c>
      <c r="E720" t="s">
        <v>812</v>
      </c>
      <c r="F720" s="2">
        <v>0.90763888888888888</v>
      </c>
    </row>
    <row r="721" spans="1:6" x14ac:dyDescent="0.3">
      <c r="A721" t="s">
        <v>1335</v>
      </c>
      <c r="B721" s="1">
        <v>45221</v>
      </c>
      <c r="C721" t="s">
        <v>1339</v>
      </c>
      <c r="D721">
        <v>84</v>
      </c>
      <c r="E721" t="s">
        <v>812</v>
      </c>
      <c r="F721" s="2">
        <v>0.96597222222222223</v>
      </c>
    </row>
    <row r="722" spans="1:6" x14ac:dyDescent="0.3">
      <c r="A722" t="s">
        <v>1335</v>
      </c>
      <c r="B722" s="1">
        <v>45204</v>
      </c>
      <c r="C722" t="s">
        <v>1340</v>
      </c>
      <c r="D722">
        <v>64</v>
      </c>
      <c r="E722" t="s">
        <v>812</v>
      </c>
      <c r="F722" s="2">
        <v>0.91666666666666663</v>
      </c>
    </row>
    <row r="723" spans="1:6" x14ac:dyDescent="0.3">
      <c r="A723" t="s">
        <v>1335</v>
      </c>
      <c r="B723" s="1">
        <v>45205</v>
      </c>
      <c r="C723" t="s">
        <v>955</v>
      </c>
      <c r="D723">
        <v>52</v>
      </c>
      <c r="E723" t="s">
        <v>807</v>
      </c>
      <c r="F723" s="2">
        <v>0.64027777777777772</v>
      </c>
    </row>
    <row r="724" spans="1:6" x14ac:dyDescent="0.3">
      <c r="A724" t="s">
        <v>1335</v>
      </c>
      <c r="B724" s="1">
        <v>45216</v>
      </c>
      <c r="C724" t="s">
        <v>937</v>
      </c>
      <c r="D724">
        <v>80</v>
      </c>
      <c r="E724" t="s">
        <v>807</v>
      </c>
      <c r="F724" s="2">
        <v>0.70138888888888884</v>
      </c>
    </row>
    <row r="725" spans="1:6" x14ac:dyDescent="0.3">
      <c r="A725" t="s">
        <v>1335</v>
      </c>
      <c r="B725" s="1">
        <v>45226</v>
      </c>
      <c r="C725" t="s">
        <v>960</v>
      </c>
      <c r="D725">
        <v>68</v>
      </c>
      <c r="E725" t="s">
        <v>807</v>
      </c>
      <c r="F725" s="2">
        <v>0.96944444444444444</v>
      </c>
    </row>
    <row r="726" spans="1:6" x14ac:dyDescent="0.3">
      <c r="A726" t="s">
        <v>1335</v>
      </c>
      <c r="B726" s="1">
        <v>45205</v>
      </c>
      <c r="C726" t="s">
        <v>1341</v>
      </c>
      <c r="D726">
        <v>103</v>
      </c>
      <c r="E726" t="s">
        <v>807</v>
      </c>
      <c r="F726" s="2">
        <v>0.46388888888888891</v>
      </c>
    </row>
    <row r="727" spans="1:6" x14ac:dyDescent="0.3">
      <c r="A727" t="s">
        <v>1335</v>
      </c>
      <c r="B727" s="1">
        <v>45223</v>
      </c>
      <c r="C727" t="s">
        <v>1342</v>
      </c>
      <c r="D727">
        <v>104</v>
      </c>
      <c r="E727" t="s">
        <v>810</v>
      </c>
      <c r="F727" s="2">
        <v>0.36527777777777776</v>
      </c>
    </row>
    <row r="728" spans="1:6" x14ac:dyDescent="0.3">
      <c r="A728" t="s">
        <v>1335</v>
      </c>
      <c r="B728" s="1">
        <v>45228</v>
      </c>
      <c r="C728" t="s">
        <v>1211</v>
      </c>
      <c r="D728">
        <v>30</v>
      </c>
      <c r="E728" t="s">
        <v>807</v>
      </c>
      <c r="F728" s="2">
        <v>0.15902777777777777</v>
      </c>
    </row>
    <row r="729" spans="1:6" x14ac:dyDescent="0.3">
      <c r="A729" t="s">
        <v>1335</v>
      </c>
      <c r="B729" s="1">
        <v>45225</v>
      </c>
      <c r="C729" t="s">
        <v>1343</v>
      </c>
      <c r="D729">
        <v>120</v>
      </c>
      <c r="E729" t="s">
        <v>807</v>
      </c>
      <c r="F729" s="2">
        <v>0.55347222222222225</v>
      </c>
    </row>
    <row r="730" spans="1:6" x14ac:dyDescent="0.3">
      <c r="A730" t="s">
        <v>1335</v>
      </c>
      <c r="B730" s="1">
        <v>45216</v>
      </c>
      <c r="C730" t="s">
        <v>1344</v>
      </c>
      <c r="D730">
        <v>74</v>
      </c>
      <c r="E730" t="s">
        <v>807</v>
      </c>
      <c r="F730" s="2">
        <v>9.4444444444444442E-2</v>
      </c>
    </row>
    <row r="731" spans="1:6" x14ac:dyDescent="0.3">
      <c r="A731" t="s">
        <v>1335</v>
      </c>
      <c r="B731" s="1">
        <v>45222</v>
      </c>
      <c r="C731" t="s">
        <v>1345</v>
      </c>
      <c r="D731">
        <v>102</v>
      </c>
      <c r="E731" t="s">
        <v>812</v>
      </c>
      <c r="F731" s="2">
        <v>0.77777777777777779</v>
      </c>
    </row>
    <row r="732" spans="1:6" x14ac:dyDescent="0.3">
      <c r="A732" t="s">
        <v>1335</v>
      </c>
      <c r="B732" s="1">
        <v>45202</v>
      </c>
      <c r="C732" t="s">
        <v>1346</v>
      </c>
      <c r="D732">
        <v>106</v>
      </c>
      <c r="E732" t="s">
        <v>812</v>
      </c>
      <c r="F732" s="2">
        <v>0.64513888888888893</v>
      </c>
    </row>
    <row r="733" spans="1:6" x14ac:dyDescent="0.3">
      <c r="A733" t="s">
        <v>1335</v>
      </c>
      <c r="B733" s="1">
        <v>45216</v>
      </c>
      <c r="C733" t="s">
        <v>1347</v>
      </c>
      <c r="D733">
        <v>36</v>
      </c>
      <c r="E733" t="s">
        <v>812</v>
      </c>
      <c r="F733" s="2">
        <v>0.46041666666666664</v>
      </c>
    </row>
    <row r="734" spans="1:6" x14ac:dyDescent="0.3">
      <c r="A734" t="s">
        <v>1335</v>
      </c>
      <c r="B734" s="1">
        <v>45215</v>
      </c>
      <c r="C734" t="s">
        <v>1348</v>
      </c>
      <c r="D734">
        <v>24</v>
      </c>
      <c r="E734" t="s">
        <v>812</v>
      </c>
      <c r="F734" s="2">
        <v>0.75694444444444442</v>
      </c>
    </row>
    <row r="735" spans="1:6" x14ac:dyDescent="0.3">
      <c r="A735" t="s">
        <v>1335</v>
      </c>
      <c r="B735" s="1">
        <v>45211</v>
      </c>
      <c r="C735" t="s">
        <v>1349</v>
      </c>
      <c r="D735">
        <v>5</v>
      </c>
      <c r="E735" t="s">
        <v>807</v>
      </c>
      <c r="F735" s="2">
        <v>0.21944444444444444</v>
      </c>
    </row>
    <row r="736" spans="1:6" x14ac:dyDescent="0.3">
      <c r="A736" t="s">
        <v>1335</v>
      </c>
      <c r="B736" s="1">
        <v>45224</v>
      </c>
      <c r="C736" t="s">
        <v>1350</v>
      </c>
      <c r="D736">
        <v>57</v>
      </c>
      <c r="E736" t="s">
        <v>810</v>
      </c>
      <c r="F736" s="2">
        <v>0.16458333333333333</v>
      </c>
    </row>
    <row r="737" spans="1:6" x14ac:dyDescent="0.3">
      <c r="A737" t="s">
        <v>1335</v>
      </c>
      <c r="B737" s="1">
        <v>45218</v>
      </c>
      <c r="C737" t="s">
        <v>1035</v>
      </c>
      <c r="D737">
        <v>8</v>
      </c>
      <c r="E737" t="s">
        <v>812</v>
      </c>
      <c r="F737" s="2">
        <v>0.90694444444444444</v>
      </c>
    </row>
    <row r="738" spans="1:6" x14ac:dyDescent="0.3">
      <c r="A738" t="s">
        <v>1335</v>
      </c>
      <c r="B738" s="1">
        <v>45203</v>
      </c>
      <c r="C738" t="s">
        <v>1351</v>
      </c>
      <c r="D738">
        <v>34</v>
      </c>
      <c r="E738" t="s">
        <v>807</v>
      </c>
      <c r="F738" s="2">
        <v>0.32430555555555557</v>
      </c>
    </row>
    <row r="739" spans="1:6" x14ac:dyDescent="0.3">
      <c r="A739" t="s">
        <v>1335</v>
      </c>
      <c r="B739" s="1">
        <v>45201</v>
      </c>
      <c r="C739" t="s">
        <v>858</v>
      </c>
      <c r="D739">
        <v>86</v>
      </c>
      <c r="E739" t="s">
        <v>812</v>
      </c>
      <c r="F739" s="2">
        <v>0.64097222222222228</v>
      </c>
    </row>
    <row r="740" spans="1:6" x14ac:dyDescent="0.3">
      <c r="A740" t="s">
        <v>1335</v>
      </c>
      <c r="B740" s="1">
        <v>45212</v>
      </c>
      <c r="C740" t="s">
        <v>1353</v>
      </c>
      <c r="D740">
        <v>112</v>
      </c>
      <c r="E740" t="s">
        <v>812</v>
      </c>
      <c r="F740" s="2">
        <v>0.17430555555555555</v>
      </c>
    </row>
    <row r="741" spans="1:6" x14ac:dyDescent="0.3">
      <c r="A741" t="s">
        <v>1335</v>
      </c>
      <c r="B741" s="1">
        <v>45229</v>
      </c>
      <c r="C741" t="s">
        <v>872</v>
      </c>
      <c r="D741">
        <v>93</v>
      </c>
      <c r="E741" t="s">
        <v>807</v>
      </c>
      <c r="F741" s="2">
        <v>6.5972222222222224E-2</v>
      </c>
    </row>
    <row r="742" spans="1:6" x14ac:dyDescent="0.3">
      <c r="A742" t="s">
        <v>1335</v>
      </c>
      <c r="B742" s="1">
        <v>45225</v>
      </c>
      <c r="C742" t="s">
        <v>1354</v>
      </c>
      <c r="D742">
        <v>117</v>
      </c>
      <c r="E742" t="s">
        <v>807</v>
      </c>
      <c r="F742" s="2">
        <v>0.94930555555555551</v>
      </c>
    </row>
    <row r="743" spans="1:6" x14ac:dyDescent="0.3">
      <c r="A743" t="s">
        <v>1335</v>
      </c>
      <c r="B743" s="1">
        <v>45220</v>
      </c>
      <c r="C743" t="s">
        <v>1355</v>
      </c>
      <c r="D743">
        <v>6</v>
      </c>
      <c r="E743" t="s">
        <v>807</v>
      </c>
      <c r="F743" s="2">
        <v>0.55138888888888893</v>
      </c>
    </row>
    <row r="744" spans="1:6" x14ac:dyDescent="0.3">
      <c r="A744" t="s">
        <v>1335</v>
      </c>
      <c r="B744" s="1">
        <v>45210</v>
      </c>
      <c r="C744" t="s">
        <v>1144</v>
      </c>
      <c r="D744">
        <v>47</v>
      </c>
      <c r="E744" t="s">
        <v>810</v>
      </c>
      <c r="F744" s="2">
        <v>0.30972222222222223</v>
      </c>
    </row>
    <row r="745" spans="1:6" x14ac:dyDescent="0.3">
      <c r="A745" t="s">
        <v>1335</v>
      </c>
      <c r="B745" s="1">
        <v>45229</v>
      </c>
      <c r="C745" t="s">
        <v>1276</v>
      </c>
      <c r="D745">
        <v>5</v>
      </c>
      <c r="E745" t="s">
        <v>812</v>
      </c>
      <c r="F745" s="2">
        <v>0.97222222222222221</v>
      </c>
    </row>
    <row r="746" spans="1:6" x14ac:dyDescent="0.3">
      <c r="A746" t="s">
        <v>1335</v>
      </c>
      <c r="B746" s="1">
        <v>45208</v>
      </c>
      <c r="C746" t="s">
        <v>1356</v>
      </c>
      <c r="D746">
        <v>102</v>
      </c>
      <c r="E746" t="s">
        <v>810</v>
      </c>
      <c r="F746" s="2">
        <v>0.10833333333333334</v>
      </c>
    </row>
    <row r="747" spans="1:6" x14ac:dyDescent="0.3">
      <c r="A747" t="s">
        <v>1335</v>
      </c>
      <c r="B747" s="1">
        <v>45211</v>
      </c>
      <c r="C747" t="s">
        <v>1357</v>
      </c>
      <c r="D747">
        <v>89</v>
      </c>
      <c r="E747" t="s">
        <v>810</v>
      </c>
      <c r="F747" s="2">
        <v>0.14722222222222223</v>
      </c>
    </row>
    <row r="748" spans="1:6" x14ac:dyDescent="0.3">
      <c r="A748" t="s">
        <v>1335</v>
      </c>
      <c r="B748" s="1">
        <v>45221</v>
      </c>
      <c r="C748" t="s">
        <v>1141</v>
      </c>
      <c r="D748">
        <v>53</v>
      </c>
      <c r="E748" t="s">
        <v>810</v>
      </c>
      <c r="F748" s="2">
        <v>4.9305555555555554E-2</v>
      </c>
    </row>
    <row r="749" spans="1:6" x14ac:dyDescent="0.3">
      <c r="A749" t="s">
        <v>1335</v>
      </c>
      <c r="B749" s="1">
        <v>45207</v>
      </c>
      <c r="C749" t="s">
        <v>1358</v>
      </c>
      <c r="D749">
        <v>113</v>
      </c>
      <c r="E749" t="s">
        <v>807</v>
      </c>
      <c r="F749" s="2">
        <v>0.66805555555555551</v>
      </c>
    </row>
    <row r="750" spans="1:6" x14ac:dyDescent="0.3">
      <c r="A750" t="s">
        <v>1335</v>
      </c>
      <c r="B750" s="1">
        <v>45230</v>
      </c>
      <c r="C750" t="s">
        <v>1200</v>
      </c>
      <c r="D750">
        <v>99</v>
      </c>
      <c r="E750" t="s">
        <v>807</v>
      </c>
      <c r="F750" s="2">
        <v>0.50277777777777777</v>
      </c>
    </row>
    <row r="751" spans="1:6" x14ac:dyDescent="0.3">
      <c r="A751" t="s">
        <v>1335</v>
      </c>
      <c r="B751" s="1">
        <v>45228</v>
      </c>
      <c r="C751" t="s">
        <v>871</v>
      </c>
      <c r="D751">
        <v>98</v>
      </c>
      <c r="E751" t="s">
        <v>812</v>
      </c>
      <c r="F751" s="2">
        <v>0.62152777777777779</v>
      </c>
    </row>
    <row r="752" spans="1:6" x14ac:dyDescent="0.3">
      <c r="A752" t="s">
        <v>1335</v>
      </c>
      <c r="B752" s="1">
        <v>45209</v>
      </c>
      <c r="C752" t="s">
        <v>1359</v>
      </c>
      <c r="D752">
        <v>44</v>
      </c>
      <c r="E752" t="s">
        <v>807</v>
      </c>
      <c r="F752" s="2">
        <v>0.3888888888888889</v>
      </c>
    </row>
    <row r="753" spans="1:6" x14ac:dyDescent="0.3">
      <c r="A753" t="s">
        <v>1335</v>
      </c>
      <c r="B753" s="1">
        <v>45202</v>
      </c>
      <c r="C753" t="s">
        <v>1285</v>
      </c>
      <c r="D753">
        <v>18</v>
      </c>
      <c r="E753" t="s">
        <v>807</v>
      </c>
      <c r="F753" s="2">
        <v>0.72847222222222219</v>
      </c>
    </row>
    <row r="754" spans="1:6" x14ac:dyDescent="0.3">
      <c r="A754" t="s">
        <v>1335</v>
      </c>
      <c r="B754" s="1">
        <v>45200</v>
      </c>
      <c r="C754" t="s">
        <v>1360</v>
      </c>
      <c r="D754">
        <v>31</v>
      </c>
      <c r="E754" t="s">
        <v>810</v>
      </c>
      <c r="F754" s="2">
        <v>0.46666666666666667</v>
      </c>
    </row>
    <row r="755" spans="1:6" x14ac:dyDescent="0.3">
      <c r="A755" t="s">
        <v>1361</v>
      </c>
      <c r="B755" s="1">
        <v>45226</v>
      </c>
      <c r="C755" t="s">
        <v>1276</v>
      </c>
      <c r="D755">
        <v>81</v>
      </c>
      <c r="E755" t="s">
        <v>812</v>
      </c>
      <c r="F755" s="2">
        <v>0.20902777777777778</v>
      </c>
    </row>
    <row r="756" spans="1:6" x14ac:dyDescent="0.3">
      <c r="A756" t="s">
        <v>1361</v>
      </c>
      <c r="B756" s="1">
        <v>45230</v>
      </c>
      <c r="C756" t="s">
        <v>1362</v>
      </c>
      <c r="D756">
        <v>33</v>
      </c>
      <c r="E756" t="s">
        <v>810</v>
      </c>
      <c r="F756" s="2">
        <v>0.53749999999999998</v>
      </c>
    </row>
    <row r="757" spans="1:6" x14ac:dyDescent="0.3">
      <c r="A757" t="s">
        <v>1361</v>
      </c>
      <c r="B757" s="1">
        <v>45214</v>
      </c>
      <c r="C757" t="s">
        <v>1052</v>
      </c>
      <c r="D757">
        <v>8</v>
      </c>
      <c r="E757" t="s">
        <v>807</v>
      </c>
      <c r="F757" s="2">
        <v>0.74097222222222225</v>
      </c>
    </row>
    <row r="758" spans="1:6" x14ac:dyDescent="0.3">
      <c r="A758" t="s">
        <v>1361</v>
      </c>
      <c r="B758" s="1">
        <v>45217</v>
      </c>
      <c r="C758" t="s">
        <v>1363</v>
      </c>
      <c r="D758">
        <v>119</v>
      </c>
      <c r="E758" t="s">
        <v>807</v>
      </c>
      <c r="F758" s="2">
        <v>0.29583333333333334</v>
      </c>
    </row>
    <row r="759" spans="1:6" x14ac:dyDescent="0.3">
      <c r="A759" t="s">
        <v>1361</v>
      </c>
      <c r="B759" s="1">
        <v>45214</v>
      </c>
      <c r="C759" t="s">
        <v>1248</v>
      </c>
      <c r="D759">
        <v>108</v>
      </c>
      <c r="E759" t="s">
        <v>812</v>
      </c>
      <c r="F759" s="2">
        <v>0.16041666666666668</v>
      </c>
    </row>
    <row r="760" spans="1:6" x14ac:dyDescent="0.3">
      <c r="A760" t="s">
        <v>1361</v>
      </c>
      <c r="B760" s="1">
        <v>45225</v>
      </c>
      <c r="C760" t="s">
        <v>1364</v>
      </c>
      <c r="D760">
        <v>104</v>
      </c>
      <c r="E760" t="s">
        <v>810</v>
      </c>
      <c r="F760" s="2">
        <v>0.17152777777777778</v>
      </c>
    </row>
    <row r="761" spans="1:6" x14ac:dyDescent="0.3">
      <c r="A761" t="s">
        <v>1361</v>
      </c>
      <c r="B761" s="1">
        <v>45200</v>
      </c>
      <c r="C761" t="s">
        <v>1045</v>
      </c>
      <c r="D761">
        <v>40</v>
      </c>
      <c r="E761" t="s">
        <v>807</v>
      </c>
      <c r="F761" s="2">
        <v>7.8472222222222221E-2</v>
      </c>
    </row>
    <row r="762" spans="1:6" x14ac:dyDescent="0.3">
      <c r="A762" t="s">
        <v>1361</v>
      </c>
      <c r="B762" s="1">
        <v>45224</v>
      </c>
      <c r="C762" t="s">
        <v>1365</v>
      </c>
      <c r="D762">
        <v>12</v>
      </c>
      <c r="E762" t="s">
        <v>812</v>
      </c>
      <c r="F762" s="2">
        <v>0.29722222222222222</v>
      </c>
    </row>
    <row r="763" spans="1:6" x14ac:dyDescent="0.3">
      <c r="A763" t="s">
        <v>1361</v>
      </c>
      <c r="B763" s="1">
        <v>45206</v>
      </c>
      <c r="C763" t="s">
        <v>1366</v>
      </c>
      <c r="D763">
        <v>108</v>
      </c>
      <c r="E763" t="s">
        <v>807</v>
      </c>
      <c r="F763" s="2">
        <v>0.51597222222222228</v>
      </c>
    </row>
    <row r="764" spans="1:6" x14ac:dyDescent="0.3">
      <c r="A764" t="s">
        <v>1361</v>
      </c>
      <c r="B764" s="1">
        <v>45221</v>
      </c>
      <c r="C764" t="s">
        <v>1367</v>
      </c>
      <c r="D764">
        <v>65</v>
      </c>
      <c r="E764" t="s">
        <v>807</v>
      </c>
      <c r="F764" s="2">
        <v>0.8618055555555556</v>
      </c>
    </row>
    <row r="765" spans="1:6" x14ac:dyDescent="0.3">
      <c r="A765" t="s">
        <v>1361</v>
      </c>
      <c r="B765" s="1">
        <v>45202</v>
      </c>
      <c r="C765" t="s">
        <v>1346</v>
      </c>
      <c r="D765">
        <v>72</v>
      </c>
      <c r="E765" t="s">
        <v>807</v>
      </c>
      <c r="F765" s="2">
        <v>0.77569444444444446</v>
      </c>
    </row>
    <row r="766" spans="1:6" x14ac:dyDescent="0.3">
      <c r="A766" t="s">
        <v>1361</v>
      </c>
      <c r="B766" s="1">
        <v>45208</v>
      </c>
      <c r="C766" t="s">
        <v>1368</v>
      </c>
      <c r="D766">
        <v>50</v>
      </c>
      <c r="E766" t="s">
        <v>810</v>
      </c>
      <c r="F766" s="2">
        <v>8.4027777777777785E-2</v>
      </c>
    </row>
    <row r="767" spans="1:6" x14ac:dyDescent="0.3">
      <c r="A767" t="s">
        <v>1361</v>
      </c>
      <c r="B767" s="1">
        <v>45202</v>
      </c>
      <c r="C767" t="s">
        <v>945</v>
      </c>
      <c r="D767">
        <v>103</v>
      </c>
      <c r="E767" t="s">
        <v>810</v>
      </c>
      <c r="F767" s="2">
        <v>0.28958333333333336</v>
      </c>
    </row>
    <row r="768" spans="1:6" x14ac:dyDescent="0.3">
      <c r="A768" t="s">
        <v>1361</v>
      </c>
      <c r="B768" s="1">
        <v>45220</v>
      </c>
      <c r="C768" t="s">
        <v>1356</v>
      </c>
      <c r="D768">
        <v>79</v>
      </c>
      <c r="E768" t="s">
        <v>807</v>
      </c>
      <c r="F768" s="2">
        <v>0.61875000000000002</v>
      </c>
    </row>
    <row r="769" spans="1:6" x14ac:dyDescent="0.3">
      <c r="A769" t="s">
        <v>1361</v>
      </c>
      <c r="B769" s="1">
        <v>45204</v>
      </c>
      <c r="C769" t="s">
        <v>1275</v>
      </c>
      <c r="D769">
        <v>34</v>
      </c>
      <c r="E769" t="s">
        <v>807</v>
      </c>
      <c r="F769" s="2">
        <v>0.12291666666666666</v>
      </c>
    </row>
    <row r="770" spans="1:6" x14ac:dyDescent="0.3">
      <c r="A770" t="s">
        <v>1361</v>
      </c>
      <c r="B770" s="1">
        <v>45227</v>
      </c>
      <c r="C770" t="s">
        <v>1340</v>
      </c>
      <c r="D770">
        <v>25</v>
      </c>
      <c r="E770" t="s">
        <v>810</v>
      </c>
      <c r="F770" s="2">
        <v>0.42152777777777778</v>
      </c>
    </row>
    <row r="771" spans="1:6" x14ac:dyDescent="0.3">
      <c r="A771" t="s">
        <v>1361</v>
      </c>
      <c r="B771" s="1">
        <v>45201</v>
      </c>
      <c r="C771" t="s">
        <v>1369</v>
      </c>
      <c r="D771">
        <v>17</v>
      </c>
      <c r="E771" t="s">
        <v>812</v>
      </c>
      <c r="F771" s="2">
        <v>0.5854166666666667</v>
      </c>
    </row>
    <row r="772" spans="1:6" x14ac:dyDescent="0.3">
      <c r="A772" t="s">
        <v>1361</v>
      </c>
      <c r="B772" s="1">
        <v>45205</v>
      </c>
      <c r="C772" t="s">
        <v>1370</v>
      </c>
      <c r="D772">
        <v>36</v>
      </c>
      <c r="E772" t="s">
        <v>807</v>
      </c>
      <c r="F772" s="2">
        <v>0.76875000000000004</v>
      </c>
    </row>
    <row r="773" spans="1:6" x14ac:dyDescent="0.3">
      <c r="A773" t="s">
        <v>1361</v>
      </c>
      <c r="B773" s="1">
        <v>45226</v>
      </c>
      <c r="C773" t="s">
        <v>993</v>
      </c>
      <c r="D773">
        <v>89</v>
      </c>
      <c r="E773" t="s">
        <v>812</v>
      </c>
      <c r="F773" s="2">
        <v>0.97569444444444442</v>
      </c>
    </row>
    <row r="774" spans="1:6" x14ac:dyDescent="0.3">
      <c r="A774" t="s">
        <v>1361</v>
      </c>
      <c r="B774" s="1">
        <v>45221</v>
      </c>
      <c r="C774" t="s">
        <v>1371</v>
      </c>
      <c r="D774">
        <v>39</v>
      </c>
      <c r="E774" t="s">
        <v>810</v>
      </c>
      <c r="F774" s="2">
        <v>0.5493055555555556</v>
      </c>
    </row>
    <row r="775" spans="1:6" x14ac:dyDescent="0.3">
      <c r="A775" t="s">
        <v>1361</v>
      </c>
      <c r="B775" s="1">
        <v>45211</v>
      </c>
      <c r="C775" t="s">
        <v>1372</v>
      </c>
      <c r="D775">
        <v>73</v>
      </c>
      <c r="E775" t="s">
        <v>812</v>
      </c>
      <c r="F775" s="2">
        <v>0.2902777777777778</v>
      </c>
    </row>
    <row r="776" spans="1:6" x14ac:dyDescent="0.3">
      <c r="A776" t="s">
        <v>1361</v>
      </c>
      <c r="B776" s="1">
        <v>45205</v>
      </c>
      <c r="C776" t="s">
        <v>980</v>
      </c>
      <c r="D776">
        <v>109</v>
      </c>
      <c r="E776" t="s">
        <v>810</v>
      </c>
      <c r="F776" s="2">
        <v>0.34513888888888888</v>
      </c>
    </row>
    <row r="777" spans="1:6" x14ac:dyDescent="0.3">
      <c r="A777" t="s">
        <v>1361</v>
      </c>
      <c r="B777" s="1">
        <v>45214</v>
      </c>
      <c r="C777" t="s">
        <v>1373</v>
      </c>
      <c r="D777">
        <v>106</v>
      </c>
      <c r="E777" t="s">
        <v>807</v>
      </c>
      <c r="F777" s="2">
        <v>0.16805555555555557</v>
      </c>
    </row>
    <row r="778" spans="1:6" x14ac:dyDescent="0.3">
      <c r="A778" t="s">
        <v>1361</v>
      </c>
      <c r="B778" s="1">
        <v>45219</v>
      </c>
      <c r="C778" t="s">
        <v>989</v>
      </c>
      <c r="D778">
        <v>99</v>
      </c>
      <c r="E778" t="s">
        <v>812</v>
      </c>
      <c r="F778" s="2">
        <v>0.81874999999999998</v>
      </c>
    </row>
    <row r="779" spans="1:6" x14ac:dyDescent="0.3">
      <c r="A779" t="s">
        <v>1361</v>
      </c>
      <c r="B779" s="1">
        <v>45207</v>
      </c>
      <c r="C779" t="s">
        <v>1024</v>
      </c>
      <c r="D779">
        <v>12</v>
      </c>
      <c r="E779" t="s">
        <v>812</v>
      </c>
      <c r="F779" s="2">
        <v>0.84583333333333333</v>
      </c>
    </row>
    <row r="780" spans="1:6" x14ac:dyDescent="0.3">
      <c r="A780" t="s">
        <v>1361</v>
      </c>
      <c r="B780" s="1">
        <v>45215</v>
      </c>
      <c r="C780" t="s">
        <v>1037</v>
      </c>
      <c r="D780">
        <v>102</v>
      </c>
      <c r="E780" t="s">
        <v>812</v>
      </c>
      <c r="F780" s="2">
        <v>0.5805555555555556</v>
      </c>
    </row>
    <row r="781" spans="1:6" x14ac:dyDescent="0.3">
      <c r="A781" t="s">
        <v>1361</v>
      </c>
      <c r="B781" s="1">
        <v>45217</v>
      </c>
      <c r="C781" t="s">
        <v>956</v>
      </c>
      <c r="D781">
        <v>33</v>
      </c>
      <c r="E781" t="s">
        <v>807</v>
      </c>
      <c r="F781" s="2">
        <v>0.62708333333333333</v>
      </c>
    </row>
    <row r="782" spans="1:6" x14ac:dyDescent="0.3">
      <c r="A782" t="s">
        <v>1361</v>
      </c>
      <c r="B782" s="1">
        <v>45202</v>
      </c>
      <c r="C782" t="s">
        <v>1374</v>
      </c>
      <c r="D782">
        <v>78</v>
      </c>
      <c r="E782" t="s">
        <v>807</v>
      </c>
      <c r="F782" s="2">
        <v>0.35</v>
      </c>
    </row>
    <row r="783" spans="1:6" x14ac:dyDescent="0.3">
      <c r="A783" t="s">
        <v>1361</v>
      </c>
      <c r="B783" s="1">
        <v>45204</v>
      </c>
      <c r="C783" t="s">
        <v>1031</v>
      </c>
      <c r="D783">
        <v>113</v>
      </c>
      <c r="E783" t="s">
        <v>810</v>
      </c>
      <c r="F783" s="2">
        <v>0.55000000000000004</v>
      </c>
    </row>
    <row r="784" spans="1:6" x14ac:dyDescent="0.3">
      <c r="A784" t="s">
        <v>1361</v>
      </c>
      <c r="B784" s="1">
        <v>45220</v>
      </c>
      <c r="C784" t="s">
        <v>1375</v>
      </c>
      <c r="D784">
        <v>107</v>
      </c>
      <c r="E784" t="s">
        <v>812</v>
      </c>
      <c r="F784" s="2">
        <v>0.67708333333333337</v>
      </c>
    </row>
    <row r="785" spans="1:6" x14ac:dyDescent="0.3">
      <c r="A785" t="s">
        <v>1361</v>
      </c>
      <c r="B785" s="1">
        <v>45220</v>
      </c>
      <c r="C785" t="s">
        <v>1195</v>
      </c>
      <c r="D785">
        <v>54</v>
      </c>
      <c r="E785" t="s">
        <v>810</v>
      </c>
      <c r="F785" s="2">
        <v>0.74305555555555558</v>
      </c>
    </row>
    <row r="786" spans="1:6" x14ac:dyDescent="0.3">
      <c r="A786" t="s">
        <v>1361</v>
      </c>
      <c r="B786" s="1">
        <v>45200</v>
      </c>
      <c r="C786" t="s">
        <v>1376</v>
      </c>
      <c r="D786">
        <v>50</v>
      </c>
      <c r="E786" t="s">
        <v>812</v>
      </c>
      <c r="F786" s="2">
        <v>0.53472222222222221</v>
      </c>
    </row>
    <row r="787" spans="1:6" x14ac:dyDescent="0.3">
      <c r="A787" t="s">
        <v>1361</v>
      </c>
      <c r="B787" s="1">
        <v>45222</v>
      </c>
      <c r="C787" t="s">
        <v>1377</v>
      </c>
      <c r="D787">
        <v>112</v>
      </c>
      <c r="E787" t="s">
        <v>810</v>
      </c>
      <c r="F787" s="2">
        <v>0.47916666666666669</v>
      </c>
    </row>
    <row r="788" spans="1:6" x14ac:dyDescent="0.3">
      <c r="A788" t="s">
        <v>1361</v>
      </c>
      <c r="B788" s="1">
        <v>45217</v>
      </c>
      <c r="C788" t="s">
        <v>1378</v>
      </c>
      <c r="D788">
        <v>113</v>
      </c>
      <c r="E788" t="s">
        <v>812</v>
      </c>
      <c r="F788" s="2">
        <v>0.64027777777777772</v>
      </c>
    </row>
    <row r="789" spans="1:6" x14ac:dyDescent="0.3">
      <c r="A789" t="s">
        <v>1361</v>
      </c>
      <c r="B789" s="1">
        <v>45229</v>
      </c>
      <c r="C789" t="s">
        <v>1256</v>
      </c>
      <c r="D789">
        <v>27</v>
      </c>
      <c r="E789" t="s">
        <v>807</v>
      </c>
      <c r="F789" s="2">
        <v>0.77222222222222225</v>
      </c>
    </row>
    <row r="790" spans="1:6" x14ac:dyDescent="0.3">
      <c r="A790" t="s">
        <v>1361</v>
      </c>
      <c r="B790" s="1">
        <v>45210</v>
      </c>
      <c r="C790" t="s">
        <v>1379</v>
      </c>
      <c r="D790">
        <v>27</v>
      </c>
      <c r="E790" t="s">
        <v>810</v>
      </c>
      <c r="F790" s="2">
        <v>0.51180555555555551</v>
      </c>
    </row>
    <row r="791" spans="1:6" x14ac:dyDescent="0.3">
      <c r="A791" t="s">
        <v>1380</v>
      </c>
      <c r="B791" s="1">
        <v>45226</v>
      </c>
      <c r="C791" t="s">
        <v>1381</v>
      </c>
      <c r="D791">
        <v>11</v>
      </c>
      <c r="E791" t="s">
        <v>810</v>
      </c>
      <c r="F791" s="2">
        <v>0.22500000000000001</v>
      </c>
    </row>
    <row r="792" spans="1:6" x14ac:dyDescent="0.3">
      <c r="A792" t="s">
        <v>1380</v>
      </c>
      <c r="B792" s="1">
        <v>45209</v>
      </c>
      <c r="C792" t="s">
        <v>1275</v>
      </c>
      <c r="D792">
        <v>51</v>
      </c>
      <c r="E792" t="s">
        <v>810</v>
      </c>
      <c r="F792" s="2">
        <v>0.98888888888888893</v>
      </c>
    </row>
    <row r="793" spans="1:6" x14ac:dyDescent="0.3">
      <c r="A793" t="s">
        <v>1380</v>
      </c>
      <c r="B793" s="1">
        <v>45209</v>
      </c>
      <c r="C793" t="s">
        <v>1357</v>
      </c>
      <c r="D793">
        <v>5</v>
      </c>
      <c r="E793" t="s">
        <v>807</v>
      </c>
      <c r="F793" s="2">
        <v>0.17430555555555555</v>
      </c>
    </row>
    <row r="794" spans="1:6" x14ac:dyDescent="0.3">
      <c r="A794" t="s">
        <v>1380</v>
      </c>
      <c r="B794" s="1">
        <v>45230</v>
      </c>
      <c r="C794" t="s">
        <v>1382</v>
      </c>
      <c r="D794">
        <v>16</v>
      </c>
      <c r="E794" t="s">
        <v>812</v>
      </c>
      <c r="F794" s="2">
        <v>0.76736111111111116</v>
      </c>
    </row>
    <row r="795" spans="1:6" x14ac:dyDescent="0.3">
      <c r="A795" t="s">
        <v>1380</v>
      </c>
      <c r="B795" s="1">
        <v>45227</v>
      </c>
      <c r="C795" t="s">
        <v>1263</v>
      </c>
      <c r="D795">
        <v>42</v>
      </c>
      <c r="E795" t="s">
        <v>807</v>
      </c>
      <c r="F795" s="2">
        <v>0.75138888888888888</v>
      </c>
    </row>
    <row r="796" spans="1:6" x14ac:dyDescent="0.3">
      <c r="A796" t="s">
        <v>1380</v>
      </c>
      <c r="B796" s="1">
        <v>45205</v>
      </c>
      <c r="C796" t="s">
        <v>1383</v>
      </c>
      <c r="D796">
        <v>110</v>
      </c>
      <c r="E796" t="s">
        <v>807</v>
      </c>
      <c r="F796" s="2">
        <v>0.80555555555555558</v>
      </c>
    </row>
    <row r="797" spans="1:6" x14ac:dyDescent="0.3">
      <c r="A797" t="s">
        <v>1380</v>
      </c>
      <c r="B797" s="1">
        <v>45229</v>
      </c>
      <c r="C797" t="s">
        <v>1021</v>
      </c>
      <c r="D797">
        <v>89</v>
      </c>
      <c r="E797" t="s">
        <v>807</v>
      </c>
      <c r="F797" s="2">
        <v>0.80138888888888893</v>
      </c>
    </row>
    <row r="798" spans="1:6" x14ac:dyDescent="0.3">
      <c r="A798" t="s">
        <v>1380</v>
      </c>
      <c r="B798" s="1">
        <v>45220</v>
      </c>
      <c r="C798" t="s">
        <v>947</v>
      </c>
      <c r="D798">
        <v>85</v>
      </c>
      <c r="E798" t="s">
        <v>807</v>
      </c>
      <c r="F798" s="2">
        <v>0.75416666666666665</v>
      </c>
    </row>
    <row r="799" spans="1:6" x14ac:dyDescent="0.3">
      <c r="A799" t="s">
        <v>1380</v>
      </c>
      <c r="B799" s="1">
        <v>45229</v>
      </c>
      <c r="C799" t="s">
        <v>1384</v>
      </c>
      <c r="D799">
        <v>81</v>
      </c>
      <c r="E799" t="s">
        <v>807</v>
      </c>
      <c r="F799" s="2">
        <v>0.63124999999999998</v>
      </c>
    </row>
    <row r="800" spans="1:6" x14ac:dyDescent="0.3">
      <c r="A800" t="s">
        <v>1380</v>
      </c>
      <c r="B800" s="1">
        <v>45210</v>
      </c>
      <c r="C800" t="s">
        <v>972</v>
      </c>
      <c r="D800">
        <v>66</v>
      </c>
      <c r="E800" t="s">
        <v>807</v>
      </c>
      <c r="F800" s="2">
        <v>0.96111111111111114</v>
      </c>
    </row>
    <row r="801" spans="1:6" x14ac:dyDescent="0.3">
      <c r="A801" t="s">
        <v>1380</v>
      </c>
      <c r="B801" s="1">
        <v>45207</v>
      </c>
      <c r="C801" t="s">
        <v>1385</v>
      </c>
      <c r="D801">
        <v>30</v>
      </c>
      <c r="E801" t="s">
        <v>812</v>
      </c>
      <c r="F801" s="2">
        <v>0.47222222222222221</v>
      </c>
    </row>
    <row r="802" spans="1:6" x14ac:dyDescent="0.3">
      <c r="A802" t="s">
        <v>1380</v>
      </c>
      <c r="B802" s="1">
        <v>45205</v>
      </c>
      <c r="C802" t="s">
        <v>1386</v>
      </c>
      <c r="D802">
        <v>17</v>
      </c>
      <c r="E802" t="s">
        <v>807</v>
      </c>
      <c r="F802" s="2">
        <v>0.87222222222222223</v>
      </c>
    </row>
    <row r="803" spans="1:6" x14ac:dyDescent="0.3">
      <c r="A803" t="s">
        <v>1380</v>
      </c>
      <c r="B803" s="1">
        <v>45230</v>
      </c>
      <c r="C803" t="s">
        <v>991</v>
      </c>
      <c r="D803">
        <v>8</v>
      </c>
      <c r="E803" t="s">
        <v>810</v>
      </c>
      <c r="F803" s="2">
        <v>0.11944444444444445</v>
      </c>
    </row>
    <row r="804" spans="1:6" x14ac:dyDescent="0.3">
      <c r="A804" t="s">
        <v>1380</v>
      </c>
      <c r="B804" s="1">
        <v>45222</v>
      </c>
      <c r="C804" t="s">
        <v>1042</v>
      </c>
      <c r="D804">
        <v>31</v>
      </c>
      <c r="E804" t="s">
        <v>812</v>
      </c>
      <c r="F804" s="2">
        <v>0.90277777777777779</v>
      </c>
    </row>
    <row r="805" spans="1:6" x14ac:dyDescent="0.3">
      <c r="A805" t="s">
        <v>1380</v>
      </c>
      <c r="B805" s="1">
        <v>45223</v>
      </c>
      <c r="C805" t="s">
        <v>997</v>
      </c>
      <c r="D805">
        <v>26</v>
      </c>
      <c r="E805" t="s">
        <v>807</v>
      </c>
      <c r="F805" s="2">
        <v>0.43611111111111112</v>
      </c>
    </row>
    <row r="806" spans="1:6" x14ac:dyDescent="0.3">
      <c r="A806" t="s">
        <v>1380</v>
      </c>
      <c r="B806" s="1">
        <v>45200</v>
      </c>
      <c r="C806" t="s">
        <v>1088</v>
      </c>
      <c r="D806">
        <v>86</v>
      </c>
      <c r="E806" t="s">
        <v>810</v>
      </c>
      <c r="F806" s="2">
        <v>0.34236111111111112</v>
      </c>
    </row>
    <row r="807" spans="1:6" x14ac:dyDescent="0.3">
      <c r="A807" t="s">
        <v>1380</v>
      </c>
      <c r="B807" s="1">
        <v>45207</v>
      </c>
      <c r="C807" t="s">
        <v>1387</v>
      </c>
      <c r="D807">
        <v>42</v>
      </c>
      <c r="E807" t="s">
        <v>807</v>
      </c>
      <c r="F807" s="2">
        <v>0.9194444444444444</v>
      </c>
    </row>
    <row r="808" spans="1:6" x14ac:dyDescent="0.3">
      <c r="A808" t="s">
        <v>1380</v>
      </c>
      <c r="B808" s="1">
        <v>45211</v>
      </c>
      <c r="C808" t="s">
        <v>971</v>
      </c>
      <c r="D808">
        <v>15</v>
      </c>
      <c r="E808" t="s">
        <v>810</v>
      </c>
      <c r="F808" s="2">
        <v>0.36805555555555558</v>
      </c>
    </row>
    <row r="809" spans="1:6" x14ac:dyDescent="0.3">
      <c r="A809" t="s">
        <v>1380</v>
      </c>
      <c r="B809" s="1">
        <v>45203</v>
      </c>
      <c r="C809" t="s">
        <v>1388</v>
      </c>
      <c r="D809">
        <v>65</v>
      </c>
      <c r="E809" t="s">
        <v>812</v>
      </c>
      <c r="F809" s="2">
        <v>0.95833333333333337</v>
      </c>
    </row>
    <row r="810" spans="1:6" x14ac:dyDescent="0.3">
      <c r="A810" t="s">
        <v>1380</v>
      </c>
      <c r="B810" s="1">
        <v>45201</v>
      </c>
      <c r="C810" t="s">
        <v>924</v>
      </c>
      <c r="D810">
        <v>113</v>
      </c>
      <c r="E810" t="s">
        <v>812</v>
      </c>
      <c r="F810" s="2">
        <v>0.51944444444444449</v>
      </c>
    </row>
    <row r="811" spans="1:6" x14ac:dyDescent="0.3">
      <c r="A811" t="s">
        <v>1380</v>
      </c>
      <c r="B811" s="1">
        <v>45223</v>
      </c>
      <c r="C811" t="s">
        <v>1333</v>
      </c>
      <c r="D811">
        <v>19</v>
      </c>
      <c r="E811" t="s">
        <v>810</v>
      </c>
      <c r="F811" s="2">
        <v>0.54861111111111116</v>
      </c>
    </row>
    <row r="812" spans="1:6" x14ac:dyDescent="0.3">
      <c r="A812" t="s">
        <v>1380</v>
      </c>
      <c r="B812" s="1">
        <v>45228</v>
      </c>
      <c r="C812" t="s">
        <v>1288</v>
      </c>
      <c r="D812">
        <v>44</v>
      </c>
      <c r="E812" t="s">
        <v>807</v>
      </c>
      <c r="F812" s="2">
        <v>0.56319444444444444</v>
      </c>
    </row>
    <row r="813" spans="1:6" x14ac:dyDescent="0.3">
      <c r="A813" t="s">
        <v>1380</v>
      </c>
      <c r="B813" s="1">
        <v>45228</v>
      </c>
      <c r="C813" t="s">
        <v>1389</v>
      </c>
      <c r="D813">
        <v>105</v>
      </c>
      <c r="E813" t="s">
        <v>807</v>
      </c>
      <c r="F813" s="2">
        <v>0.51527777777777772</v>
      </c>
    </row>
    <row r="814" spans="1:6" x14ac:dyDescent="0.3">
      <c r="A814" t="s">
        <v>1380</v>
      </c>
      <c r="B814" s="1">
        <v>45217</v>
      </c>
      <c r="C814" t="s">
        <v>1114</v>
      </c>
      <c r="D814">
        <v>55</v>
      </c>
      <c r="E814" t="s">
        <v>812</v>
      </c>
      <c r="F814" s="2">
        <v>0.50416666666666665</v>
      </c>
    </row>
    <row r="815" spans="1:6" x14ac:dyDescent="0.3">
      <c r="A815" t="s">
        <v>1380</v>
      </c>
      <c r="B815" s="1">
        <v>45226</v>
      </c>
      <c r="C815" t="s">
        <v>1099</v>
      </c>
      <c r="D815">
        <v>65</v>
      </c>
      <c r="E815" t="s">
        <v>810</v>
      </c>
      <c r="F815" s="2">
        <v>0.65972222222222221</v>
      </c>
    </row>
    <row r="816" spans="1:6" x14ac:dyDescent="0.3">
      <c r="A816" t="s">
        <v>1380</v>
      </c>
      <c r="B816" s="1">
        <v>45227</v>
      </c>
      <c r="C816" t="s">
        <v>1245</v>
      </c>
      <c r="D816">
        <v>67</v>
      </c>
      <c r="E816" t="s">
        <v>812</v>
      </c>
      <c r="F816" s="2">
        <v>0.77847222222222223</v>
      </c>
    </row>
    <row r="817" spans="1:6" x14ac:dyDescent="0.3">
      <c r="A817" t="s">
        <v>1380</v>
      </c>
      <c r="B817" s="1">
        <v>45224</v>
      </c>
      <c r="C817" t="s">
        <v>1390</v>
      </c>
      <c r="D817">
        <v>119</v>
      </c>
      <c r="E817" t="s">
        <v>810</v>
      </c>
      <c r="F817" s="2">
        <v>0.88472222222222219</v>
      </c>
    </row>
    <row r="818" spans="1:6" x14ac:dyDescent="0.3">
      <c r="A818" t="s">
        <v>1380</v>
      </c>
      <c r="B818" s="1">
        <v>45205</v>
      </c>
      <c r="C818" t="s">
        <v>1391</v>
      </c>
      <c r="D818">
        <v>89</v>
      </c>
      <c r="E818" t="s">
        <v>812</v>
      </c>
      <c r="F818" s="2">
        <v>0.58611111111111114</v>
      </c>
    </row>
    <row r="819" spans="1:6" x14ac:dyDescent="0.3">
      <c r="A819" t="s">
        <v>1380</v>
      </c>
      <c r="B819" s="1">
        <v>45225</v>
      </c>
      <c r="C819" t="s">
        <v>1392</v>
      </c>
      <c r="D819">
        <v>38</v>
      </c>
      <c r="E819" t="s">
        <v>812</v>
      </c>
      <c r="F819" s="2">
        <v>5.4166666666666669E-2</v>
      </c>
    </row>
    <row r="820" spans="1:6" x14ac:dyDescent="0.3">
      <c r="A820" t="s">
        <v>1380</v>
      </c>
      <c r="B820" s="1">
        <v>45200</v>
      </c>
      <c r="C820" t="s">
        <v>919</v>
      </c>
      <c r="D820">
        <v>16</v>
      </c>
      <c r="E820" t="s">
        <v>810</v>
      </c>
      <c r="F820" s="2">
        <v>0.42777777777777776</v>
      </c>
    </row>
    <row r="821" spans="1:6" x14ac:dyDescent="0.3">
      <c r="A821" t="s">
        <v>1380</v>
      </c>
      <c r="B821" s="1">
        <v>45230</v>
      </c>
      <c r="C821" t="s">
        <v>1301</v>
      </c>
      <c r="D821">
        <v>87</v>
      </c>
      <c r="E821" t="s">
        <v>812</v>
      </c>
      <c r="F821" s="2">
        <v>0.12777777777777777</v>
      </c>
    </row>
    <row r="822" spans="1:6" x14ac:dyDescent="0.3">
      <c r="A822" t="s">
        <v>1380</v>
      </c>
      <c r="B822" s="1">
        <v>45210</v>
      </c>
      <c r="C822" t="s">
        <v>1372</v>
      </c>
      <c r="D822">
        <v>74</v>
      </c>
      <c r="E822" t="s">
        <v>807</v>
      </c>
      <c r="F822" s="2">
        <v>0.24722222222222223</v>
      </c>
    </row>
    <row r="823" spans="1:6" x14ac:dyDescent="0.3">
      <c r="A823" t="s">
        <v>1380</v>
      </c>
      <c r="B823" s="1">
        <v>45212</v>
      </c>
      <c r="C823" t="s">
        <v>1159</v>
      </c>
      <c r="D823">
        <v>54</v>
      </c>
      <c r="E823" t="s">
        <v>810</v>
      </c>
      <c r="F823" s="2">
        <v>0.24027777777777778</v>
      </c>
    </row>
    <row r="824" spans="1:6" x14ac:dyDescent="0.3">
      <c r="A824" t="s">
        <v>1380</v>
      </c>
      <c r="B824" s="1">
        <v>45202</v>
      </c>
      <c r="C824" t="s">
        <v>953</v>
      </c>
      <c r="D824">
        <v>28</v>
      </c>
      <c r="E824" t="s">
        <v>810</v>
      </c>
      <c r="F824" s="2">
        <v>0.74791666666666667</v>
      </c>
    </row>
    <row r="825" spans="1:6" x14ac:dyDescent="0.3">
      <c r="A825" t="s">
        <v>1380</v>
      </c>
      <c r="B825" s="1">
        <v>45202</v>
      </c>
      <c r="C825" t="s">
        <v>1393</v>
      </c>
      <c r="D825">
        <v>52</v>
      </c>
      <c r="E825" t="s">
        <v>810</v>
      </c>
      <c r="F825" s="2">
        <v>0.44305555555555554</v>
      </c>
    </row>
    <row r="826" spans="1:6" x14ac:dyDescent="0.3">
      <c r="A826" t="s">
        <v>1380</v>
      </c>
      <c r="B826" s="1">
        <v>45219</v>
      </c>
      <c r="C826" t="s">
        <v>1091</v>
      </c>
      <c r="D826">
        <v>118</v>
      </c>
      <c r="E826" t="s">
        <v>810</v>
      </c>
      <c r="F826" s="2">
        <v>0.65625</v>
      </c>
    </row>
    <row r="827" spans="1:6" x14ac:dyDescent="0.3">
      <c r="A827" t="s">
        <v>1380</v>
      </c>
      <c r="B827" s="1">
        <v>45200</v>
      </c>
      <c r="C827" t="s">
        <v>1394</v>
      </c>
      <c r="D827">
        <v>53</v>
      </c>
      <c r="E827" t="s">
        <v>812</v>
      </c>
      <c r="F827" s="2">
        <v>0.57013888888888886</v>
      </c>
    </row>
    <row r="828" spans="1:6" x14ac:dyDescent="0.3">
      <c r="A828" t="s">
        <v>1380</v>
      </c>
      <c r="B828" s="1">
        <v>45205</v>
      </c>
      <c r="C828" t="s">
        <v>1395</v>
      </c>
      <c r="D828">
        <v>52</v>
      </c>
      <c r="E828" t="s">
        <v>807</v>
      </c>
      <c r="F828" s="2">
        <v>0.8305555555555556</v>
      </c>
    </row>
    <row r="829" spans="1:6" x14ac:dyDescent="0.3">
      <c r="A829" t="s">
        <v>1380</v>
      </c>
      <c r="B829" s="1">
        <v>45213</v>
      </c>
      <c r="C829" t="s">
        <v>1396</v>
      </c>
      <c r="D829">
        <v>28</v>
      </c>
      <c r="E829" t="s">
        <v>812</v>
      </c>
      <c r="F829" s="2">
        <v>0.21041666666666667</v>
      </c>
    </row>
    <row r="830" spans="1:6" x14ac:dyDescent="0.3">
      <c r="A830" t="s">
        <v>1380</v>
      </c>
      <c r="B830" s="1">
        <v>45203</v>
      </c>
      <c r="C830" t="s">
        <v>1397</v>
      </c>
      <c r="D830">
        <v>62</v>
      </c>
      <c r="E830" t="s">
        <v>807</v>
      </c>
      <c r="F830" s="2">
        <v>0.42569444444444443</v>
      </c>
    </row>
    <row r="831" spans="1:6" x14ac:dyDescent="0.3">
      <c r="A831" t="s">
        <v>1380</v>
      </c>
      <c r="B831" s="1">
        <v>45206</v>
      </c>
      <c r="C831" t="s">
        <v>1157</v>
      </c>
      <c r="D831">
        <v>10</v>
      </c>
      <c r="E831" t="s">
        <v>807</v>
      </c>
      <c r="F831" s="2">
        <v>0.57222222222222219</v>
      </c>
    </row>
    <row r="832" spans="1:6" x14ac:dyDescent="0.3">
      <c r="A832" t="s">
        <v>1380</v>
      </c>
      <c r="B832" s="1">
        <v>45217</v>
      </c>
      <c r="C832" t="s">
        <v>1112</v>
      </c>
      <c r="D832">
        <v>38</v>
      </c>
      <c r="E832" t="s">
        <v>810</v>
      </c>
      <c r="F832" s="2">
        <v>0.99930555555555556</v>
      </c>
    </row>
    <row r="833" spans="1:6" x14ac:dyDescent="0.3">
      <c r="A833" t="s">
        <v>1380</v>
      </c>
      <c r="B833" s="1">
        <v>45223</v>
      </c>
      <c r="C833" t="s">
        <v>1107</v>
      </c>
      <c r="D833">
        <v>61</v>
      </c>
      <c r="E833" t="s">
        <v>810</v>
      </c>
      <c r="F833" s="2">
        <v>0.71944444444444444</v>
      </c>
    </row>
    <row r="834" spans="1:6" x14ac:dyDescent="0.3">
      <c r="A834" t="s">
        <v>1380</v>
      </c>
      <c r="B834" s="1">
        <v>45221</v>
      </c>
      <c r="C834" t="s">
        <v>1398</v>
      </c>
      <c r="D834">
        <v>64</v>
      </c>
      <c r="E834" t="s">
        <v>810</v>
      </c>
      <c r="F834" s="2">
        <v>0.38819444444444445</v>
      </c>
    </row>
    <row r="835" spans="1:6" x14ac:dyDescent="0.3">
      <c r="A835" t="s">
        <v>1380</v>
      </c>
      <c r="B835" s="1">
        <v>45207</v>
      </c>
      <c r="C835" t="s">
        <v>944</v>
      </c>
      <c r="D835">
        <v>38</v>
      </c>
      <c r="E835" t="s">
        <v>807</v>
      </c>
      <c r="F835" s="2">
        <v>0.12708333333333333</v>
      </c>
    </row>
    <row r="836" spans="1:6" x14ac:dyDescent="0.3">
      <c r="A836" t="s">
        <v>1380</v>
      </c>
      <c r="B836" s="1">
        <v>45212</v>
      </c>
      <c r="C836" t="s">
        <v>1399</v>
      </c>
      <c r="D836">
        <v>33</v>
      </c>
      <c r="E836" t="s">
        <v>807</v>
      </c>
      <c r="F836" s="2">
        <v>0.77430555555555558</v>
      </c>
    </row>
    <row r="837" spans="1:6" x14ac:dyDescent="0.3">
      <c r="A837" t="s">
        <v>1380</v>
      </c>
      <c r="B837" s="1">
        <v>45226</v>
      </c>
      <c r="C837" t="s">
        <v>1400</v>
      </c>
      <c r="D837">
        <v>112</v>
      </c>
      <c r="E837" t="s">
        <v>810</v>
      </c>
      <c r="F837" s="2">
        <v>0.63124999999999998</v>
      </c>
    </row>
    <row r="838" spans="1:6" x14ac:dyDescent="0.3">
      <c r="A838" t="s">
        <v>1401</v>
      </c>
      <c r="B838" s="1">
        <v>45208</v>
      </c>
      <c r="C838" t="s">
        <v>985</v>
      </c>
      <c r="D838">
        <v>33</v>
      </c>
      <c r="E838" t="s">
        <v>810</v>
      </c>
      <c r="F838" s="2">
        <v>0.52847222222222223</v>
      </c>
    </row>
    <row r="839" spans="1:6" x14ac:dyDescent="0.3">
      <c r="A839" t="s">
        <v>1401</v>
      </c>
      <c r="B839" s="1">
        <v>45215</v>
      </c>
      <c r="C839" t="s">
        <v>1402</v>
      </c>
      <c r="D839">
        <v>87</v>
      </c>
      <c r="E839" t="s">
        <v>812</v>
      </c>
      <c r="F839" s="2">
        <v>0.77638888888888891</v>
      </c>
    </row>
    <row r="840" spans="1:6" x14ac:dyDescent="0.3">
      <c r="A840" t="s">
        <v>1401</v>
      </c>
      <c r="B840" s="1">
        <v>45215</v>
      </c>
      <c r="C840" t="s">
        <v>1259</v>
      </c>
      <c r="D840">
        <v>33</v>
      </c>
      <c r="E840" t="s">
        <v>810</v>
      </c>
      <c r="F840" s="2">
        <v>4.9305555555555554E-2</v>
      </c>
    </row>
    <row r="841" spans="1:6" x14ac:dyDescent="0.3">
      <c r="A841" t="s">
        <v>1401</v>
      </c>
      <c r="B841" s="1">
        <v>45208</v>
      </c>
      <c r="C841" t="s">
        <v>1403</v>
      </c>
      <c r="D841">
        <v>91</v>
      </c>
      <c r="E841" t="s">
        <v>812</v>
      </c>
      <c r="F841" s="2">
        <v>0.50624999999999998</v>
      </c>
    </row>
    <row r="842" spans="1:6" x14ac:dyDescent="0.3">
      <c r="A842" t="s">
        <v>1401</v>
      </c>
      <c r="B842" s="1">
        <v>45219</v>
      </c>
      <c r="C842" t="s">
        <v>1309</v>
      </c>
      <c r="D842">
        <v>31</v>
      </c>
      <c r="E842" t="s">
        <v>810</v>
      </c>
      <c r="F842" s="2">
        <v>0.82152777777777775</v>
      </c>
    </row>
    <row r="843" spans="1:6" x14ac:dyDescent="0.3">
      <c r="A843" t="s">
        <v>1401</v>
      </c>
      <c r="B843" s="1">
        <v>45222</v>
      </c>
      <c r="C843" t="s">
        <v>1404</v>
      </c>
      <c r="D843">
        <v>39</v>
      </c>
      <c r="E843" t="s">
        <v>807</v>
      </c>
      <c r="F843" s="2">
        <v>0.50138888888888888</v>
      </c>
    </row>
    <row r="844" spans="1:6" x14ac:dyDescent="0.3">
      <c r="A844" t="s">
        <v>1401</v>
      </c>
      <c r="B844" s="1">
        <v>45212</v>
      </c>
      <c r="C844" t="s">
        <v>1300</v>
      </c>
      <c r="D844">
        <v>88</v>
      </c>
      <c r="E844" t="s">
        <v>810</v>
      </c>
      <c r="F844" s="2">
        <v>0.44722222222222224</v>
      </c>
    </row>
    <row r="845" spans="1:6" x14ac:dyDescent="0.3">
      <c r="A845" t="s">
        <v>1401</v>
      </c>
      <c r="B845" s="1">
        <v>45207</v>
      </c>
      <c r="C845" t="s">
        <v>1358</v>
      </c>
      <c r="D845">
        <v>57</v>
      </c>
      <c r="E845" t="s">
        <v>807</v>
      </c>
      <c r="F845" s="2">
        <v>7.4305555555555555E-2</v>
      </c>
    </row>
    <row r="846" spans="1:6" x14ac:dyDescent="0.3">
      <c r="A846" t="s">
        <v>1401</v>
      </c>
      <c r="B846" s="1">
        <v>45215</v>
      </c>
      <c r="C846" t="s">
        <v>1077</v>
      </c>
      <c r="D846">
        <v>70</v>
      </c>
      <c r="E846" t="s">
        <v>810</v>
      </c>
      <c r="F846" s="2">
        <v>0.37291666666666667</v>
      </c>
    </row>
    <row r="847" spans="1:6" x14ac:dyDescent="0.3">
      <c r="A847" t="s">
        <v>1401</v>
      </c>
      <c r="B847" s="1">
        <v>45226</v>
      </c>
      <c r="C847" t="s">
        <v>1406</v>
      </c>
      <c r="D847">
        <v>115</v>
      </c>
      <c r="E847" t="s">
        <v>812</v>
      </c>
      <c r="F847" s="2">
        <v>0.38819444444444445</v>
      </c>
    </row>
    <row r="848" spans="1:6" x14ac:dyDescent="0.3">
      <c r="A848" t="s">
        <v>1401</v>
      </c>
      <c r="B848" s="1">
        <v>45208</v>
      </c>
      <c r="C848" t="s">
        <v>1407</v>
      </c>
      <c r="D848">
        <v>104</v>
      </c>
      <c r="E848" t="s">
        <v>812</v>
      </c>
      <c r="F848" s="2">
        <v>0.66249999999999998</v>
      </c>
    </row>
    <row r="849" spans="1:6" x14ac:dyDescent="0.3">
      <c r="A849" t="s">
        <v>1401</v>
      </c>
      <c r="B849" s="1">
        <v>45222</v>
      </c>
      <c r="C849" t="s">
        <v>879</v>
      </c>
      <c r="D849">
        <v>103</v>
      </c>
      <c r="E849" t="s">
        <v>812</v>
      </c>
      <c r="F849" s="2">
        <v>0.87916666666666665</v>
      </c>
    </row>
    <row r="850" spans="1:6" x14ac:dyDescent="0.3">
      <c r="A850" t="s">
        <v>1401</v>
      </c>
      <c r="B850" s="1">
        <v>45227</v>
      </c>
      <c r="C850" t="s">
        <v>1408</v>
      </c>
      <c r="D850">
        <v>92</v>
      </c>
      <c r="E850" t="s">
        <v>812</v>
      </c>
      <c r="F850" s="2">
        <v>0.29722222222222222</v>
      </c>
    </row>
    <row r="851" spans="1:6" x14ac:dyDescent="0.3">
      <c r="A851" t="s">
        <v>1401</v>
      </c>
      <c r="B851" s="1">
        <v>45209</v>
      </c>
      <c r="C851" t="s">
        <v>1329</v>
      </c>
      <c r="D851">
        <v>6</v>
      </c>
      <c r="E851" t="s">
        <v>812</v>
      </c>
      <c r="F851" s="2">
        <v>0.97777777777777775</v>
      </c>
    </row>
    <row r="852" spans="1:6" x14ac:dyDescent="0.3">
      <c r="A852" t="s">
        <v>1401</v>
      </c>
      <c r="B852" s="1">
        <v>45224</v>
      </c>
      <c r="C852" t="s">
        <v>828</v>
      </c>
      <c r="D852">
        <v>65</v>
      </c>
      <c r="E852" t="s">
        <v>810</v>
      </c>
      <c r="F852" s="2">
        <v>0.4284722222222222</v>
      </c>
    </row>
    <row r="853" spans="1:6" x14ac:dyDescent="0.3">
      <c r="A853" t="s">
        <v>1401</v>
      </c>
      <c r="B853" s="1">
        <v>45223</v>
      </c>
      <c r="C853" t="s">
        <v>1409</v>
      </c>
      <c r="D853">
        <v>21</v>
      </c>
      <c r="E853" t="s">
        <v>807</v>
      </c>
      <c r="F853" s="2">
        <v>0.56805555555555554</v>
      </c>
    </row>
    <row r="854" spans="1:6" x14ac:dyDescent="0.3">
      <c r="A854" t="s">
        <v>1401</v>
      </c>
      <c r="B854" s="1">
        <v>45220</v>
      </c>
      <c r="C854" t="s">
        <v>825</v>
      </c>
      <c r="D854">
        <v>87</v>
      </c>
      <c r="E854" t="s">
        <v>810</v>
      </c>
      <c r="F854" s="2">
        <v>9.166666666666666E-2</v>
      </c>
    </row>
    <row r="855" spans="1:6" x14ac:dyDescent="0.3">
      <c r="A855" t="s">
        <v>1401</v>
      </c>
      <c r="B855" s="1">
        <v>45214</v>
      </c>
      <c r="C855" t="s">
        <v>1265</v>
      </c>
      <c r="D855">
        <v>27</v>
      </c>
      <c r="E855" t="s">
        <v>810</v>
      </c>
      <c r="F855" s="2">
        <v>0.2902777777777778</v>
      </c>
    </row>
    <row r="856" spans="1:6" x14ac:dyDescent="0.3">
      <c r="A856" t="s">
        <v>1401</v>
      </c>
      <c r="B856" s="1">
        <v>45226</v>
      </c>
      <c r="C856" t="s">
        <v>1054</v>
      </c>
      <c r="D856">
        <v>81</v>
      </c>
      <c r="E856" t="s">
        <v>810</v>
      </c>
      <c r="F856" s="2">
        <v>0.57430555555555551</v>
      </c>
    </row>
    <row r="857" spans="1:6" x14ac:dyDescent="0.3">
      <c r="A857" t="s">
        <v>1401</v>
      </c>
      <c r="B857" s="1">
        <v>45215</v>
      </c>
      <c r="C857" t="s">
        <v>1050</v>
      </c>
      <c r="D857">
        <v>107</v>
      </c>
      <c r="E857" t="s">
        <v>807</v>
      </c>
      <c r="F857" s="2">
        <v>0.70486111111111116</v>
      </c>
    </row>
    <row r="858" spans="1:6" x14ac:dyDescent="0.3">
      <c r="A858" t="s">
        <v>1401</v>
      </c>
      <c r="B858" s="1">
        <v>45211</v>
      </c>
      <c r="C858" t="s">
        <v>1410</v>
      </c>
      <c r="D858">
        <v>6</v>
      </c>
      <c r="E858" t="s">
        <v>812</v>
      </c>
      <c r="F858" s="2">
        <v>6.3888888888888884E-2</v>
      </c>
    </row>
    <row r="859" spans="1:6" x14ac:dyDescent="0.3">
      <c r="A859" t="s">
        <v>1401</v>
      </c>
      <c r="B859" s="1">
        <v>45225</v>
      </c>
      <c r="C859" t="s">
        <v>1411</v>
      </c>
      <c r="D859">
        <v>33</v>
      </c>
      <c r="E859" t="s">
        <v>810</v>
      </c>
      <c r="F859" s="2">
        <v>0.21111111111111111</v>
      </c>
    </row>
    <row r="860" spans="1:6" x14ac:dyDescent="0.3">
      <c r="A860" t="s">
        <v>1401</v>
      </c>
      <c r="B860" s="1">
        <v>45209</v>
      </c>
      <c r="C860" t="s">
        <v>867</v>
      </c>
      <c r="D860">
        <v>37</v>
      </c>
      <c r="E860" t="s">
        <v>810</v>
      </c>
      <c r="F860" s="2">
        <v>0.93888888888888888</v>
      </c>
    </row>
    <row r="861" spans="1:6" x14ac:dyDescent="0.3">
      <c r="A861" t="s">
        <v>1401</v>
      </c>
      <c r="B861" s="1">
        <v>45212</v>
      </c>
      <c r="C861" t="s">
        <v>1074</v>
      </c>
      <c r="D861">
        <v>82</v>
      </c>
      <c r="E861" t="s">
        <v>807</v>
      </c>
      <c r="F861" s="2">
        <v>0.20069444444444445</v>
      </c>
    </row>
    <row r="862" spans="1:6" x14ac:dyDescent="0.3">
      <c r="A862" t="s">
        <v>1401</v>
      </c>
      <c r="B862" s="1">
        <v>45227</v>
      </c>
      <c r="C862" t="s">
        <v>1067</v>
      </c>
      <c r="D862">
        <v>108</v>
      </c>
      <c r="E862" t="s">
        <v>810</v>
      </c>
      <c r="F862" s="2">
        <v>0.7055555555555556</v>
      </c>
    </row>
    <row r="863" spans="1:6" x14ac:dyDescent="0.3">
      <c r="A863" t="s">
        <v>1401</v>
      </c>
      <c r="B863" s="1">
        <v>45206</v>
      </c>
      <c r="C863" t="s">
        <v>867</v>
      </c>
      <c r="D863">
        <v>96</v>
      </c>
      <c r="E863" t="s">
        <v>810</v>
      </c>
      <c r="F863" s="2">
        <v>0.28680555555555554</v>
      </c>
    </row>
    <row r="864" spans="1:6" x14ac:dyDescent="0.3">
      <c r="A864" t="s">
        <v>1401</v>
      </c>
      <c r="B864" s="1">
        <v>45201</v>
      </c>
      <c r="C864" t="s">
        <v>1360</v>
      </c>
      <c r="D864">
        <v>95</v>
      </c>
      <c r="E864" t="s">
        <v>812</v>
      </c>
      <c r="F864" s="2">
        <v>0.29305555555555557</v>
      </c>
    </row>
    <row r="865" spans="1:6" x14ac:dyDescent="0.3">
      <c r="A865" t="s">
        <v>1401</v>
      </c>
      <c r="B865" s="1">
        <v>45214</v>
      </c>
      <c r="C865" t="s">
        <v>1412</v>
      </c>
      <c r="D865">
        <v>87</v>
      </c>
      <c r="E865" t="s">
        <v>810</v>
      </c>
      <c r="F865" s="2">
        <v>8.1944444444444445E-2</v>
      </c>
    </row>
    <row r="866" spans="1:6" x14ac:dyDescent="0.3">
      <c r="A866" t="s">
        <v>1401</v>
      </c>
      <c r="B866" s="1">
        <v>45211</v>
      </c>
      <c r="C866" t="s">
        <v>955</v>
      </c>
      <c r="D866">
        <v>40</v>
      </c>
      <c r="E866" t="s">
        <v>812</v>
      </c>
      <c r="F866" s="2">
        <v>0.92500000000000004</v>
      </c>
    </row>
    <row r="867" spans="1:6" x14ac:dyDescent="0.3">
      <c r="A867" t="s">
        <v>1401</v>
      </c>
      <c r="B867" s="1">
        <v>45208</v>
      </c>
      <c r="C867" t="s">
        <v>1152</v>
      </c>
      <c r="D867">
        <v>59</v>
      </c>
      <c r="E867" t="s">
        <v>810</v>
      </c>
      <c r="F867" s="2">
        <v>0.49444444444444446</v>
      </c>
    </row>
    <row r="868" spans="1:6" x14ac:dyDescent="0.3">
      <c r="A868" t="s">
        <v>1401</v>
      </c>
      <c r="B868" s="1">
        <v>45214</v>
      </c>
      <c r="C868" t="s">
        <v>908</v>
      </c>
      <c r="D868">
        <v>119</v>
      </c>
      <c r="E868" t="s">
        <v>812</v>
      </c>
      <c r="F868" s="2">
        <v>0.68402777777777779</v>
      </c>
    </row>
    <row r="869" spans="1:6" x14ac:dyDescent="0.3">
      <c r="A869" t="s">
        <v>1401</v>
      </c>
      <c r="B869" s="1">
        <v>45220</v>
      </c>
      <c r="C869" t="s">
        <v>1209</v>
      </c>
      <c r="D869">
        <v>53</v>
      </c>
      <c r="E869" t="s">
        <v>807</v>
      </c>
      <c r="F869" s="2">
        <v>0.15486111111111112</v>
      </c>
    </row>
    <row r="870" spans="1:6" x14ac:dyDescent="0.3">
      <c r="A870" t="s">
        <v>1401</v>
      </c>
      <c r="B870" s="1">
        <v>45200</v>
      </c>
      <c r="C870" t="s">
        <v>825</v>
      </c>
      <c r="D870">
        <v>114</v>
      </c>
      <c r="E870" t="s">
        <v>810</v>
      </c>
      <c r="F870" s="2">
        <v>0.30763888888888891</v>
      </c>
    </row>
    <row r="871" spans="1:6" x14ac:dyDescent="0.3">
      <c r="A871" t="s">
        <v>1401</v>
      </c>
      <c r="B871" s="1">
        <v>45215</v>
      </c>
      <c r="C871" t="s">
        <v>993</v>
      </c>
      <c r="D871">
        <v>49</v>
      </c>
      <c r="E871" t="s">
        <v>810</v>
      </c>
      <c r="F871" s="2">
        <v>0.81111111111111112</v>
      </c>
    </row>
    <row r="872" spans="1:6" x14ac:dyDescent="0.3">
      <c r="A872" t="s">
        <v>1401</v>
      </c>
      <c r="B872" s="1">
        <v>45205</v>
      </c>
      <c r="C872" t="s">
        <v>1413</v>
      </c>
      <c r="D872">
        <v>63</v>
      </c>
      <c r="E872" t="s">
        <v>807</v>
      </c>
      <c r="F872" s="2">
        <v>0.65069444444444446</v>
      </c>
    </row>
    <row r="873" spans="1:6" x14ac:dyDescent="0.3">
      <c r="A873" t="s">
        <v>1401</v>
      </c>
      <c r="B873" s="1">
        <v>45217</v>
      </c>
      <c r="C873" t="s">
        <v>944</v>
      </c>
      <c r="D873">
        <v>37</v>
      </c>
      <c r="E873" t="s">
        <v>812</v>
      </c>
      <c r="F873" s="2">
        <v>0.47361111111111109</v>
      </c>
    </row>
    <row r="874" spans="1:6" x14ac:dyDescent="0.3">
      <c r="A874" t="s">
        <v>1401</v>
      </c>
      <c r="B874" s="1">
        <v>45205</v>
      </c>
      <c r="C874" t="s">
        <v>1235</v>
      </c>
      <c r="D874">
        <v>32</v>
      </c>
      <c r="E874" t="s">
        <v>807</v>
      </c>
      <c r="F874" s="2">
        <v>0.3659722222222222</v>
      </c>
    </row>
    <row r="875" spans="1:6" x14ac:dyDescent="0.3">
      <c r="A875" t="s">
        <v>1401</v>
      </c>
      <c r="B875" s="1">
        <v>45226</v>
      </c>
      <c r="C875" t="s">
        <v>851</v>
      </c>
      <c r="D875">
        <v>64</v>
      </c>
      <c r="E875" t="s">
        <v>812</v>
      </c>
      <c r="F875" s="2">
        <v>0.92013888888888884</v>
      </c>
    </row>
    <row r="876" spans="1:6" x14ac:dyDescent="0.3">
      <c r="A876" t="s">
        <v>1401</v>
      </c>
      <c r="B876" s="1">
        <v>45201</v>
      </c>
      <c r="C876" t="s">
        <v>1143</v>
      </c>
      <c r="D876">
        <v>91</v>
      </c>
      <c r="E876" t="s">
        <v>810</v>
      </c>
      <c r="F876" s="2">
        <v>0.24583333333333332</v>
      </c>
    </row>
    <row r="877" spans="1:6" x14ac:dyDescent="0.3">
      <c r="A877" t="s">
        <v>1401</v>
      </c>
      <c r="B877" s="1">
        <v>45218</v>
      </c>
      <c r="C877" t="s">
        <v>1414</v>
      </c>
      <c r="D877">
        <v>71</v>
      </c>
      <c r="E877" t="s">
        <v>812</v>
      </c>
      <c r="F877" s="2">
        <v>0.28749999999999998</v>
      </c>
    </row>
    <row r="878" spans="1:6" x14ac:dyDescent="0.3">
      <c r="A878" t="s">
        <v>1415</v>
      </c>
      <c r="B878" s="1">
        <v>45220</v>
      </c>
      <c r="C878" t="s">
        <v>1378</v>
      </c>
      <c r="D878">
        <v>48</v>
      </c>
      <c r="E878" t="s">
        <v>807</v>
      </c>
      <c r="F878" s="2">
        <v>9.3055555555555558E-2</v>
      </c>
    </row>
    <row r="879" spans="1:6" x14ac:dyDescent="0.3">
      <c r="A879" t="s">
        <v>1415</v>
      </c>
      <c r="B879" s="1">
        <v>45211</v>
      </c>
      <c r="C879" t="s">
        <v>1416</v>
      </c>
      <c r="D879">
        <v>120</v>
      </c>
      <c r="E879" t="s">
        <v>812</v>
      </c>
      <c r="F879" s="2">
        <v>0.32430555555555557</v>
      </c>
    </row>
    <row r="880" spans="1:6" x14ac:dyDescent="0.3">
      <c r="A880" t="s">
        <v>1415</v>
      </c>
      <c r="B880" s="1">
        <v>45227</v>
      </c>
      <c r="C880" t="s">
        <v>1082</v>
      </c>
      <c r="D880">
        <v>67</v>
      </c>
      <c r="E880" t="s">
        <v>807</v>
      </c>
      <c r="F880" s="2">
        <v>0.39305555555555555</v>
      </c>
    </row>
    <row r="881" spans="1:6" x14ac:dyDescent="0.3">
      <c r="A881" t="s">
        <v>1415</v>
      </c>
      <c r="B881" s="1">
        <v>45225</v>
      </c>
      <c r="C881" t="s">
        <v>979</v>
      </c>
      <c r="D881">
        <v>50</v>
      </c>
      <c r="E881" t="s">
        <v>810</v>
      </c>
      <c r="F881" s="2">
        <v>0.43263888888888891</v>
      </c>
    </row>
    <row r="882" spans="1:6" x14ac:dyDescent="0.3">
      <c r="A882" t="s">
        <v>1415</v>
      </c>
      <c r="B882" s="1">
        <v>45208</v>
      </c>
      <c r="C882" t="s">
        <v>1417</v>
      </c>
      <c r="D882">
        <v>101</v>
      </c>
      <c r="E882" t="s">
        <v>807</v>
      </c>
      <c r="F882" s="2">
        <v>0.76249999999999996</v>
      </c>
    </row>
    <row r="883" spans="1:6" x14ac:dyDescent="0.3">
      <c r="A883" t="s">
        <v>1415</v>
      </c>
      <c r="B883" s="1">
        <v>45214</v>
      </c>
      <c r="C883" t="s">
        <v>1056</v>
      </c>
      <c r="D883">
        <v>29</v>
      </c>
      <c r="E883" t="s">
        <v>812</v>
      </c>
      <c r="F883" s="2">
        <v>0.14583333333333334</v>
      </c>
    </row>
    <row r="884" spans="1:6" x14ac:dyDescent="0.3">
      <c r="A884" t="s">
        <v>1415</v>
      </c>
      <c r="B884" s="1">
        <v>45201</v>
      </c>
      <c r="C884" t="s">
        <v>1418</v>
      </c>
      <c r="D884">
        <v>26</v>
      </c>
      <c r="E884" t="s">
        <v>810</v>
      </c>
      <c r="F884" s="2">
        <v>0.85902777777777772</v>
      </c>
    </row>
    <row r="885" spans="1:6" x14ac:dyDescent="0.3">
      <c r="A885" t="s">
        <v>1415</v>
      </c>
      <c r="B885" s="1">
        <v>45218</v>
      </c>
      <c r="C885" t="s">
        <v>1419</v>
      </c>
      <c r="D885">
        <v>108</v>
      </c>
      <c r="E885" t="s">
        <v>807</v>
      </c>
      <c r="F885" s="2">
        <v>0.7944444444444444</v>
      </c>
    </row>
    <row r="886" spans="1:6" x14ac:dyDescent="0.3">
      <c r="A886" t="s">
        <v>1415</v>
      </c>
      <c r="B886" s="1">
        <v>45215</v>
      </c>
      <c r="C886" t="s">
        <v>1420</v>
      </c>
      <c r="D886">
        <v>56</v>
      </c>
      <c r="E886" t="s">
        <v>812</v>
      </c>
      <c r="F886" s="2">
        <v>0.2722222222222222</v>
      </c>
    </row>
    <row r="887" spans="1:6" x14ac:dyDescent="0.3">
      <c r="A887" t="s">
        <v>1415</v>
      </c>
      <c r="B887" s="1">
        <v>45203</v>
      </c>
      <c r="C887" t="s">
        <v>978</v>
      </c>
      <c r="D887">
        <v>7</v>
      </c>
      <c r="E887" t="s">
        <v>810</v>
      </c>
      <c r="F887" s="2">
        <v>0.89166666666666672</v>
      </c>
    </row>
    <row r="888" spans="1:6" x14ac:dyDescent="0.3">
      <c r="A888" t="s">
        <v>1415</v>
      </c>
      <c r="B888" s="1">
        <v>45216</v>
      </c>
      <c r="C888" t="s">
        <v>1421</v>
      </c>
      <c r="D888">
        <v>34</v>
      </c>
      <c r="E888" t="s">
        <v>812</v>
      </c>
      <c r="F888" s="2">
        <v>0.39305555555555555</v>
      </c>
    </row>
    <row r="889" spans="1:6" x14ac:dyDescent="0.3">
      <c r="A889" t="s">
        <v>1415</v>
      </c>
      <c r="B889" s="1">
        <v>45201</v>
      </c>
      <c r="C889" t="s">
        <v>1422</v>
      </c>
      <c r="D889">
        <v>33</v>
      </c>
      <c r="E889" t="s">
        <v>812</v>
      </c>
      <c r="F889" s="2">
        <v>0.17222222222222222</v>
      </c>
    </row>
    <row r="890" spans="1:6" x14ac:dyDescent="0.3">
      <c r="A890" t="s">
        <v>1415</v>
      </c>
      <c r="B890" s="1">
        <v>45206</v>
      </c>
      <c r="C890" t="s">
        <v>830</v>
      </c>
      <c r="D890">
        <v>98</v>
      </c>
      <c r="E890" t="s">
        <v>807</v>
      </c>
      <c r="F890" s="2">
        <v>0.43472222222222223</v>
      </c>
    </row>
    <row r="891" spans="1:6" x14ac:dyDescent="0.3">
      <c r="A891" t="s">
        <v>1415</v>
      </c>
      <c r="B891" s="1">
        <v>45218</v>
      </c>
      <c r="C891" t="s">
        <v>1320</v>
      </c>
      <c r="D891">
        <v>21</v>
      </c>
      <c r="E891" t="s">
        <v>807</v>
      </c>
      <c r="F891" s="2">
        <v>0.58958333333333335</v>
      </c>
    </row>
    <row r="892" spans="1:6" x14ac:dyDescent="0.3">
      <c r="A892" t="s">
        <v>1415</v>
      </c>
      <c r="B892" s="1">
        <v>45210</v>
      </c>
      <c r="C892" t="s">
        <v>1423</v>
      </c>
      <c r="D892">
        <v>32</v>
      </c>
      <c r="E892" t="s">
        <v>810</v>
      </c>
      <c r="F892" s="2">
        <v>0.9243055555555556</v>
      </c>
    </row>
    <row r="893" spans="1:6" x14ac:dyDescent="0.3">
      <c r="A893" t="s">
        <v>1415</v>
      </c>
      <c r="B893" s="1">
        <v>45224</v>
      </c>
      <c r="C893" t="s">
        <v>1424</v>
      </c>
      <c r="D893">
        <v>98</v>
      </c>
      <c r="E893" t="s">
        <v>812</v>
      </c>
      <c r="F893" s="2">
        <v>0.10486111111111111</v>
      </c>
    </row>
    <row r="894" spans="1:6" x14ac:dyDescent="0.3">
      <c r="A894" t="s">
        <v>1415</v>
      </c>
      <c r="B894" s="1">
        <v>45210</v>
      </c>
      <c r="C894" t="s">
        <v>1011</v>
      </c>
      <c r="D894">
        <v>7</v>
      </c>
      <c r="E894" t="s">
        <v>807</v>
      </c>
      <c r="F894" s="2">
        <v>0.84097222222222223</v>
      </c>
    </row>
    <row r="895" spans="1:6" x14ac:dyDescent="0.3">
      <c r="A895" t="s">
        <v>1415</v>
      </c>
      <c r="B895" s="1">
        <v>45210</v>
      </c>
      <c r="C895" t="s">
        <v>880</v>
      </c>
      <c r="D895">
        <v>80</v>
      </c>
      <c r="E895" t="s">
        <v>810</v>
      </c>
      <c r="F895" s="2">
        <v>0.8354166666666667</v>
      </c>
    </row>
    <row r="896" spans="1:6" x14ac:dyDescent="0.3">
      <c r="A896" t="s">
        <v>1415</v>
      </c>
      <c r="B896" s="1">
        <v>45200</v>
      </c>
      <c r="C896" t="s">
        <v>1319</v>
      </c>
      <c r="D896">
        <v>69</v>
      </c>
      <c r="E896" t="s">
        <v>812</v>
      </c>
      <c r="F896" s="2">
        <v>0.59513888888888888</v>
      </c>
    </row>
    <row r="897" spans="1:6" x14ac:dyDescent="0.3">
      <c r="A897" t="s">
        <v>1415</v>
      </c>
      <c r="B897" s="1">
        <v>45206</v>
      </c>
      <c r="C897" t="s">
        <v>1425</v>
      </c>
      <c r="D897">
        <v>26</v>
      </c>
      <c r="E897" t="s">
        <v>812</v>
      </c>
      <c r="F897" s="2">
        <v>0.23333333333333334</v>
      </c>
    </row>
    <row r="898" spans="1:6" x14ac:dyDescent="0.3">
      <c r="A898" t="s">
        <v>1415</v>
      </c>
      <c r="B898" s="1">
        <v>45224</v>
      </c>
      <c r="C898" t="s">
        <v>1426</v>
      </c>
      <c r="D898">
        <v>20</v>
      </c>
      <c r="E898" t="s">
        <v>807</v>
      </c>
      <c r="F898" s="2">
        <v>0.2298611111111111</v>
      </c>
    </row>
    <row r="899" spans="1:6" x14ac:dyDescent="0.3">
      <c r="A899" t="s">
        <v>1415</v>
      </c>
      <c r="B899" s="1">
        <v>45225</v>
      </c>
      <c r="C899" t="s">
        <v>1427</v>
      </c>
      <c r="D899">
        <v>51</v>
      </c>
      <c r="E899" t="s">
        <v>807</v>
      </c>
      <c r="F899" s="2">
        <v>8.8888888888888892E-2</v>
      </c>
    </row>
    <row r="900" spans="1:6" x14ac:dyDescent="0.3">
      <c r="A900" t="s">
        <v>1415</v>
      </c>
      <c r="B900" s="1">
        <v>45219</v>
      </c>
      <c r="C900" t="s">
        <v>1358</v>
      </c>
      <c r="D900">
        <v>96</v>
      </c>
      <c r="E900" t="s">
        <v>807</v>
      </c>
      <c r="F900" s="2">
        <v>0.56944444444444442</v>
      </c>
    </row>
    <row r="901" spans="1:6" x14ac:dyDescent="0.3">
      <c r="A901" t="s">
        <v>1415</v>
      </c>
      <c r="B901" s="1">
        <v>45213</v>
      </c>
      <c r="C901" t="s">
        <v>1344</v>
      </c>
      <c r="D901">
        <v>88</v>
      </c>
      <c r="E901" t="s">
        <v>810</v>
      </c>
      <c r="F901" s="2">
        <v>0.51875000000000004</v>
      </c>
    </row>
    <row r="902" spans="1:6" x14ac:dyDescent="0.3">
      <c r="A902" t="s">
        <v>1415</v>
      </c>
      <c r="B902" s="1">
        <v>45230</v>
      </c>
      <c r="C902" t="s">
        <v>1428</v>
      </c>
      <c r="D902">
        <v>106</v>
      </c>
      <c r="E902" t="s">
        <v>807</v>
      </c>
      <c r="F902" s="2">
        <v>0.64166666666666672</v>
      </c>
    </row>
    <row r="903" spans="1:6" x14ac:dyDescent="0.3">
      <c r="A903" t="s">
        <v>1415</v>
      </c>
      <c r="B903" s="1">
        <v>45200</v>
      </c>
      <c r="C903" t="s">
        <v>996</v>
      </c>
      <c r="D903">
        <v>9</v>
      </c>
      <c r="E903" t="s">
        <v>807</v>
      </c>
      <c r="F903" s="2">
        <v>6.5277777777777782E-2</v>
      </c>
    </row>
    <row r="904" spans="1:6" x14ac:dyDescent="0.3">
      <c r="A904" t="s">
        <v>1415</v>
      </c>
      <c r="B904" s="1">
        <v>45206</v>
      </c>
      <c r="C904" t="s">
        <v>1429</v>
      </c>
      <c r="D904">
        <v>53</v>
      </c>
      <c r="E904" t="s">
        <v>810</v>
      </c>
      <c r="F904" s="2">
        <v>0.97430555555555554</v>
      </c>
    </row>
    <row r="905" spans="1:6" x14ac:dyDescent="0.3">
      <c r="A905" t="s">
        <v>1415</v>
      </c>
      <c r="B905" s="1">
        <v>45210</v>
      </c>
      <c r="C905" t="s">
        <v>1019</v>
      </c>
      <c r="D905">
        <v>86</v>
      </c>
      <c r="E905" t="s">
        <v>812</v>
      </c>
      <c r="F905" s="2">
        <v>0.67500000000000004</v>
      </c>
    </row>
    <row r="906" spans="1:6" x14ac:dyDescent="0.3">
      <c r="A906" t="s">
        <v>1415</v>
      </c>
      <c r="B906" s="1">
        <v>45220</v>
      </c>
      <c r="C906" t="s">
        <v>911</v>
      </c>
      <c r="D906">
        <v>103</v>
      </c>
      <c r="E906" t="s">
        <v>807</v>
      </c>
      <c r="F906" s="2">
        <v>0.96875</v>
      </c>
    </row>
    <row r="907" spans="1:6" x14ac:dyDescent="0.3">
      <c r="A907" t="s">
        <v>1415</v>
      </c>
      <c r="B907" s="1">
        <v>45207</v>
      </c>
      <c r="C907" t="s">
        <v>1058</v>
      </c>
      <c r="D907">
        <v>73</v>
      </c>
      <c r="E907" t="s">
        <v>810</v>
      </c>
      <c r="F907" s="2">
        <v>0.9555555555555556</v>
      </c>
    </row>
    <row r="908" spans="1:6" x14ac:dyDescent="0.3">
      <c r="A908" t="s">
        <v>1415</v>
      </c>
      <c r="B908" s="1">
        <v>45211</v>
      </c>
      <c r="C908" t="s">
        <v>1430</v>
      </c>
      <c r="D908">
        <v>84</v>
      </c>
      <c r="E908" t="s">
        <v>807</v>
      </c>
      <c r="F908" s="2">
        <v>0.38055555555555554</v>
      </c>
    </row>
    <row r="909" spans="1:6" x14ac:dyDescent="0.3">
      <c r="A909" t="s">
        <v>1415</v>
      </c>
      <c r="B909" s="1">
        <v>45203</v>
      </c>
      <c r="C909" t="s">
        <v>1300</v>
      </c>
      <c r="D909">
        <v>11</v>
      </c>
      <c r="E909" t="s">
        <v>810</v>
      </c>
      <c r="F909" s="2">
        <v>0.52222222222222225</v>
      </c>
    </row>
    <row r="910" spans="1:6" x14ac:dyDescent="0.3">
      <c r="A910" t="s">
        <v>1415</v>
      </c>
      <c r="B910" s="1">
        <v>45218</v>
      </c>
      <c r="C910" t="s">
        <v>814</v>
      </c>
      <c r="D910">
        <v>81</v>
      </c>
      <c r="E910" t="s">
        <v>810</v>
      </c>
      <c r="F910" s="2">
        <v>0.38194444444444442</v>
      </c>
    </row>
    <row r="911" spans="1:6" x14ac:dyDescent="0.3">
      <c r="A911" t="s">
        <v>1415</v>
      </c>
      <c r="B911" s="1">
        <v>45202</v>
      </c>
      <c r="C911" t="s">
        <v>1080</v>
      </c>
      <c r="D911">
        <v>11</v>
      </c>
      <c r="E911" t="s">
        <v>807</v>
      </c>
      <c r="F911" s="2">
        <v>5.486111111111111E-2</v>
      </c>
    </row>
    <row r="912" spans="1:6" x14ac:dyDescent="0.3">
      <c r="A912" t="s">
        <v>1415</v>
      </c>
      <c r="B912" s="1">
        <v>45230</v>
      </c>
      <c r="C912" t="s">
        <v>1431</v>
      </c>
      <c r="D912">
        <v>89</v>
      </c>
      <c r="E912" t="s">
        <v>812</v>
      </c>
      <c r="F912" s="2">
        <v>0.39513888888888887</v>
      </c>
    </row>
    <row r="913" spans="1:6" x14ac:dyDescent="0.3">
      <c r="A913" t="s">
        <v>1415</v>
      </c>
      <c r="B913" s="1">
        <v>45223</v>
      </c>
      <c r="C913" t="s">
        <v>1409</v>
      </c>
      <c r="D913">
        <v>18</v>
      </c>
      <c r="E913" t="s">
        <v>810</v>
      </c>
      <c r="F913" s="2">
        <v>0.69305555555555554</v>
      </c>
    </row>
    <row r="914" spans="1:6" x14ac:dyDescent="0.3">
      <c r="A914" t="s">
        <v>1415</v>
      </c>
      <c r="B914" s="1">
        <v>45216</v>
      </c>
      <c r="C914" t="s">
        <v>1273</v>
      </c>
      <c r="D914">
        <v>88</v>
      </c>
      <c r="E914" t="s">
        <v>807</v>
      </c>
      <c r="F914" s="2">
        <v>0.43541666666666667</v>
      </c>
    </row>
    <row r="915" spans="1:6" x14ac:dyDescent="0.3">
      <c r="A915" t="s">
        <v>1415</v>
      </c>
      <c r="B915" s="1">
        <v>45228</v>
      </c>
      <c r="C915" t="s">
        <v>1101</v>
      </c>
      <c r="D915">
        <v>112</v>
      </c>
      <c r="E915" t="s">
        <v>812</v>
      </c>
      <c r="F915" s="2">
        <v>0.88055555555555554</v>
      </c>
    </row>
    <row r="916" spans="1:6" x14ac:dyDescent="0.3">
      <c r="A916" t="s">
        <v>1432</v>
      </c>
      <c r="B916" s="1">
        <v>45211</v>
      </c>
      <c r="C916" t="s">
        <v>1215</v>
      </c>
      <c r="D916">
        <v>87</v>
      </c>
      <c r="E916" t="s">
        <v>810</v>
      </c>
      <c r="F916" s="2">
        <v>0.88888888888888884</v>
      </c>
    </row>
    <row r="917" spans="1:6" x14ac:dyDescent="0.3">
      <c r="A917" t="s">
        <v>1432</v>
      </c>
      <c r="B917" s="1">
        <v>45213</v>
      </c>
      <c r="C917" t="s">
        <v>1433</v>
      </c>
      <c r="D917">
        <v>25</v>
      </c>
      <c r="E917" t="s">
        <v>810</v>
      </c>
      <c r="F917" s="2">
        <v>0.96319444444444446</v>
      </c>
    </row>
    <row r="918" spans="1:6" x14ac:dyDescent="0.3">
      <c r="A918" t="s">
        <v>1432</v>
      </c>
      <c r="B918" s="1">
        <v>45203</v>
      </c>
      <c r="C918" t="s">
        <v>1127</v>
      </c>
      <c r="D918">
        <v>69</v>
      </c>
      <c r="E918" t="s">
        <v>812</v>
      </c>
      <c r="F918" s="2">
        <v>4.1666666666666664E-2</v>
      </c>
    </row>
    <row r="919" spans="1:6" x14ac:dyDescent="0.3">
      <c r="A919" t="s">
        <v>1432</v>
      </c>
      <c r="B919" s="1">
        <v>45227</v>
      </c>
      <c r="C919" t="s">
        <v>982</v>
      </c>
      <c r="D919">
        <v>113</v>
      </c>
      <c r="E919" t="s">
        <v>810</v>
      </c>
      <c r="F919" s="2">
        <v>0.19583333333333333</v>
      </c>
    </row>
    <row r="920" spans="1:6" x14ac:dyDescent="0.3">
      <c r="A920" t="s">
        <v>1432</v>
      </c>
      <c r="B920" s="1">
        <v>45220</v>
      </c>
      <c r="C920" t="s">
        <v>1345</v>
      </c>
      <c r="D920">
        <v>65</v>
      </c>
      <c r="E920" t="s">
        <v>812</v>
      </c>
      <c r="F920" s="2">
        <v>0.22291666666666668</v>
      </c>
    </row>
    <row r="921" spans="1:6" x14ac:dyDescent="0.3">
      <c r="A921" t="s">
        <v>1432</v>
      </c>
      <c r="B921" s="1">
        <v>45211</v>
      </c>
      <c r="C921" t="s">
        <v>888</v>
      </c>
      <c r="D921">
        <v>114</v>
      </c>
      <c r="E921" t="s">
        <v>807</v>
      </c>
      <c r="F921" s="2">
        <v>0.61041666666666672</v>
      </c>
    </row>
    <row r="922" spans="1:6" x14ac:dyDescent="0.3">
      <c r="A922" t="s">
        <v>1432</v>
      </c>
      <c r="B922" s="1">
        <v>45208</v>
      </c>
      <c r="C922" t="s">
        <v>1434</v>
      </c>
      <c r="D922">
        <v>68</v>
      </c>
      <c r="E922" t="s">
        <v>807</v>
      </c>
      <c r="F922" s="2">
        <v>0.96180555555555558</v>
      </c>
    </row>
    <row r="923" spans="1:6" x14ac:dyDescent="0.3">
      <c r="A923" t="s">
        <v>1432</v>
      </c>
      <c r="B923" s="1">
        <v>45211</v>
      </c>
      <c r="C923" t="s">
        <v>1002</v>
      </c>
      <c r="D923">
        <v>116</v>
      </c>
      <c r="E923" t="s">
        <v>810</v>
      </c>
      <c r="F923" s="2">
        <v>0.42430555555555555</v>
      </c>
    </row>
    <row r="924" spans="1:6" x14ac:dyDescent="0.3">
      <c r="A924" t="s">
        <v>1432</v>
      </c>
      <c r="B924" s="1">
        <v>45203</v>
      </c>
      <c r="C924" t="s">
        <v>838</v>
      </c>
      <c r="D924">
        <v>26</v>
      </c>
      <c r="E924" t="s">
        <v>807</v>
      </c>
      <c r="F924" s="2">
        <v>0.51736111111111116</v>
      </c>
    </row>
    <row r="925" spans="1:6" x14ac:dyDescent="0.3">
      <c r="A925" t="s">
        <v>1432</v>
      </c>
      <c r="B925" s="1">
        <v>45230</v>
      </c>
      <c r="C925" t="s">
        <v>1435</v>
      </c>
      <c r="D925">
        <v>14</v>
      </c>
      <c r="E925" t="s">
        <v>807</v>
      </c>
      <c r="F925" s="2">
        <v>0.59513888888888888</v>
      </c>
    </row>
    <row r="926" spans="1:6" x14ac:dyDescent="0.3">
      <c r="A926" t="s">
        <v>1432</v>
      </c>
      <c r="B926" s="1">
        <v>45226</v>
      </c>
      <c r="C926" t="s">
        <v>1436</v>
      </c>
      <c r="D926">
        <v>101</v>
      </c>
      <c r="E926" t="s">
        <v>812</v>
      </c>
      <c r="F926" s="2">
        <v>0.53055555555555556</v>
      </c>
    </row>
    <row r="927" spans="1:6" x14ac:dyDescent="0.3">
      <c r="A927" t="s">
        <v>1432</v>
      </c>
      <c r="B927" s="1">
        <v>45227</v>
      </c>
      <c r="C927" t="s">
        <v>1142</v>
      </c>
      <c r="D927">
        <v>67</v>
      </c>
      <c r="E927" t="s">
        <v>812</v>
      </c>
      <c r="F927" s="2">
        <v>0.66041666666666665</v>
      </c>
    </row>
    <row r="928" spans="1:6" x14ac:dyDescent="0.3">
      <c r="A928" t="s">
        <v>1432</v>
      </c>
      <c r="B928" s="1">
        <v>45213</v>
      </c>
      <c r="C928" t="s">
        <v>1437</v>
      </c>
      <c r="D928">
        <v>46</v>
      </c>
      <c r="E928" t="s">
        <v>810</v>
      </c>
      <c r="F928" s="2">
        <v>0.87222222222222223</v>
      </c>
    </row>
    <row r="929" spans="1:6" x14ac:dyDescent="0.3">
      <c r="A929" t="s">
        <v>1432</v>
      </c>
      <c r="B929" s="1">
        <v>45225</v>
      </c>
      <c r="C929" t="s">
        <v>1438</v>
      </c>
      <c r="D929">
        <v>35</v>
      </c>
      <c r="E929" t="s">
        <v>812</v>
      </c>
      <c r="F929" s="2">
        <v>0.21319444444444444</v>
      </c>
    </row>
    <row r="930" spans="1:6" x14ac:dyDescent="0.3">
      <c r="A930" t="s">
        <v>1432</v>
      </c>
      <c r="B930" s="1">
        <v>45204</v>
      </c>
      <c r="C930" t="s">
        <v>1439</v>
      </c>
      <c r="D930">
        <v>47</v>
      </c>
      <c r="E930" t="s">
        <v>810</v>
      </c>
      <c r="F930" s="2">
        <v>0.94861111111111107</v>
      </c>
    </row>
    <row r="931" spans="1:6" x14ac:dyDescent="0.3">
      <c r="A931" t="s">
        <v>1432</v>
      </c>
      <c r="B931" s="1">
        <v>45201</v>
      </c>
      <c r="C931" t="s">
        <v>872</v>
      </c>
      <c r="D931">
        <v>40</v>
      </c>
      <c r="E931" t="s">
        <v>810</v>
      </c>
      <c r="F931" s="2">
        <v>0.21249999999999999</v>
      </c>
    </row>
    <row r="932" spans="1:6" x14ac:dyDescent="0.3">
      <c r="A932" t="s">
        <v>1432</v>
      </c>
      <c r="B932" s="1">
        <v>45213</v>
      </c>
      <c r="C932" t="s">
        <v>1440</v>
      </c>
      <c r="D932">
        <v>11</v>
      </c>
      <c r="E932" t="s">
        <v>812</v>
      </c>
      <c r="F932" s="2">
        <v>0.77083333333333337</v>
      </c>
    </row>
    <row r="933" spans="1:6" x14ac:dyDescent="0.3">
      <c r="A933" t="s">
        <v>1432</v>
      </c>
      <c r="B933" s="1">
        <v>45225</v>
      </c>
      <c r="C933" t="s">
        <v>1441</v>
      </c>
      <c r="D933">
        <v>69</v>
      </c>
      <c r="E933" t="s">
        <v>810</v>
      </c>
      <c r="F933" s="2">
        <v>0.77986111111111112</v>
      </c>
    </row>
    <row r="934" spans="1:6" x14ac:dyDescent="0.3">
      <c r="A934" t="s">
        <v>1432</v>
      </c>
      <c r="B934" s="1">
        <v>45214</v>
      </c>
      <c r="C934" t="s">
        <v>1442</v>
      </c>
      <c r="D934">
        <v>33</v>
      </c>
      <c r="E934" t="s">
        <v>807</v>
      </c>
      <c r="F934" s="2">
        <v>0.23541666666666666</v>
      </c>
    </row>
    <row r="935" spans="1:6" x14ac:dyDescent="0.3">
      <c r="A935" t="s">
        <v>1432</v>
      </c>
      <c r="B935" s="1">
        <v>45212</v>
      </c>
      <c r="C935" t="s">
        <v>1443</v>
      </c>
      <c r="D935">
        <v>75</v>
      </c>
      <c r="E935" t="s">
        <v>807</v>
      </c>
      <c r="F935" s="2">
        <v>0.48541666666666666</v>
      </c>
    </row>
    <row r="936" spans="1:6" x14ac:dyDescent="0.3">
      <c r="A936" t="s">
        <v>1432</v>
      </c>
      <c r="B936" s="1">
        <v>45200</v>
      </c>
      <c r="C936" t="s">
        <v>1444</v>
      </c>
      <c r="D936">
        <v>87</v>
      </c>
      <c r="E936" t="s">
        <v>807</v>
      </c>
      <c r="F936" s="2">
        <v>0.91388888888888886</v>
      </c>
    </row>
    <row r="937" spans="1:6" x14ac:dyDescent="0.3">
      <c r="A937" t="s">
        <v>1432</v>
      </c>
      <c r="B937" s="1">
        <v>45226</v>
      </c>
      <c r="C937" t="s">
        <v>1445</v>
      </c>
      <c r="D937">
        <v>53</v>
      </c>
      <c r="E937" t="s">
        <v>812</v>
      </c>
      <c r="F937" s="2">
        <v>0.99791666666666667</v>
      </c>
    </row>
    <row r="938" spans="1:6" x14ac:dyDescent="0.3">
      <c r="A938" t="s">
        <v>1432</v>
      </c>
      <c r="B938" s="1">
        <v>45204</v>
      </c>
      <c r="C938" t="s">
        <v>1145</v>
      </c>
      <c r="D938">
        <v>56</v>
      </c>
      <c r="E938" t="s">
        <v>807</v>
      </c>
      <c r="F938" s="2">
        <v>0.66527777777777775</v>
      </c>
    </row>
    <row r="939" spans="1:6" x14ac:dyDescent="0.3">
      <c r="A939" t="s">
        <v>1432</v>
      </c>
      <c r="B939" s="1">
        <v>45215</v>
      </c>
      <c r="C939" t="s">
        <v>1446</v>
      </c>
      <c r="D939">
        <v>109</v>
      </c>
      <c r="E939" t="s">
        <v>810</v>
      </c>
      <c r="F939" s="2">
        <v>0.16388888888888889</v>
      </c>
    </row>
    <row r="940" spans="1:6" x14ac:dyDescent="0.3">
      <c r="A940" t="s">
        <v>1432</v>
      </c>
      <c r="B940" s="1">
        <v>45213</v>
      </c>
      <c r="C940" t="s">
        <v>1447</v>
      </c>
      <c r="D940">
        <v>35</v>
      </c>
      <c r="E940" t="s">
        <v>810</v>
      </c>
      <c r="F940" s="2">
        <v>0.58472222222222225</v>
      </c>
    </row>
    <row r="941" spans="1:6" x14ac:dyDescent="0.3">
      <c r="A941" t="s">
        <v>1432</v>
      </c>
      <c r="B941" s="1">
        <v>45202</v>
      </c>
      <c r="C941" t="s">
        <v>1448</v>
      </c>
      <c r="D941">
        <v>15</v>
      </c>
      <c r="E941" t="s">
        <v>810</v>
      </c>
      <c r="F941" s="2">
        <v>0.36180555555555555</v>
      </c>
    </row>
    <row r="942" spans="1:6" x14ac:dyDescent="0.3">
      <c r="A942" t="s">
        <v>1432</v>
      </c>
      <c r="B942" s="1">
        <v>45227</v>
      </c>
      <c r="C942" t="s">
        <v>1435</v>
      </c>
      <c r="D942">
        <v>61</v>
      </c>
      <c r="E942" t="s">
        <v>807</v>
      </c>
      <c r="F942" s="2">
        <v>0.8979166666666667</v>
      </c>
    </row>
    <row r="943" spans="1:6" x14ac:dyDescent="0.3">
      <c r="A943" t="s">
        <v>1432</v>
      </c>
      <c r="B943" s="1">
        <v>45224</v>
      </c>
      <c r="C943" t="s">
        <v>992</v>
      </c>
      <c r="D943">
        <v>107</v>
      </c>
      <c r="E943" t="s">
        <v>812</v>
      </c>
      <c r="F943" s="2">
        <v>0.98333333333333328</v>
      </c>
    </row>
    <row r="944" spans="1:6" x14ac:dyDescent="0.3">
      <c r="A944" t="s">
        <v>1432</v>
      </c>
      <c r="B944" s="1">
        <v>45223</v>
      </c>
      <c r="C944" t="s">
        <v>1115</v>
      </c>
      <c r="D944">
        <v>78</v>
      </c>
      <c r="E944" t="s">
        <v>810</v>
      </c>
      <c r="F944" s="2">
        <v>0.75972222222222219</v>
      </c>
    </row>
    <row r="945" spans="1:6" x14ac:dyDescent="0.3">
      <c r="A945" t="s">
        <v>1432</v>
      </c>
      <c r="B945" s="1">
        <v>45230</v>
      </c>
      <c r="C945" t="s">
        <v>1221</v>
      </c>
      <c r="D945">
        <v>62</v>
      </c>
      <c r="E945" t="s">
        <v>807</v>
      </c>
      <c r="F945" s="2">
        <v>0.91319444444444442</v>
      </c>
    </row>
    <row r="946" spans="1:6" x14ac:dyDescent="0.3">
      <c r="A946" t="s">
        <v>1432</v>
      </c>
      <c r="B946" s="1">
        <v>45210</v>
      </c>
      <c r="C946" t="s">
        <v>1086</v>
      </c>
      <c r="D946">
        <v>16</v>
      </c>
      <c r="E946" t="s">
        <v>807</v>
      </c>
      <c r="F946" s="2">
        <v>0.68958333333333333</v>
      </c>
    </row>
    <row r="947" spans="1:6" x14ac:dyDescent="0.3">
      <c r="A947" t="s">
        <v>1432</v>
      </c>
      <c r="B947" s="1">
        <v>45222</v>
      </c>
      <c r="C947" t="s">
        <v>1449</v>
      </c>
      <c r="D947">
        <v>114</v>
      </c>
      <c r="E947" t="s">
        <v>807</v>
      </c>
      <c r="F947" s="2">
        <v>0.94374999999999998</v>
      </c>
    </row>
    <row r="948" spans="1:6" x14ac:dyDescent="0.3">
      <c r="A948" t="s">
        <v>1432</v>
      </c>
      <c r="B948" s="1">
        <v>45203</v>
      </c>
      <c r="C948" t="s">
        <v>1450</v>
      </c>
      <c r="D948">
        <v>68</v>
      </c>
      <c r="E948" t="s">
        <v>812</v>
      </c>
      <c r="F948" s="2">
        <v>0.5708333333333333</v>
      </c>
    </row>
    <row r="949" spans="1:6" x14ac:dyDescent="0.3">
      <c r="A949" t="s">
        <v>1432</v>
      </c>
      <c r="B949" s="1">
        <v>45223</v>
      </c>
      <c r="C949" t="s">
        <v>1451</v>
      </c>
      <c r="D949">
        <v>62</v>
      </c>
      <c r="E949" t="s">
        <v>807</v>
      </c>
      <c r="F949" s="2">
        <v>0.3125</v>
      </c>
    </row>
    <row r="950" spans="1:6" x14ac:dyDescent="0.3">
      <c r="A950" t="s">
        <v>1432</v>
      </c>
      <c r="B950" s="1">
        <v>45211</v>
      </c>
      <c r="C950" t="s">
        <v>1016</v>
      </c>
      <c r="D950">
        <v>45</v>
      </c>
      <c r="E950" t="s">
        <v>812</v>
      </c>
      <c r="F950" s="2">
        <v>0.90486111111111112</v>
      </c>
    </row>
    <row r="951" spans="1:6" x14ac:dyDescent="0.3">
      <c r="A951" t="s">
        <v>1432</v>
      </c>
      <c r="B951" s="1">
        <v>45220</v>
      </c>
      <c r="C951" t="s">
        <v>1255</v>
      </c>
      <c r="D951">
        <v>20</v>
      </c>
      <c r="E951" t="s">
        <v>807</v>
      </c>
      <c r="F951" s="2">
        <v>0.50624999999999998</v>
      </c>
    </row>
    <row r="952" spans="1:6" x14ac:dyDescent="0.3">
      <c r="A952" t="s">
        <v>1432</v>
      </c>
      <c r="B952" s="1">
        <v>45226</v>
      </c>
      <c r="C952" t="s">
        <v>1452</v>
      </c>
      <c r="D952">
        <v>68</v>
      </c>
      <c r="E952" t="s">
        <v>810</v>
      </c>
      <c r="F952" s="2">
        <v>0.74791666666666667</v>
      </c>
    </row>
    <row r="953" spans="1:6" x14ac:dyDescent="0.3">
      <c r="A953" t="s">
        <v>1432</v>
      </c>
      <c r="B953" s="1">
        <v>45219</v>
      </c>
      <c r="C953" t="s">
        <v>970</v>
      </c>
      <c r="D953">
        <v>100</v>
      </c>
      <c r="E953" t="s">
        <v>812</v>
      </c>
      <c r="F953" s="2">
        <v>4.1666666666666664E-2</v>
      </c>
    </row>
    <row r="954" spans="1:6" x14ac:dyDescent="0.3">
      <c r="A954" t="s">
        <v>1453</v>
      </c>
      <c r="B954" s="1">
        <v>45203</v>
      </c>
      <c r="C954" t="s">
        <v>1454</v>
      </c>
      <c r="D954">
        <v>106</v>
      </c>
      <c r="E954" t="s">
        <v>810</v>
      </c>
      <c r="F954" s="2">
        <v>0.60347222222222219</v>
      </c>
    </row>
    <row r="955" spans="1:6" x14ac:dyDescent="0.3">
      <c r="A955" t="s">
        <v>1453</v>
      </c>
      <c r="B955" s="1">
        <v>45221</v>
      </c>
      <c r="C955" t="s">
        <v>984</v>
      </c>
      <c r="D955">
        <v>107</v>
      </c>
      <c r="E955" t="s">
        <v>807</v>
      </c>
      <c r="F955" s="2">
        <v>0.77222222222222225</v>
      </c>
    </row>
    <row r="956" spans="1:6" x14ac:dyDescent="0.3">
      <c r="A956" t="s">
        <v>1453</v>
      </c>
      <c r="B956" s="1">
        <v>45204</v>
      </c>
      <c r="C956" t="s">
        <v>1455</v>
      </c>
      <c r="D956">
        <v>94</v>
      </c>
      <c r="E956" t="s">
        <v>812</v>
      </c>
      <c r="F956" s="2">
        <v>0.625</v>
      </c>
    </row>
    <row r="957" spans="1:6" x14ac:dyDescent="0.3">
      <c r="A957" t="s">
        <v>1453</v>
      </c>
      <c r="B957" s="1">
        <v>45216</v>
      </c>
      <c r="C957" t="s">
        <v>1456</v>
      </c>
      <c r="D957">
        <v>41</v>
      </c>
      <c r="E957" t="s">
        <v>810</v>
      </c>
      <c r="F957" s="2">
        <v>0.9604166666666667</v>
      </c>
    </row>
    <row r="958" spans="1:6" x14ac:dyDescent="0.3">
      <c r="A958" t="s">
        <v>1453</v>
      </c>
      <c r="B958" s="1">
        <v>45217</v>
      </c>
      <c r="C958" t="s">
        <v>1457</v>
      </c>
      <c r="D958">
        <v>93</v>
      </c>
      <c r="E958" t="s">
        <v>810</v>
      </c>
      <c r="F958" s="2">
        <v>0.57847222222222228</v>
      </c>
    </row>
    <row r="959" spans="1:6" x14ac:dyDescent="0.3">
      <c r="A959" t="s">
        <v>1453</v>
      </c>
      <c r="B959" s="1">
        <v>45218</v>
      </c>
      <c r="C959" t="s">
        <v>1458</v>
      </c>
      <c r="D959">
        <v>90</v>
      </c>
      <c r="E959" t="s">
        <v>812</v>
      </c>
      <c r="F959" s="2">
        <v>0.66597222222222219</v>
      </c>
    </row>
    <row r="960" spans="1:6" x14ac:dyDescent="0.3">
      <c r="A960" t="s">
        <v>1453</v>
      </c>
      <c r="B960" s="1">
        <v>45218</v>
      </c>
      <c r="C960" t="s">
        <v>942</v>
      </c>
      <c r="D960">
        <v>53</v>
      </c>
      <c r="E960" t="s">
        <v>812</v>
      </c>
      <c r="F960" s="2">
        <v>0.24027777777777778</v>
      </c>
    </row>
    <row r="961" spans="1:6" x14ac:dyDescent="0.3">
      <c r="A961" t="s">
        <v>1453</v>
      </c>
      <c r="B961" s="1">
        <v>45226</v>
      </c>
      <c r="C961" t="s">
        <v>857</v>
      </c>
      <c r="D961">
        <v>54</v>
      </c>
      <c r="E961" t="s">
        <v>807</v>
      </c>
      <c r="F961" s="2">
        <v>0.17083333333333334</v>
      </c>
    </row>
    <row r="962" spans="1:6" x14ac:dyDescent="0.3">
      <c r="A962" t="s">
        <v>1453</v>
      </c>
      <c r="B962" s="1">
        <v>45212</v>
      </c>
      <c r="C962" t="s">
        <v>871</v>
      </c>
      <c r="D962">
        <v>58</v>
      </c>
      <c r="E962" t="s">
        <v>807</v>
      </c>
      <c r="F962" s="2">
        <v>0.90138888888888891</v>
      </c>
    </row>
    <row r="963" spans="1:6" x14ac:dyDescent="0.3">
      <c r="A963" t="s">
        <v>1453</v>
      </c>
      <c r="B963" s="1">
        <v>45219</v>
      </c>
      <c r="C963" t="s">
        <v>1459</v>
      </c>
      <c r="D963">
        <v>105</v>
      </c>
      <c r="E963" t="s">
        <v>810</v>
      </c>
      <c r="F963" s="2">
        <v>0.43888888888888888</v>
      </c>
    </row>
    <row r="964" spans="1:6" x14ac:dyDescent="0.3">
      <c r="A964" t="s">
        <v>1453</v>
      </c>
      <c r="B964" s="1">
        <v>45228</v>
      </c>
      <c r="C964" t="s">
        <v>1403</v>
      </c>
      <c r="D964">
        <v>92</v>
      </c>
      <c r="E964" t="s">
        <v>812</v>
      </c>
      <c r="F964" s="2">
        <v>0.5180555555555556</v>
      </c>
    </row>
    <row r="965" spans="1:6" x14ac:dyDescent="0.3">
      <c r="A965" t="s">
        <v>1453</v>
      </c>
      <c r="B965" s="1">
        <v>45219</v>
      </c>
      <c r="C965" t="s">
        <v>862</v>
      </c>
      <c r="D965">
        <v>45</v>
      </c>
      <c r="E965" t="s">
        <v>812</v>
      </c>
      <c r="F965" s="2">
        <v>0.95</v>
      </c>
    </row>
    <row r="966" spans="1:6" x14ac:dyDescent="0.3">
      <c r="A966" t="s">
        <v>1453</v>
      </c>
      <c r="B966" s="1">
        <v>45207</v>
      </c>
      <c r="C966" t="s">
        <v>1460</v>
      </c>
      <c r="D966">
        <v>75</v>
      </c>
      <c r="E966" t="s">
        <v>812</v>
      </c>
      <c r="F966" s="2">
        <v>0.35069444444444442</v>
      </c>
    </row>
    <row r="967" spans="1:6" x14ac:dyDescent="0.3">
      <c r="A967" t="s">
        <v>1453</v>
      </c>
      <c r="B967" s="1">
        <v>45230</v>
      </c>
      <c r="C967" t="s">
        <v>1199</v>
      </c>
      <c r="D967">
        <v>11</v>
      </c>
      <c r="E967" t="s">
        <v>812</v>
      </c>
      <c r="F967" s="2">
        <v>0.42916666666666664</v>
      </c>
    </row>
    <row r="968" spans="1:6" x14ac:dyDescent="0.3">
      <c r="A968" t="s">
        <v>1453</v>
      </c>
      <c r="B968" s="1">
        <v>45214</v>
      </c>
      <c r="C968" t="s">
        <v>976</v>
      </c>
      <c r="D968">
        <v>6</v>
      </c>
      <c r="E968" t="s">
        <v>807</v>
      </c>
      <c r="F968" s="2">
        <v>0.17222222222222222</v>
      </c>
    </row>
    <row r="969" spans="1:6" x14ac:dyDescent="0.3">
      <c r="A969" t="s">
        <v>1453</v>
      </c>
      <c r="B969" s="1">
        <v>45213</v>
      </c>
      <c r="C969" t="s">
        <v>1461</v>
      </c>
      <c r="D969">
        <v>100</v>
      </c>
      <c r="E969" t="s">
        <v>810</v>
      </c>
      <c r="F969" s="2">
        <v>0.82222222222222219</v>
      </c>
    </row>
    <row r="970" spans="1:6" x14ac:dyDescent="0.3">
      <c r="A970" t="s">
        <v>1453</v>
      </c>
      <c r="B970" s="1">
        <v>45228</v>
      </c>
      <c r="C970" t="s">
        <v>1013</v>
      </c>
      <c r="D970">
        <v>37</v>
      </c>
      <c r="E970" t="s">
        <v>810</v>
      </c>
      <c r="F970" s="2">
        <v>0.98055555555555551</v>
      </c>
    </row>
    <row r="971" spans="1:6" x14ac:dyDescent="0.3">
      <c r="A971" t="s">
        <v>1453</v>
      </c>
      <c r="B971" s="1">
        <v>45209</v>
      </c>
      <c r="C971" t="s">
        <v>1233</v>
      </c>
      <c r="D971">
        <v>30</v>
      </c>
      <c r="E971" t="s">
        <v>812</v>
      </c>
      <c r="F971" s="2">
        <v>0.94097222222222221</v>
      </c>
    </row>
    <row r="972" spans="1:6" x14ac:dyDescent="0.3">
      <c r="A972" t="s">
        <v>1453</v>
      </c>
      <c r="B972" s="1">
        <v>45227</v>
      </c>
      <c r="C972" t="s">
        <v>1231</v>
      </c>
      <c r="D972">
        <v>84</v>
      </c>
      <c r="E972" t="s">
        <v>810</v>
      </c>
      <c r="F972" s="2">
        <v>0.44791666666666669</v>
      </c>
    </row>
    <row r="973" spans="1:6" x14ac:dyDescent="0.3">
      <c r="A973" t="s">
        <v>1453</v>
      </c>
      <c r="B973" s="1">
        <v>45223</v>
      </c>
      <c r="C973" t="s">
        <v>1023</v>
      </c>
      <c r="D973">
        <v>116</v>
      </c>
      <c r="E973" t="s">
        <v>810</v>
      </c>
      <c r="F973" s="2">
        <v>0.73611111111111116</v>
      </c>
    </row>
    <row r="974" spans="1:6" x14ac:dyDescent="0.3">
      <c r="A974" t="s">
        <v>1453</v>
      </c>
      <c r="B974" s="1">
        <v>45206</v>
      </c>
      <c r="C974" t="s">
        <v>1462</v>
      </c>
      <c r="D974">
        <v>104</v>
      </c>
      <c r="E974" t="s">
        <v>807</v>
      </c>
      <c r="F974" s="2">
        <v>0.2590277777777778</v>
      </c>
    </row>
    <row r="975" spans="1:6" x14ac:dyDescent="0.3">
      <c r="A975" t="s">
        <v>1453</v>
      </c>
      <c r="B975" s="1">
        <v>45219</v>
      </c>
      <c r="C975" t="s">
        <v>1463</v>
      </c>
      <c r="D975">
        <v>115</v>
      </c>
      <c r="E975" t="s">
        <v>807</v>
      </c>
      <c r="F975" s="2">
        <v>0.9291666666666667</v>
      </c>
    </row>
    <row r="976" spans="1:6" x14ac:dyDescent="0.3">
      <c r="A976" t="s">
        <v>1453</v>
      </c>
      <c r="B976" s="1">
        <v>45221</v>
      </c>
      <c r="C976" t="s">
        <v>1464</v>
      </c>
      <c r="D976">
        <v>116</v>
      </c>
      <c r="E976" t="s">
        <v>810</v>
      </c>
      <c r="F976" s="2">
        <v>0.49861111111111112</v>
      </c>
    </row>
    <row r="977" spans="1:6" x14ac:dyDescent="0.3">
      <c r="A977" t="s">
        <v>1453</v>
      </c>
      <c r="B977" s="1">
        <v>45221</v>
      </c>
      <c r="C977" t="s">
        <v>1069</v>
      </c>
      <c r="D977">
        <v>61</v>
      </c>
      <c r="E977" t="s">
        <v>812</v>
      </c>
      <c r="F977" s="2">
        <v>0.19791666666666666</v>
      </c>
    </row>
    <row r="978" spans="1:6" x14ac:dyDescent="0.3">
      <c r="A978" t="s">
        <v>1453</v>
      </c>
      <c r="B978" s="1">
        <v>45220</v>
      </c>
      <c r="C978" t="s">
        <v>863</v>
      </c>
      <c r="D978">
        <v>111</v>
      </c>
      <c r="E978" t="s">
        <v>812</v>
      </c>
      <c r="F978" s="2">
        <v>0.23055555555555557</v>
      </c>
    </row>
    <row r="979" spans="1:6" x14ac:dyDescent="0.3">
      <c r="A979" t="s">
        <v>1453</v>
      </c>
      <c r="B979" s="1">
        <v>45217</v>
      </c>
      <c r="C979" t="s">
        <v>1465</v>
      </c>
      <c r="D979">
        <v>33</v>
      </c>
      <c r="E979" t="s">
        <v>807</v>
      </c>
      <c r="F979" s="2">
        <v>0.94444444444444442</v>
      </c>
    </row>
    <row r="980" spans="1:6" x14ac:dyDescent="0.3">
      <c r="A980" t="s">
        <v>1453</v>
      </c>
      <c r="B980" s="1">
        <v>45210</v>
      </c>
      <c r="C980" t="s">
        <v>1274</v>
      </c>
      <c r="D980">
        <v>86</v>
      </c>
      <c r="E980" t="s">
        <v>810</v>
      </c>
      <c r="F980" s="2">
        <v>0.92152777777777772</v>
      </c>
    </row>
    <row r="981" spans="1:6" x14ac:dyDescent="0.3">
      <c r="A981" t="s">
        <v>1453</v>
      </c>
      <c r="B981" s="1">
        <v>45224</v>
      </c>
      <c r="C981" t="s">
        <v>824</v>
      </c>
      <c r="D981">
        <v>95</v>
      </c>
      <c r="E981" t="s">
        <v>810</v>
      </c>
      <c r="F981" s="2">
        <v>0.4826388888888889</v>
      </c>
    </row>
    <row r="982" spans="1:6" x14ac:dyDescent="0.3">
      <c r="A982" t="s">
        <v>1453</v>
      </c>
      <c r="B982" s="1">
        <v>45215</v>
      </c>
      <c r="C982" t="s">
        <v>1169</v>
      </c>
      <c r="D982">
        <v>95</v>
      </c>
      <c r="E982" t="s">
        <v>810</v>
      </c>
      <c r="F982" s="2">
        <v>0.77500000000000002</v>
      </c>
    </row>
    <row r="983" spans="1:6" x14ac:dyDescent="0.3">
      <c r="A983" t="s">
        <v>1453</v>
      </c>
      <c r="B983" s="1">
        <v>45230</v>
      </c>
      <c r="C983" t="s">
        <v>1405</v>
      </c>
      <c r="D983">
        <v>87</v>
      </c>
      <c r="E983" t="s">
        <v>807</v>
      </c>
      <c r="F983" s="2">
        <v>0.90625</v>
      </c>
    </row>
    <row r="984" spans="1:6" x14ac:dyDescent="0.3">
      <c r="A984" t="s">
        <v>1453</v>
      </c>
      <c r="B984" s="1">
        <v>45213</v>
      </c>
      <c r="C984" t="s">
        <v>1426</v>
      </c>
      <c r="D984">
        <v>52</v>
      </c>
      <c r="E984" t="s">
        <v>807</v>
      </c>
      <c r="F984" s="2">
        <v>0.90763888888888888</v>
      </c>
    </row>
    <row r="985" spans="1:6" x14ac:dyDescent="0.3">
      <c r="A985" t="s">
        <v>1453</v>
      </c>
      <c r="B985" s="1">
        <v>45228</v>
      </c>
      <c r="C985" t="s">
        <v>1466</v>
      </c>
      <c r="D985">
        <v>101</v>
      </c>
      <c r="E985" t="s">
        <v>810</v>
      </c>
      <c r="F985" s="2">
        <v>0.72083333333333333</v>
      </c>
    </row>
    <row r="986" spans="1:6" x14ac:dyDescent="0.3">
      <c r="A986" t="s">
        <v>1453</v>
      </c>
      <c r="B986" s="1">
        <v>45228</v>
      </c>
      <c r="C986" t="s">
        <v>956</v>
      </c>
      <c r="D986">
        <v>80</v>
      </c>
      <c r="E986" t="s">
        <v>812</v>
      </c>
      <c r="F986" s="2">
        <v>0.57708333333333328</v>
      </c>
    </row>
    <row r="987" spans="1:6" x14ac:dyDescent="0.3">
      <c r="A987" t="s">
        <v>1453</v>
      </c>
      <c r="B987" s="1">
        <v>45200</v>
      </c>
      <c r="C987" t="s">
        <v>1467</v>
      </c>
      <c r="D987">
        <v>74</v>
      </c>
      <c r="E987" t="s">
        <v>812</v>
      </c>
      <c r="F987" s="2">
        <v>0.67083333333333328</v>
      </c>
    </row>
    <row r="988" spans="1:6" x14ac:dyDescent="0.3">
      <c r="A988" t="s">
        <v>1453</v>
      </c>
      <c r="B988" s="1">
        <v>45200</v>
      </c>
      <c r="C988" t="s">
        <v>1301</v>
      </c>
      <c r="D988">
        <v>99</v>
      </c>
      <c r="E988" t="s">
        <v>807</v>
      </c>
      <c r="F988" s="2">
        <v>0.50624999999999998</v>
      </c>
    </row>
    <row r="989" spans="1:6" x14ac:dyDescent="0.3">
      <c r="A989" t="s">
        <v>1453</v>
      </c>
      <c r="B989" s="1">
        <v>45201</v>
      </c>
      <c r="C989" t="s">
        <v>975</v>
      </c>
      <c r="D989">
        <v>82</v>
      </c>
      <c r="E989" t="s">
        <v>812</v>
      </c>
      <c r="F989" s="2">
        <v>0.87708333333333333</v>
      </c>
    </row>
    <row r="990" spans="1:6" x14ac:dyDescent="0.3">
      <c r="A990" t="s">
        <v>1453</v>
      </c>
      <c r="B990" s="1">
        <v>45206</v>
      </c>
      <c r="C990" t="s">
        <v>1468</v>
      </c>
      <c r="D990">
        <v>30</v>
      </c>
      <c r="E990" t="s">
        <v>812</v>
      </c>
      <c r="F990" s="2">
        <v>0.36666666666666664</v>
      </c>
    </row>
    <row r="991" spans="1:6" x14ac:dyDescent="0.3">
      <c r="A991" t="s">
        <v>1453</v>
      </c>
      <c r="B991" s="1">
        <v>45225</v>
      </c>
      <c r="C991" t="s">
        <v>1469</v>
      </c>
      <c r="D991">
        <v>104</v>
      </c>
      <c r="E991" t="s">
        <v>810</v>
      </c>
      <c r="F991" s="2">
        <v>0.22083333333333333</v>
      </c>
    </row>
    <row r="992" spans="1:6" x14ac:dyDescent="0.3">
      <c r="A992" t="s">
        <v>1453</v>
      </c>
      <c r="B992" s="1">
        <v>45221</v>
      </c>
      <c r="C992" t="s">
        <v>1324</v>
      </c>
      <c r="D992">
        <v>97</v>
      </c>
      <c r="E992" t="s">
        <v>810</v>
      </c>
      <c r="F992" s="2">
        <v>0.33958333333333335</v>
      </c>
    </row>
    <row r="993" spans="1:6" x14ac:dyDescent="0.3">
      <c r="A993" t="s">
        <v>1453</v>
      </c>
      <c r="B993" s="1">
        <v>45226</v>
      </c>
      <c r="C993" t="s">
        <v>1470</v>
      </c>
      <c r="D993">
        <v>29</v>
      </c>
      <c r="E993" t="s">
        <v>812</v>
      </c>
      <c r="F993" s="2">
        <v>7.2222222222222215E-2</v>
      </c>
    </row>
    <row r="994" spans="1:6" x14ac:dyDescent="0.3">
      <c r="A994" t="s">
        <v>1453</v>
      </c>
      <c r="B994" s="1">
        <v>45225</v>
      </c>
      <c r="C994" t="s">
        <v>1362</v>
      </c>
      <c r="D994">
        <v>42</v>
      </c>
      <c r="E994" t="s">
        <v>807</v>
      </c>
      <c r="F994" s="2">
        <v>0.3840277777777778</v>
      </c>
    </row>
    <row r="995" spans="1:6" x14ac:dyDescent="0.3">
      <c r="A995" t="s">
        <v>1453</v>
      </c>
      <c r="B995" s="1">
        <v>45224</v>
      </c>
      <c r="C995" t="s">
        <v>1471</v>
      </c>
      <c r="D995">
        <v>62</v>
      </c>
      <c r="E995" t="s">
        <v>810</v>
      </c>
      <c r="F995" s="2">
        <v>0.70972222222222225</v>
      </c>
    </row>
    <row r="996" spans="1:6" x14ac:dyDescent="0.3">
      <c r="A996" t="s">
        <v>1453</v>
      </c>
      <c r="B996" s="1">
        <v>45211</v>
      </c>
      <c r="C996" t="s">
        <v>1472</v>
      </c>
      <c r="D996">
        <v>27</v>
      </c>
      <c r="E996" t="s">
        <v>812</v>
      </c>
      <c r="F996" s="2">
        <v>0.58750000000000002</v>
      </c>
    </row>
    <row r="997" spans="1:6" x14ac:dyDescent="0.3">
      <c r="A997" t="s">
        <v>1453</v>
      </c>
      <c r="B997" s="1">
        <v>45219</v>
      </c>
      <c r="C997" t="s">
        <v>1473</v>
      </c>
      <c r="D997">
        <v>92</v>
      </c>
      <c r="E997" t="s">
        <v>810</v>
      </c>
      <c r="F997" s="2">
        <v>0.90763888888888888</v>
      </c>
    </row>
    <row r="998" spans="1:6" x14ac:dyDescent="0.3">
      <c r="A998" t="s">
        <v>1453</v>
      </c>
      <c r="B998" s="1">
        <v>45217</v>
      </c>
      <c r="C998" t="s">
        <v>1474</v>
      </c>
      <c r="D998">
        <v>14</v>
      </c>
      <c r="E998" t="s">
        <v>810</v>
      </c>
      <c r="F998" s="2">
        <v>0.32430555555555557</v>
      </c>
    </row>
    <row r="999" spans="1:6" x14ac:dyDescent="0.3">
      <c r="A999" t="s">
        <v>1453</v>
      </c>
      <c r="B999" s="1">
        <v>45220</v>
      </c>
      <c r="C999" t="s">
        <v>927</v>
      </c>
      <c r="D999">
        <v>28</v>
      </c>
      <c r="E999" t="s">
        <v>812</v>
      </c>
      <c r="F999" s="2">
        <v>0.72499999999999998</v>
      </c>
    </row>
    <row r="1000" spans="1:6" x14ac:dyDescent="0.3">
      <c r="A1000" t="s">
        <v>1453</v>
      </c>
      <c r="B1000" s="1">
        <v>45207</v>
      </c>
      <c r="C1000" t="s">
        <v>1475</v>
      </c>
      <c r="D1000">
        <v>27</v>
      </c>
      <c r="E1000" t="s">
        <v>812</v>
      </c>
      <c r="F1000" s="2">
        <v>0.70138888888888884</v>
      </c>
    </row>
    <row r="1001" spans="1:6" x14ac:dyDescent="0.3">
      <c r="A1001" t="s">
        <v>1476</v>
      </c>
      <c r="B1001" s="1">
        <v>45230</v>
      </c>
      <c r="C1001" t="s">
        <v>1104</v>
      </c>
      <c r="D1001">
        <v>52</v>
      </c>
      <c r="E1001" t="s">
        <v>807</v>
      </c>
      <c r="F1001" s="2">
        <v>0.7319444444444444</v>
      </c>
    </row>
    <row r="1002" spans="1:6" x14ac:dyDescent="0.3">
      <c r="A1002" t="s">
        <v>1476</v>
      </c>
      <c r="B1002" s="1">
        <v>45200</v>
      </c>
      <c r="C1002" t="s">
        <v>1072</v>
      </c>
      <c r="D1002">
        <v>6</v>
      </c>
      <c r="E1002" t="s">
        <v>807</v>
      </c>
      <c r="F1002" s="2">
        <v>0.83611111111111114</v>
      </c>
    </row>
    <row r="1003" spans="1:6" x14ac:dyDescent="0.3">
      <c r="A1003" t="s">
        <v>1476</v>
      </c>
      <c r="B1003" s="1">
        <v>45206</v>
      </c>
      <c r="C1003" t="s">
        <v>1477</v>
      </c>
      <c r="D1003">
        <v>75</v>
      </c>
      <c r="E1003" t="s">
        <v>812</v>
      </c>
      <c r="F1003" s="2">
        <v>0.90277777777777779</v>
      </c>
    </row>
    <row r="1004" spans="1:6" x14ac:dyDescent="0.3">
      <c r="A1004" t="s">
        <v>1476</v>
      </c>
      <c r="B1004" s="1">
        <v>45224</v>
      </c>
      <c r="C1004" t="s">
        <v>1145</v>
      </c>
      <c r="D1004">
        <v>116</v>
      </c>
      <c r="E1004" t="s">
        <v>812</v>
      </c>
      <c r="F1004" s="2">
        <v>0.28819444444444442</v>
      </c>
    </row>
    <row r="1005" spans="1:6" x14ac:dyDescent="0.3">
      <c r="A1005" t="s">
        <v>1476</v>
      </c>
      <c r="B1005" s="1">
        <v>45221</v>
      </c>
      <c r="C1005" t="s">
        <v>1012</v>
      </c>
      <c r="D1005">
        <v>76</v>
      </c>
      <c r="E1005" t="s">
        <v>812</v>
      </c>
      <c r="F1005" s="2">
        <v>0.57847222222222228</v>
      </c>
    </row>
    <row r="1006" spans="1:6" x14ac:dyDescent="0.3">
      <c r="A1006" t="s">
        <v>1476</v>
      </c>
      <c r="B1006" s="1">
        <v>45203</v>
      </c>
      <c r="C1006" t="s">
        <v>852</v>
      </c>
      <c r="D1006">
        <v>23</v>
      </c>
      <c r="E1006" t="s">
        <v>812</v>
      </c>
      <c r="F1006" s="2">
        <v>0.27361111111111114</v>
      </c>
    </row>
    <row r="1007" spans="1:6" x14ac:dyDescent="0.3">
      <c r="A1007" t="s">
        <v>1476</v>
      </c>
      <c r="B1007" s="1">
        <v>45226</v>
      </c>
      <c r="C1007" t="s">
        <v>1478</v>
      </c>
      <c r="D1007">
        <v>20</v>
      </c>
      <c r="E1007" t="s">
        <v>810</v>
      </c>
      <c r="F1007" s="2">
        <v>0.9555555555555556</v>
      </c>
    </row>
    <row r="1008" spans="1:6" x14ac:dyDescent="0.3">
      <c r="A1008" t="s">
        <v>1476</v>
      </c>
      <c r="B1008" s="1">
        <v>45223</v>
      </c>
      <c r="C1008" t="s">
        <v>992</v>
      </c>
      <c r="D1008">
        <v>10</v>
      </c>
      <c r="E1008" t="s">
        <v>810</v>
      </c>
      <c r="F1008" s="2">
        <v>0.57013888888888886</v>
      </c>
    </row>
    <row r="1009" spans="1:6" x14ac:dyDescent="0.3">
      <c r="A1009" t="s">
        <v>1476</v>
      </c>
      <c r="B1009" s="1">
        <v>45226</v>
      </c>
      <c r="C1009" t="s">
        <v>1129</v>
      </c>
      <c r="D1009">
        <v>5</v>
      </c>
      <c r="E1009" t="s">
        <v>812</v>
      </c>
      <c r="F1009" s="2">
        <v>0.11597222222222223</v>
      </c>
    </row>
    <row r="1010" spans="1:6" x14ac:dyDescent="0.3">
      <c r="A1010" t="s">
        <v>1476</v>
      </c>
      <c r="B1010" s="1">
        <v>45221</v>
      </c>
      <c r="C1010" t="s">
        <v>922</v>
      </c>
      <c r="D1010">
        <v>78</v>
      </c>
      <c r="E1010" t="s">
        <v>810</v>
      </c>
      <c r="F1010" s="2">
        <v>0.1673611111111111</v>
      </c>
    </row>
    <row r="1011" spans="1:6" x14ac:dyDescent="0.3">
      <c r="A1011" t="s">
        <v>1476</v>
      </c>
      <c r="B1011" s="1">
        <v>45214</v>
      </c>
      <c r="C1011" t="s">
        <v>1274</v>
      </c>
      <c r="D1011">
        <v>81</v>
      </c>
      <c r="E1011" t="s">
        <v>810</v>
      </c>
      <c r="F1011" s="2">
        <v>0.93125000000000002</v>
      </c>
    </row>
    <row r="1012" spans="1:6" x14ac:dyDescent="0.3">
      <c r="A1012" t="s">
        <v>1476</v>
      </c>
      <c r="B1012" s="1">
        <v>45201</v>
      </c>
      <c r="C1012" t="s">
        <v>1002</v>
      </c>
      <c r="D1012">
        <v>55</v>
      </c>
      <c r="E1012" t="s">
        <v>807</v>
      </c>
      <c r="F1012" s="2">
        <v>8.611111111111111E-2</v>
      </c>
    </row>
    <row r="1013" spans="1:6" x14ac:dyDescent="0.3">
      <c r="A1013" t="s">
        <v>1476</v>
      </c>
      <c r="B1013" s="1">
        <v>45201</v>
      </c>
      <c r="C1013" t="s">
        <v>1108</v>
      </c>
      <c r="D1013">
        <v>73</v>
      </c>
      <c r="E1013" t="s">
        <v>810</v>
      </c>
      <c r="F1013" s="2">
        <v>0.24305555555555555</v>
      </c>
    </row>
    <row r="1014" spans="1:6" x14ac:dyDescent="0.3">
      <c r="A1014" t="s">
        <v>1476</v>
      </c>
      <c r="B1014" s="1">
        <v>45208</v>
      </c>
      <c r="C1014" t="s">
        <v>1160</v>
      </c>
      <c r="D1014">
        <v>75</v>
      </c>
      <c r="E1014" t="s">
        <v>810</v>
      </c>
      <c r="F1014" s="2">
        <v>0.71111111111111114</v>
      </c>
    </row>
    <row r="1015" spans="1:6" x14ac:dyDescent="0.3">
      <c r="A1015" t="s">
        <v>1476</v>
      </c>
      <c r="B1015" s="1">
        <v>45218</v>
      </c>
      <c r="C1015" t="s">
        <v>1002</v>
      </c>
      <c r="D1015">
        <v>15</v>
      </c>
      <c r="E1015" t="s">
        <v>812</v>
      </c>
      <c r="F1015" s="2">
        <v>0.33194444444444443</v>
      </c>
    </row>
    <row r="1016" spans="1:6" x14ac:dyDescent="0.3">
      <c r="A1016" t="s">
        <v>1476</v>
      </c>
      <c r="B1016" s="1">
        <v>45208</v>
      </c>
      <c r="C1016" t="s">
        <v>1469</v>
      </c>
      <c r="D1016">
        <v>44</v>
      </c>
      <c r="E1016" t="s">
        <v>812</v>
      </c>
      <c r="F1016" s="2">
        <v>0.55833333333333335</v>
      </c>
    </row>
    <row r="1017" spans="1:6" x14ac:dyDescent="0.3">
      <c r="A1017" t="s">
        <v>1476</v>
      </c>
      <c r="B1017" s="1">
        <v>45214</v>
      </c>
      <c r="C1017" t="s">
        <v>1165</v>
      </c>
      <c r="D1017">
        <v>31</v>
      </c>
      <c r="E1017" t="s">
        <v>812</v>
      </c>
      <c r="F1017" s="2">
        <v>0.85069444444444442</v>
      </c>
    </row>
    <row r="1018" spans="1:6" x14ac:dyDescent="0.3">
      <c r="A1018" t="s">
        <v>1476</v>
      </c>
      <c r="B1018" s="1">
        <v>45213</v>
      </c>
      <c r="C1018" t="s">
        <v>1145</v>
      </c>
      <c r="D1018">
        <v>100</v>
      </c>
      <c r="E1018" t="s">
        <v>807</v>
      </c>
      <c r="F1018" s="2">
        <v>0.41736111111111113</v>
      </c>
    </row>
    <row r="1019" spans="1:6" x14ac:dyDescent="0.3">
      <c r="A1019" t="s">
        <v>1476</v>
      </c>
      <c r="B1019" s="1">
        <v>45212</v>
      </c>
      <c r="C1019" t="s">
        <v>1158</v>
      </c>
      <c r="D1019">
        <v>99</v>
      </c>
      <c r="E1019" t="s">
        <v>807</v>
      </c>
      <c r="F1019" s="2">
        <v>0.87986111111111109</v>
      </c>
    </row>
    <row r="1020" spans="1:6" x14ac:dyDescent="0.3">
      <c r="A1020" t="s">
        <v>1476</v>
      </c>
      <c r="B1020" s="1">
        <v>45223</v>
      </c>
      <c r="C1020" t="s">
        <v>1479</v>
      </c>
      <c r="D1020">
        <v>97</v>
      </c>
      <c r="E1020" t="s">
        <v>807</v>
      </c>
      <c r="F1020" s="2">
        <v>0.7944444444444444</v>
      </c>
    </row>
    <row r="1021" spans="1:6" x14ac:dyDescent="0.3">
      <c r="A1021" t="s">
        <v>1476</v>
      </c>
      <c r="B1021" s="1">
        <v>45224</v>
      </c>
      <c r="C1021" t="s">
        <v>1480</v>
      </c>
      <c r="D1021">
        <v>49</v>
      </c>
      <c r="E1021" t="s">
        <v>807</v>
      </c>
      <c r="F1021" s="2">
        <v>0.98402777777777772</v>
      </c>
    </row>
    <row r="1022" spans="1:6" x14ac:dyDescent="0.3">
      <c r="A1022" t="s">
        <v>1476</v>
      </c>
      <c r="B1022" s="1">
        <v>45201</v>
      </c>
      <c r="C1022" t="s">
        <v>1481</v>
      </c>
      <c r="D1022">
        <v>32</v>
      </c>
      <c r="E1022" t="s">
        <v>810</v>
      </c>
      <c r="F1022" s="2">
        <v>0.95416666666666672</v>
      </c>
    </row>
    <row r="1023" spans="1:6" x14ac:dyDescent="0.3">
      <c r="A1023" t="s">
        <v>1476</v>
      </c>
      <c r="B1023" s="1">
        <v>45202</v>
      </c>
      <c r="C1023" t="s">
        <v>1352</v>
      </c>
      <c r="D1023">
        <v>57</v>
      </c>
      <c r="E1023" t="s">
        <v>810</v>
      </c>
      <c r="F1023" s="2">
        <v>0.49930555555555556</v>
      </c>
    </row>
    <row r="1024" spans="1:6" x14ac:dyDescent="0.3">
      <c r="A1024" t="s">
        <v>1476</v>
      </c>
      <c r="B1024" s="1">
        <v>45216</v>
      </c>
      <c r="C1024" t="s">
        <v>1482</v>
      </c>
      <c r="D1024">
        <v>120</v>
      </c>
      <c r="E1024" t="s">
        <v>810</v>
      </c>
      <c r="F1024" s="2">
        <v>0.13750000000000001</v>
      </c>
    </row>
    <row r="1025" spans="1:6" x14ac:dyDescent="0.3">
      <c r="A1025" t="s">
        <v>1476</v>
      </c>
      <c r="B1025" s="1">
        <v>45225</v>
      </c>
      <c r="C1025" t="s">
        <v>1483</v>
      </c>
      <c r="D1025">
        <v>87</v>
      </c>
      <c r="E1025" t="s">
        <v>812</v>
      </c>
      <c r="F1025" s="2">
        <v>0.8881944444444444</v>
      </c>
    </row>
    <row r="1026" spans="1:6" x14ac:dyDescent="0.3">
      <c r="A1026" t="s">
        <v>1476</v>
      </c>
      <c r="B1026" s="1">
        <v>45219</v>
      </c>
      <c r="C1026" t="s">
        <v>976</v>
      </c>
      <c r="D1026">
        <v>113</v>
      </c>
      <c r="E1026" t="s">
        <v>812</v>
      </c>
      <c r="F1026" s="2">
        <v>9.583333333333334E-2</v>
      </c>
    </row>
    <row r="1027" spans="1:6" x14ac:dyDescent="0.3">
      <c r="A1027" t="s">
        <v>1476</v>
      </c>
      <c r="B1027" s="1">
        <v>45224</v>
      </c>
      <c r="C1027" t="s">
        <v>1484</v>
      </c>
      <c r="D1027">
        <v>70</v>
      </c>
      <c r="E1027" t="s">
        <v>812</v>
      </c>
      <c r="F1027" s="2">
        <v>0.6</v>
      </c>
    </row>
    <row r="1028" spans="1:6" x14ac:dyDescent="0.3">
      <c r="A1028" t="s">
        <v>1476</v>
      </c>
      <c r="B1028" s="1">
        <v>45212</v>
      </c>
      <c r="C1028" t="s">
        <v>1485</v>
      </c>
      <c r="D1028">
        <v>23</v>
      </c>
      <c r="E1028" t="s">
        <v>807</v>
      </c>
      <c r="F1028" s="2">
        <v>0.87569444444444444</v>
      </c>
    </row>
    <row r="1029" spans="1:6" x14ac:dyDescent="0.3">
      <c r="A1029" t="s">
        <v>1476</v>
      </c>
      <c r="B1029" s="1">
        <v>45215</v>
      </c>
      <c r="C1029" t="s">
        <v>1145</v>
      </c>
      <c r="D1029">
        <v>25</v>
      </c>
      <c r="E1029" t="s">
        <v>810</v>
      </c>
      <c r="F1029" s="2">
        <v>0.23194444444444445</v>
      </c>
    </row>
    <row r="1030" spans="1:6" x14ac:dyDescent="0.3">
      <c r="A1030" t="s">
        <v>1476</v>
      </c>
      <c r="B1030" s="1">
        <v>45207</v>
      </c>
      <c r="C1030" t="s">
        <v>1412</v>
      </c>
      <c r="D1030">
        <v>28</v>
      </c>
      <c r="E1030" t="s">
        <v>810</v>
      </c>
      <c r="F1030" s="2">
        <v>0.19930555555555557</v>
      </c>
    </row>
    <row r="1031" spans="1:6" x14ac:dyDescent="0.3">
      <c r="A1031" t="s">
        <v>1476</v>
      </c>
      <c r="B1031" s="1">
        <v>45212</v>
      </c>
      <c r="C1031" t="s">
        <v>1486</v>
      </c>
      <c r="D1031">
        <v>33</v>
      </c>
      <c r="E1031" t="s">
        <v>812</v>
      </c>
      <c r="F1031" s="2">
        <v>0.72083333333333333</v>
      </c>
    </row>
    <row r="1032" spans="1:6" x14ac:dyDescent="0.3">
      <c r="A1032" t="s">
        <v>1476</v>
      </c>
      <c r="B1032" s="1">
        <v>45230</v>
      </c>
      <c r="C1032" t="s">
        <v>1196</v>
      </c>
      <c r="D1032">
        <v>83</v>
      </c>
      <c r="E1032" t="s">
        <v>812</v>
      </c>
      <c r="F1032" s="2">
        <v>0.83958333333333335</v>
      </c>
    </row>
    <row r="1033" spans="1:6" x14ac:dyDescent="0.3">
      <c r="A1033" t="s">
        <v>1476</v>
      </c>
      <c r="B1033" s="1">
        <v>45209</v>
      </c>
      <c r="C1033" t="s">
        <v>1131</v>
      </c>
      <c r="D1033">
        <v>111</v>
      </c>
      <c r="E1033" t="s">
        <v>812</v>
      </c>
      <c r="F1033" s="2">
        <v>0.91388888888888886</v>
      </c>
    </row>
    <row r="1034" spans="1:6" x14ac:dyDescent="0.3">
      <c r="A1034" t="s">
        <v>1476</v>
      </c>
      <c r="B1034" s="1">
        <v>45229</v>
      </c>
      <c r="C1034" t="s">
        <v>1255</v>
      </c>
      <c r="D1034">
        <v>37</v>
      </c>
      <c r="E1034" t="s">
        <v>812</v>
      </c>
      <c r="F1034" s="2">
        <v>0.9868055555555556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EF94-6C76-4EA3-B154-7A75C93F82E3}">
  <dimension ref="A1:G499"/>
  <sheetViews>
    <sheetView workbookViewId="0">
      <selection activeCell="J26" sqref="J26"/>
    </sheetView>
  </sheetViews>
  <sheetFormatPr baseColWidth="10" defaultRowHeight="14.4" x14ac:dyDescent="0.3"/>
  <cols>
    <col min="1" max="1" width="29.44140625" bestFit="1" customWidth="1"/>
    <col min="2" max="2" width="12.33203125" bestFit="1" customWidth="1"/>
    <col min="3" max="3" width="14.5546875" bestFit="1" customWidth="1"/>
    <col min="4" max="4" width="10.6640625" bestFit="1" customWidth="1"/>
    <col min="5" max="5" width="11" bestFit="1" customWidth="1"/>
    <col min="6" max="6" width="12.88671875" bestFit="1" customWidth="1"/>
    <col min="7" max="7" width="14.88671875" bestFit="1" customWidth="1"/>
  </cols>
  <sheetData>
    <row r="1" spans="1:7" x14ac:dyDescent="0.3">
      <c r="A1" t="s">
        <v>0</v>
      </c>
      <c r="B1" t="s">
        <v>1488</v>
      </c>
      <c r="C1" t="s">
        <v>1489</v>
      </c>
      <c r="D1" t="s">
        <v>1490</v>
      </c>
      <c r="E1" t="s">
        <v>1491</v>
      </c>
      <c r="F1" t="s">
        <v>1492</v>
      </c>
      <c r="G1" t="s">
        <v>1493</v>
      </c>
    </row>
    <row r="2" spans="1:7" x14ac:dyDescent="0.3">
      <c r="A2" t="s">
        <v>1494</v>
      </c>
      <c r="B2" t="s">
        <v>1321</v>
      </c>
      <c r="C2" t="s">
        <v>127</v>
      </c>
      <c r="D2">
        <v>-3.003879</v>
      </c>
      <c r="E2">
        <v>23.633893</v>
      </c>
      <c r="F2" t="s">
        <v>1495</v>
      </c>
      <c r="G2" t="s">
        <v>1496</v>
      </c>
    </row>
    <row r="3" spans="1:7" x14ac:dyDescent="0.3">
      <c r="A3" t="s">
        <v>1494</v>
      </c>
      <c r="B3" t="s">
        <v>1497</v>
      </c>
      <c r="C3" t="s">
        <v>51</v>
      </c>
      <c r="D3">
        <v>2.413557</v>
      </c>
      <c r="E3">
        <v>19.690681999999999</v>
      </c>
      <c r="F3" t="s">
        <v>1498</v>
      </c>
      <c r="G3" t="s">
        <v>1499</v>
      </c>
    </row>
    <row r="4" spans="1:7" x14ac:dyDescent="0.3">
      <c r="A4" t="s">
        <v>1494</v>
      </c>
      <c r="B4" t="s">
        <v>826</v>
      </c>
      <c r="C4" t="s">
        <v>37</v>
      </c>
      <c r="D4">
        <v>-9.4708620000000003</v>
      </c>
      <c r="E4">
        <v>29.234387999999999</v>
      </c>
      <c r="F4" t="s">
        <v>1500</v>
      </c>
      <c r="G4" t="s">
        <v>1501</v>
      </c>
    </row>
    <row r="5" spans="1:7" x14ac:dyDescent="0.3">
      <c r="A5" t="s">
        <v>1494</v>
      </c>
      <c r="B5" t="s">
        <v>1271</v>
      </c>
      <c r="C5" t="s">
        <v>73</v>
      </c>
      <c r="D5">
        <v>1.400674</v>
      </c>
      <c r="E5">
        <v>13.503126999999999</v>
      </c>
      <c r="F5" t="s">
        <v>1495</v>
      </c>
      <c r="G5" t="s">
        <v>1501</v>
      </c>
    </row>
    <row r="6" spans="1:7" x14ac:dyDescent="0.3">
      <c r="A6" t="s">
        <v>1494</v>
      </c>
      <c r="B6" t="s">
        <v>1502</v>
      </c>
      <c r="C6" t="s">
        <v>127</v>
      </c>
      <c r="D6">
        <v>0.29375600000000002</v>
      </c>
      <c r="E6">
        <v>18.528884000000001</v>
      </c>
      <c r="F6" t="s">
        <v>1495</v>
      </c>
      <c r="G6" t="s">
        <v>1501</v>
      </c>
    </row>
    <row r="7" spans="1:7" x14ac:dyDescent="0.3">
      <c r="A7" t="s">
        <v>1494</v>
      </c>
      <c r="B7" t="s">
        <v>1503</v>
      </c>
      <c r="C7" t="s">
        <v>78</v>
      </c>
      <c r="D7">
        <v>-4.4862339999999996</v>
      </c>
      <c r="E7">
        <v>17.956159</v>
      </c>
      <c r="F7" t="s">
        <v>1500</v>
      </c>
      <c r="G7" t="s">
        <v>1499</v>
      </c>
    </row>
    <row r="8" spans="1:7" x14ac:dyDescent="0.3">
      <c r="A8" t="s">
        <v>1494</v>
      </c>
      <c r="B8" t="s">
        <v>1504</v>
      </c>
      <c r="C8" t="s">
        <v>37</v>
      </c>
      <c r="D8">
        <v>-12.824638999999999</v>
      </c>
      <c r="E8">
        <v>24.407249</v>
      </c>
      <c r="F8" t="s">
        <v>1495</v>
      </c>
      <c r="G8" t="s">
        <v>1499</v>
      </c>
    </row>
    <row r="9" spans="1:7" x14ac:dyDescent="0.3">
      <c r="A9" t="s">
        <v>1494</v>
      </c>
      <c r="B9" t="s">
        <v>904</v>
      </c>
      <c r="C9" t="s">
        <v>64</v>
      </c>
      <c r="D9">
        <v>-5.4126279999999998</v>
      </c>
      <c r="E9">
        <v>25.498235999999999</v>
      </c>
      <c r="F9" t="s">
        <v>1495</v>
      </c>
      <c r="G9" t="s">
        <v>1501</v>
      </c>
    </row>
    <row r="10" spans="1:7" x14ac:dyDescent="0.3">
      <c r="A10" t="s">
        <v>1494</v>
      </c>
      <c r="B10" t="s">
        <v>1505</v>
      </c>
      <c r="C10" t="s">
        <v>64</v>
      </c>
      <c r="D10">
        <v>-10.579510000000001</v>
      </c>
      <c r="E10">
        <v>23.502313999999998</v>
      </c>
      <c r="F10" t="s">
        <v>1498</v>
      </c>
      <c r="G10" t="s">
        <v>1501</v>
      </c>
    </row>
    <row r="11" spans="1:7" x14ac:dyDescent="0.3">
      <c r="A11" t="s">
        <v>1494</v>
      </c>
      <c r="B11" t="s">
        <v>1506</v>
      </c>
      <c r="C11" t="s">
        <v>13</v>
      </c>
      <c r="D11">
        <v>3.0788669999999998</v>
      </c>
      <c r="E11">
        <v>19.513650999999999</v>
      </c>
      <c r="F11" t="s">
        <v>1495</v>
      </c>
      <c r="G11" t="s">
        <v>1499</v>
      </c>
    </row>
    <row r="12" spans="1:7" x14ac:dyDescent="0.3">
      <c r="A12" t="s">
        <v>1494</v>
      </c>
      <c r="B12" t="s">
        <v>815</v>
      </c>
      <c r="C12" t="s">
        <v>33</v>
      </c>
      <c r="D12">
        <v>-1.648264</v>
      </c>
      <c r="E12">
        <v>28.866143999999998</v>
      </c>
      <c r="F12" t="s">
        <v>1495</v>
      </c>
      <c r="G12" t="s">
        <v>1496</v>
      </c>
    </row>
    <row r="13" spans="1:7" x14ac:dyDescent="0.3">
      <c r="A13" t="s">
        <v>1494</v>
      </c>
      <c r="B13" t="s">
        <v>1507</v>
      </c>
      <c r="C13" t="s">
        <v>131</v>
      </c>
      <c r="D13">
        <v>-3.3883130000000001</v>
      </c>
      <c r="E13">
        <v>26.838507</v>
      </c>
      <c r="F13" t="s">
        <v>1495</v>
      </c>
      <c r="G13" t="s">
        <v>1508</v>
      </c>
    </row>
    <row r="14" spans="1:7" x14ac:dyDescent="0.3">
      <c r="A14" t="s">
        <v>1494</v>
      </c>
      <c r="B14" t="s">
        <v>1509</v>
      </c>
      <c r="C14" t="s">
        <v>89</v>
      </c>
      <c r="D14">
        <v>-7.31691</v>
      </c>
      <c r="E14">
        <v>29.836627</v>
      </c>
      <c r="F14" t="s">
        <v>1495</v>
      </c>
      <c r="G14" t="s">
        <v>1501</v>
      </c>
    </row>
    <row r="15" spans="1:7" x14ac:dyDescent="0.3">
      <c r="A15" t="s">
        <v>1494</v>
      </c>
      <c r="B15" t="s">
        <v>929</v>
      </c>
      <c r="C15" t="s">
        <v>51</v>
      </c>
      <c r="D15">
        <v>-4.2408359999999998</v>
      </c>
      <c r="E15">
        <v>26.210014000000001</v>
      </c>
      <c r="F15" t="s">
        <v>1498</v>
      </c>
      <c r="G15" t="s">
        <v>1499</v>
      </c>
    </row>
    <row r="16" spans="1:7" x14ac:dyDescent="0.3">
      <c r="A16" t="s">
        <v>1494</v>
      </c>
      <c r="B16" t="s">
        <v>1096</v>
      </c>
      <c r="C16" t="s">
        <v>78</v>
      </c>
      <c r="D16">
        <v>-8.4824669999999998</v>
      </c>
      <c r="E16">
        <v>21.897777999999999</v>
      </c>
      <c r="F16" t="s">
        <v>1495</v>
      </c>
      <c r="G16" t="s">
        <v>1496</v>
      </c>
    </row>
    <row r="17" spans="1:7" x14ac:dyDescent="0.3">
      <c r="A17" t="s">
        <v>1494</v>
      </c>
      <c r="B17" t="s">
        <v>1281</v>
      </c>
      <c r="C17" t="s">
        <v>21</v>
      </c>
      <c r="D17">
        <v>2.453036</v>
      </c>
      <c r="E17">
        <v>20.555484</v>
      </c>
      <c r="F17" t="s">
        <v>1495</v>
      </c>
      <c r="G17" t="s">
        <v>1496</v>
      </c>
    </row>
    <row r="18" spans="1:7" x14ac:dyDescent="0.3">
      <c r="A18" t="s">
        <v>1494</v>
      </c>
      <c r="B18" t="s">
        <v>881</v>
      </c>
      <c r="C18" t="s">
        <v>31</v>
      </c>
      <c r="D18">
        <v>-12.141233</v>
      </c>
      <c r="E18">
        <v>15.179043999999999</v>
      </c>
      <c r="F18" t="s">
        <v>1495</v>
      </c>
      <c r="G18" t="s">
        <v>1496</v>
      </c>
    </row>
    <row r="19" spans="1:7" x14ac:dyDescent="0.3">
      <c r="A19" t="s">
        <v>1494</v>
      </c>
      <c r="B19" t="s">
        <v>908</v>
      </c>
      <c r="C19" t="s">
        <v>67</v>
      </c>
      <c r="D19">
        <v>-11.218453999999999</v>
      </c>
      <c r="E19">
        <v>28.230025000000001</v>
      </c>
      <c r="F19" t="s">
        <v>1495</v>
      </c>
      <c r="G19" t="s">
        <v>1501</v>
      </c>
    </row>
    <row r="20" spans="1:7" x14ac:dyDescent="0.3">
      <c r="A20" t="s">
        <v>1494</v>
      </c>
      <c r="B20" t="s">
        <v>842</v>
      </c>
      <c r="C20" t="s">
        <v>29</v>
      </c>
      <c r="D20">
        <v>-10.059846</v>
      </c>
      <c r="E20">
        <v>14.375757999999999</v>
      </c>
      <c r="F20" t="s">
        <v>1498</v>
      </c>
      <c r="G20" t="s">
        <v>1499</v>
      </c>
    </row>
    <row r="21" spans="1:7" x14ac:dyDescent="0.3">
      <c r="A21" t="s">
        <v>1494</v>
      </c>
      <c r="B21" t="s">
        <v>1155</v>
      </c>
      <c r="C21" t="s">
        <v>60</v>
      </c>
      <c r="D21">
        <v>-9.1215879999999991</v>
      </c>
      <c r="E21">
        <v>16.457916999999998</v>
      </c>
      <c r="F21" t="s">
        <v>1498</v>
      </c>
      <c r="G21" t="s">
        <v>1508</v>
      </c>
    </row>
    <row r="22" spans="1:7" x14ac:dyDescent="0.3">
      <c r="A22" t="s">
        <v>1494</v>
      </c>
      <c r="B22" t="s">
        <v>820</v>
      </c>
      <c r="C22" t="s">
        <v>67</v>
      </c>
      <c r="D22">
        <v>-8.4227860000000003</v>
      </c>
      <c r="E22">
        <v>16.781293000000002</v>
      </c>
      <c r="F22" t="s">
        <v>1498</v>
      </c>
      <c r="G22" t="s">
        <v>1499</v>
      </c>
    </row>
    <row r="23" spans="1:7" x14ac:dyDescent="0.3">
      <c r="A23" t="s">
        <v>1494</v>
      </c>
      <c r="B23" t="s">
        <v>1510</v>
      </c>
      <c r="C23" t="s">
        <v>57</v>
      </c>
      <c r="D23">
        <v>2.1014910000000002</v>
      </c>
      <c r="E23">
        <v>26.133631999999999</v>
      </c>
      <c r="F23" t="s">
        <v>1495</v>
      </c>
      <c r="G23" t="s">
        <v>1499</v>
      </c>
    </row>
    <row r="24" spans="1:7" x14ac:dyDescent="0.3">
      <c r="A24" t="s">
        <v>1494</v>
      </c>
      <c r="B24" t="s">
        <v>1153</v>
      </c>
      <c r="C24" t="s">
        <v>67</v>
      </c>
      <c r="D24">
        <v>-11.266565999999999</v>
      </c>
      <c r="E24">
        <v>26.245055000000001</v>
      </c>
      <c r="F24" t="s">
        <v>1500</v>
      </c>
      <c r="G24" t="s">
        <v>1496</v>
      </c>
    </row>
    <row r="25" spans="1:7" x14ac:dyDescent="0.3">
      <c r="A25" t="s">
        <v>1494</v>
      </c>
      <c r="B25" t="s">
        <v>1247</v>
      </c>
      <c r="C25" t="s">
        <v>26</v>
      </c>
      <c r="D25">
        <v>0.40267799999999998</v>
      </c>
      <c r="E25">
        <v>16.000858000000001</v>
      </c>
      <c r="F25" t="s">
        <v>1500</v>
      </c>
      <c r="G25" t="s">
        <v>1508</v>
      </c>
    </row>
    <row r="26" spans="1:7" x14ac:dyDescent="0.3">
      <c r="A26" t="s">
        <v>1494</v>
      </c>
      <c r="B26" t="s">
        <v>968</v>
      </c>
      <c r="C26" t="s">
        <v>31</v>
      </c>
      <c r="D26">
        <v>-8.3241560000000003</v>
      </c>
      <c r="E26">
        <v>19.543866000000001</v>
      </c>
      <c r="F26" t="s">
        <v>1498</v>
      </c>
      <c r="G26" t="s">
        <v>1501</v>
      </c>
    </row>
    <row r="27" spans="1:7" x14ac:dyDescent="0.3">
      <c r="A27" t="s">
        <v>1494</v>
      </c>
      <c r="B27" t="s">
        <v>1511</v>
      </c>
      <c r="C27" t="s">
        <v>78</v>
      </c>
      <c r="D27">
        <v>-6.5144820000000001</v>
      </c>
      <c r="E27">
        <v>13.815521</v>
      </c>
      <c r="F27" t="s">
        <v>1498</v>
      </c>
      <c r="G27" t="s">
        <v>1501</v>
      </c>
    </row>
    <row r="28" spans="1:7" x14ac:dyDescent="0.3">
      <c r="A28" t="s">
        <v>1494</v>
      </c>
      <c r="B28" t="s">
        <v>963</v>
      </c>
      <c r="C28" t="s">
        <v>21</v>
      </c>
      <c r="D28">
        <v>-2.9651529999999999</v>
      </c>
      <c r="E28">
        <v>29.79908</v>
      </c>
      <c r="F28" t="s">
        <v>1498</v>
      </c>
      <c r="G28" t="s">
        <v>1496</v>
      </c>
    </row>
    <row r="29" spans="1:7" x14ac:dyDescent="0.3">
      <c r="A29" t="s">
        <v>1494</v>
      </c>
      <c r="B29" t="s">
        <v>1109</v>
      </c>
      <c r="C29" t="s">
        <v>29</v>
      </c>
      <c r="D29">
        <v>1.5802860000000001</v>
      </c>
      <c r="E29">
        <v>20.99053</v>
      </c>
      <c r="F29" t="s">
        <v>1498</v>
      </c>
      <c r="G29" t="s">
        <v>1501</v>
      </c>
    </row>
    <row r="30" spans="1:7" x14ac:dyDescent="0.3">
      <c r="A30" t="s">
        <v>1494</v>
      </c>
      <c r="B30" t="s">
        <v>1512</v>
      </c>
      <c r="C30" t="s">
        <v>26</v>
      </c>
      <c r="D30">
        <v>-6.8054750000000004</v>
      </c>
      <c r="E30">
        <v>13.022683000000001</v>
      </c>
      <c r="F30" t="s">
        <v>1498</v>
      </c>
      <c r="G30" t="s">
        <v>1499</v>
      </c>
    </row>
    <row r="31" spans="1:7" x14ac:dyDescent="0.3">
      <c r="A31" t="s">
        <v>1494</v>
      </c>
      <c r="B31" t="s">
        <v>1513</v>
      </c>
      <c r="C31" t="s">
        <v>10</v>
      </c>
      <c r="D31">
        <v>-5.5883039999999999</v>
      </c>
      <c r="E31">
        <v>26.647739999999999</v>
      </c>
      <c r="F31" t="s">
        <v>1500</v>
      </c>
      <c r="G31" t="s">
        <v>1496</v>
      </c>
    </row>
    <row r="32" spans="1:7" x14ac:dyDescent="0.3">
      <c r="A32" t="s">
        <v>1494</v>
      </c>
      <c r="B32" t="s">
        <v>912</v>
      </c>
      <c r="C32" t="s">
        <v>33</v>
      </c>
      <c r="D32">
        <v>-6.6803710000000001</v>
      </c>
      <c r="E32">
        <v>21.955673000000001</v>
      </c>
      <c r="F32" t="s">
        <v>1498</v>
      </c>
      <c r="G32" t="s">
        <v>1508</v>
      </c>
    </row>
    <row r="33" spans="1:7" x14ac:dyDescent="0.3">
      <c r="A33" t="s">
        <v>1494</v>
      </c>
      <c r="B33" t="s">
        <v>1514</v>
      </c>
      <c r="C33" t="s">
        <v>10</v>
      </c>
      <c r="D33">
        <v>-0.767455</v>
      </c>
      <c r="E33">
        <v>30.924261000000001</v>
      </c>
      <c r="F33" t="s">
        <v>1500</v>
      </c>
      <c r="G33" t="s">
        <v>1499</v>
      </c>
    </row>
    <row r="34" spans="1:7" x14ac:dyDescent="0.3">
      <c r="A34" t="s">
        <v>1494</v>
      </c>
      <c r="B34" t="s">
        <v>876</v>
      </c>
      <c r="C34" t="s">
        <v>37</v>
      </c>
      <c r="D34">
        <v>-2.099631</v>
      </c>
      <c r="E34">
        <v>13.974640000000001</v>
      </c>
      <c r="F34" t="s">
        <v>1500</v>
      </c>
      <c r="G34" t="s">
        <v>1508</v>
      </c>
    </row>
    <row r="35" spans="1:7" x14ac:dyDescent="0.3">
      <c r="A35" t="s">
        <v>1494</v>
      </c>
      <c r="B35" t="s">
        <v>1515</v>
      </c>
      <c r="C35" t="s">
        <v>137</v>
      </c>
      <c r="D35">
        <v>-2.6166320000000001</v>
      </c>
      <c r="E35">
        <v>23.743941</v>
      </c>
      <c r="F35" t="s">
        <v>1495</v>
      </c>
      <c r="G35" t="s">
        <v>1508</v>
      </c>
    </row>
    <row r="36" spans="1:7" x14ac:dyDescent="0.3">
      <c r="A36" t="s">
        <v>1494</v>
      </c>
      <c r="B36" t="s">
        <v>1304</v>
      </c>
      <c r="C36" t="s">
        <v>21</v>
      </c>
      <c r="D36">
        <v>-1.3024210000000001</v>
      </c>
      <c r="E36">
        <v>13.601914000000001</v>
      </c>
      <c r="F36" t="s">
        <v>1500</v>
      </c>
      <c r="G36" t="s">
        <v>1499</v>
      </c>
    </row>
    <row r="37" spans="1:7" x14ac:dyDescent="0.3">
      <c r="A37" t="s">
        <v>1494</v>
      </c>
      <c r="B37" t="s">
        <v>1516</v>
      </c>
      <c r="C37" t="s">
        <v>21</v>
      </c>
      <c r="D37">
        <v>-3.3081109999999998</v>
      </c>
      <c r="E37">
        <v>29.700202000000001</v>
      </c>
      <c r="F37" t="s">
        <v>1498</v>
      </c>
      <c r="G37" t="s">
        <v>1508</v>
      </c>
    </row>
    <row r="38" spans="1:7" x14ac:dyDescent="0.3">
      <c r="A38" t="s">
        <v>1494</v>
      </c>
      <c r="B38" t="s">
        <v>833</v>
      </c>
      <c r="C38" t="s">
        <v>131</v>
      </c>
      <c r="D38">
        <v>4.6287159999999998</v>
      </c>
      <c r="E38">
        <v>19.407077999999998</v>
      </c>
      <c r="F38" t="s">
        <v>1498</v>
      </c>
      <c r="G38" t="s">
        <v>1496</v>
      </c>
    </row>
    <row r="39" spans="1:7" x14ac:dyDescent="0.3">
      <c r="A39" t="s">
        <v>1494</v>
      </c>
      <c r="B39" t="s">
        <v>1198</v>
      </c>
      <c r="C39" t="s">
        <v>67</v>
      </c>
      <c r="D39">
        <v>-7.8770429999999996</v>
      </c>
      <c r="E39">
        <v>16.357762999999998</v>
      </c>
      <c r="F39" t="s">
        <v>1498</v>
      </c>
      <c r="G39" t="s">
        <v>1496</v>
      </c>
    </row>
    <row r="40" spans="1:7" x14ac:dyDescent="0.3">
      <c r="A40" t="s">
        <v>1494</v>
      </c>
      <c r="B40" t="s">
        <v>1215</v>
      </c>
      <c r="C40" t="s">
        <v>127</v>
      </c>
      <c r="D40">
        <v>-7.1483749999999997</v>
      </c>
      <c r="E40">
        <v>26.014271000000001</v>
      </c>
      <c r="F40" t="s">
        <v>1495</v>
      </c>
      <c r="G40" t="s">
        <v>1499</v>
      </c>
    </row>
    <row r="41" spans="1:7" x14ac:dyDescent="0.3">
      <c r="A41" t="s">
        <v>1494</v>
      </c>
      <c r="B41" t="s">
        <v>1303</v>
      </c>
      <c r="C41" t="s">
        <v>29</v>
      </c>
      <c r="D41">
        <v>-3.8119990000000001</v>
      </c>
      <c r="E41">
        <v>20.420048000000001</v>
      </c>
      <c r="F41" t="s">
        <v>1500</v>
      </c>
      <c r="G41" t="s">
        <v>1501</v>
      </c>
    </row>
    <row r="42" spans="1:7" x14ac:dyDescent="0.3">
      <c r="A42" t="s">
        <v>1494</v>
      </c>
      <c r="B42" t="s">
        <v>886</v>
      </c>
      <c r="C42" t="s">
        <v>89</v>
      </c>
      <c r="D42">
        <v>0.94539899999999999</v>
      </c>
      <c r="E42">
        <v>14.401821999999999</v>
      </c>
      <c r="F42" t="s">
        <v>1495</v>
      </c>
      <c r="G42" t="s">
        <v>1508</v>
      </c>
    </row>
    <row r="43" spans="1:7" x14ac:dyDescent="0.3">
      <c r="A43" t="s">
        <v>1494</v>
      </c>
      <c r="B43" t="s">
        <v>1043</v>
      </c>
      <c r="C43" t="s">
        <v>44</v>
      </c>
      <c r="D43">
        <v>-4.9552579999999997</v>
      </c>
      <c r="E43">
        <v>22.008103999999999</v>
      </c>
      <c r="F43" t="s">
        <v>1498</v>
      </c>
      <c r="G43" t="s">
        <v>1499</v>
      </c>
    </row>
    <row r="44" spans="1:7" x14ac:dyDescent="0.3">
      <c r="A44" t="s">
        <v>1494</v>
      </c>
      <c r="B44" t="s">
        <v>1323</v>
      </c>
      <c r="C44" t="s">
        <v>89</v>
      </c>
      <c r="D44">
        <v>-11.588665000000001</v>
      </c>
      <c r="E44">
        <v>15.241552</v>
      </c>
      <c r="F44" t="s">
        <v>1498</v>
      </c>
      <c r="G44" t="s">
        <v>1508</v>
      </c>
    </row>
    <row r="45" spans="1:7" x14ac:dyDescent="0.3">
      <c r="A45" t="s">
        <v>1494</v>
      </c>
      <c r="B45" t="s">
        <v>1221</v>
      </c>
      <c r="C45" t="s">
        <v>13</v>
      </c>
      <c r="D45">
        <v>-1.9540519999999999</v>
      </c>
      <c r="E45">
        <v>12.667945</v>
      </c>
      <c r="F45" t="s">
        <v>1498</v>
      </c>
      <c r="G45" t="s">
        <v>1499</v>
      </c>
    </row>
    <row r="46" spans="1:7" x14ac:dyDescent="0.3">
      <c r="A46" t="s">
        <v>1494</v>
      </c>
      <c r="B46" t="s">
        <v>1517</v>
      </c>
      <c r="C46" t="s">
        <v>57</v>
      </c>
      <c r="D46">
        <v>-4.652463</v>
      </c>
      <c r="E46">
        <v>18.779983999999999</v>
      </c>
      <c r="F46" t="s">
        <v>1500</v>
      </c>
      <c r="G46" t="s">
        <v>1508</v>
      </c>
    </row>
    <row r="47" spans="1:7" x14ac:dyDescent="0.3">
      <c r="A47" t="s">
        <v>1494</v>
      </c>
      <c r="B47" t="s">
        <v>1518</v>
      </c>
      <c r="C47" t="s">
        <v>51</v>
      </c>
      <c r="D47">
        <v>4.2187000000000001</v>
      </c>
      <c r="E47">
        <v>29.390174999999999</v>
      </c>
      <c r="F47" t="s">
        <v>1498</v>
      </c>
      <c r="G47" t="s">
        <v>1501</v>
      </c>
    </row>
    <row r="48" spans="1:7" x14ac:dyDescent="0.3">
      <c r="A48" t="s">
        <v>1494</v>
      </c>
      <c r="B48" t="s">
        <v>1088</v>
      </c>
      <c r="C48" t="s">
        <v>18</v>
      </c>
      <c r="D48">
        <v>2.628638</v>
      </c>
      <c r="E48">
        <v>28.420582</v>
      </c>
      <c r="F48" t="s">
        <v>1498</v>
      </c>
      <c r="G48" t="s">
        <v>1499</v>
      </c>
    </row>
    <row r="49" spans="1:7" x14ac:dyDescent="0.3">
      <c r="A49" t="s">
        <v>1494</v>
      </c>
      <c r="B49" t="s">
        <v>1519</v>
      </c>
      <c r="C49" t="s">
        <v>67</v>
      </c>
      <c r="D49">
        <v>-1.4695480000000001</v>
      </c>
      <c r="E49">
        <v>20.876676</v>
      </c>
      <c r="F49" t="s">
        <v>1495</v>
      </c>
      <c r="G49" t="s">
        <v>1496</v>
      </c>
    </row>
    <row r="50" spans="1:7" x14ac:dyDescent="0.3">
      <c r="A50" t="s">
        <v>1494</v>
      </c>
      <c r="B50" t="s">
        <v>1520</v>
      </c>
      <c r="C50" t="s">
        <v>24</v>
      </c>
      <c r="D50">
        <v>3.7141999999999999</v>
      </c>
      <c r="E50">
        <v>28.547066999999998</v>
      </c>
      <c r="F50" t="s">
        <v>1500</v>
      </c>
      <c r="G50" t="s">
        <v>1501</v>
      </c>
    </row>
    <row r="51" spans="1:7" x14ac:dyDescent="0.3">
      <c r="A51" t="s">
        <v>1494</v>
      </c>
      <c r="B51" t="s">
        <v>1165</v>
      </c>
      <c r="C51" t="s">
        <v>57</v>
      </c>
      <c r="D51">
        <v>-5.4073029999999997</v>
      </c>
      <c r="E51">
        <v>29.762294000000001</v>
      </c>
      <c r="F51" t="s">
        <v>1500</v>
      </c>
      <c r="G51" t="s">
        <v>1496</v>
      </c>
    </row>
    <row r="52" spans="1:7" x14ac:dyDescent="0.3">
      <c r="A52" t="s">
        <v>1521</v>
      </c>
      <c r="B52" t="s">
        <v>1522</v>
      </c>
      <c r="C52" t="s">
        <v>21</v>
      </c>
      <c r="D52">
        <v>-3.6233270000000002</v>
      </c>
      <c r="E52">
        <v>25.915645999999999</v>
      </c>
      <c r="F52" t="s">
        <v>1500</v>
      </c>
      <c r="G52" t="s">
        <v>1499</v>
      </c>
    </row>
    <row r="53" spans="1:7" x14ac:dyDescent="0.3">
      <c r="A53" t="s">
        <v>1521</v>
      </c>
      <c r="B53" t="s">
        <v>1523</v>
      </c>
      <c r="C53" t="s">
        <v>127</v>
      </c>
      <c r="D53">
        <v>-8.4403710000000007</v>
      </c>
      <c r="E53">
        <v>17.231165000000001</v>
      </c>
      <c r="F53" t="s">
        <v>1498</v>
      </c>
      <c r="G53" t="s">
        <v>1499</v>
      </c>
    </row>
    <row r="54" spans="1:7" x14ac:dyDescent="0.3">
      <c r="A54" t="s">
        <v>1521</v>
      </c>
      <c r="B54" t="s">
        <v>1044</v>
      </c>
      <c r="C54" t="s">
        <v>37</v>
      </c>
      <c r="D54">
        <v>-1.50664</v>
      </c>
      <c r="E54">
        <v>27.795642000000001</v>
      </c>
      <c r="F54" t="s">
        <v>1495</v>
      </c>
      <c r="G54" t="s">
        <v>1501</v>
      </c>
    </row>
    <row r="55" spans="1:7" x14ac:dyDescent="0.3">
      <c r="A55" t="s">
        <v>1521</v>
      </c>
      <c r="B55" t="s">
        <v>1097</v>
      </c>
      <c r="C55" t="s">
        <v>24</v>
      </c>
      <c r="D55">
        <v>-9.4229749999999992</v>
      </c>
      <c r="E55">
        <v>29.375005999999999</v>
      </c>
      <c r="F55" t="s">
        <v>1500</v>
      </c>
      <c r="G55" t="s">
        <v>1496</v>
      </c>
    </row>
    <row r="56" spans="1:7" x14ac:dyDescent="0.3">
      <c r="A56" t="s">
        <v>1521</v>
      </c>
      <c r="B56" t="s">
        <v>1031</v>
      </c>
      <c r="C56" t="s">
        <v>62</v>
      </c>
      <c r="D56">
        <v>2.975352</v>
      </c>
      <c r="E56">
        <v>22.535886000000001</v>
      </c>
      <c r="F56" t="s">
        <v>1498</v>
      </c>
      <c r="G56" t="s">
        <v>1499</v>
      </c>
    </row>
    <row r="57" spans="1:7" x14ac:dyDescent="0.3">
      <c r="A57" t="s">
        <v>1521</v>
      </c>
      <c r="B57" t="s">
        <v>1259</v>
      </c>
      <c r="C57" t="s">
        <v>78</v>
      </c>
      <c r="D57">
        <v>2.5458379999999998</v>
      </c>
      <c r="E57">
        <v>13.308655</v>
      </c>
      <c r="F57" t="s">
        <v>1495</v>
      </c>
      <c r="G57" t="s">
        <v>1501</v>
      </c>
    </row>
    <row r="58" spans="1:7" x14ac:dyDescent="0.3">
      <c r="A58" t="s">
        <v>1521</v>
      </c>
      <c r="B58" t="s">
        <v>1147</v>
      </c>
      <c r="C58" t="s">
        <v>40</v>
      </c>
      <c r="D58">
        <v>-9.0798120000000004</v>
      </c>
      <c r="E58">
        <v>14.945484</v>
      </c>
      <c r="F58" t="s">
        <v>1495</v>
      </c>
      <c r="G58" t="s">
        <v>1496</v>
      </c>
    </row>
    <row r="59" spans="1:7" x14ac:dyDescent="0.3">
      <c r="A59" t="s">
        <v>1521</v>
      </c>
      <c r="B59" t="s">
        <v>1112</v>
      </c>
      <c r="C59" t="s">
        <v>137</v>
      </c>
      <c r="D59">
        <v>-10.967288</v>
      </c>
      <c r="E59">
        <v>17.617781000000001</v>
      </c>
      <c r="F59" t="s">
        <v>1498</v>
      </c>
      <c r="G59" t="s">
        <v>1496</v>
      </c>
    </row>
    <row r="60" spans="1:7" x14ac:dyDescent="0.3">
      <c r="A60" t="s">
        <v>1521</v>
      </c>
      <c r="B60" t="s">
        <v>943</v>
      </c>
      <c r="C60" t="s">
        <v>44</v>
      </c>
      <c r="D60">
        <v>-1.607639</v>
      </c>
      <c r="E60">
        <v>17.003636</v>
      </c>
      <c r="F60" t="s">
        <v>1498</v>
      </c>
      <c r="G60" t="s">
        <v>1496</v>
      </c>
    </row>
    <row r="61" spans="1:7" x14ac:dyDescent="0.3">
      <c r="A61" t="s">
        <v>1521</v>
      </c>
      <c r="B61" t="s">
        <v>1358</v>
      </c>
      <c r="C61" t="s">
        <v>62</v>
      </c>
      <c r="D61">
        <v>-7.1587569999999996</v>
      </c>
      <c r="E61">
        <v>18.975141000000001</v>
      </c>
      <c r="F61" t="s">
        <v>1495</v>
      </c>
      <c r="G61" t="s">
        <v>1496</v>
      </c>
    </row>
    <row r="62" spans="1:7" x14ac:dyDescent="0.3">
      <c r="A62" t="s">
        <v>1521</v>
      </c>
      <c r="B62" t="s">
        <v>930</v>
      </c>
      <c r="C62" t="s">
        <v>67</v>
      </c>
      <c r="D62">
        <v>-9.9875139999999991</v>
      </c>
      <c r="E62">
        <v>12.013676999999999</v>
      </c>
      <c r="F62" t="s">
        <v>1500</v>
      </c>
      <c r="G62" t="s">
        <v>1501</v>
      </c>
    </row>
    <row r="63" spans="1:7" x14ac:dyDescent="0.3">
      <c r="A63" t="s">
        <v>1521</v>
      </c>
      <c r="B63" t="s">
        <v>1267</v>
      </c>
      <c r="C63" t="s">
        <v>137</v>
      </c>
      <c r="D63">
        <v>-8.0301989999999996</v>
      </c>
      <c r="E63">
        <v>24.122495000000001</v>
      </c>
      <c r="F63" t="s">
        <v>1495</v>
      </c>
      <c r="G63" t="s">
        <v>1501</v>
      </c>
    </row>
    <row r="64" spans="1:7" x14ac:dyDescent="0.3">
      <c r="A64" t="s">
        <v>1521</v>
      </c>
      <c r="B64" t="s">
        <v>1052</v>
      </c>
      <c r="C64" t="s">
        <v>131</v>
      </c>
      <c r="D64">
        <v>-10.846306999999999</v>
      </c>
      <c r="E64">
        <v>19.201827999999999</v>
      </c>
      <c r="F64" t="s">
        <v>1498</v>
      </c>
      <c r="G64" t="s">
        <v>1496</v>
      </c>
    </row>
    <row r="65" spans="1:7" x14ac:dyDescent="0.3">
      <c r="A65" t="s">
        <v>1521</v>
      </c>
      <c r="B65" t="s">
        <v>1524</v>
      </c>
      <c r="C65" t="s">
        <v>40</v>
      </c>
      <c r="D65">
        <v>1.204588</v>
      </c>
      <c r="E65">
        <v>15.525152</v>
      </c>
      <c r="F65" t="s">
        <v>1495</v>
      </c>
      <c r="G65" t="s">
        <v>1499</v>
      </c>
    </row>
    <row r="66" spans="1:7" x14ac:dyDescent="0.3">
      <c r="A66" t="s">
        <v>1521</v>
      </c>
      <c r="B66" t="s">
        <v>1265</v>
      </c>
      <c r="C66" t="s">
        <v>60</v>
      </c>
      <c r="D66">
        <v>-12.839263000000001</v>
      </c>
      <c r="E66">
        <v>12.355677</v>
      </c>
      <c r="F66" t="s">
        <v>1500</v>
      </c>
      <c r="G66" t="s">
        <v>1499</v>
      </c>
    </row>
    <row r="67" spans="1:7" x14ac:dyDescent="0.3">
      <c r="A67" t="s">
        <v>1521</v>
      </c>
      <c r="B67" t="s">
        <v>1525</v>
      </c>
      <c r="C67" t="s">
        <v>26</v>
      </c>
      <c r="D67">
        <v>-12.244119</v>
      </c>
      <c r="E67">
        <v>28.279755999999999</v>
      </c>
      <c r="F67" t="s">
        <v>1495</v>
      </c>
      <c r="G67" t="s">
        <v>1501</v>
      </c>
    </row>
    <row r="68" spans="1:7" x14ac:dyDescent="0.3">
      <c r="A68" t="s">
        <v>1521</v>
      </c>
      <c r="B68" t="s">
        <v>1526</v>
      </c>
      <c r="C68" t="s">
        <v>29</v>
      </c>
      <c r="D68">
        <v>1.102554</v>
      </c>
      <c r="E68">
        <v>26.744315</v>
      </c>
      <c r="F68" t="s">
        <v>1500</v>
      </c>
      <c r="G68" t="s">
        <v>1496</v>
      </c>
    </row>
    <row r="69" spans="1:7" x14ac:dyDescent="0.3">
      <c r="A69" t="s">
        <v>1521</v>
      </c>
      <c r="B69" t="s">
        <v>984</v>
      </c>
      <c r="C69" t="s">
        <v>33</v>
      </c>
      <c r="D69">
        <v>-4.4451280000000004</v>
      </c>
      <c r="E69">
        <v>16.536944999999999</v>
      </c>
      <c r="F69" t="s">
        <v>1498</v>
      </c>
      <c r="G69" t="s">
        <v>1496</v>
      </c>
    </row>
    <row r="70" spans="1:7" x14ac:dyDescent="0.3">
      <c r="A70" t="s">
        <v>1521</v>
      </c>
      <c r="B70" t="s">
        <v>980</v>
      </c>
      <c r="C70" t="s">
        <v>67</v>
      </c>
      <c r="D70">
        <v>-2.2681789999999999</v>
      </c>
      <c r="E70">
        <v>25.699068</v>
      </c>
      <c r="F70" t="s">
        <v>1500</v>
      </c>
      <c r="G70" t="s">
        <v>1501</v>
      </c>
    </row>
    <row r="71" spans="1:7" x14ac:dyDescent="0.3">
      <c r="A71" t="s">
        <v>1521</v>
      </c>
      <c r="B71" t="s">
        <v>914</v>
      </c>
      <c r="C71" t="s">
        <v>131</v>
      </c>
      <c r="D71">
        <v>-6.3148239999999998</v>
      </c>
      <c r="E71">
        <v>24.507498999999999</v>
      </c>
      <c r="F71" t="s">
        <v>1500</v>
      </c>
      <c r="G71" t="s">
        <v>1501</v>
      </c>
    </row>
    <row r="72" spans="1:7" x14ac:dyDescent="0.3">
      <c r="A72" t="s">
        <v>1521</v>
      </c>
      <c r="B72" t="s">
        <v>1151</v>
      </c>
      <c r="C72" t="s">
        <v>64</v>
      </c>
      <c r="D72">
        <v>-11.389362</v>
      </c>
      <c r="E72">
        <v>22.240174</v>
      </c>
      <c r="F72" t="s">
        <v>1495</v>
      </c>
      <c r="G72" t="s">
        <v>1501</v>
      </c>
    </row>
    <row r="73" spans="1:7" x14ac:dyDescent="0.3">
      <c r="A73" t="s">
        <v>1521</v>
      </c>
      <c r="B73" t="s">
        <v>1251</v>
      </c>
      <c r="C73" t="s">
        <v>51</v>
      </c>
      <c r="D73">
        <v>-10.161428000000001</v>
      </c>
      <c r="E73">
        <v>19.362325999999999</v>
      </c>
      <c r="F73" t="s">
        <v>1500</v>
      </c>
      <c r="G73" t="s">
        <v>1508</v>
      </c>
    </row>
    <row r="74" spans="1:7" x14ac:dyDescent="0.3">
      <c r="A74" t="s">
        <v>1521</v>
      </c>
      <c r="B74" t="s">
        <v>1297</v>
      </c>
      <c r="C74" t="s">
        <v>137</v>
      </c>
      <c r="D74">
        <v>-11.354772000000001</v>
      </c>
      <c r="E74">
        <v>21.957325999999998</v>
      </c>
      <c r="F74" t="s">
        <v>1500</v>
      </c>
      <c r="G74" t="s">
        <v>1508</v>
      </c>
    </row>
    <row r="75" spans="1:7" x14ac:dyDescent="0.3">
      <c r="A75" t="s">
        <v>1521</v>
      </c>
      <c r="B75" t="s">
        <v>860</v>
      </c>
      <c r="C75" t="s">
        <v>37</v>
      </c>
      <c r="D75">
        <v>-1.864393</v>
      </c>
      <c r="E75">
        <v>21.453434000000001</v>
      </c>
      <c r="F75" t="s">
        <v>1495</v>
      </c>
      <c r="G75" t="s">
        <v>1496</v>
      </c>
    </row>
    <row r="76" spans="1:7" x14ac:dyDescent="0.3">
      <c r="A76" t="s">
        <v>1521</v>
      </c>
      <c r="B76" t="s">
        <v>1527</v>
      </c>
      <c r="C76" t="s">
        <v>57</v>
      </c>
      <c r="D76">
        <v>3.7552780000000001</v>
      </c>
      <c r="E76">
        <v>22.477888</v>
      </c>
      <c r="F76" t="s">
        <v>1500</v>
      </c>
      <c r="G76" t="s">
        <v>1508</v>
      </c>
    </row>
    <row r="77" spans="1:7" x14ac:dyDescent="0.3">
      <c r="A77" t="s">
        <v>1521</v>
      </c>
      <c r="B77" t="s">
        <v>1118</v>
      </c>
      <c r="C77" t="s">
        <v>131</v>
      </c>
      <c r="D77">
        <v>4.9455159999999996</v>
      </c>
      <c r="E77">
        <v>23.647746000000001</v>
      </c>
      <c r="F77" t="s">
        <v>1495</v>
      </c>
      <c r="G77" t="s">
        <v>1499</v>
      </c>
    </row>
    <row r="78" spans="1:7" x14ac:dyDescent="0.3">
      <c r="A78" t="s">
        <v>1521</v>
      </c>
      <c r="B78" t="s">
        <v>1528</v>
      </c>
      <c r="C78" t="s">
        <v>137</v>
      </c>
      <c r="D78">
        <v>-1.7476179999999999</v>
      </c>
      <c r="E78">
        <v>18.129401000000001</v>
      </c>
      <c r="F78" t="s">
        <v>1498</v>
      </c>
      <c r="G78" t="s">
        <v>1496</v>
      </c>
    </row>
    <row r="79" spans="1:7" x14ac:dyDescent="0.3">
      <c r="A79" t="s">
        <v>1521</v>
      </c>
      <c r="B79" t="s">
        <v>1310</v>
      </c>
      <c r="C79" t="s">
        <v>127</v>
      </c>
      <c r="D79">
        <v>-11.924048000000001</v>
      </c>
      <c r="E79">
        <v>24.177174999999998</v>
      </c>
      <c r="F79" t="s">
        <v>1500</v>
      </c>
      <c r="G79" t="s">
        <v>1508</v>
      </c>
    </row>
    <row r="80" spans="1:7" x14ac:dyDescent="0.3">
      <c r="A80" t="s">
        <v>1521</v>
      </c>
      <c r="B80" t="s">
        <v>1030</v>
      </c>
      <c r="C80" t="s">
        <v>57</v>
      </c>
      <c r="D80">
        <v>-1.3976519999999999</v>
      </c>
      <c r="E80">
        <v>14.098819000000001</v>
      </c>
      <c r="F80" t="s">
        <v>1500</v>
      </c>
      <c r="G80" t="s">
        <v>1496</v>
      </c>
    </row>
    <row r="81" spans="1:7" x14ac:dyDescent="0.3">
      <c r="A81" t="s">
        <v>1521</v>
      </c>
      <c r="B81" t="s">
        <v>1529</v>
      </c>
      <c r="C81" t="s">
        <v>18</v>
      </c>
      <c r="D81">
        <v>-0.37609300000000001</v>
      </c>
      <c r="E81">
        <v>21.940809999999999</v>
      </c>
      <c r="F81" t="s">
        <v>1495</v>
      </c>
      <c r="G81" t="s">
        <v>1499</v>
      </c>
    </row>
    <row r="82" spans="1:7" x14ac:dyDescent="0.3">
      <c r="A82" t="s">
        <v>1521</v>
      </c>
      <c r="B82" t="s">
        <v>1364</v>
      </c>
      <c r="C82" t="s">
        <v>62</v>
      </c>
      <c r="D82">
        <v>1.2463919999999999</v>
      </c>
      <c r="E82">
        <v>13.266916999999999</v>
      </c>
      <c r="F82" t="s">
        <v>1495</v>
      </c>
      <c r="G82" t="s">
        <v>1499</v>
      </c>
    </row>
    <row r="83" spans="1:7" x14ac:dyDescent="0.3">
      <c r="A83" t="s">
        <v>1521</v>
      </c>
      <c r="B83" t="s">
        <v>1457</v>
      </c>
      <c r="C83" t="s">
        <v>33</v>
      </c>
      <c r="D83">
        <v>-10.735106</v>
      </c>
      <c r="E83">
        <v>27.868673999999999</v>
      </c>
      <c r="F83" t="s">
        <v>1500</v>
      </c>
      <c r="G83" t="s">
        <v>1496</v>
      </c>
    </row>
    <row r="84" spans="1:7" x14ac:dyDescent="0.3">
      <c r="A84" t="s">
        <v>1521</v>
      </c>
      <c r="B84" t="s">
        <v>1377</v>
      </c>
      <c r="C84" t="s">
        <v>127</v>
      </c>
      <c r="D84">
        <v>-8.8118569999999998</v>
      </c>
      <c r="E84">
        <v>14.465711000000001</v>
      </c>
      <c r="F84" t="s">
        <v>1495</v>
      </c>
      <c r="G84" t="s">
        <v>1508</v>
      </c>
    </row>
    <row r="85" spans="1:7" x14ac:dyDescent="0.3">
      <c r="A85" t="s">
        <v>1521</v>
      </c>
      <c r="B85" t="s">
        <v>1530</v>
      </c>
      <c r="C85" t="s">
        <v>18</v>
      </c>
      <c r="D85">
        <v>4.6701629999999996</v>
      </c>
      <c r="E85">
        <v>28.596363</v>
      </c>
      <c r="F85" t="s">
        <v>1495</v>
      </c>
      <c r="G85" t="s">
        <v>1496</v>
      </c>
    </row>
    <row r="86" spans="1:7" x14ac:dyDescent="0.3">
      <c r="A86" t="s">
        <v>1521</v>
      </c>
      <c r="B86" t="s">
        <v>1531</v>
      </c>
      <c r="C86" t="s">
        <v>137</v>
      </c>
      <c r="D86">
        <v>1.194113</v>
      </c>
      <c r="E86">
        <v>15.839502</v>
      </c>
      <c r="F86" t="s">
        <v>1500</v>
      </c>
      <c r="G86" t="s">
        <v>1499</v>
      </c>
    </row>
    <row r="87" spans="1:7" x14ac:dyDescent="0.3">
      <c r="A87" t="s">
        <v>1521</v>
      </c>
      <c r="B87" t="s">
        <v>1211</v>
      </c>
      <c r="C87" t="s">
        <v>51</v>
      </c>
      <c r="D87">
        <v>0.62055499999999997</v>
      </c>
      <c r="E87">
        <v>21.222035000000002</v>
      </c>
      <c r="F87" t="s">
        <v>1495</v>
      </c>
      <c r="G87" t="s">
        <v>1508</v>
      </c>
    </row>
    <row r="88" spans="1:7" x14ac:dyDescent="0.3">
      <c r="A88" t="s">
        <v>1521</v>
      </c>
      <c r="B88" t="s">
        <v>1532</v>
      </c>
      <c r="C88" t="s">
        <v>73</v>
      </c>
      <c r="D88">
        <v>1.499457</v>
      </c>
      <c r="E88">
        <v>13.876317999999999</v>
      </c>
      <c r="F88" t="s">
        <v>1495</v>
      </c>
      <c r="G88" t="s">
        <v>1508</v>
      </c>
    </row>
    <row r="89" spans="1:7" x14ac:dyDescent="0.3">
      <c r="A89" t="s">
        <v>1521</v>
      </c>
      <c r="B89" t="s">
        <v>857</v>
      </c>
      <c r="C89" t="s">
        <v>13</v>
      </c>
      <c r="D89">
        <v>-5.1030600000000002</v>
      </c>
      <c r="E89">
        <v>22.849231</v>
      </c>
      <c r="F89" t="s">
        <v>1495</v>
      </c>
      <c r="G89" t="s">
        <v>1501</v>
      </c>
    </row>
    <row r="90" spans="1:7" x14ac:dyDescent="0.3">
      <c r="A90" t="s">
        <v>1521</v>
      </c>
      <c r="B90" t="s">
        <v>890</v>
      </c>
      <c r="C90" t="s">
        <v>33</v>
      </c>
      <c r="D90">
        <v>-9.5266249999999992</v>
      </c>
      <c r="E90">
        <v>27.889690999999999</v>
      </c>
      <c r="F90" t="s">
        <v>1498</v>
      </c>
      <c r="G90" t="s">
        <v>1496</v>
      </c>
    </row>
    <row r="91" spans="1:7" x14ac:dyDescent="0.3">
      <c r="A91" t="s">
        <v>1521</v>
      </c>
      <c r="B91" t="s">
        <v>1533</v>
      </c>
      <c r="C91" t="s">
        <v>26</v>
      </c>
      <c r="D91">
        <v>-0.59350000000000003</v>
      </c>
      <c r="E91">
        <v>24.500503999999999</v>
      </c>
      <c r="F91" t="s">
        <v>1495</v>
      </c>
      <c r="G91" t="s">
        <v>1499</v>
      </c>
    </row>
    <row r="92" spans="1:7" x14ac:dyDescent="0.3">
      <c r="A92" t="s">
        <v>1521</v>
      </c>
      <c r="B92" t="s">
        <v>1136</v>
      </c>
      <c r="C92" t="s">
        <v>131</v>
      </c>
      <c r="D92">
        <v>-6.5529849999999996</v>
      </c>
      <c r="E92">
        <v>21.990606</v>
      </c>
      <c r="F92" t="s">
        <v>1500</v>
      </c>
      <c r="G92" t="s">
        <v>1499</v>
      </c>
    </row>
    <row r="93" spans="1:7" x14ac:dyDescent="0.3">
      <c r="A93" t="s">
        <v>1521</v>
      </c>
      <c r="B93" t="s">
        <v>1384</v>
      </c>
      <c r="C93" t="s">
        <v>13</v>
      </c>
      <c r="D93">
        <v>-10.574821</v>
      </c>
      <c r="E93">
        <v>25.324966</v>
      </c>
      <c r="F93" t="s">
        <v>1495</v>
      </c>
      <c r="G93" t="s">
        <v>1496</v>
      </c>
    </row>
    <row r="94" spans="1:7" x14ac:dyDescent="0.3">
      <c r="A94" t="s">
        <v>1521</v>
      </c>
      <c r="B94" t="s">
        <v>1444</v>
      </c>
      <c r="C94" t="s">
        <v>35</v>
      </c>
      <c r="D94">
        <v>3.175935</v>
      </c>
      <c r="E94">
        <v>16.862832000000001</v>
      </c>
      <c r="F94" t="s">
        <v>1495</v>
      </c>
      <c r="G94" t="s">
        <v>1496</v>
      </c>
    </row>
    <row r="95" spans="1:7" x14ac:dyDescent="0.3">
      <c r="A95" t="s">
        <v>1521</v>
      </c>
      <c r="B95" t="s">
        <v>994</v>
      </c>
      <c r="C95" t="s">
        <v>78</v>
      </c>
      <c r="D95">
        <v>-4.2645619999999997</v>
      </c>
      <c r="E95">
        <v>18.960726000000001</v>
      </c>
      <c r="F95" t="s">
        <v>1498</v>
      </c>
      <c r="G95" t="s">
        <v>1499</v>
      </c>
    </row>
    <row r="96" spans="1:7" x14ac:dyDescent="0.3">
      <c r="A96" t="s">
        <v>1521</v>
      </c>
      <c r="B96" t="s">
        <v>1142</v>
      </c>
      <c r="C96" t="s">
        <v>29</v>
      </c>
      <c r="D96">
        <v>-5.125</v>
      </c>
      <c r="E96">
        <v>23.513119</v>
      </c>
      <c r="F96" t="s">
        <v>1495</v>
      </c>
      <c r="G96" t="s">
        <v>1499</v>
      </c>
    </row>
    <row r="97" spans="1:7" x14ac:dyDescent="0.3">
      <c r="A97" t="s">
        <v>1521</v>
      </c>
      <c r="B97" t="s">
        <v>1332</v>
      </c>
      <c r="C97" t="s">
        <v>16</v>
      </c>
      <c r="D97">
        <v>-7.6951369999999999</v>
      </c>
      <c r="E97">
        <v>13.346605</v>
      </c>
      <c r="F97" t="s">
        <v>1498</v>
      </c>
      <c r="G97" t="s">
        <v>1496</v>
      </c>
    </row>
    <row r="98" spans="1:7" x14ac:dyDescent="0.3">
      <c r="A98" t="s">
        <v>1521</v>
      </c>
      <c r="B98" t="s">
        <v>1534</v>
      </c>
      <c r="C98" t="s">
        <v>18</v>
      </c>
      <c r="D98">
        <v>-0.45332</v>
      </c>
      <c r="E98">
        <v>29.674009999999999</v>
      </c>
      <c r="F98" t="s">
        <v>1495</v>
      </c>
      <c r="G98" t="s">
        <v>1496</v>
      </c>
    </row>
    <row r="99" spans="1:7" x14ac:dyDescent="0.3">
      <c r="A99" t="s">
        <v>1521</v>
      </c>
      <c r="B99" t="s">
        <v>1102</v>
      </c>
      <c r="C99" t="s">
        <v>62</v>
      </c>
      <c r="D99">
        <v>-9.5840350000000001</v>
      </c>
      <c r="E99">
        <v>15.966024000000001</v>
      </c>
      <c r="F99" t="s">
        <v>1495</v>
      </c>
      <c r="G99" t="s">
        <v>1508</v>
      </c>
    </row>
    <row r="100" spans="1:7" x14ac:dyDescent="0.3">
      <c r="A100" t="s">
        <v>1521</v>
      </c>
      <c r="B100" t="s">
        <v>1449</v>
      </c>
      <c r="C100" t="s">
        <v>18</v>
      </c>
      <c r="D100">
        <v>-9.6407190000000007</v>
      </c>
      <c r="E100">
        <v>21.336704999999998</v>
      </c>
      <c r="F100" t="s">
        <v>1498</v>
      </c>
      <c r="G100" t="s">
        <v>1501</v>
      </c>
    </row>
    <row r="101" spans="1:7" x14ac:dyDescent="0.3">
      <c r="A101" t="s">
        <v>1521</v>
      </c>
      <c r="B101" t="s">
        <v>1535</v>
      </c>
      <c r="C101" t="s">
        <v>60</v>
      </c>
      <c r="D101">
        <v>-6.7420359999999997</v>
      </c>
      <c r="E101">
        <v>28.905578999999999</v>
      </c>
      <c r="F101" t="s">
        <v>1500</v>
      </c>
      <c r="G101" t="s">
        <v>1499</v>
      </c>
    </row>
    <row r="102" spans="1:7" x14ac:dyDescent="0.3">
      <c r="A102" t="s">
        <v>1536</v>
      </c>
      <c r="B102" t="s">
        <v>1023</v>
      </c>
      <c r="C102" t="s">
        <v>24</v>
      </c>
      <c r="D102">
        <v>0.16841400000000001</v>
      </c>
      <c r="E102">
        <v>30.029876999999999</v>
      </c>
      <c r="F102" t="s">
        <v>1495</v>
      </c>
      <c r="G102" t="s">
        <v>1499</v>
      </c>
    </row>
    <row r="103" spans="1:7" x14ac:dyDescent="0.3">
      <c r="A103" t="s">
        <v>1536</v>
      </c>
      <c r="B103" t="s">
        <v>1537</v>
      </c>
      <c r="C103" t="s">
        <v>26</v>
      </c>
      <c r="D103">
        <v>-5.9281110000000004</v>
      </c>
      <c r="E103">
        <v>29.607863999999999</v>
      </c>
      <c r="F103" t="s">
        <v>1498</v>
      </c>
      <c r="G103" t="s">
        <v>1499</v>
      </c>
    </row>
    <row r="104" spans="1:7" x14ac:dyDescent="0.3">
      <c r="A104" t="s">
        <v>1536</v>
      </c>
      <c r="B104" t="s">
        <v>840</v>
      </c>
      <c r="C104" t="s">
        <v>29</v>
      </c>
      <c r="D104">
        <v>-4.9789079999999997</v>
      </c>
      <c r="E104">
        <v>28.506295000000001</v>
      </c>
      <c r="F104" t="s">
        <v>1498</v>
      </c>
      <c r="G104" t="s">
        <v>1499</v>
      </c>
    </row>
    <row r="105" spans="1:7" x14ac:dyDescent="0.3">
      <c r="A105" t="s">
        <v>1536</v>
      </c>
      <c r="B105" t="s">
        <v>1127</v>
      </c>
      <c r="C105" t="s">
        <v>26</v>
      </c>
      <c r="D105">
        <v>-2.2876210000000001</v>
      </c>
      <c r="E105">
        <v>27.582545</v>
      </c>
      <c r="F105" t="s">
        <v>1498</v>
      </c>
      <c r="G105" t="s">
        <v>1499</v>
      </c>
    </row>
    <row r="106" spans="1:7" x14ac:dyDescent="0.3">
      <c r="A106" t="s">
        <v>1536</v>
      </c>
      <c r="B106" t="s">
        <v>1367</v>
      </c>
      <c r="C106" t="s">
        <v>37</v>
      </c>
      <c r="D106">
        <v>-3.9148719999999999</v>
      </c>
      <c r="E106">
        <v>12.260933</v>
      </c>
      <c r="F106" t="s">
        <v>1498</v>
      </c>
      <c r="G106" t="s">
        <v>1496</v>
      </c>
    </row>
    <row r="107" spans="1:7" x14ac:dyDescent="0.3">
      <c r="A107" t="s">
        <v>1536</v>
      </c>
      <c r="B107" t="s">
        <v>927</v>
      </c>
      <c r="C107" t="s">
        <v>37</v>
      </c>
      <c r="D107">
        <v>-9.002459</v>
      </c>
      <c r="E107">
        <v>25.182109000000001</v>
      </c>
      <c r="F107" t="s">
        <v>1495</v>
      </c>
      <c r="G107" t="s">
        <v>1499</v>
      </c>
    </row>
    <row r="108" spans="1:7" x14ac:dyDescent="0.3">
      <c r="A108" t="s">
        <v>1536</v>
      </c>
      <c r="B108" t="s">
        <v>1065</v>
      </c>
      <c r="C108" t="s">
        <v>89</v>
      </c>
      <c r="D108">
        <v>-7.7839049999999999</v>
      </c>
      <c r="E108">
        <v>14.114281999999999</v>
      </c>
      <c r="F108" t="s">
        <v>1500</v>
      </c>
      <c r="G108" t="s">
        <v>1501</v>
      </c>
    </row>
    <row r="109" spans="1:7" x14ac:dyDescent="0.3">
      <c r="A109" t="s">
        <v>1536</v>
      </c>
      <c r="B109" t="s">
        <v>866</v>
      </c>
      <c r="C109" t="s">
        <v>51</v>
      </c>
      <c r="D109">
        <v>-5.9021970000000001</v>
      </c>
      <c r="E109">
        <v>20.551169999999999</v>
      </c>
      <c r="F109" t="s">
        <v>1500</v>
      </c>
      <c r="G109" t="s">
        <v>1499</v>
      </c>
    </row>
    <row r="110" spans="1:7" x14ac:dyDescent="0.3">
      <c r="A110" t="s">
        <v>1536</v>
      </c>
      <c r="B110" t="s">
        <v>1538</v>
      </c>
      <c r="C110" t="s">
        <v>31</v>
      </c>
      <c r="D110">
        <v>-10.620597</v>
      </c>
      <c r="E110">
        <v>12.432214</v>
      </c>
      <c r="F110" t="s">
        <v>1498</v>
      </c>
      <c r="G110" t="s">
        <v>1499</v>
      </c>
    </row>
    <row r="111" spans="1:7" x14ac:dyDescent="0.3">
      <c r="A111" t="s">
        <v>1536</v>
      </c>
      <c r="B111" t="s">
        <v>889</v>
      </c>
      <c r="C111" t="s">
        <v>16</v>
      </c>
      <c r="D111">
        <v>-11.514188000000001</v>
      </c>
      <c r="E111">
        <v>15.971181</v>
      </c>
      <c r="F111" t="s">
        <v>1495</v>
      </c>
      <c r="G111" t="s">
        <v>1496</v>
      </c>
    </row>
    <row r="112" spans="1:7" x14ac:dyDescent="0.3">
      <c r="A112" t="s">
        <v>1536</v>
      </c>
      <c r="B112" t="s">
        <v>874</v>
      </c>
      <c r="C112" t="s">
        <v>35</v>
      </c>
      <c r="D112">
        <v>-2.7140689999999998</v>
      </c>
      <c r="E112">
        <v>22.222104000000002</v>
      </c>
      <c r="F112" t="s">
        <v>1498</v>
      </c>
      <c r="G112" t="s">
        <v>1508</v>
      </c>
    </row>
    <row r="113" spans="1:7" x14ac:dyDescent="0.3">
      <c r="A113" t="s">
        <v>1536</v>
      </c>
      <c r="B113" t="s">
        <v>1077</v>
      </c>
      <c r="C113" t="s">
        <v>62</v>
      </c>
      <c r="D113">
        <v>-12.112399999999999</v>
      </c>
      <c r="E113">
        <v>15.872226</v>
      </c>
      <c r="F113" t="s">
        <v>1498</v>
      </c>
      <c r="G113" t="s">
        <v>1508</v>
      </c>
    </row>
    <row r="114" spans="1:7" x14ac:dyDescent="0.3">
      <c r="A114" t="s">
        <v>1536</v>
      </c>
      <c r="B114" t="s">
        <v>1483</v>
      </c>
      <c r="C114" t="s">
        <v>18</v>
      </c>
      <c r="D114">
        <v>-5.8145569999999998</v>
      </c>
      <c r="E114">
        <v>21.942052</v>
      </c>
      <c r="F114" t="s">
        <v>1495</v>
      </c>
      <c r="G114" t="s">
        <v>1499</v>
      </c>
    </row>
    <row r="115" spans="1:7" x14ac:dyDescent="0.3">
      <c r="A115" t="s">
        <v>1536</v>
      </c>
      <c r="B115" t="s">
        <v>1224</v>
      </c>
      <c r="C115" t="s">
        <v>24</v>
      </c>
      <c r="D115">
        <v>-11.468578000000001</v>
      </c>
      <c r="E115">
        <v>16.914501999999999</v>
      </c>
      <c r="F115" t="s">
        <v>1498</v>
      </c>
      <c r="G115" t="s">
        <v>1496</v>
      </c>
    </row>
    <row r="116" spans="1:7" x14ac:dyDescent="0.3">
      <c r="A116" t="s">
        <v>1536</v>
      </c>
      <c r="B116" t="s">
        <v>1539</v>
      </c>
      <c r="C116" t="s">
        <v>89</v>
      </c>
      <c r="D116">
        <v>-3.967184</v>
      </c>
      <c r="E116">
        <v>21.177499999999998</v>
      </c>
      <c r="F116" t="s">
        <v>1500</v>
      </c>
      <c r="G116" t="s">
        <v>1499</v>
      </c>
    </row>
    <row r="117" spans="1:7" x14ac:dyDescent="0.3">
      <c r="A117" t="s">
        <v>1536</v>
      </c>
      <c r="B117" t="s">
        <v>1540</v>
      </c>
      <c r="C117" t="s">
        <v>131</v>
      </c>
      <c r="D117">
        <v>0.92885200000000001</v>
      </c>
      <c r="E117">
        <v>25.868548000000001</v>
      </c>
      <c r="F117" t="s">
        <v>1495</v>
      </c>
      <c r="G117" t="s">
        <v>1508</v>
      </c>
    </row>
    <row r="118" spans="1:7" x14ac:dyDescent="0.3">
      <c r="A118" t="s">
        <v>1536</v>
      </c>
      <c r="B118" t="s">
        <v>1270</v>
      </c>
      <c r="C118" t="s">
        <v>40</v>
      </c>
      <c r="D118">
        <v>-10.653247</v>
      </c>
      <c r="E118">
        <v>14.685601</v>
      </c>
      <c r="F118" t="s">
        <v>1498</v>
      </c>
      <c r="G118" t="s">
        <v>1496</v>
      </c>
    </row>
    <row r="119" spans="1:7" x14ac:dyDescent="0.3">
      <c r="A119" t="s">
        <v>1536</v>
      </c>
      <c r="B119" t="s">
        <v>1541</v>
      </c>
      <c r="C119" t="s">
        <v>137</v>
      </c>
      <c r="D119">
        <v>-10.572326</v>
      </c>
      <c r="E119">
        <v>25.276349</v>
      </c>
      <c r="F119" t="s">
        <v>1500</v>
      </c>
      <c r="G119" t="s">
        <v>1501</v>
      </c>
    </row>
    <row r="120" spans="1:7" x14ac:dyDescent="0.3">
      <c r="A120" t="s">
        <v>1536</v>
      </c>
      <c r="B120" t="s">
        <v>1542</v>
      </c>
      <c r="C120" t="s">
        <v>62</v>
      </c>
      <c r="D120">
        <v>-2.9326690000000002</v>
      </c>
      <c r="E120">
        <v>12.349382</v>
      </c>
      <c r="F120" t="s">
        <v>1495</v>
      </c>
      <c r="G120" t="s">
        <v>1501</v>
      </c>
    </row>
    <row r="121" spans="1:7" x14ac:dyDescent="0.3">
      <c r="A121" t="s">
        <v>1536</v>
      </c>
      <c r="B121" t="s">
        <v>1392</v>
      </c>
      <c r="C121" t="s">
        <v>137</v>
      </c>
      <c r="D121">
        <v>-4.2184999999999997</v>
      </c>
      <c r="E121">
        <v>23.077093999999999</v>
      </c>
      <c r="F121" t="s">
        <v>1498</v>
      </c>
      <c r="G121" t="s">
        <v>1496</v>
      </c>
    </row>
    <row r="122" spans="1:7" x14ac:dyDescent="0.3">
      <c r="A122" t="s">
        <v>1536</v>
      </c>
      <c r="B122" t="s">
        <v>1543</v>
      </c>
      <c r="C122" t="s">
        <v>78</v>
      </c>
      <c r="D122">
        <v>-1.259528</v>
      </c>
      <c r="E122">
        <v>24.607037999999999</v>
      </c>
      <c r="F122" t="s">
        <v>1498</v>
      </c>
      <c r="G122" t="s">
        <v>1501</v>
      </c>
    </row>
    <row r="123" spans="1:7" x14ac:dyDescent="0.3">
      <c r="A123" t="s">
        <v>1536</v>
      </c>
      <c r="B123" t="s">
        <v>918</v>
      </c>
      <c r="C123" t="s">
        <v>21</v>
      </c>
      <c r="D123">
        <v>-9.4702129999999993</v>
      </c>
      <c r="E123">
        <v>12.826158</v>
      </c>
      <c r="F123" t="s">
        <v>1500</v>
      </c>
      <c r="G123" t="s">
        <v>1496</v>
      </c>
    </row>
    <row r="124" spans="1:7" x14ac:dyDescent="0.3">
      <c r="A124" t="s">
        <v>1536</v>
      </c>
      <c r="B124" t="s">
        <v>1103</v>
      </c>
      <c r="C124" t="s">
        <v>10</v>
      </c>
      <c r="D124">
        <v>-1.9120569999999999</v>
      </c>
      <c r="E124">
        <v>15.236072999999999</v>
      </c>
      <c r="F124" t="s">
        <v>1495</v>
      </c>
      <c r="G124" t="s">
        <v>1499</v>
      </c>
    </row>
    <row r="125" spans="1:7" x14ac:dyDescent="0.3">
      <c r="A125" t="s">
        <v>1536</v>
      </c>
      <c r="B125" t="s">
        <v>933</v>
      </c>
      <c r="C125" t="s">
        <v>10</v>
      </c>
      <c r="D125">
        <v>0.24202000000000001</v>
      </c>
      <c r="E125">
        <v>17.396256999999999</v>
      </c>
      <c r="F125" t="s">
        <v>1498</v>
      </c>
      <c r="G125" t="s">
        <v>1499</v>
      </c>
    </row>
    <row r="126" spans="1:7" x14ac:dyDescent="0.3">
      <c r="A126" t="s">
        <v>1536</v>
      </c>
      <c r="B126" t="s">
        <v>944</v>
      </c>
      <c r="C126" t="s">
        <v>51</v>
      </c>
      <c r="D126">
        <v>-8.5675749999999997</v>
      </c>
      <c r="E126">
        <v>26.994581</v>
      </c>
      <c r="F126" t="s">
        <v>1500</v>
      </c>
      <c r="G126" t="s">
        <v>1508</v>
      </c>
    </row>
    <row r="127" spans="1:7" x14ac:dyDescent="0.3">
      <c r="A127" t="s">
        <v>1536</v>
      </c>
      <c r="B127" t="s">
        <v>859</v>
      </c>
      <c r="C127" t="s">
        <v>137</v>
      </c>
      <c r="D127">
        <v>-11.710407999999999</v>
      </c>
      <c r="E127">
        <v>23.741330999999999</v>
      </c>
      <c r="F127" t="s">
        <v>1500</v>
      </c>
      <c r="G127" t="s">
        <v>1499</v>
      </c>
    </row>
    <row r="128" spans="1:7" x14ac:dyDescent="0.3">
      <c r="A128" t="s">
        <v>1536</v>
      </c>
      <c r="B128" t="s">
        <v>1544</v>
      </c>
      <c r="C128" t="s">
        <v>57</v>
      </c>
      <c r="D128">
        <v>0.98189400000000004</v>
      </c>
      <c r="E128">
        <v>13.008620000000001</v>
      </c>
      <c r="F128" t="s">
        <v>1498</v>
      </c>
      <c r="G128" t="s">
        <v>1499</v>
      </c>
    </row>
    <row r="129" spans="1:7" x14ac:dyDescent="0.3">
      <c r="A129" t="s">
        <v>1536</v>
      </c>
      <c r="B129" t="s">
        <v>1126</v>
      </c>
      <c r="C129" t="s">
        <v>18</v>
      </c>
      <c r="D129">
        <v>-7.1785899999999998</v>
      </c>
      <c r="E129">
        <v>24.4404</v>
      </c>
      <c r="F129" t="s">
        <v>1498</v>
      </c>
      <c r="G129" t="s">
        <v>1508</v>
      </c>
    </row>
    <row r="130" spans="1:7" x14ac:dyDescent="0.3">
      <c r="A130" t="s">
        <v>1536</v>
      </c>
      <c r="B130" t="s">
        <v>1128</v>
      </c>
      <c r="C130" t="s">
        <v>16</v>
      </c>
      <c r="D130">
        <v>3.6344850000000002</v>
      </c>
      <c r="E130">
        <v>12.158348999999999</v>
      </c>
      <c r="F130" t="s">
        <v>1495</v>
      </c>
      <c r="G130" t="s">
        <v>1496</v>
      </c>
    </row>
    <row r="131" spans="1:7" x14ac:dyDescent="0.3">
      <c r="A131" t="s">
        <v>1536</v>
      </c>
      <c r="B131" t="s">
        <v>1146</v>
      </c>
      <c r="C131" t="s">
        <v>31</v>
      </c>
      <c r="D131">
        <v>-11.387295999999999</v>
      </c>
      <c r="E131">
        <v>19.384257999999999</v>
      </c>
      <c r="F131" t="s">
        <v>1500</v>
      </c>
      <c r="G131" t="s">
        <v>1499</v>
      </c>
    </row>
    <row r="132" spans="1:7" x14ac:dyDescent="0.3">
      <c r="A132" t="s">
        <v>1536</v>
      </c>
      <c r="B132" t="s">
        <v>1139</v>
      </c>
      <c r="C132" t="s">
        <v>64</v>
      </c>
      <c r="D132">
        <v>-0.90854400000000002</v>
      </c>
      <c r="E132">
        <v>17.154896999999998</v>
      </c>
      <c r="F132" t="s">
        <v>1500</v>
      </c>
      <c r="G132" t="s">
        <v>1499</v>
      </c>
    </row>
    <row r="133" spans="1:7" x14ac:dyDescent="0.3">
      <c r="A133" t="s">
        <v>1536</v>
      </c>
      <c r="B133" t="s">
        <v>1115</v>
      </c>
      <c r="C133" t="s">
        <v>16</v>
      </c>
      <c r="D133">
        <v>-5.3762689999999997</v>
      </c>
      <c r="E133">
        <v>28.189575999999999</v>
      </c>
      <c r="F133" t="s">
        <v>1495</v>
      </c>
      <c r="G133" t="s">
        <v>1499</v>
      </c>
    </row>
    <row r="134" spans="1:7" x14ac:dyDescent="0.3">
      <c r="A134" t="s">
        <v>1536</v>
      </c>
      <c r="B134" t="s">
        <v>1545</v>
      </c>
      <c r="C134" t="s">
        <v>137</v>
      </c>
      <c r="D134">
        <v>-6.7304589999999997</v>
      </c>
      <c r="E134">
        <v>24.541906999999998</v>
      </c>
      <c r="F134" t="s">
        <v>1498</v>
      </c>
      <c r="G134" t="s">
        <v>1508</v>
      </c>
    </row>
    <row r="135" spans="1:7" x14ac:dyDescent="0.3">
      <c r="A135" t="s">
        <v>1536</v>
      </c>
      <c r="B135" t="s">
        <v>1482</v>
      </c>
      <c r="C135" t="s">
        <v>16</v>
      </c>
      <c r="D135">
        <v>-7.2267089999999996</v>
      </c>
      <c r="E135">
        <v>28.421362999999999</v>
      </c>
      <c r="F135" t="s">
        <v>1495</v>
      </c>
      <c r="G135" t="s">
        <v>1496</v>
      </c>
    </row>
    <row r="136" spans="1:7" x14ac:dyDescent="0.3">
      <c r="A136" t="s">
        <v>1536</v>
      </c>
      <c r="B136" t="s">
        <v>958</v>
      </c>
      <c r="C136" t="s">
        <v>131</v>
      </c>
      <c r="D136">
        <v>-2.3102109999999998</v>
      </c>
      <c r="E136">
        <v>12.362488000000001</v>
      </c>
      <c r="F136" t="s">
        <v>1495</v>
      </c>
      <c r="G136" t="s">
        <v>1508</v>
      </c>
    </row>
    <row r="137" spans="1:7" x14ac:dyDescent="0.3">
      <c r="A137" t="s">
        <v>1536</v>
      </c>
      <c r="B137" t="s">
        <v>1050</v>
      </c>
      <c r="C137" t="s">
        <v>62</v>
      </c>
      <c r="D137">
        <v>-12.564277000000001</v>
      </c>
      <c r="E137">
        <v>28.480798</v>
      </c>
      <c r="F137" t="s">
        <v>1495</v>
      </c>
      <c r="G137" t="s">
        <v>1501</v>
      </c>
    </row>
    <row r="138" spans="1:7" x14ac:dyDescent="0.3">
      <c r="A138" t="s">
        <v>1536</v>
      </c>
      <c r="B138" t="s">
        <v>1437</v>
      </c>
      <c r="C138" t="s">
        <v>35</v>
      </c>
      <c r="D138">
        <v>-7.513261</v>
      </c>
      <c r="E138">
        <v>24.338812000000001</v>
      </c>
      <c r="F138" t="s">
        <v>1495</v>
      </c>
      <c r="G138" t="s">
        <v>1499</v>
      </c>
    </row>
    <row r="139" spans="1:7" x14ac:dyDescent="0.3">
      <c r="A139" t="s">
        <v>1536</v>
      </c>
      <c r="B139" t="s">
        <v>1241</v>
      </c>
      <c r="C139" t="s">
        <v>73</v>
      </c>
      <c r="D139">
        <v>4.7777349999999998</v>
      </c>
      <c r="E139">
        <v>16.392204</v>
      </c>
      <c r="F139" t="s">
        <v>1495</v>
      </c>
      <c r="G139" t="s">
        <v>1501</v>
      </c>
    </row>
    <row r="140" spans="1:7" x14ac:dyDescent="0.3">
      <c r="A140" t="s">
        <v>1536</v>
      </c>
      <c r="B140" t="s">
        <v>1546</v>
      </c>
      <c r="C140" t="s">
        <v>62</v>
      </c>
      <c r="D140">
        <v>-1.9080220000000001</v>
      </c>
      <c r="E140">
        <v>19.233322999999999</v>
      </c>
      <c r="F140" t="s">
        <v>1500</v>
      </c>
      <c r="G140" t="s">
        <v>1496</v>
      </c>
    </row>
    <row r="141" spans="1:7" x14ac:dyDescent="0.3">
      <c r="A141" t="s">
        <v>1536</v>
      </c>
      <c r="B141" t="s">
        <v>1291</v>
      </c>
      <c r="C141" t="s">
        <v>78</v>
      </c>
      <c r="D141">
        <v>4.8228650000000002</v>
      </c>
      <c r="E141">
        <v>30.555627000000001</v>
      </c>
      <c r="F141" t="s">
        <v>1498</v>
      </c>
      <c r="G141" t="s">
        <v>1499</v>
      </c>
    </row>
    <row r="142" spans="1:7" x14ac:dyDescent="0.3">
      <c r="A142" t="s">
        <v>1536</v>
      </c>
      <c r="B142" t="s">
        <v>932</v>
      </c>
      <c r="C142" t="s">
        <v>60</v>
      </c>
      <c r="D142">
        <v>-5.0402180000000003</v>
      </c>
      <c r="E142">
        <v>13.892471</v>
      </c>
      <c r="F142" t="s">
        <v>1500</v>
      </c>
      <c r="G142" t="s">
        <v>1501</v>
      </c>
    </row>
    <row r="143" spans="1:7" x14ac:dyDescent="0.3">
      <c r="A143" t="s">
        <v>1536</v>
      </c>
      <c r="B143" t="s">
        <v>821</v>
      </c>
      <c r="C143" t="s">
        <v>89</v>
      </c>
      <c r="D143">
        <v>-10.375266999999999</v>
      </c>
      <c r="E143">
        <v>17.993663000000002</v>
      </c>
      <c r="F143" t="s">
        <v>1495</v>
      </c>
      <c r="G143" t="s">
        <v>1501</v>
      </c>
    </row>
    <row r="144" spans="1:7" x14ac:dyDescent="0.3">
      <c r="A144" t="s">
        <v>1536</v>
      </c>
      <c r="B144" t="s">
        <v>1229</v>
      </c>
      <c r="C144" t="s">
        <v>44</v>
      </c>
      <c r="D144">
        <v>-12.192204</v>
      </c>
      <c r="E144">
        <v>28.468682000000001</v>
      </c>
      <c r="F144" t="s">
        <v>1500</v>
      </c>
      <c r="G144" t="s">
        <v>1501</v>
      </c>
    </row>
    <row r="145" spans="1:7" x14ac:dyDescent="0.3">
      <c r="A145" t="s">
        <v>1536</v>
      </c>
      <c r="B145" t="s">
        <v>1171</v>
      </c>
      <c r="C145" t="s">
        <v>78</v>
      </c>
      <c r="D145">
        <v>1.727095</v>
      </c>
      <c r="E145">
        <v>22.099651999999999</v>
      </c>
      <c r="F145" t="s">
        <v>1498</v>
      </c>
      <c r="G145" t="s">
        <v>1499</v>
      </c>
    </row>
    <row r="146" spans="1:7" x14ac:dyDescent="0.3">
      <c r="A146" t="s">
        <v>1536</v>
      </c>
      <c r="B146" t="s">
        <v>1547</v>
      </c>
      <c r="C146" t="s">
        <v>73</v>
      </c>
      <c r="D146">
        <v>-9.4056660000000001</v>
      </c>
      <c r="E146">
        <v>15.541930000000001</v>
      </c>
      <c r="F146" t="s">
        <v>1498</v>
      </c>
      <c r="G146" t="s">
        <v>1499</v>
      </c>
    </row>
    <row r="147" spans="1:7" x14ac:dyDescent="0.3">
      <c r="A147" t="s">
        <v>1536</v>
      </c>
      <c r="B147" t="s">
        <v>1548</v>
      </c>
      <c r="C147" t="s">
        <v>37</v>
      </c>
      <c r="D147">
        <v>-6.2712260000000004</v>
      </c>
      <c r="E147">
        <v>21.512366</v>
      </c>
      <c r="F147" t="s">
        <v>1495</v>
      </c>
      <c r="G147" t="s">
        <v>1499</v>
      </c>
    </row>
    <row r="148" spans="1:7" x14ac:dyDescent="0.3">
      <c r="A148" t="s">
        <v>1536</v>
      </c>
      <c r="B148" t="s">
        <v>1010</v>
      </c>
      <c r="C148" t="s">
        <v>57</v>
      </c>
      <c r="D148">
        <v>0.639208</v>
      </c>
      <c r="E148">
        <v>20.701739</v>
      </c>
      <c r="F148" t="s">
        <v>1498</v>
      </c>
      <c r="G148" t="s">
        <v>1499</v>
      </c>
    </row>
    <row r="149" spans="1:7" x14ac:dyDescent="0.3">
      <c r="A149" t="s">
        <v>1536</v>
      </c>
      <c r="B149" t="s">
        <v>1549</v>
      </c>
      <c r="C149" t="s">
        <v>44</v>
      </c>
      <c r="D149">
        <v>2.349755</v>
      </c>
      <c r="E149">
        <v>29.600649000000001</v>
      </c>
      <c r="F149" t="s">
        <v>1498</v>
      </c>
      <c r="G149" t="s">
        <v>1508</v>
      </c>
    </row>
    <row r="150" spans="1:7" x14ac:dyDescent="0.3">
      <c r="A150" t="s">
        <v>1536</v>
      </c>
      <c r="B150" t="s">
        <v>1413</v>
      </c>
      <c r="C150" t="s">
        <v>62</v>
      </c>
      <c r="D150">
        <v>-10.977309</v>
      </c>
      <c r="E150">
        <v>12.408281000000001</v>
      </c>
      <c r="F150" t="s">
        <v>1495</v>
      </c>
      <c r="G150" t="s">
        <v>1501</v>
      </c>
    </row>
    <row r="151" spans="1:7" x14ac:dyDescent="0.3">
      <c r="A151" t="s">
        <v>1536</v>
      </c>
      <c r="B151" t="s">
        <v>1550</v>
      </c>
      <c r="C151" t="s">
        <v>13</v>
      </c>
      <c r="D151">
        <v>-12.018316</v>
      </c>
      <c r="E151">
        <v>16.700451000000001</v>
      </c>
      <c r="F151" t="s">
        <v>1500</v>
      </c>
      <c r="G151" t="s">
        <v>1508</v>
      </c>
    </row>
    <row r="152" spans="1:7" x14ac:dyDescent="0.3">
      <c r="A152" t="s">
        <v>1551</v>
      </c>
      <c r="B152" t="s">
        <v>1201</v>
      </c>
      <c r="C152" t="s">
        <v>57</v>
      </c>
      <c r="D152">
        <v>-1.648326</v>
      </c>
      <c r="E152">
        <v>25.528901999999999</v>
      </c>
      <c r="F152" t="s">
        <v>1498</v>
      </c>
      <c r="G152" t="s">
        <v>1499</v>
      </c>
    </row>
    <row r="153" spans="1:7" x14ac:dyDescent="0.3">
      <c r="A153" t="s">
        <v>1551</v>
      </c>
      <c r="B153" t="s">
        <v>995</v>
      </c>
      <c r="C153" t="s">
        <v>18</v>
      </c>
      <c r="D153">
        <v>-12.112682</v>
      </c>
      <c r="E153">
        <v>19.972052000000001</v>
      </c>
      <c r="F153" t="s">
        <v>1498</v>
      </c>
      <c r="G153" t="s">
        <v>1499</v>
      </c>
    </row>
    <row r="154" spans="1:7" x14ac:dyDescent="0.3">
      <c r="A154" t="s">
        <v>1551</v>
      </c>
      <c r="B154" t="s">
        <v>1376</v>
      </c>
      <c r="C154" t="s">
        <v>13</v>
      </c>
      <c r="D154">
        <v>-7.7587710000000003</v>
      </c>
      <c r="E154">
        <v>17.880848</v>
      </c>
      <c r="F154" t="s">
        <v>1500</v>
      </c>
      <c r="G154" t="s">
        <v>1496</v>
      </c>
    </row>
    <row r="155" spans="1:7" x14ac:dyDescent="0.3">
      <c r="A155" t="s">
        <v>1551</v>
      </c>
      <c r="B155" t="s">
        <v>1197</v>
      </c>
      <c r="C155" t="s">
        <v>33</v>
      </c>
      <c r="D155">
        <v>-5.8352820000000003</v>
      </c>
      <c r="E155">
        <v>26.603978000000001</v>
      </c>
      <c r="F155" t="s">
        <v>1498</v>
      </c>
      <c r="G155" t="s">
        <v>1499</v>
      </c>
    </row>
    <row r="156" spans="1:7" x14ac:dyDescent="0.3">
      <c r="A156" t="s">
        <v>1551</v>
      </c>
      <c r="B156" t="s">
        <v>1552</v>
      </c>
      <c r="C156" t="s">
        <v>137</v>
      </c>
      <c r="D156">
        <v>-7.5180249999999997</v>
      </c>
      <c r="E156">
        <v>20.478905999999998</v>
      </c>
      <c r="F156" t="s">
        <v>1495</v>
      </c>
      <c r="G156" t="s">
        <v>1508</v>
      </c>
    </row>
    <row r="157" spans="1:7" x14ac:dyDescent="0.3">
      <c r="A157" t="s">
        <v>1551</v>
      </c>
      <c r="B157" t="s">
        <v>1218</v>
      </c>
      <c r="C157" t="s">
        <v>33</v>
      </c>
      <c r="D157">
        <v>1.897178</v>
      </c>
      <c r="E157">
        <v>23.902604</v>
      </c>
      <c r="F157" t="s">
        <v>1500</v>
      </c>
      <c r="G157" t="s">
        <v>1508</v>
      </c>
    </row>
    <row r="158" spans="1:7" x14ac:dyDescent="0.3">
      <c r="A158" t="s">
        <v>1551</v>
      </c>
      <c r="B158" t="s">
        <v>1238</v>
      </c>
      <c r="C158" t="s">
        <v>40</v>
      </c>
      <c r="D158">
        <v>-4.6957509999999996</v>
      </c>
      <c r="E158">
        <v>14.233525999999999</v>
      </c>
      <c r="F158" t="s">
        <v>1498</v>
      </c>
      <c r="G158" t="s">
        <v>1508</v>
      </c>
    </row>
    <row r="159" spans="1:7" x14ac:dyDescent="0.3">
      <c r="A159" t="s">
        <v>1551</v>
      </c>
      <c r="B159" t="s">
        <v>1553</v>
      </c>
      <c r="C159" t="s">
        <v>29</v>
      </c>
      <c r="D159">
        <v>-5.3956809999999997</v>
      </c>
      <c r="E159">
        <v>14.49985</v>
      </c>
      <c r="F159" t="s">
        <v>1498</v>
      </c>
      <c r="G159" t="s">
        <v>1501</v>
      </c>
    </row>
    <row r="160" spans="1:7" x14ac:dyDescent="0.3">
      <c r="A160" t="s">
        <v>1551</v>
      </c>
      <c r="B160" t="s">
        <v>1554</v>
      </c>
      <c r="C160" t="s">
        <v>127</v>
      </c>
      <c r="D160">
        <v>-1.9635830000000001</v>
      </c>
      <c r="E160">
        <v>15.854182</v>
      </c>
      <c r="F160" t="s">
        <v>1500</v>
      </c>
      <c r="G160" t="s">
        <v>1508</v>
      </c>
    </row>
    <row r="161" spans="1:7" x14ac:dyDescent="0.3">
      <c r="A161" t="s">
        <v>1551</v>
      </c>
      <c r="B161" t="s">
        <v>1555</v>
      </c>
      <c r="C161" t="s">
        <v>31</v>
      </c>
      <c r="D161">
        <v>-12.01816</v>
      </c>
      <c r="E161">
        <v>23.828645999999999</v>
      </c>
      <c r="F161" t="s">
        <v>1500</v>
      </c>
      <c r="G161" t="s">
        <v>1499</v>
      </c>
    </row>
    <row r="162" spans="1:7" x14ac:dyDescent="0.3">
      <c r="A162" t="s">
        <v>1551</v>
      </c>
      <c r="B162" t="s">
        <v>976</v>
      </c>
      <c r="C162" t="s">
        <v>26</v>
      </c>
      <c r="D162">
        <v>-3.6945459999999999</v>
      </c>
      <c r="E162">
        <v>16.809108999999999</v>
      </c>
      <c r="F162" t="s">
        <v>1495</v>
      </c>
      <c r="G162" t="s">
        <v>1501</v>
      </c>
    </row>
    <row r="163" spans="1:7" x14ac:dyDescent="0.3">
      <c r="A163" t="s">
        <v>1551</v>
      </c>
      <c r="B163" t="s">
        <v>949</v>
      </c>
      <c r="C163" t="s">
        <v>37</v>
      </c>
      <c r="D163">
        <v>-10.439686999999999</v>
      </c>
      <c r="E163">
        <v>20.714210000000001</v>
      </c>
      <c r="F163" t="s">
        <v>1498</v>
      </c>
      <c r="G163" t="s">
        <v>1501</v>
      </c>
    </row>
    <row r="164" spans="1:7" x14ac:dyDescent="0.3">
      <c r="A164" t="s">
        <v>1551</v>
      </c>
      <c r="B164" t="s">
        <v>1273</v>
      </c>
      <c r="C164" t="s">
        <v>78</v>
      </c>
      <c r="D164">
        <v>1.938083</v>
      </c>
      <c r="E164">
        <v>28.25281</v>
      </c>
      <c r="F164" t="s">
        <v>1498</v>
      </c>
      <c r="G164" t="s">
        <v>1508</v>
      </c>
    </row>
    <row r="165" spans="1:7" x14ac:dyDescent="0.3">
      <c r="A165" t="s">
        <v>1551</v>
      </c>
      <c r="B165" t="s">
        <v>1086</v>
      </c>
      <c r="C165" t="s">
        <v>127</v>
      </c>
      <c r="D165">
        <v>-4.869434</v>
      </c>
      <c r="E165">
        <v>22.326522000000001</v>
      </c>
      <c r="F165" t="s">
        <v>1495</v>
      </c>
      <c r="G165" t="s">
        <v>1496</v>
      </c>
    </row>
    <row r="166" spans="1:7" x14ac:dyDescent="0.3">
      <c r="A166" t="s">
        <v>1551</v>
      </c>
      <c r="B166" t="s">
        <v>1556</v>
      </c>
      <c r="C166" t="s">
        <v>57</v>
      </c>
      <c r="D166">
        <v>7.6420000000000004E-3</v>
      </c>
      <c r="E166">
        <v>12.109260000000001</v>
      </c>
      <c r="F166" t="s">
        <v>1498</v>
      </c>
      <c r="G166" t="s">
        <v>1496</v>
      </c>
    </row>
    <row r="167" spans="1:7" x14ac:dyDescent="0.3">
      <c r="A167" t="s">
        <v>1551</v>
      </c>
      <c r="B167" t="s">
        <v>1557</v>
      </c>
      <c r="C167" t="s">
        <v>10</v>
      </c>
      <c r="D167">
        <v>-10.962911</v>
      </c>
      <c r="E167">
        <v>28.771355</v>
      </c>
      <c r="F167" t="s">
        <v>1495</v>
      </c>
      <c r="G167" t="s">
        <v>1499</v>
      </c>
    </row>
    <row r="168" spans="1:7" x14ac:dyDescent="0.3">
      <c r="A168" t="s">
        <v>1551</v>
      </c>
      <c r="B168" t="s">
        <v>907</v>
      </c>
      <c r="C168" t="s">
        <v>131</v>
      </c>
      <c r="D168">
        <v>1.017161</v>
      </c>
      <c r="E168">
        <v>16.519689</v>
      </c>
      <c r="F168" t="s">
        <v>1500</v>
      </c>
      <c r="G168" t="s">
        <v>1508</v>
      </c>
    </row>
    <row r="169" spans="1:7" x14ac:dyDescent="0.3">
      <c r="A169" t="s">
        <v>1551</v>
      </c>
      <c r="B169" t="s">
        <v>1558</v>
      </c>
      <c r="C169" t="s">
        <v>137</v>
      </c>
      <c r="D169">
        <v>3.8811640000000001</v>
      </c>
      <c r="E169">
        <v>23.188383999999999</v>
      </c>
      <c r="F169" t="s">
        <v>1495</v>
      </c>
      <c r="G169" t="s">
        <v>1499</v>
      </c>
    </row>
    <row r="170" spans="1:7" x14ac:dyDescent="0.3">
      <c r="A170" t="s">
        <v>1551</v>
      </c>
      <c r="B170" t="s">
        <v>1370</v>
      </c>
      <c r="C170" t="s">
        <v>62</v>
      </c>
      <c r="D170">
        <v>-0.469945</v>
      </c>
      <c r="E170">
        <v>21.038527999999999</v>
      </c>
      <c r="F170" t="s">
        <v>1500</v>
      </c>
      <c r="G170" t="s">
        <v>1496</v>
      </c>
    </row>
    <row r="171" spans="1:7" x14ac:dyDescent="0.3">
      <c r="A171" t="s">
        <v>1551</v>
      </c>
      <c r="B171" t="s">
        <v>832</v>
      </c>
      <c r="C171" t="s">
        <v>31</v>
      </c>
      <c r="D171">
        <v>-10.56448</v>
      </c>
      <c r="E171">
        <v>19.792876</v>
      </c>
      <c r="F171" t="s">
        <v>1495</v>
      </c>
      <c r="G171" t="s">
        <v>1496</v>
      </c>
    </row>
    <row r="172" spans="1:7" x14ac:dyDescent="0.3">
      <c r="A172" t="s">
        <v>1551</v>
      </c>
      <c r="B172" t="s">
        <v>1408</v>
      </c>
      <c r="C172" t="s">
        <v>18</v>
      </c>
      <c r="D172">
        <v>-5.5559329999999996</v>
      </c>
      <c r="E172">
        <v>13.508692999999999</v>
      </c>
      <c r="F172" t="s">
        <v>1500</v>
      </c>
      <c r="G172" t="s">
        <v>1508</v>
      </c>
    </row>
    <row r="173" spans="1:7" x14ac:dyDescent="0.3">
      <c r="A173" t="s">
        <v>1551</v>
      </c>
      <c r="B173" t="s">
        <v>1559</v>
      </c>
      <c r="C173" t="s">
        <v>131</v>
      </c>
      <c r="D173">
        <v>-4.884055</v>
      </c>
      <c r="E173">
        <v>23.40194</v>
      </c>
      <c r="F173" t="s">
        <v>1500</v>
      </c>
      <c r="G173" t="s">
        <v>1496</v>
      </c>
    </row>
    <row r="174" spans="1:7" x14ac:dyDescent="0.3">
      <c r="A174" t="s">
        <v>1551</v>
      </c>
      <c r="B174" t="s">
        <v>1560</v>
      </c>
      <c r="C174" t="s">
        <v>18</v>
      </c>
      <c r="D174">
        <v>-9.7801860000000005</v>
      </c>
      <c r="E174">
        <v>16.649550000000001</v>
      </c>
      <c r="F174" t="s">
        <v>1495</v>
      </c>
      <c r="G174" t="s">
        <v>1496</v>
      </c>
    </row>
    <row r="175" spans="1:7" x14ac:dyDescent="0.3">
      <c r="A175" t="s">
        <v>1551</v>
      </c>
      <c r="B175" t="s">
        <v>965</v>
      </c>
      <c r="C175" t="s">
        <v>78</v>
      </c>
      <c r="D175">
        <v>-2.3743210000000001</v>
      </c>
      <c r="E175">
        <v>22.399491000000001</v>
      </c>
      <c r="F175" t="s">
        <v>1495</v>
      </c>
      <c r="G175" t="s">
        <v>1496</v>
      </c>
    </row>
    <row r="176" spans="1:7" x14ac:dyDescent="0.3">
      <c r="A176" t="s">
        <v>1551</v>
      </c>
      <c r="B176" t="s">
        <v>1341</v>
      </c>
      <c r="C176" t="s">
        <v>131</v>
      </c>
      <c r="D176">
        <v>-0.17258100000000001</v>
      </c>
      <c r="E176">
        <v>23.775555000000001</v>
      </c>
      <c r="F176" t="s">
        <v>1495</v>
      </c>
      <c r="G176" t="s">
        <v>1508</v>
      </c>
    </row>
    <row r="177" spans="1:7" x14ac:dyDescent="0.3">
      <c r="A177" t="s">
        <v>1551</v>
      </c>
      <c r="B177" t="s">
        <v>895</v>
      </c>
      <c r="C177" t="s">
        <v>31</v>
      </c>
      <c r="D177">
        <v>-9.3652239999999995</v>
      </c>
      <c r="E177">
        <v>22.593423999999999</v>
      </c>
      <c r="F177" t="s">
        <v>1495</v>
      </c>
      <c r="G177" t="s">
        <v>1508</v>
      </c>
    </row>
    <row r="178" spans="1:7" x14ac:dyDescent="0.3">
      <c r="A178" t="s">
        <v>1551</v>
      </c>
      <c r="B178" t="s">
        <v>1210</v>
      </c>
      <c r="C178" t="s">
        <v>18</v>
      </c>
      <c r="D178">
        <v>-4.8157019999999999</v>
      </c>
      <c r="E178">
        <v>27.679798000000002</v>
      </c>
      <c r="F178" t="s">
        <v>1500</v>
      </c>
      <c r="G178" t="s">
        <v>1496</v>
      </c>
    </row>
    <row r="179" spans="1:7" x14ac:dyDescent="0.3">
      <c r="A179" t="s">
        <v>1551</v>
      </c>
      <c r="B179" t="s">
        <v>1276</v>
      </c>
      <c r="C179" t="s">
        <v>89</v>
      </c>
      <c r="D179">
        <v>-8.4985189999999999</v>
      </c>
      <c r="E179">
        <v>12.929456999999999</v>
      </c>
      <c r="F179" t="s">
        <v>1498</v>
      </c>
      <c r="G179" t="s">
        <v>1496</v>
      </c>
    </row>
    <row r="180" spans="1:7" x14ac:dyDescent="0.3">
      <c r="A180" t="s">
        <v>1551</v>
      </c>
      <c r="B180" t="s">
        <v>1459</v>
      </c>
      <c r="C180" t="s">
        <v>31</v>
      </c>
      <c r="D180">
        <v>-0.54908599999999996</v>
      </c>
      <c r="E180">
        <v>14.816867</v>
      </c>
      <c r="F180" t="s">
        <v>1495</v>
      </c>
      <c r="G180" t="s">
        <v>1501</v>
      </c>
    </row>
    <row r="181" spans="1:7" x14ac:dyDescent="0.3">
      <c r="A181" t="s">
        <v>1551</v>
      </c>
      <c r="B181" t="s">
        <v>1004</v>
      </c>
      <c r="C181" t="s">
        <v>60</v>
      </c>
      <c r="D181">
        <v>3.3289240000000002</v>
      </c>
      <c r="E181">
        <v>24.412261000000001</v>
      </c>
      <c r="F181" t="s">
        <v>1495</v>
      </c>
      <c r="G181" t="s">
        <v>1508</v>
      </c>
    </row>
    <row r="182" spans="1:7" x14ac:dyDescent="0.3">
      <c r="A182" t="s">
        <v>1551</v>
      </c>
      <c r="B182" t="s">
        <v>1561</v>
      </c>
      <c r="C182" t="s">
        <v>73</v>
      </c>
      <c r="D182">
        <v>1.3367519999999999</v>
      </c>
      <c r="E182">
        <v>12.697699999999999</v>
      </c>
      <c r="F182" t="s">
        <v>1495</v>
      </c>
      <c r="G182" t="s">
        <v>1499</v>
      </c>
    </row>
    <row r="183" spans="1:7" x14ac:dyDescent="0.3">
      <c r="A183" t="s">
        <v>1551</v>
      </c>
      <c r="B183" t="s">
        <v>1562</v>
      </c>
      <c r="C183" t="s">
        <v>16</v>
      </c>
      <c r="D183">
        <v>-6.9254999999999997E-2</v>
      </c>
      <c r="E183">
        <v>28.222756</v>
      </c>
      <c r="F183" t="s">
        <v>1495</v>
      </c>
      <c r="G183" t="s">
        <v>1499</v>
      </c>
    </row>
    <row r="184" spans="1:7" x14ac:dyDescent="0.3">
      <c r="A184" t="s">
        <v>1551</v>
      </c>
      <c r="B184" t="s">
        <v>846</v>
      </c>
      <c r="C184" t="s">
        <v>37</v>
      </c>
      <c r="D184">
        <v>-10.776204</v>
      </c>
      <c r="E184">
        <v>24.672934000000001</v>
      </c>
      <c r="F184" t="s">
        <v>1498</v>
      </c>
      <c r="G184" t="s">
        <v>1496</v>
      </c>
    </row>
    <row r="185" spans="1:7" x14ac:dyDescent="0.3">
      <c r="A185" t="s">
        <v>1551</v>
      </c>
      <c r="B185" t="s">
        <v>1301</v>
      </c>
      <c r="C185" t="s">
        <v>24</v>
      </c>
      <c r="D185">
        <v>-10.945031</v>
      </c>
      <c r="E185">
        <v>27.922274000000002</v>
      </c>
      <c r="F185" t="s">
        <v>1498</v>
      </c>
      <c r="G185" t="s">
        <v>1496</v>
      </c>
    </row>
    <row r="186" spans="1:7" x14ac:dyDescent="0.3">
      <c r="A186" t="s">
        <v>1551</v>
      </c>
      <c r="B186" t="s">
        <v>1563</v>
      </c>
      <c r="C186" t="s">
        <v>62</v>
      </c>
      <c r="D186">
        <v>-4.9108280000000004</v>
      </c>
      <c r="E186">
        <v>17.670389</v>
      </c>
      <c r="F186" t="s">
        <v>1495</v>
      </c>
      <c r="G186" t="s">
        <v>1501</v>
      </c>
    </row>
    <row r="187" spans="1:7" x14ac:dyDescent="0.3">
      <c r="A187" t="s">
        <v>1551</v>
      </c>
      <c r="B187" t="s">
        <v>1375</v>
      </c>
      <c r="C187" t="s">
        <v>73</v>
      </c>
      <c r="D187">
        <v>-6.4670189999999996</v>
      </c>
      <c r="E187">
        <v>29.487309</v>
      </c>
      <c r="F187" t="s">
        <v>1498</v>
      </c>
      <c r="G187" t="s">
        <v>1501</v>
      </c>
    </row>
    <row r="188" spans="1:7" x14ac:dyDescent="0.3">
      <c r="A188" t="s">
        <v>1551</v>
      </c>
      <c r="B188" t="s">
        <v>1564</v>
      </c>
      <c r="C188" t="s">
        <v>51</v>
      </c>
      <c r="D188">
        <v>-3.571288</v>
      </c>
      <c r="E188">
        <v>12.931596000000001</v>
      </c>
      <c r="F188" t="s">
        <v>1498</v>
      </c>
      <c r="G188" t="s">
        <v>1508</v>
      </c>
    </row>
    <row r="189" spans="1:7" x14ac:dyDescent="0.3">
      <c r="A189" t="s">
        <v>1551</v>
      </c>
      <c r="B189" t="s">
        <v>1565</v>
      </c>
      <c r="C189" t="s">
        <v>127</v>
      </c>
      <c r="D189">
        <v>-6.0864269999999996</v>
      </c>
      <c r="E189">
        <v>19.922181999999999</v>
      </c>
      <c r="F189" t="s">
        <v>1495</v>
      </c>
      <c r="G189" t="s">
        <v>1499</v>
      </c>
    </row>
    <row r="190" spans="1:7" x14ac:dyDescent="0.3">
      <c r="A190" t="s">
        <v>1551</v>
      </c>
      <c r="B190" t="s">
        <v>1277</v>
      </c>
      <c r="C190" t="s">
        <v>127</v>
      </c>
      <c r="D190">
        <v>1.2391989999999999</v>
      </c>
      <c r="E190">
        <v>15.386718999999999</v>
      </c>
      <c r="F190" t="s">
        <v>1495</v>
      </c>
      <c r="G190" t="s">
        <v>1501</v>
      </c>
    </row>
    <row r="191" spans="1:7" x14ac:dyDescent="0.3">
      <c r="A191" t="s">
        <v>1551</v>
      </c>
      <c r="B191" t="s">
        <v>1566</v>
      </c>
      <c r="C191" t="s">
        <v>62</v>
      </c>
      <c r="D191">
        <v>-3.7900040000000002</v>
      </c>
      <c r="E191">
        <v>24.769718999999998</v>
      </c>
      <c r="F191" t="s">
        <v>1495</v>
      </c>
      <c r="G191" t="s">
        <v>1499</v>
      </c>
    </row>
    <row r="192" spans="1:7" x14ac:dyDescent="0.3">
      <c r="A192" t="s">
        <v>1551</v>
      </c>
      <c r="B192" t="s">
        <v>1567</v>
      </c>
      <c r="C192" t="s">
        <v>57</v>
      </c>
      <c r="D192">
        <v>4.0955700000000004</v>
      </c>
      <c r="E192">
        <v>23.610704999999999</v>
      </c>
      <c r="F192" t="s">
        <v>1498</v>
      </c>
      <c r="G192" t="s">
        <v>1501</v>
      </c>
    </row>
    <row r="193" spans="1:7" x14ac:dyDescent="0.3">
      <c r="A193" t="s">
        <v>1551</v>
      </c>
      <c r="B193" t="s">
        <v>839</v>
      </c>
      <c r="C193" t="s">
        <v>73</v>
      </c>
      <c r="D193">
        <v>-6.1837850000000003</v>
      </c>
      <c r="E193">
        <v>25.138759</v>
      </c>
      <c r="F193" t="s">
        <v>1500</v>
      </c>
      <c r="G193" t="s">
        <v>1496</v>
      </c>
    </row>
    <row r="194" spans="1:7" x14ac:dyDescent="0.3">
      <c r="A194" t="s">
        <v>1551</v>
      </c>
      <c r="B194" t="s">
        <v>1275</v>
      </c>
      <c r="C194" t="s">
        <v>60</v>
      </c>
      <c r="D194">
        <v>-6.1490739999999997</v>
      </c>
      <c r="E194">
        <v>23.304411000000002</v>
      </c>
      <c r="F194" t="s">
        <v>1495</v>
      </c>
      <c r="G194" t="s">
        <v>1501</v>
      </c>
    </row>
    <row r="195" spans="1:7" x14ac:dyDescent="0.3">
      <c r="A195" t="s">
        <v>1551</v>
      </c>
      <c r="B195" t="s">
        <v>872</v>
      </c>
      <c r="C195" t="s">
        <v>131</v>
      </c>
      <c r="D195">
        <v>0.82868600000000003</v>
      </c>
      <c r="E195">
        <v>26.958843999999999</v>
      </c>
      <c r="F195" t="s">
        <v>1495</v>
      </c>
      <c r="G195" t="s">
        <v>1501</v>
      </c>
    </row>
    <row r="196" spans="1:7" x14ac:dyDescent="0.3">
      <c r="A196" t="s">
        <v>1551</v>
      </c>
      <c r="B196" t="s">
        <v>1568</v>
      </c>
      <c r="C196" t="s">
        <v>18</v>
      </c>
      <c r="D196">
        <v>3.42055</v>
      </c>
      <c r="E196">
        <v>15.370965999999999</v>
      </c>
      <c r="F196" t="s">
        <v>1498</v>
      </c>
      <c r="G196" t="s">
        <v>1508</v>
      </c>
    </row>
    <row r="197" spans="1:7" x14ac:dyDescent="0.3">
      <c r="A197" t="s">
        <v>1551</v>
      </c>
      <c r="B197" t="s">
        <v>814</v>
      </c>
      <c r="C197" t="s">
        <v>62</v>
      </c>
      <c r="D197">
        <v>-2.8211520000000001</v>
      </c>
      <c r="E197">
        <v>20.651419000000001</v>
      </c>
      <c r="F197" t="s">
        <v>1495</v>
      </c>
      <c r="G197" t="s">
        <v>1496</v>
      </c>
    </row>
    <row r="198" spans="1:7" x14ac:dyDescent="0.3">
      <c r="A198" t="s">
        <v>1551</v>
      </c>
      <c r="B198" t="s">
        <v>1220</v>
      </c>
      <c r="C198" t="s">
        <v>60</v>
      </c>
      <c r="D198">
        <v>-1.1284540000000001</v>
      </c>
      <c r="E198">
        <v>23.000360000000001</v>
      </c>
      <c r="F198" t="s">
        <v>1495</v>
      </c>
      <c r="G198" t="s">
        <v>1496</v>
      </c>
    </row>
    <row r="199" spans="1:7" x14ac:dyDescent="0.3">
      <c r="A199" t="s">
        <v>1551</v>
      </c>
      <c r="B199" t="s">
        <v>1426</v>
      </c>
      <c r="C199" t="s">
        <v>131</v>
      </c>
      <c r="D199">
        <v>-10.298385</v>
      </c>
      <c r="E199">
        <v>29.698117</v>
      </c>
      <c r="F199" t="s">
        <v>1495</v>
      </c>
      <c r="G199" t="s">
        <v>1508</v>
      </c>
    </row>
    <row r="200" spans="1:7" x14ac:dyDescent="0.3">
      <c r="A200" t="s">
        <v>1551</v>
      </c>
      <c r="B200" t="s">
        <v>1569</v>
      </c>
      <c r="C200" t="s">
        <v>73</v>
      </c>
      <c r="D200">
        <v>2.6387339999999999</v>
      </c>
      <c r="E200">
        <v>13.769399</v>
      </c>
      <c r="F200" t="s">
        <v>1498</v>
      </c>
      <c r="G200" t="s">
        <v>1499</v>
      </c>
    </row>
    <row r="201" spans="1:7" x14ac:dyDescent="0.3">
      <c r="A201" t="s">
        <v>1551</v>
      </c>
      <c r="B201" t="s">
        <v>947</v>
      </c>
      <c r="C201" t="s">
        <v>137</v>
      </c>
      <c r="D201">
        <v>-9.7803979999999999</v>
      </c>
      <c r="E201">
        <v>17.686595000000001</v>
      </c>
      <c r="F201" t="s">
        <v>1498</v>
      </c>
      <c r="G201" t="s">
        <v>1496</v>
      </c>
    </row>
    <row r="202" spans="1:7" x14ac:dyDescent="0.3">
      <c r="A202" t="s">
        <v>1570</v>
      </c>
      <c r="B202" t="s">
        <v>1571</v>
      </c>
      <c r="C202" t="s">
        <v>21</v>
      </c>
      <c r="D202">
        <v>-6.8779139999999996</v>
      </c>
      <c r="E202">
        <v>12.550860999999999</v>
      </c>
      <c r="F202" t="s">
        <v>1495</v>
      </c>
      <c r="G202" t="s">
        <v>1501</v>
      </c>
    </row>
    <row r="203" spans="1:7" x14ac:dyDescent="0.3">
      <c r="A203" t="s">
        <v>1570</v>
      </c>
      <c r="B203" t="s">
        <v>1572</v>
      </c>
      <c r="C203" t="s">
        <v>40</v>
      </c>
      <c r="D203">
        <v>-4.2975050000000001</v>
      </c>
      <c r="E203">
        <v>29.162555999999999</v>
      </c>
      <c r="F203" t="s">
        <v>1495</v>
      </c>
      <c r="G203" t="s">
        <v>1496</v>
      </c>
    </row>
    <row r="204" spans="1:7" x14ac:dyDescent="0.3">
      <c r="A204" t="s">
        <v>1570</v>
      </c>
      <c r="B204" t="s">
        <v>1573</v>
      </c>
      <c r="C204" t="s">
        <v>44</v>
      </c>
      <c r="D204">
        <v>2.7298239999999998</v>
      </c>
      <c r="E204">
        <v>12.958664000000001</v>
      </c>
      <c r="F204" t="s">
        <v>1500</v>
      </c>
      <c r="G204" t="s">
        <v>1501</v>
      </c>
    </row>
    <row r="205" spans="1:7" x14ac:dyDescent="0.3">
      <c r="A205" t="s">
        <v>1570</v>
      </c>
      <c r="B205" t="s">
        <v>1574</v>
      </c>
      <c r="C205" t="s">
        <v>67</v>
      </c>
      <c r="D205">
        <v>-7.4135429999999998</v>
      </c>
      <c r="E205">
        <v>19.288392999999999</v>
      </c>
      <c r="F205" t="s">
        <v>1498</v>
      </c>
      <c r="G205" t="s">
        <v>1508</v>
      </c>
    </row>
    <row r="206" spans="1:7" x14ac:dyDescent="0.3">
      <c r="A206" t="s">
        <v>1570</v>
      </c>
      <c r="B206" t="s">
        <v>1435</v>
      </c>
      <c r="C206" t="s">
        <v>64</v>
      </c>
      <c r="D206">
        <v>-7.1079169999999996</v>
      </c>
      <c r="E206">
        <v>13.636272</v>
      </c>
      <c r="F206" t="s">
        <v>1495</v>
      </c>
      <c r="G206" t="s">
        <v>1508</v>
      </c>
    </row>
    <row r="207" spans="1:7" x14ac:dyDescent="0.3">
      <c r="A207" t="s">
        <v>1570</v>
      </c>
      <c r="B207" t="s">
        <v>1575</v>
      </c>
      <c r="C207" t="s">
        <v>78</v>
      </c>
      <c r="D207">
        <v>0.850665</v>
      </c>
      <c r="E207">
        <v>19.446418000000001</v>
      </c>
      <c r="F207" t="s">
        <v>1498</v>
      </c>
      <c r="G207" t="s">
        <v>1499</v>
      </c>
    </row>
    <row r="208" spans="1:7" x14ac:dyDescent="0.3">
      <c r="A208" t="s">
        <v>1570</v>
      </c>
      <c r="B208" t="s">
        <v>1347</v>
      </c>
      <c r="C208" t="s">
        <v>131</v>
      </c>
      <c r="D208">
        <v>-11.231472</v>
      </c>
      <c r="E208">
        <v>25.388874000000001</v>
      </c>
      <c r="F208" t="s">
        <v>1498</v>
      </c>
      <c r="G208" t="s">
        <v>1499</v>
      </c>
    </row>
    <row r="209" spans="1:7" x14ac:dyDescent="0.3">
      <c r="A209" t="s">
        <v>1570</v>
      </c>
      <c r="B209" t="s">
        <v>1100</v>
      </c>
      <c r="C209" t="s">
        <v>16</v>
      </c>
      <c r="D209">
        <v>4.6809229999999999</v>
      </c>
      <c r="E209">
        <v>28.934242000000001</v>
      </c>
      <c r="F209" t="s">
        <v>1495</v>
      </c>
      <c r="G209" t="s">
        <v>1508</v>
      </c>
    </row>
    <row r="210" spans="1:7" x14ac:dyDescent="0.3">
      <c r="A210" t="s">
        <v>1570</v>
      </c>
      <c r="B210" t="s">
        <v>1576</v>
      </c>
      <c r="C210" t="s">
        <v>60</v>
      </c>
      <c r="D210">
        <v>-3.7093609999999999</v>
      </c>
      <c r="E210">
        <v>23.959942999999999</v>
      </c>
      <c r="F210" t="s">
        <v>1498</v>
      </c>
      <c r="G210" t="s">
        <v>1499</v>
      </c>
    </row>
    <row r="211" spans="1:7" x14ac:dyDescent="0.3">
      <c r="A211" t="s">
        <v>1570</v>
      </c>
      <c r="B211" t="s">
        <v>1154</v>
      </c>
      <c r="C211" t="s">
        <v>29</v>
      </c>
      <c r="D211">
        <v>4.8689660000000003</v>
      </c>
      <c r="E211">
        <v>25.112373000000002</v>
      </c>
      <c r="F211" t="s">
        <v>1500</v>
      </c>
      <c r="G211" t="s">
        <v>1499</v>
      </c>
    </row>
    <row r="212" spans="1:7" x14ac:dyDescent="0.3">
      <c r="A212" t="s">
        <v>1570</v>
      </c>
      <c r="B212" t="s">
        <v>891</v>
      </c>
      <c r="C212" t="s">
        <v>89</v>
      </c>
      <c r="D212">
        <v>-9.3066320000000005</v>
      </c>
      <c r="E212">
        <v>20.470889</v>
      </c>
      <c r="F212" t="s">
        <v>1495</v>
      </c>
      <c r="G212" t="s">
        <v>1501</v>
      </c>
    </row>
    <row r="213" spans="1:7" x14ac:dyDescent="0.3">
      <c r="A213" t="s">
        <v>1570</v>
      </c>
      <c r="B213" t="s">
        <v>1016</v>
      </c>
      <c r="C213" t="s">
        <v>31</v>
      </c>
      <c r="D213">
        <v>-12.342053999999999</v>
      </c>
      <c r="E213">
        <v>18.756862000000002</v>
      </c>
      <c r="F213" t="s">
        <v>1500</v>
      </c>
      <c r="G213" t="s">
        <v>1496</v>
      </c>
    </row>
    <row r="214" spans="1:7" x14ac:dyDescent="0.3">
      <c r="A214" t="s">
        <v>1570</v>
      </c>
      <c r="B214" t="s">
        <v>1577</v>
      </c>
      <c r="C214" t="s">
        <v>131</v>
      </c>
      <c r="D214">
        <v>-6.0234120000000004</v>
      </c>
      <c r="E214">
        <v>18.314309999999999</v>
      </c>
      <c r="F214" t="s">
        <v>1495</v>
      </c>
      <c r="G214" t="s">
        <v>1501</v>
      </c>
    </row>
    <row r="215" spans="1:7" x14ac:dyDescent="0.3">
      <c r="A215" t="s">
        <v>1570</v>
      </c>
      <c r="B215" t="s">
        <v>1402</v>
      </c>
      <c r="C215" t="s">
        <v>29</v>
      </c>
      <c r="D215">
        <v>2.5665840000000002</v>
      </c>
      <c r="E215">
        <v>15.764796</v>
      </c>
      <c r="F215" t="s">
        <v>1500</v>
      </c>
      <c r="G215" t="s">
        <v>1501</v>
      </c>
    </row>
    <row r="216" spans="1:7" x14ac:dyDescent="0.3">
      <c r="A216" t="s">
        <v>1570</v>
      </c>
      <c r="B216" t="s">
        <v>885</v>
      </c>
      <c r="C216" t="s">
        <v>31</v>
      </c>
      <c r="D216">
        <v>-10.914952</v>
      </c>
      <c r="E216">
        <v>26.409648000000001</v>
      </c>
      <c r="F216" t="s">
        <v>1498</v>
      </c>
      <c r="G216" t="s">
        <v>1499</v>
      </c>
    </row>
    <row r="217" spans="1:7" x14ac:dyDescent="0.3">
      <c r="A217" t="s">
        <v>1570</v>
      </c>
      <c r="B217" t="s">
        <v>1300</v>
      </c>
      <c r="C217" t="s">
        <v>51</v>
      </c>
      <c r="D217">
        <v>-7.402336</v>
      </c>
      <c r="E217">
        <v>27.376697</v>
      </c>
      <c r="F217" t="s">
        <v>1498</v>
      </c>
      <c r="G217" t="s">
        <v>1499</v>
      </c>
    </row>
    <row r="218" spans="1:7" x14ac:dyDescent="0.3">
      <c r="A218" t="s">
        <v>1570</v>
      </c>
      <c r="B218" t="s">
        <v>1578</v>
      </c>
      <c r="C218" t="s">
        <v>24</v>
      </c>
      <c r="D218">
        <v>-12.207461</v>
      </c>
      <c r="E218">
        <v>13.492367</v>
      </c>
      <c r="F218" t="s">
        <v>1500</v>
      </c>
      <c r="G218" t="s">
        <v>1496</v>
      </c>
    </row>
    <row r="219" spans="1:7" x14ac:dyDescent="0.3">
      <c r="A219" t="s">
        <v>1570</v>
      </c>
      <c r="B219" t="s">
        <v>1579</v>
      </c>
      <c r="C219" t="s">
        <v>137</v>
      </c>
      <c r="D219">
        <v>2.266232</v>
      </c>
      <c r="E219">
        <v>29.532896000000001</v>
      </c>
      <c r="F219" t="s">
        <v>1498</v>
      </c>
      <c r="G219" t="s">
        <v>1496</v>
      </c>
    </row>
    <row r="220" spans="1:7" x14ac:dyDescent="0.3">
      <c r="A220" t="s">
        <v>1570</v>
      </c>
      <c r="B220" t="s">
        <v>1580</v>
      </c>
      <c r="C220" t="s">
        <v>35</v>
      </c>
      <c r="D220">
        <v>2.6937519999999999</v>
      </c>
      <c r="E220">
        <v>26.524137</v>
      </c>
      <c r="F220" t="s">
        <v>1500</v>
      </c>
      <c r="G220" t="s">
        <v>1496</v>
      </c>
    </row>
    <row r="221" spans="1:7" x14ac:dyDescent="0.3">
      <c r="A221" t="s">
        <v>1570</v>
      </c>
      <c r="B221" t="s">
        <v>1424</v>
      </c>
      <c r="C221" t="s">
        <v>37</v>
      </c>
      <c r="D221">
        <v>-7.0007840000000003</v>
      </c>
      <c r="E221">
        <v>22.787997000000001</v>
      </c>
      <c r="F221" t="s">
        <v>1495</v>
      </c>
      <c r="G221" t="s">
        <v>1501</v>
      </c>
    </row>
    <row r="222" spans="1:7" x14ac:dyDescent="0.3">
      <c r="A222" t="s">
        <v>1570</v>
      </c>
      <c r="B222" t="s">
        <v>1581</v>
      </c>
      <c r="C222" t="s">
        <v>78</v>
      </c>
      <c r="D222">
        <v>3.0053459999999999</v>
      </c>
      <c r="E222">
        <v>13.765407</v>
      </c>
      <c r="F222" t="s">
        <v>1495</v>
      </c>
      <c r="G222" t="s">
        <v>1496</v>
      </c>
    </row>
    <row r="223" spans="1:7" x14ac:dyDescent="0.3">
      <c r="A223" t="s">
        <v>1570</v>
      </c>
      <c r="B223" t="s">
        <v>806</v>
      </c>
      <c r="C223" t="s">
        <v>37</v>
      </c>
      <c r="D223">
        <v>-11.144149000000001</v>
      </c>
      <c r="E223">
        <v>27.244658999999999</v>
      </c>
      <c r="F223" t="s">
        <v>1498</v>
      </c>
      <c r="G223" t="s">
        <v>1508</v>
      </c>
    </row>
    <row r="224" spans="1:7" x14ac:dyDescent="0.3">
      <c r="A224" t="s">
        <v>1570</v>
      </c>
      <c r="B224" t="s">
        <v>939</v>
      </c>
      <c r="C224" t="s">
        <v>62</v>
      </c>
      <c r="D224">
        <v>0.79124300000000003</v>
      </c>
      <c r="E224">
        <v>25.273389000000002</v>
      </c>
      <c r="F224" t="s">
        <v>1498</v>
      </c>
      <c r="G224" t="s">
        <v>1508</v>
      </c>
    </row>
    <row r="225" spans="1:7" x14ac:dyDescent="0.3">
      <c r="A225" t="s">
        <v>1570</v>
      </c>
      <c r="B225" t="s">
        <v>1582</v>
      </c>
      <c r="C225" t="s">
        <v>67</v>
      </c>
      <c r="D225">
        <v>0.419985</v>
      </c>
      <c r="E225">
        <v>13.847996999999999</v>
      </c>
      <c r="F225" t="s">
        <v>1495</v>
      </c>
      <c r="G225" t="s">
        <v>1501</v>
      </c>
    </row>
    <row r="226" spans="1:7" x14ac:dyDescent="0.3">
      <c r="A226" t="s">
        <v>1570</v>
      </c>
      <c r="B226" t="s">
        <v>1287</v>
      </c>
      <c r="C226" t="s">
        <v>10</v>
      </c>
      <c r="D226">
        <v>-12.595355</v>
      </c>
      <c r="E226">
        <v>17.897442000000002</v>
      </c>
      <c r="F226" t="s">
        <v>1498</v>
      </c>
      <c r="G226" t="s">
        <v>1499</v>
      </c>
    </row>
    <row r="227" spans="1:7" x14ac:dyDescent="0.3">
      <c r="A227" t="s">
        <v>1570</v>
      </c>
      <c r="B227" t="s">
        <v>1306</v>
      </c>
      <c r="C227" t="s">
        <v>40</v>
      </c>
      <c r="D227">
        <v>0.65288900000000005</v>
      </c>
      <c r="E227">
        <v>24.243953999999999</v>
      </c>
      <c r="F227" t="s">
        <v>1495</v>
      </c>
      <c r="G227" t="s">
        <v>1496</v>
      </c>
    </row>
    <row r="228" spans="1:7" x14ac:dyDescent="0.3">
      <c r="A228" t="s">
        <v>1570</v>
      </c>
      <c r="B228" t="s">
        <v>1334</v>
      </c>
      <c r="C228" t="s">
        <v>26</v>
      </c>
      <c r="D228">
        <v>-1.500685</v>
      </c>
      <c r="E228">
        <v>26.563376000000002</v>
      </c>
      <c r="F228" t="s">
        <v>1495</v>
      </c>
      <c r="G228" t="s">
        <v>1508</v>
      </c>
    </row>
    <row r="229" spans="1:7" x14ac:dyDescent="0.3">
      <c r="A229" t="s">
        <v>1570</v>
      </c>
      <c r="B229" t="s">
        <v>1583</v>
      </c>
      <c r="C229" t="s">
        <v>57</v>
      </c>
      <c r="D229">
        <v>-9.2227779999999999</v>
      </c>
      <c r="E229">
        <v>20.940372</v>
      </c>
      <c r="F229" t="s">
        <v>1500</v>
      </c>
      <c r="G229" t="s">
        <v>1496</v>
      </c>
    </row>
    <row r="230" spans="1:7" x14ac:dyDescent="0.3">
      <c r="A230" t="s">
        <v>1570</v>
      </c>
      <c r="B230" t="s">
        <v>1039</v>
      </c>
      <c r="C230" t="s">
        <v>21</v>
      </c>
      <c r="D230">
        <v>-9.3900009999999998</v>
      </c>
      <c r="E230">
        <v>30.001517</v>
      </c>
      <c r="F230" t="s">
        <v>1500</v>
      </c>
      <c r="G230" t="s">
        <v>1508</v>
      </c>
    </row>
    <row r="231" spans="1:7" x14ac:dyDescent="0.3">
      <c r="A231" t="s">
        <v>1570</v>
      </c>
      <c r="B231" t="s">
        <v>1584</v>
      </c>
      <c r="C231" t="s">
        <v>127</v>
      </c>
      <c r="D231">
        <v>-7.8417870000000001</v>
      </c>
      <c r="E231">
        <v>14.730712</v>
      </c>
      <c r="F231" t="s">
        <v>1495</v>
      </c>
      <c r="G231" t="s">
        <v>1508</v>
      </c>
    </row>
    <row r="232" spans="1:7" x14ac:dyDescent="0.3">
      <c r="A232" t="s">
        <v>1570</v>
      </c>
      <c r="B232" t="s">
        <v>1585</v>
      </c>
      <c r="C232" t="s">
        <v>35</v>
      </c>
      <c r="D232">
        <v>-3.419035</v>
      </c>
      <c r="E232">
        <v>29.018315999999999</v>
      </c>
      <c r="F232" t="s">
        <v>1495</v>
      </c>
      <c r="G232" t="s">
        <v>1496</v>
      </c>
    </row>
    <row r="233" spans="1:7" x14ac:dyDescent="0.3">
      <c r="A233" t="s">
        <v>1570</v>
      </c>
      <c r="B233" t="s">
        <v>1586</v>
      </c>
      <c r="C233" t="s">
        <v>33</v>
      </c>
      <c r="D233">
        <v>0.91016799999999998</v>
      </c>
      <c r="E233">
        <v>16.903002999999998</v>
      </c>
      <c r="F233" t="s">
        <v>1500</v>
      </c>
      <c r="G233" t="s">
        <v>1508</v>
      </c>
    </row>
    <row r="234" spans="1:7" x14ac:dyDescent="0.3">
      <c r="A234" t="s">
        <v>1570</v>
      </c>
      <c r="B234" t="s">
        <v>1389</v>
      </c>
      <c r="C234" t="s">
        <v>73</v>
      </c>
      <c r="D234">
        <v>-0.919767</v>
      </c>
      <c r="E234">
        <v>18.905538</v>
      </c>
      <c r="F234" t="s">
        <v>1495</v>
      </c>
      <c r="G234" t="s">
        <v>1496</v>
      </c>
    </row>
    <row r="235" spans="1:7" x14ac:dyDescent="0.3">
      <c r="A235" t="s">
        <v>1570</v>
      </c>
      <c r="B235" t="s">
        <v>909</v>
      </c>
      <c r="C235" t="s">
        <v>35</v>
      </c>
      <c r="D235">
        <v>-8.0922239999999999</v>
      </c>
      <c r="E235">
        <v>15.483708</v>
      </c>
      <c r="F235" t="s">
        <v>1495</v>
      </c>
      <c r="G235" t="s">
        <v>1508</v>
      </c>
    </row>
    <row r="236" spans="1:7" x14ac:dyDescent="0.3">
      <c r="A236" t="s">
        <v>1570</v>
      </c>
      <c r="B236" t="s">
        <v>1045</v>
      </c>
      <c r="C236" t="s">
        <v>29</v>
      </c>
      <c r="D236">
        <v>-10.165072</v>
      </c>
      <c r="E236">
        <v>29.428024000000001</v>
      </c>
      <c r="F236" t="s">
        <v>1495</v>
      </c>
      <c r="G236" t="s">
        <v>1499</v>
      </c>
    </row>
    <row r="237" spans="1:7" x14ac:dyDescent="0.3">
      <c r="A237" t="s">
        <v>1570</v>
      </c>
      <c r="B237" t="s">
        <v>1239</v>
      </c>
      <c r="C237" t="s">
        <v>51</v>
      </c>
      <c r="D237">
        <v>-10.939712999999999</v>
      </c>
      <c r="E237">
        <v>18.276230999999999</v>
      </c>
      <c r="F237" t="s">
        <v>1498</v>
      </c>
      <c r="G237" t="s">
        <v>1501</v>
      </c>
    </row>
    <row r="238" spans="1:7" x14ac:dyDescent="0.3">
      <c r="A238" t="s">
        <v>1570</v>
      </c>
      <c r="B238" t="s">
        <v>847</v>
      </c>
      <c r="C238" t="s">
        <v>21</v>
      </c>
      <c r="D238">
        <v>4.2493650000000001</v>
      </c>
      <c r="E238">
        <v>28.355039999999999</v>
      </c>
      <c r="F238" t="s">
        <v>1500</v>
      </c>
      <c r="G238" t="s">
        <v>1501</v>
      </c>
    </row>
    <row r="239" spans="1:7" x14ac:dyDescent="0.3">
      <c r="A239" t="s">
        <v>1570</v>
      </c>
      <c r="B239" t="s">
        <v>1429</v>
      </c>
      <c r="C239" t="s">
        <v>24</v>
      </c>
      <c r="D239">
        <v>-2.926736</v>
      </c>
      <c r="E239">
        <v>18.170461</v>
      </c>
      <c r="F239" t="s">
        <v>1495</v>
      </c>
      <c r="G239" t="s">
        <v>1496</v>
      </c>
    </row>
    <row r="240" spans="1:7" x14ac:dyDescent="0.3">
      <c r="A240" t="s">
        <v>1570</v>
      </c>
      <c r="B240" t="s">
        <v>1253</v>
      </c>
      <c r="C240" t="s">
        <v>62</v>
      </c>
      <c r="D240">
        <v>-11.157245</v>
      </c>
      <c r="E240">
        <v>21.262627999999999</v>
      </c>
      <c r="F240" t="s">
        <v>1495</v>
      </c>
      <c r="G240" t="s">
        <v>1501</v>
      </c>
    </row>
    <row r="241" spans="1:7" x14ac:dyDescent="0.3">
      <c r="A241" t="s">
        <v>1570</v>
      </c>
      <c r="B241" t="s">
        <v>1587</v>
      </c>
      <c r="C241" t="s">
        <v>137</v>
      </c>
      <c r="D241">
        <v>-3.234483</v>
      </c>
      <c r="E241">
        <v>13.241939</v>
      </c>
      <c r="F241" t="s">
        <v>1498</v>
      </c>
      <c r="G241" t="s">
        <v>1501</v>
      </c>
    </row>
    <row r="242" spans="1:7" x14ac:dyDescent="0.3">
      <c r="A242" t="s">
        <v>1570</v>
      </c>
      <c r="B242" t="s">
        <v>953</v>
      </c>
      <c r="C242" t="s">
        <v>33</v>
      </c>
      <c r="D242">
        <v>-3.111418</v>
      </c>
      <c r="E242">
        <v>14.144854</v>
      </c>
      <c r="F242" t="s">
        <v>1498</v>
      </c>
      <c r="G242" t="s">
        <v>1501</v>
      </c>
    </row>
    <row r="243" spans="1:7" x14ac:dyDescent="0.3">
      <c r="A243" t="s">
        <v>1570</v>
      </c>
      <c r="B243" t="s">
        <v>1140</v>
      </c>
      <c r="C243" t="s">
        <v>40</v>
      </c>
      <c r="D243">
        <v>-8.1210620000000002</v>
      </c>
      <c r="E243">
        <v>21.094390000000001</v>
      </c>
      <c r="F243" t="s">
        <v>1495</v>
      </c>
      <c r="G243" t="s">
        <v>1501</v>
      </c>
    </row>
    <row r="244" spans="1:7" x14ac:dyDescent="0.3">
      <c r="A244" t="s">
        <v>1570</v>
      </c>
      <c r="B244" t="s">
        <v>1588</v>
      </c>
      <c r="C244" t="s">
        <v>73</v>
      </c>
      <c r="D244">
        <v>1.472051</v>
      </c>
      <c r="E244">
        <v>17.36289</v>
      </c>
      <c r="F244" t="s">
        <v>1498</v>
      </c>
      <c r="G244" t="s">
        <v>1499</v>
      </c>
    </row>
    <row r="245" spans="1:7" x14ac:dyDescent="0.3">
      <c r="A245" t="s">
        <v>1570</v>
      </c>
      <c r="B245" t="s">
        <v>1226</v>
      </c>
      <c r="C245" t="s">
        <v>64</v>
      </c>
      <c r="D245">
        <v>-2.6665070000000002</v>
      </c>
      <c r="E245">
        <v>18.623692999999999</v>
      </c>
      <c r="F245" t="s">
        <v>1500</v>
      </c>
      <c r="G245" t="s">
        <v>1501</v>
      </c>
    </row>
    <row r="246" spans="1:7" x14ac:dyDescent="0.3">
      <c r="A246" t="s">
        <v>1570</v>
      </c>
      <c r="B246" t="s">
        <v>1589</v>
      </c>
      <c r="C246" t="s">
        <v>24</v>
      </c>
      <c r="D246">
        <v>-9.9170499999999997</v>
      </c>
      <c r="E246">
        <v>22.918887000000002</v>
      </c>
      <c r="F246" t="s">
        <v>1498</v>
      </c>
      <c r="G246" t="s">
        <v>1499</v>
      </c>
    </row>
    <row r="247" spans="1:7" x14ac:dyDescent="0.3">
      <c r="A247" t="s">
        <v>1570</v>
      </c>
      <c r="B247" t="s">
        <v>1431</v>
      </c>
      <c r="C247" t="s">
        <v>26</v>
      </c>
      <c r="D247">
        <v>-7.3952039999999997</v>
      </c>
      <c r="E247">
        <v>21.651043999999999</v>
      </c>
      <c r="F247" t="s">
        <v>1498</v>
      </c>
      <c r="G247" t="s">
        <v>1499</v>
      </c>
    </row>
    <row r="248" spans="1:7" x14ac:dyDescent="0.3">
      <c r="A248" t="s">
        <v>1570</v>
      </c>
      <c r="B248" t="s">
        <v>960</v>
      </c>
      <c r="C248" t="s">
        <v>73</v>
      </c>
      <c r="D248">
        <v>3.0603760000000002</v>
      </c>
      <c r="E248">
        <v>19.708034000000001</v>
      </c>
      <c r="F248" t="s">
        <v>1500</v>
      </c>
      <c r="G248" t="s">
        <v>1501</v>
      </c>
    </row>
    <row r="249" spans="1:7" x14ac:dyDescent="0.3">
      <c r="A249" t="s">
        <v>1570</v>
      </c>
      <c r="B249" t="s">
        <v>1590</v>
      </c>
      <c r="C249" t="s">
        <v>44</v>
      </c>
      <c r="D249">
        <v>-3.269612</v>
      </c>
      <c r="E249">
        <v>25.571189</v>
      </c>
      <c r="F249" t="s">
        <v>1495</v>
      </c>
      <c r="G249" t="s">
        <v>1496</v>
      </c>
    </row>
    <row r="250" spans="1:7" x14ac:dyDescent="0.3">
      <c r="A250" t="s">
        <v>1570</v>
      </c>
      <c r="B250" t="s">
        <v>1591</v>
      </c>
      <c r="C250" t="s">
        <v>33</v>
      </c>
      <c r="D250">
        <v>-12.086929</v>
      </c>
      <c r="E250">
        <v>14.032645</v>
      </c>
      <c r="F250" t="s">
        <v>1500</v>
      </c>
      <c r="G250" t="s">
        <v>1501</v>
      </c>
    </row>
    <row r="251" spans="1:7" x14ac:dyDescent="0.3">
      <c r="A251" t="s">
        <v>1592</v>
      </c>
      <c r="B251" t="s">
        <v>871</v>
      </c>
      <c r="C251" t="s">
        <v>40</v>
      </c>
      <c r="D251">
        <v>-10.963041</v>
      </c>
      <c r="E251">
        <v>12.269857</v>
      </c>
      <c r="F251" t="s">
        <v>1498</v>
      </c>
      <c r="G251" t="s">
        <v>1499</v>
      </c>
    </row>
    <row r="252" spans="1:7" x14ac:dyDescent="0.3">
      <c r="A252" t="s">
        <v>1592</v>
      </c>
      <c r="B252" t="s">
        <v>1593</v>
      </c>
      <c r="C252" t="s">
        <v>16</v>
      </c>
      <c r="D252">
        <v>-4.332408</v>
      </c>
      <c r="E252">
        <v>14.119439</v>
      </c>
      <c r="F252" t="s">
        <v>1495</v>
      </c>
      <c r="G252" t="s">
        <v>1508</v>
      </c>
    </row>
    <row r="253" spans="1:7" x14ac:dyDescent="0.3">
      <c r="A253" t="s">
        <v>1592</v>
      </c>
      <c r="B253" t="s">
        <v>1316</v>
      </c>
      <c r="C253" t="s">
        <v>64</v>
      </c>
      <c r="D253">
        <v>-0.57104900000000003</v>
      </c>
      <c r="E253">
        <v>15.317663</v>
      </c>
      <c r="F253" t="s">
        <v>1495</v>
      </c>
      <c r="G253" t="s">
        <v>1508</v>
      </c>
    </row>
    <row r="254" spans="1:7" x14ac:dyDescent="0.3">
      <c r="A254" t="s">
        <v>1592</v>
      </c>
      <c r="B254" t="s">
        <v>986</v>
      </c>
      <c r="C254" t="s">
        <v>44</v>
      </c>
      <c r="D254">
        <v>-10.442425</v>
      </c>
      <c r="E254">
        <v>23.243632000000002</v>
      </c>
      <c r="F254" t="s">
        <v>1498</v>
      </c>
      <c r="G254" t="s">
        <v>1508</v>
      </c>
    </row>
    <row r="255" spans="1:7" x14ac:dyDescent="0.3">
      <c r="A255" t="s">
        <v>1592</v>
      </c>
      <c r="B255" t="s">
        <v>1106</v>
      </c>
      <c r="C255" t="s">
        <v>18</v>
      </c>
      <c r="D255">
        <v>0.16327700000000001</v>
      </c>
      <c r="E255">
        <v>14.871577</v>
      </c>
      <c r="F255" t="s">
        <v>1498</v>
      </c>
      <c r="G255" t="s">
        <v>1499</v>
      </c>
    </row>
    <row r="256" spans="1:7" x14ac:dyDescent="0.3">
      <c r="A256" t="s">
        <v>1592</v>
      </c>
      <c r="B256" t="s">
        <v>1594</v>
      </c>
      <c r="C256" t="s">
        <v>26</v>
      </c>
      <c r="D256">
        <v>4.7044240000000004</v>
      </c>
      <c r="E256">
        <v>20.486409999999999</v>
      </c>
      <c r="F256" t="s">
        <v>1498</v>
      </c>
      <c r="G256" t="s">
        <v>1501</v>
      </c>
    </row>
    <row r="257" spans="1:7" x14ac:dyDescent="0.3">
      <c r="A257" t="s">
        <v>1592</v>
      </c>
      <c r="B257" t="s">
        <v>1595</v>
      </c>
      <c r="C257" t="s">
        <v>13</v>
      </c>
      <c r="D257">
        <v>4.7060310000000003</v>
      </c>
      <c r="E257">
        <v>27.348973000000001</v>
      </c>
      <c r="F257" t="s">
        <v>1498</v>
      </c>
      <c r="G257" t="s">
        <v>1499</v>
      </c>
    </row>
    <row r="258" spans="1:7" x14ac:dyDescent="0.3">
      <c r="A258" t="s">
        <v>1592</v>
      </c>
      <c r="B258" t="s">
        <v>1596</v>
      </c>
      <c r="C258" t="s">
        <v>10</v>
      </c>
      <c r="D258">
        <v>1.019657</v>
      </c>
      <c r="E258">
        <v>16.963799000000002</v>
      </c>
      <c r="F258" t="s">
        <v>1500</v>
      </c>
      <c r="G258" t="s">
        <v>1508</v>
      </c>
    </row>
    <row r="259" spans="1:7" x14ac:dyDescent="0.3">
      <c r="A259" t="s">
        <v>1592</v>
      </c>
      <c r="B259" t="s">
        <v>1425</v>
      </c>
      <c r="C259" t="s">
        <v>44</v>
      </c>
      <c r="D259">
        <v>-4.6311460000000002</v>
      </c>
      <c r="E259">
        <v>25.314723000000001</v>
      </c>
      <c r="F259" t="s">
        <v>1498</v>
      </c>
      <c r="G259" t="s">
        <v>1499</v>
      </c>
    </row>
    <row r="260" spans="1:7" x14ac:dyDescent="0.3">
      <c r="A260" t="s">
        <v>1592</v>
      </c>
      <c r="B260" t="s">
        <v>1597</v>
      </c>
      <c r="C260" t="s">
        <v>40</v>
      </c>
      <c r="D260">
        <v>-11.591777</v>
      </c>
      <c r="E260">
        <v>21.213452</v>
      </c>
      <c r="F260" t="s">
        <v>1495</v>
      </c>
      <c r="G260" t="s">
        <v>1496</v>
      </c>
    </row>
    <row r="261" spans="1:7" x14ac:dyDescent="0.3">
      <c r="A261" t="s">
        <v>1592</v>
      </c>
      <c r="B261" t="s">
        <v>1598</v>
      </c>
      <c r="C261" t="s">
        <v>44</v>
      </c>
      <c r="D261">
        <v>3.0184790000000001</v>
      </c>
      <c r="E261">
        <v>27.188068000000001</v>
      </c>
      <c r="F261" t="s">
        <v>1495</v>
      </c>
      <c r="G261" t="s">
        <v>1496</v>
      </c>
    </row>
    <row r="262" spans="1:7" x14ac:dyDescent="0.3">
      <c r="A262" t="s">
        <v>1592</v>
      </c>
      <c r="B262" t="s">
        <v>1248</v>
      </c>
      <c r="C262" t="s">
        <v>16</v>
      </c>
      <c r="D262">
        <v>-11.407966</v>
      </c>
      <c r="E262">
        <v>28.378274000000001</v>
      </c>
      <c r="F262" t="s">
        <v>1498</v>
      </c>
      <c r="G262" t="s">
        <v>1501</v>
      </c>
    </row>
    <row r="263" spans="1:7" x14ac:dyDescent="0.3">
      <c r="A263" t="s">
        <v>1592</v>
      </c>
      <c r="B263" t="s">
        <v>1244</v>
      </c>
      <c r="C263" t="s">
        <v>24</v>
      </c>
      <c r="D263">
        <v>-4.4958720000000003</v>
      </c>
      <c r="E263">
        <v>18.514112000000001</v>
      </c>
      <c r="F263" t="s">
        <v>1498</v>
      </c>
      <c r="G263" t="s">
        <v>1508</v>
      </c>
    </row>
    <row r="264" spans="1:7" x14ac:dyDescent="0.3">
      <c r="A264" t="s">
        <v>1592</v>
      </c>
      <c r="B264" t="s">
        <v>1599</v>
      </c>
      <c r="C264" t="s">
        <v>10</v>
      </c>
      <c r="D264">
        <v>0.35034999999999999</v>
      </c>
      <c r="E264">
        <v>13.603628</v>
      </c>
      <c r="F264" t="s">
        <v>1495</v>
      </c>
      <c r="G264" t="s">
        <v>1501</v>
      </c>
    </row>
    <row r="265" spans="1:7" x14ac:dyDescent="0.3">
      <c r="A265" t="s">
        <v>1592</v>
      </c>
      <c r="B265" t="s">
        <v>1600</v>
      </c>
      <c r="C265" t="s">
        <v>127</v>
      </c>
      <c r="D265">
        <v>4.2873989999999997</v>
      </c>
      <c r="E265">
        <v>14.756335</v>
      </c>
      <c r="F265" t="s">
        <v>1495</v>
      </c>
      <c r="G265" t="s">
        <v>1496</v>
      </c>
    </row>
    <row r="266" spans="1:7" x14ac:dyDescent="0.3">
      <c r="A266" t="s">
        <v>1592</v>
      </c>
      <c r="B266" t="s">
        <v>1099</v>
      </c>
      <c r="C266" t="s">
        <v>24</v>
      </c>
      <c r="D266">
        <v>-11.594525000000001</v>
      </c>
      <c r="E266">
        <v>29.744895</v>
      </c>
      <c r="F266" t="s">
        <v>1500</v>
      </c>
      <c r="G266" t="s">
        <v>1501</v>
      </c>
    </row>
    <row r="267" spans="1:7" x14ac:dyDescent="0.3">
      <c r="A267" t="s">
        <v>1592</v>
      </c>
      <c r="B267" t="s">
        <v>1068</v>
      </c>
      <c r="C267" t="s">
        <v>37</v>
      </c>
      <c r="D267">
        <v>-1.5936220000000001</v>
      </c>
      <c r="E267">
        <v>14.928856</v>
      </c>
      <c r="F267" t="s">
        <v>1495</v>
      </c>
      <c r="G267" t="s">
        <v>1496</v>
      </c>
    </row>
    <row r="268" spans="1:7" x14ac:dyDescent="0.3">
      <c r="A268" t="s">
        <v>1592</v>
      </c>
      <c r="B268" t="s">
        <v>1601</v>
      </c>
      <c r="C268" t="s">
        <v>31</v>
      </c>
      <c r="D268">
        <v>1.3657680000000001</v>
      </c>
      <c r="E268">
        <v>21.423017000000002</v>
      </c>
      <c r="F268" t="s">
        <v>1495</v>
      </c>
      <c r="G268" t="s">
        <v>1496</v>
      </c>
    </row>
    <row r="269" spans="1:7" x14ac:dyDescent="0.3">
      <c r="A269" t="s">
        <v>1592</v>
      </c>
      <c r="B269" t="s">
        <v>1602</v>
      </c>
      <c r="C269" t="s">
        <v>10</v>
      </c>
      <c r="D269">
        <v>-7.3750049999999998</v>
      </c>
      <c r="E269">
        <v>30.878126000000002</v>
      </c>
      <c r="F269" t="s">
        <v>1495</v>
      </c>
      <c r="G269" t="s">
        <v>1499</v>
      </c>
    </row>
    <row r="270" spans="1:7" x14ac:dyDescent="0.3">
      <c r="A270" t="s">
        <v>1592</v>
      </c>
      <c r="B270" t="s">
        <v>1263</v>
      </c>
      <c r="C270" t="s">
        <v>31</v>
      </c>
      <c r="D270">
        <v>-12.050063</v>
      </c>
      <c r="E270">
        <v>26.636987999999999</v>
      </c>
      <c r="F270" t="s">
        <v>1500</v>
      </c>
      <c r="G270" t="s">
        <v>1508</v>
      </c>
    </row>
    <row r="271" spans="1:7" x14ac:dyDescent="0.3">
      <c r="A271" t="s">
        <v>1592</v>
      </c>
      <c r="B271" t="s">
        <v>1603</v>
      </c>
      <c r="C271" t="s">
        <v>29</v>
      </c>
      <c r="D271">
        <v>-6.8161690000000004</v>
      </c>
      <c r="E271">
        <v>16.521000999999998</v>
      </c>
      <c r="F271" t="s">
        <v>1495</v>
      </c>
      <c r="G271" t="s">
        <v>1496</v>
      </c>
    </row>
    <row r="272" spans="1:7" x14ac:dyDescent="0.3">
      <c r="A272" t="s">
        <v>1592</v>
      </c>
      <c r="B272" t="s">
        <v>1479</v>
      </c>
      <c r="C272" t="s">
        <v>127</v>
      </c>
      <c r="D272">
        <v>1.0134879999999999</v>
      </c>
      <c r="E272">
        <v>20.363515</v>
      </c>
      <c r="F272" t="s">
        <v>1498</v>
      </c>
      <c r="G272" t="s">
        <v>1508</v>
      </c>
    </row>
    <row r="273" spans="1:7" x14ac:dyDescent="0.3">
      <c r="A273" t="s">
        <v>1592</v>
      </c>
      <c r="B273" t="s">
        <v>973</v>
      </c>
      <c r="C273" t="s">
        <v>73</v>
      </c>
      <c r="D273">
        <v>-4.5603610000000003</v>
      </c>
      <c r="E273">
        <v>24.113918999999999</v>
      </c>
      <c r="F273" t="s">
        <v>1495</v>
      </c>
      <c r="G273" t="s">
        <v>1501</v>
      </c>
    </row>
    <row r="274" spans="1:7" x14ac:dyDescent="0.3">
      <c r="A274" t="s">
        <v>1592</v>
      </c>
      <c r="B274" t="s">
        <v>1079</v>
      </c>
      <c r="C274" t="s">
        <v>10</v>
      </c>
      <c r="D274">
        <v>-3.7720639999999999</v>
      </c>
      <c r="E274">
        <v>16.006277999999998</v>
      </c>
      <c r="F274" t="s">
        <v>1495</v>
      </c>
      <c r="G274" t="s">
        <v>1501</v>
      </c>
    </row>
    <row r="275" spans="1:7" x14ac:dyDescent="0.3">
      <c r="A275" t="s">
        <v>1592</v>
      </c>
      <c r="B275" t="s">
        <v>1604</v>
      </c>
      <c r="C275" t="s">
        <v>60</v>
      </c>
      <c r="D275">
        <v>-4.5538169999999996</v>
      </c>
      <c r="E275">
        <v>25.952860999999999</v>
      </c>
      <c r="F275" t="s">
        <v>1500</v>
      </c>
      <c r="G275" t="s">
        <v>1496</v>
      </c>
    </row>
    <row r="276" spans="1:7" x14ac:dyDescent="0.3">
      <c r="A276" t="s">
        <v>1592</v>
      </c>
      <c r="B276" t="s">
        <v>1204</v>
      </c>
      <c r="C276" t="s">
        <v>127</v>
      </c>
      <c r="D276">
        <v>0.20866199999999999</v>
      </c>
      <c r="E276">
        <v>18.556439000000001</v>
      </c>
      <c r="F276" t="s">
        <v>1498</v>
      </c>
      <c r="G276" t="s">
        <v>1508</v>
      </c>
    </row>
    <row r="277" spans="1:7" x14ac:dyDescent="0.3">
      <c r="A277" t="s">
        <v>1592</v>
      </c>
      <c r="B277" t="s">
        <v>1195</v>
      </c>
      <c r="C277" t="s">
        <v>131</v>
      </c>
      <c r="D277">
        <v>-5.42171</v>
      </c>
      <c r="E277">
        <v>24.202960999999998</v>
      </c>
      <c r="F277" t="s">
        <v>1495</v>
      </c>
      <c r="G277" t="s">
        <v>1496</v>
      </c>
    </row>
    <row r="278" spans="1:7" x14ac:dyDescent="0.3">
      <c r="A278" t="s">
        <v>1592</v>
      </c>
      <c r="B278" t="s">
        <v>1132</v>
      </c>
      <c r="C278" t="s">
        <v>21</v>
      </c>
      <c r="D278">
        <v>4.2904629999999999</v>
      </c>
      <c r="E278">
        <v>26.354195000000001</v>
      </c>
      <c r="F278" t="s">
        <v>1500</v>
      </c>
      <c r="G278" t="s">
        <v>1496</v>
      </c>
    </row>
    <row r="279" spans="1:7" x14ac:dyDescent="0.3">
      <c r="A279" t="s">
        <v>1592</v>
      </c>
      <c r="B279" t="s">
        <v>1605</v>
      </c>
      <c r="C279" t="s">
        <v>57</v>
      </c>
      <c r="D279">
        <v>1.368018</v>
      </c>
      <c r="E279">
        <v>14.203893000000001</v>
      </c>
      <c r="F279" t="s">
        <v>1495</v>
      </c>
      <c r="G279" t="s">
        <v>1499</v>
      </c>
    </row>
    <row r="280" spans="1:7" x14ac:dyDescent="0.3">
      <c r="A280" t="s">
        <v>1592</v>
      </c>
      <c r="B280" t="s">
        <v>1606</v>
      </c>
      <c r="C280" t="s">
        <v>29</v>
      </c>
      <c r="D280">
        <v>-7.7942479999999996</v>
      </c>
      <c r="E280">
        <v>15.184407999999999</v>
      </c>
      <c r="F280" t="s">
        <v>1500</v>
      </c>
      <c r="G280" t="s">
        <v>1501</v>
      </c>
    </row>
    <row r="281" spans="1:7" x14ac:dyDescent="0.3">
      <c r="A281" t="s">
        <v>1592</v>
      </c>
      <c r="B281" t="s">
        <v>1282</v>
      </c>
      <c r="C281" t="s">
        <v>10</v>
      </c>
      <c r="D281">
        <v>-12.364127999999999</v>
      </c>
      <c r="E281">
        <v>19.576150999999999</v>
      </c>
      <c r="F281" t="s">
        <v>1500</v>
      </c>
      <c r="G281" t="s">
        <v>1508</v>
      </c>
    </row>
    <row r="282" spans="1:7" x14ac:dyDescent="0.3">
      <c r="A282" t="s">
        <v>1592</v>
      </c>
      <c r="B282" t="s">
        <v>1289</v>
      </c>
      <c r="C282" t="s">
        <v>31</v>
      </c>
      <c r="D282">
        <v>3.611561</v>
      </c>
      <c r="E282">
        <v>17.725974999999998</v>
      </c>
      <c r="F282" t="s">
        <v>1500</v>
      </c>
      <c r="G282" t="s">
        <v>1501</v>
      </c>
    </row>
    <row r="283" spans="1:7" x14ac:dyDescent="0.3">
      <c r="A283" t="s">
        <v>1592</v>
      </c>
      <c r="B283" t="s">
        <v>1048</v>
      </c>
      <c r="C283" t="s">
        <v>64</v>
      </c>
      <c r="D283">
        <v>0.48965500000000001</v>
      </c>
      <c r="E283">
        <v>26.176860000000001</v>
      </c>
      <c r="F283" t="s">
        <v>1498</v>
      </c>
      <c r="G283" t="s">
        <v>1499</v>
      </c>
    </row>
    <row r="284" spans="1:7" x14ac:dyDescent="0.3">
      <c r="A284" t="s">
        <v>1592</v>
      </c>
      <c r="B284" t="s">
        <v>1232</v>
      </c>
      <c r="C284" t="s">
        <v>89</v>
      </c>
      <c r="D284">
        <v>8.5490999999999998E-2</v>
      </c>
      <c r="E284">
        <v>26.296129000000001</v>
      </c>
      <c r="F284" t="s">
        <v>1500</v>
      </c>
      <c r="G284" t="s">
        <v>1501</v>
      </c>
    </row>
    <row r="285" spans="1:7" x14ac:dyDescent="0.3">
      <c r="A285" t="s">
        <v>1592</v>
      </c>
      <c r="B285" t="s">
        <v>1199</v>
      </c>
      <c r="C285" t="s">
        <v>26</v>
      </c>
      <c r="D285">
        <v>-2.8532869999999999</v>
      </c>
      <c r="E285">
        <v>22.117896000000002</v>
      </c>
      <c r="F285" t="s">
        <v>1495</v>
      </c>
      <c r="G285" t="s">
        <v>1499</v>
      </c>
    </row>
    <row r="286" spans="1:7" x14ac:dyDescent="0.3">
      <c r="A286" t="s">
        <v>1592</v>
      </c>
      <c r="B286" t="s">
        <v>1404</v>
      </c>
      <c r="C286" t="s">
        <v>18</v>
      </c>
      <c r="D286">
        <v>-11.89448</v>
      </c>
      <c r="E286">
        <v>19.216214999999998</v>
      </c>
      <c r="F286" t="s">
        <v>1500</v>
      </c>
      <c r="G286" t="s">
        <v>1501</v>
      </c>
    </row>
    <row r="287" spans="1:7" x14ac:dyDescent="0.3">
      <c r="A287" t="s">
        <v>1592</v>
      </c>
      <c r="B287" t="s">
        <v>1176</v>
      </c>
      <c r="C287" t="s">
        <v>57</v>
      </c>
      <c r="D287">
        <v>-4.4831099999999999</v>
      </c>
      <c r="E287">
        <v>25.406548000000001</v>
      </c>
      <c r="F287" t="s">
        <v>1495</v>
      </c>
      <c r="G287" t="s">
        <v>1508</v>
      </c>
    </row>
    <row r="288" spans="1:7" x14ac:dyDescent="0.3">
      <c r="A288" t="s">
        <v>1592</v>
      </c>
      <c r="B288" t="s">
        <v>1149</v>
      </c>
      <c r="C288" t="s">
        <v>37</v>
      </c>
      <c r="D288">
        <v>-9.9565739999999998</v>
      </c>
      <c r="E288">
        <v>21.017202000000001</v>
      </c>
      <c r="F288" t="s">
        <v>1498</v>
      </c>
      <c r="G288" t="s">
        <v>1499</v>
      </c>
    </row>
    <row r="289" spans="1:7" x14ac:dyDescent="0.3">
      <c r="A289" t="s">
        <v>1592</v>
      </c>
      <c r="B289" t="s">
        <v>1398</v>
      </c>
      <c r="C289" t="s">
        <v>73</v>
      </c>
      <c r="D289">
        <v>-12.070842000000001</v>
      </c>
      <c r="E289">
        <v>14.757847</v>
      </c>
      <c r="F289" t="s">
        <v>1498</v>
      </c>
      <c r="G289" t="s">
        <v>1501</v>
      </c>
    </row>
    <row r="290" spans="1:7" x14ac:dyDescent="0.3">
      <c r="A290" t="s">
        <v>1592</v>
      </c>
      <c r="B290" t="s">
        <v>1344</v>
      </c>
      <c r="C290" t="s">
        <v>67</v>
      </c>
      <c r="D290">
        <v>4.8265669999999998</v>
      </c>
      <c r="E290">
        <v>28.535277000000001</v>
      </c>
      <c r="F290" t="s">
        <v>1500</v>
      </c>
      <c r="G290" t="s">
        <v>1499</v>
      </c>
    </row>
    <row r="291" spans="1:7" x14ac:dyDescent="0.3">
      <c r="A291" t="s">
        <v>1592</v>
      </c>
      <c r="B291" t="s">
        <v>1607</v>
      </c>
      <c r="C291" t="s">
        <v>10</v>
      </c>
      <c r="D291">
        <v>1.5601240000000001</v>
      </c>
      <c r="E291">
        <v>12.225398</v>
      </c>
      <c r="F291" t="s">
        <v>1495</v>
      </c>
      <c r="G291" t="s">
        <v>1508</v>
      </c>
    </row>
    <row r="292" spans="1:7" x14ac:dyDescent="0.3">
      <c r="A292" t="s">
        <v>1592</v>
      </c>
      <c r="B292" t="s">
        <v>1608</v>
      </c>
      <c r="C292" t="s">
        <v>60</v>
      </c>
      <c r="D292">
        <v>-1.762294</v>
      </c>
      <c r="E292">
        <v>29.617228000000001</v>
      </c>
      <c r="F292" t="s">
        <v>1498</v>
      </c>
      <c r="G292" t="s">
        <v>1501</v>
      </c>
    </row>
    <row r="293" spans="1:7" x14ac:dyDescent="0.3">
      <c r="A293" t="s">
        <v>1592</v>
      </c>
      <c r="B293" t="s">
        <v>1445</v>
      </c>
      <c r="C293" t="s">
        <v>89</v>
      </c>
      <c r="D293">
        <v>-7.8373179999999998</v>
      </c>
      <c r="E293">
        <v>20.527591999999999</v>
      </c>
      <c r="F293" t="s">
        <v>1498</v>
      </c>
      <c r="G293" t="s">
        <v>1496</v>
      </c>
    </row>
    <row r="294" spans="1:7" x14ac:dyDescent="0.3">
      <c r="A294" t="s">
        <v>1592</v>
      </c>
      <c r="B294" t="s">
        <v>1320</v>
      </c>
      <c r="C294" t="s">
        <v>21</v>
      </c>
      <c r="D294">
        <v>-11.514817000000001</v>
      </c>
      <c r="E294">
        <v>24.891375</v>
      </c>
      <c r="F294" t="s">
        <v>1500</v>
      </c>
      <c r="G294" t="s">
        <v>1508</v>
      </c>
    </row>
    <row r="295" spans="1:7" x14ac:dyDescent="0.3">
      <c r="A295" t="s">
        <v>1592</v>
      </c>
      <c r="B295" t="s">
        <v>1609</v>
      </c>
      <c r="C295" t="s">
        <v>62</v>
      </c>
      <c r="D295">
        <v>-3.89927</v>
      </c>
      <c r="E295">
        <v>30.273492000000001</v>
      </c>
      <c r="F295" t="s">
        <v>1500</v>
      </c>
      <c r="G295" t="s">
        <v>1508</v>
      </c>
    </row>
    <row r="296" spans="1:7" x14ac:dyDescent="0.3">
      <c r="A296" t="s">
        <v>1592</v>
      </c>
      <c r="B296" t="s">
        <v>1610</v>
      </c>
      <c r="C296" t="s">
        <v>62</v>
      </c>
      <c r="D296">
        <v>2.3260149999999999</v>
      </c>
      <c r="E296">
        <v>24.97465</v>
      </c>
      <c r="F296" t="s">
        <v>1500</v>
      </c>
      <c r="G296" t="s">
        <v>1508</v>
      </c>
    </row>
    <row r="297" spans="1:7" x14ac:dyDescent="0.3">
      <c r="A297" t="s">
        <v>1592</v>
      </c>
      <c r="B297" t="s">
        <v>940</v>
      </c>
      <c r="C297" t="s">
        <v>89</v>
      </c>
      <c r="D297">
        <v>-7.9987219999999999</v>
      </c>
      <c r="E297">
        <v>12.779335</v>
      </c>
      <c r="F297" t="s">
        <v>1495</v>
      </c>
      <c r="G297" t="s">
        <v>1508</v>
      </c>
    </row>
    <row r="298" spans="1:7" x14ac:dyDescent="0.3">
      <c r="A298" t="s">
        <v>1592</v>
      </c>
      <c r="B298" t="s">
        <v>1611</v>
      </c>
      <c r="C298" t="s">
        <v>26</v>
      </c>
      <c r="D298">
        <v>-10.614302</v>
      </c>
      <c r="E298">
        <v>29.436530999999999</v>
      </c>
      <c r="F298" t="s">
        <v>1500</v>
      </c>
      <c r="G298" t="s">
        <v>1496</v>
      </c>
    </row>
    <row r="299" spans="1:7" x14ac:dyDescent="0.3">
      <c r="A299" t="s">
        <v>1592</v>
      </c>
      <c r="B299" t="s">
        <v>1252</v>
      </c>
      <c r="C299" t="s">
        <v>37</v>
      </c>
      <c r="D299">
        <v>-7.9425049999999997</v>
      </c>
      <c r="E299">
        <v>24.111059000000001</v>
      </c>
      <c r="F299" t="s">
        <v>1500</v>
      </c>
      <c r="G299" t="s">
        <v>1501</v>
      </c>
    </row>
    <row r="300" spans="1:7" x14ac:dyDescent="0.3">
      <c r="A300" t="s">
        <v>1592</v>
      </c>
      <c r="B300" t="s">
        <v>1231</v>
      </c>
      <c r="C300" t="s">
        <v>21</v>
      </c>
      <c r="D300">
        <v>2.4414509999999998</v>
      </c>
      <c r="E300">
        <v>30.167489</v>
      </c>
      <c r="F300" t="s">
        <v>1495</v>
      </c>
      <c r="G300" t="s">
        <v>1508</v>
      </c>
    </row>
    <row r="301" spans="1:7" x14ac:dyDescent="0.3">
      <c r="A301" t="s">
        <v>1612</v>
      </c>
      <c r="B301" t="s">
        <v>910</v>
      </c>
      <c r="C301" t="s">
        <v>64</v>
      </c>
      <c r="D301">
        <v>-1.339734</v>
      </c>
      <c r="E301">
        <v>15.243098</v>
      </c>
      <c r="F301" t="s">
        <v>1500</v>
      </c>
      <c r="G301" t="s">
        <v>1508</v>
      </c>
    </row>
    <row r="302" spans="1:7" x14ac:dyDescent="0.3">
      <c r="A302" t="s">
        <v>1612</v>
      </c>
      <c r="B302" t="s">
        <v>1209</v>
      </c>
      <c r="C302" t="s">
        <v>62</v>
      </c>
      <c r="D302">
        <v>-9.8208710000000004</v>
      </c>
      <c r="E302">
        <v>23.229807000000001</v>
      </c>
      <c r="F302" t="s">
        <v>1495</v>
      </c>
      <c r="G302" t="s">
        <v>1508</v>
      </c>
    </row>
    <row r="303" spans="1:7" x14ac:dyDescent="0.3">
      <c r="A303" t="s">
        <v>1612</v>
      </c>
      <c r="B303" t="s">
        <v>1066</v>
      </c>
      <c r="C303" t="s">
        <v>13</v>
      </c>
      <c r="D303">
        <v>-12.292039000000001</v>
      </c>
      <c r="E303">
        <v>27.538202999999999</v>
      </c>
      <c r="F303" t="s">
        <v>1500</v>
      </c>
      <c r="G303" t="s">
        <v>1499</v>
      </c>
    </row>
    <row r="304" spans="1:7" x14ac:dyDescent="0.3">
      <c r="A304" t="s">
        <v>1612</v>
      </c>
      <c r="B304" t="s">
        <v>1613</v>
      </c>
      <c r="C304" t="s">
        <v>131</v>
      </c>
      <c r="D304">
        <v>-6.0850540000000004</v>
      </c>
      <c r="E304">
        <v>14.020293000000001</v>
      </c>
      <c r="F304" t="s">
        <v>1495</v>
      </c>
      <c r="G304" t="s">
        <v>1499</v>
      </c>
    </row>
    <row r="305" spans="1:7" x14ac:dyDescent="0.3">
      <c r="A305" t="s">
        <v>1612</v>
      </c>
      <c r="B305" t="s">
        <v>1360</v>
      </c>
      <c r="C305" t="s">
        <v>67</v>
      </c>
      <c r="D305">
        <v>-9.5619429999999994</v>
      </c>
      <c r="E305">
        <v>21.445726000000001</v>
      </c>
      <c r="F305" t="s">
        <v>1498</v>
      </c>
      <c r="G305" t="s">
        <v>1508</v>
      </c>
    </row>
    <row r="306" spans="1:7" x14ac:dyDescent="0.3">
      <c r="A306" t="s">
        <v>1612</v>
      </c>
      <c r="B306" t="s">
        <v>1245</v>
      </c>
      <c r="C306" t="s">
        <v>44</v>
      </c>
      <c r="D306">
        <v>-0.47411900000000001</v>
      </c>
      <c r="E306">
        <v>27.184329000000002</v>
      </c>
      <c r="F306" t="s">
        <v>1495</v>
      </c>
      <c r="G306" t="s">
        <v>1501</v>
      </c>
    </row>
    <row r="307" spans="1:7" x14ac:dyDescent="0.3">
      <c r="A307" t="s">
        <v>1612</v>
      </c>
      <c r="B307" t="s">
        <v>865</v>
      </c>
      <c r="C307" t="s">
        <v>37</v>
      </c>
      <c r="D307">
        <v>3.1362930000000002</v>
      </c>
      <c r="E307">
        <v>16.190878000000001</v>
      </c>
      <c r="F307" t="s">
        <v>1500</v>
      </c>
      <c r="G307" t="s">
        <v>1508</v>
      </c>
    </row>
    <row r="308" spans="1:7" x14ac:dyDescent="0.3">
      <c r="A308" t="s">
        <v>1612</v>
      </c>
      <c r="B308" t="s">
        <v>1262</v>
      </c>
      <c r="C308" t="s">
        <v>78</v>
      </c>
      <c r="D308">
        <v>-1.6488929999999999</v>
      </c>
      <c r="E308">
        <v>27.284617000000001</v>
      </c>
      <c r="F308" t="s">
        <v>1495</v>
      </c>
      <c r="G308" t="s">
        <v>1508</v>
      </c>
    </row>
    <row r="309" spans="1:7" x14ac:dyDescent="0.3">
      <c r="A309" t="s">
        <v>1612</v>
      </c>
      <c r="B309" t="s">
        <v>1216</v>
      </c>
      <c r="C309" t="s">
        <v>131</v>
      </c>
      <c r="D309">
        <v>-6.5332999999999997</v>
      </c>
      <c r="E309">
        <v>20.098018</v>
      </c>
      <c r="F309" t="s">
        <v>1498</v>
      </c>
      <c r="G309" t="s">
        <v>1499</v>
      </c>
    </row>
    <row r="310" spans="1:7" x14ac:dyDescent="0.3">
      <c r="A310" t="s">
        <v>1612</v>
      </c>
      <c r="B310" t="s">
        <v>1614</v>
      </c>
      <c r="C310" t="s">
        <v>89</v>
      </c>
      <c r="D310">
        <v>-11.472474999999999</v>
      </c>
      <c r="E310">
        <v>27.418900000000001</v>
      </c>
      <c r="F310" t="s">
        <v>1498</v>
      </c>
      <c r="G310" t="s">
        <v>1501</v>
      </c>
    </row>
    <row r="311" spans="1:7" x14ac:dyDescent="0.3">
      <c r="A311" t="s">
        <v>1612</v>
      </c>
      <c r="B311" t="s">
        <v>941</v>
      </c>
      <c r="C311" t="s">
        <v>64</v>
      </c>
      <c r="D311">
        <v>-1.6097570000000001</v>
      </c>
      <c r="E311">
        <v>30.661662</v>
      </c>
      <c r="F311" t="s">
        <v>1498</v>
      </c>
      <c r="G311" t="s">
        <v>1496</v>
      </c>
    </row>
    <row r="312" spans="1:7" x14ac:dyDescent="0.3">
      <c r="A312" t="s">
        <v>1612</v>
      </c>
      <c r="B312" t="s">
        <v>835</v>
      </c>
      <c r="C312" t="s">
        <v>73</v>
      </c>
      <c r="D312">
        <v>0.23583499999999999</v>
      </c>
      <c r="E312">
        <v>24.889558999999998</v>
      </c>
      <c r="F312" t="s">
        <v>1500</v>
      </c>
      <c r="G312" t="s">
        <v>1501</v>
      </c>
    </row>
    <row r="313" spans="1:7" x14ac:dyDescent="0.3">
      <c r="A313" t="s">
        <v>1612</v>
      </c>
      <c r="B313" t="s">
        <v>1000</v>
      </c>
      <c r="C313" t="s">
        <v>37</v>
      </c>
      <c r="D313">
        <v>-10.481026999999999</v>
      </c>
      <c r="E313">
        <v>18.160464000000001</v>
      </c>
      <c r="F313" t="s">
        <v>1495</v>
      </c>
      <c r="G313" t="s">
        <v>1499</v>
      </c>
    </row>
    <row r="314" spans="1:7" x14ac:dyDescent="0.3">
      <c r="A314" t="s">
        <v>1612</v>
      </c>
      <c r="B314" t="s">
        <v>991</v>
      </c>
      <c r="C314" t="s">
        <v>137</v>
      </c>
      <c r="D314">
        <v>-9.5243310000000001</v>
      </c>
      <c r="E314">
        <v>30.541212000000002</v>
      </c>
      <c r="F314" t="s">
        <v>1500</v>
      </c>
      <c r="G314" t="s">
        <v>1496</v>
      </c>
    </row>
    <row r="315" spans="1:7" x14ac:dyDescent="0.3">
      <c r="A315" t="s">
        <v>1612</v>
      </c>
      <c r="B315" t="s">
        <v>892</v>
      </c>
      <c r="C315" t="s">
        <v>26</v>
      </c>
      <c r="D315">
        <v>-4.4697000000000001E-2</v>
      </c>
      <c r="E315">
        <v>22.943373000000001</v>
      </c>
      <c r="F315" t="s">
        <v>1500</v>
      </c>
      <c r="G315" t="s">
        <v>1499</v>
      </c>
    </row>
    <row r="316" spans="1:7" x14ac:dyDescent="0.3">
      <c r="A316" t="s">
        <v>1612</v>
      </c>
      <c r="B316" t="s">
        <v>1434</v>
      </c>
      <c r="C316" t="s">
        <v>26</v>
      </c>
      <c r="D316">
        <v>-2.3269820000000001</v>
      </c>
      <c r="E316">
        <v>14.609259</v>
      </c>
      <c r="F316" t="s">
        <v>1500</v>
      </c>
      <c r="G316" t="s">
        <v>1508</v>
      </c>
    </row>
    <row r="317" spans="1:7" x14ac:dyDescent="0.3">
      <c r="A317" t="s">
        <v>1612</v>
      </c>
      <c r="B317" t="s">
        <v>1615</v>
      </c>
      <c r="C317" t="s">
        <v>10</v>
      </c>
      <c r="D317">
        <v>-4.1938139999999997</v>
      </c>
      <c r="E317">
        <v>27.892115</v>
      </c>
      <c r="F317" t="s">
        <v>1495</v>
      </c>
      <c r="G317" t="s">
        <v>1496</v>
      </c>
    </row>
    <row r="318" spans="1:7" x14ac:dyDescent="0.3">
      <c r="A318" t="s">
        <v>1612</v>
      </c>
      <c r="B318" t="s">
        <v>853</v>
      </c>
      <c r="C318" t="s">
        <v>131</v>
      </c>
      <c r="D318">
        <v>-11.866133</v>
      </c>
      <c r="E318">
        <v>27.068932</v>
      </c>
      <c r="F318" t="s">
        <v>1500</v>
      </c>
      <c r="G318" t="s">
        <v>1499</v>
      </c>
    </row>
    <row r="319" spans="1:7" x14ac:dyDescent="0.3">
      <c r="A319" t="s">
        <v>1612</v>
      </c>
      <c r="B319" t="s">
        <v>1616</v>
      </c>
      <c r="C319" t="s">
        <v>18</v>
      </c>
      <c r="D319">
        <v>-3.2700629999999999</v>
      </c>
      <c r="E319">
        <v>26.520330000000001</v>
      </c>
      <c r="F319" t="s">
        <v>1495</v>
      </c>
      <c r="G319" t="s">
        <v>1508</v>
      </c>
    </row>
    <row r="320" spans="1:7" x14ac:dyDescent="0.3">
      <c r="A320" t="s">
        <v>1612</v>
      </c>
      <c r="B320" t="s">
        <v>899</v>
      </c>
      <c r="C320" t="s">
        <v>137</v>
      </c>
      <c r="D320">
        <v>-7.4608439999999998</v>
      </c>
      <c r="E320">
        <v>23.268619999999999</v>
      </c>
      <c r="F320" t="s">
        <v>1498</v>
      </c>
      <c r="G320" t="s">
        <v>1499</v>
      </c>
    </row>
    <row r="321" spans="1:7" x14ac:dyDescent="0.3">
      <c r="A321" t="s">
        <v>1612</v>
      </c>
      <c r="B321" t="s">
        <v>951</v>
      </c>
      <c r="C321" t="s">
        <v>24</v>
      </c>
      <c r="D321">
        <v>-3.3890790000000002</v>
      </c>
      <c r="E321">
        <v>18.374571</v>
      </c>
      <c r="F321" t="s">
        <v>1495</v>
      </c>
      <c r="G321" t="s">
        <v>1501</v>
      </c>
    </row>
    <row r="322" spans="1:7" x14ac:dyDescent="0.3">
      <c r="A322" t="s">
        <v>1612</v>
      </c>
      <c r="B322" t="s">
        <v>1058</v>
      </c>
      <c r="C322" t="s">
        <v>24</v>
      </c>
      <c r="D322">
        <v>2.016505</v>
      </c>
      <c r="E322">
        <v>14.294164</v>
      </c>
      <c r="F322" t="s">
        <v>1495</v>
      </c>
      <c r="G322" t="s">
        <v>1499</v>
      </c>
    </row>
    <row r="323" spans="1:7" x14ac:dyDescent="0.3">
      <c r="A323" t="s">
        <v>1612</v>
      </c>
      <c r="B323" t="s">
        <v>1617</v>
      </c>
      <c r="C323" t="s">
        <v>40</v>
      </c>
      <c r="D323">
        <v>-4.9124689999999998</v>
      </c>
      <c r="E323">
        <v>14.683498999999999</v>
      </c>
      <c r="F323" t="s">
        <v>1500</v>
      </c>
      <c r="G323" t="s">
        <v>1501</v>
      </c>
    </row>
    <row r="324" spans="1:7" x14ac:dyDescent="0.3">
      <c r="A324" t="s">
        <v>1612</v>
      </c>
      <c r="B324" t="s">
        <v>848</v>
      </c>
      <c r="C324" t="s">
        <v>60</v>
      </c>
      <c r="D324">
        <v>4.9250049999999996</v>
      </c>
      <c r="E324">
        <v>19.887931999999999</v>
      </c>
      <c r="F324" t="s">
        <v>1498</v>
      </c>
      <c r="G324" t="s">
        <v>1499</v>
      </c>
    </row>
    <row r="325" spans="1:7" x14ac:dyDescent="0.3">
      <c r="A325" t="s">
        <v>1612</v>
      </c>
      <c r="B325" t="s">
        <v>934</v>
      </c>
      <c r="C325" t="s">
        <v>57</v>
      </c>
      <c r="D325">
        <v>-12.333232000000001</v>
      </c>
      <c r="E325">
        <v>25.229620000000001</v>
      </c>
      <c r="F325" t="s">
        <v>1495</v>
      </c>
      <c r="G325" t="s">
        <v>1508</v>
      </c>
    </row>
    <row r="326" spans="1:7" x14ac:dyDescent="0.3">
      <c r="A326" t="s">
        <v>1612</v>
      </c>
      <c r="B326" t="s">
        <v>972</v>
      </c>
      <c r="C326" t="s">
        <v>64</v>
      </c>
      <c r="D326">
        <v>-11.991020000000001</v>
      </c>
      <c r="E326">
        <v>22.514747</v>
      </c>
      <c r="F326" t="s">
        <v>1495</v>
      </c>
      <c r="G326" t="s">
        <v>1501</v>
      </c>
    </row>
    <row r="327" spans="1:7" x14ac:dyDescent="0.3">
      <c r="A327" t="s">
        <v>1612</v>
      </c>
      <c r="B327" t="s">
        <v>1618</v>
      </c>
      <c r="C327" t="s">
        <v>131</v>
      </c>
      <c r="D327">
        <v>1.1800139999999999</v>
      </c>
      <c r="E327">
        <v>20.334562999999999</v>
      </c>
      <c r="F327" t="s">
        <v>1500</v>
      </c>
      <c r="G327" t="s">
        <v>1501</v>
      </c>
    </row>
    <row r="328" spans="1:7" x14ac:dyDescent="0.3">
      <c r="A328" t="s">
        <v>1612</v>
      </c>
      <c r="B328" t="s">
        <v>1117</v>
      </c>
      <c r="C328" t="s">
        <v>37</v>
      </c>
      <c r="D328">
        <v>-12.229338</v>
      </c>
      <c r="E328">
        <v>29.587834999999998</v>
      </c>
      <c r="F328" t="s">
        <v>1498</v>
      </c>
      <c r="G328" t="s">
        <v>1508</v>
      </c>
    </row>
    <row r="329" spans="1:7" x14ac:dyDescent="0.3">
      <c r="A329" t="s">
        <v>1612</v>
      </c>
      <c r="B329" t="s">
        <v>985</v>
      </c>
      <c r="C329" t="s">
        <v>137</v>
      </c>
      <c r="D329">
        <v>-10.872631999999999</v>
      </c>
      <c r="E329">
        <v>12.773279</v>
      </c>
      <c r="F329" t="s">
        <v>1500</v>
      </c>
      <c r="G329" t="s">
        <v>1501</v>
      </c>
    </row>
    <row r="330" spans="1:7" x14ac:dyDescent="0.3">
      <c r="A330" t="s">
        <v>1612</v>
      </c>
      <c r="B330" t="s">
        <v>997</v>
      </c>
      <c r="C330" t="s">
        <v>26</v>
      </c>
      <c r="D330">
        <v>1.5278670000000001</v>
      </c>
      <c r="E330">
        <v>13.899388999999999</v>
      </c>
      <c r="F330" t="s">
        <v>1500</v>
      </c>
      <c r="G330" t="s">
        <v>1499</v>
      </c>
    </row>
    <row r="331" spans="1:7" x14ac:dyDescent="0.3">
      <c r="A331" t="s">
        <v>1612</v>
      </c>
      <c r="B331" t="s">
        <v>1135</v>
      </c>
      <c r="C331" t="s">
        <v>51</v>
      </c>
      <c r="D331">
        <v>-0.98830399999999996</v>
      </c>
      <c r="E331">
        <v>28.099966999999999</v>
      </c>
      <c r="F331" t="s">
        <v>1500</v>
      </c>
      <c r="G331" t="s">
        <v>1499</v>
      </c>
    </row>
    <row r="332" spans="1:7" x14ac:dyDescent="0.3">
      <c r="A332" t="s">
        <v>1612</v>
      </c>
      <c r="B332" t="s">
        <v>1619</v>
      </c>
      <c r="C332" t="s">
        <v>89</v>
      </c>
      <c r="D332">
        <v>-4.749333</v>
      </c>
      <c r="E332">
        <v>23.636389000000001</v>
      </c>
      <c r="F332" t="s">
        <v>1500</v>
      </c>
      <c r="G332" t="s">
        <v>1501</v>
      </c>
    </row>
    <row r="333" spans="1:7" x14ac:dyDescent="0.3">
      <c r="A333" t="s">
        <v>1612</v>
      </c>
      <c r="B333" t="s">
        <v>1196</v>
      </c>
      <c r="C333" t="s">
        <v>60</v>
      </c>
      <c r="D333">
        <v>-0.79459900000000006</v>
      </c>
      <c r="E333">
        <v>26.775570999999999</v>
      </c>
      <c r="F333" t="s">
        <v>1495</v>
      </c>
      <c r="G333" t="s">
        <v>1499</v>
      </c>
    </row>
    <row r="334" spans="1:7" x14ac:dyDescent="0.3">
      <c r="A334" t="s">
        <v>1612</v>
      </c>
      <c r="B334" t="s">
        <v>1620</v>
      </c>
      <c r="C334" t="s">
        <v>21</v>
      </c>
      <c r="D334">
        <v>2.7365970000000002</v>
      </c>
      <c r="E334">
        <v>12.296976000000001</v>
      </c>
      <c r="F334" t="s">
        <v>1498</v>
      </c>
      <c r="G334" t="s">
        <v>1501</v>
      </c>
    </row>
    <row r="335" spans="1:7" x14ac:dyDescent="0.3">
      <c r="A335" t="s">
        <v>1612</v>
      </c>
      <c r="B335" t="s">
        <v>1442</v>
      </c>
      <c r="C335" t="s">
        <v>78</v>
      </c>
      <c r="D335">
        <v>-10.318835</v>
      </c>
      <c r="E335">
        <v>21.252382000000001</v>
      </c>
      <c r="F335" t="s">
        <v>1498</v>
      </c>
      <c r="G335" t="s">
        <v>1496</v>
      </c>
    </row>
    <row r="336" spans="1:7" x14ac:dyDescent="0.3">
      <c r="A336" t="s">
        <v>1612</v>
      </c>
      <c r="B336" t="s">
        <v>1089</v>
      </c>
      <c r="C336" t="s">
        <v>13</v>
      </c>
      <c r="D336">
        <v>-2.571777</v>
      </c>
      <c r="E336">
        <v>12.120642</v>
      </c>
      <c r="F336" t="s">
        <v>1500</v>
      </c>
      <c r="G336" t="s">
        <v>1499</v>
      </c>
    </row>
    <row r="337" spans="1:7" x14ac:dyDescent="0.3">
      <c r="A337" t="s">
        <v>1612</v>
      </c>
      <c r="B337" t="s">
        <v>1621</v>
      </c>
      <c r="C337" t="s">
        <v>35</v>
      </c>
      <c r="D337">
        <v>3.6466850000000002</v>
      </c>
      <c r="E337">
        <v>15.408844</v>
      </c>
      <c r="F337" t="s">
        <v>1500</v>
      </c>
      <c r="G337" t="s">
        <v>1501</v>
      </c>
    </row>
    <row r="338" spans="1:7" x14ac:dyDescent="0.3">
      <c r="A338" t="s">
        <v>1612</v>
      </c>
      <c r="B338" t="s">
        <v>975</v>
      </c>
      <c r="C338" t="s">
        <v>131</v>
      </c>
      <c r="D338">
        <v>-12.336202</v>
      </c>
      <c r="E338">
        <v>13.693683999999999</v>
      </c>
      <c r="F338" t="s">
        <v>1495</v>
      </c>
      <c r="G338" t="s">
        <v>1499</v>
      </c>
    </row>
    <row r="339" spans="1:7" x14ac:dyDescent="0.3">
      <c r="A339" t="s">
        <v>1612</v>
      </c>
      <c r="B339" t="s">
        <v>1622</v>
      </c>
      <c r="C339" t="s">
        <v>62</v>
      </c>
      <c r="D339">
        <v>-10.451371</v>
      </c>
      <c r="E339">
        <v>24.38336</v>
      </c>
      <c r="F339" t="s">
        <v>1500</v>
      </c>
      <c r="G339" t="s">
        <v>1496</v>
      </c>
    </row>
    <row r="340" spans="1:7" x14ac:dyDescent="0.3">
      <c r="A340" t="s">
        <v>1612</v>
      </c>
      <c r="B340" t="s">
        <v>1120</v>
      </c>
      <c r="C340" t="s">
        <v>16</v>
      </c>
      <c r="D340">
        <v>-1.231033</v>
      </c>
      <c r="E340">
        <v>28.851388</v>
      </c>
      <c r="F340" t="s">
        <v>1500</v>
      </c>
      <c r="G340" t="s">
        <v>1496</v>
      </c>
    </row>
    <row r="341" spans="1:7" x14ac:dyDescent="0.3">
      <c r="A341" t="s">
        <v>1612</v>
      </c>
      <c r="B341" t="s">
        <v>1623</v>
      </c>
      <c r="C341" t="s">
        <v>16</v>
      </c>
      <c r="D341">
        <v>-4.5180470000000001</v>
      </c>
      <c r="E341">
        <v>19.908223</v>
      </c>
      <c r="F341" t="s">
        <v>1495</v>
      </c>
      <c r="G341" t="s">
        <v>1499</v>
      </c>
    </row>
    <row r="342" spans="1:7" x14ac:dyDescent="0.3">
      <c r="A342" t="s">
        <v>1612</v>
      </c>
      <c r="B342" t="s">
        <v>1624</v>
      </c>
      <c r="C342" t="s">
        <v>40</v>
      </c>
      <c r="D342">
        <v>3.524343</v>
      </c>
      <c r="E342">
        <v>27.340824000000001</v>
      </c>
      <c r="F342" t="s">
        <v>1498</v>
      </c>
      <c r="G342" t="s">
        <v>1496</v>
      </c>
    </row>
    <row r="343" spans="1:7" x14ac:dyDescent="0.3">
      <c r="A343" t="s">
        <v>1612</v>
      </c>
      <c r="B343" t="s">
        <v>1625</v>
      </c>
      <c r="C343" t="s">
        <v>21</v>
      </c>
      <c r="D343">
        <v>-12.17557</v>
      </c>
      <c r="E343">
        <v>26.678691000000001</v>
      </c>
      <c r="F343" t="s">
        <v>1498</v>
      </c>
      <c r="G343" t="s">
        <v>1499</v>
      </c>
    </row>
    <row r="344" spans="1:7" x14ac:dyDescent="0.3">
      <c r="A344" t="s">
        <v>1612</v>
      </c>
      <c r="B344" t="s">
        <v>1007</v>
      </c>
      <c r="C344" t="s">
        <v>60</v>
      </c>
      <c r="D344">
        <v>-0.37665700000000002</v>
      </c>
      <c r="E344">
        <v>25.154807999999999</v>
      </c>
      <c r="F344" t="s">
        <v>1500</v>
      </c>
      <c r="G344" t="s">
        <v>1508</v>
      </c>
    </row>
    <row r="345" spans="1:7" x14ac:dyDescent="0.3">
      <c r="A345" t="s">
        <v>1612</v>
      </c>
      <c r="B345" t="s">
        <v>1436</v>
      </c>
      <c r="C345" t="s">
        <v>78</v>
      </c>
      <c r="D345">
        <v>-10.650321</v>
      </c>
      <c r="E345">
        <v>15.917044000000001</v>
      </c>
      <c r="F345" t="s">
        <v>1498</v>
      </c>
      <c r="G345" t="s">
        <v>1508</v>
      </c>
    </row>
    <row r="346" spans="1:7" x14ac:dyDescent="0.3">
      <c r="A346" t="s">
        <v>1612</v>
      </c>
      <c r="B346" t="s">
        <v>1626</v>
      </c>
      <c r="C346" t="s">
        <v>40</v>
      </c>
      <c r="D346">
        <v>-9.8995180000000005</v>
      </c>
      <c r="E346">
        <v>24.156687999999999</v>
      </c>
      <c r="F346" t="s">
        <v>1498</v>
      </c>
      <c r="G346" t="s">
        <v>1496</v>
      </c>
    </row>
    <row r="347" spans="1:7" x14ac:dyDescent="0.3">
      <c r="A347" t="s">
        <v>1612</v>
      </c>
      <c r="B347" t="s">
        <v>926</v>
      </c>
      <c r="C347" t="s">
        <v>127</v>
      </c>
      <c r="D347">
        <v>-12.100756000000001</v>
      </c>
      <c r="E347">
        <v>21.938649999999999</v>
      </c>
      <c r="F347" t="s">
        <v>1498</v>
      </c>
      <c r="G347" t="s">
        <v>1499</v>
      </c>
    </row>
    <row r="348" spans="1:7" x14ac:dyDescent="0.3">
      <c r="A348" t="s">
        <v>1612</v>
      </c>
      <c r="B348" t="s">
        <v>1627</v>
      </c>
      <c r="C348" t="s">
        <v>137</v>
      </c>
      <c r="D348">
        <v>-7.4679279999999997</v>
      </c>
      <c r="E348">
        <v>19.828595</v>
      </c>
      <c r="F348" t="s">
        <v>1495</v>
      </c>
      <c r="G348" t="s">
        <v>1508</v>
      </c>
    </row>
    <row r="349" spans="1:7" x14ac:dyDescent="0.3">
      <c r="A349" t="s">
        <v>1612</v>
      </c>
      <c r="B349" t="s">
        <v>1141</v>
      </c>
      <c r="C349" t="s">
        <v>137</v>
      </c>
      <c r="D349">
        <v>1.286548</v>
      </c>
      <c r="E349">
        <v>29.823702999999998</v>
      </c>
      <c r="F349" t="s">
        <v>1498</v>
      </c>
      <c r="G349" t="s">
        <v>1501</v>
      </c>
    </row>
    <row r="350" spans="1:7" x14ac:dyDescent="0.3">
      <c r="A350" t="s">
        <v>1612</v>
      </c>
      <c r="B350" t="s">
        <v>1084</v>
      </c>
      <c r="C350" t="s">
        <v>35</v>
      </c>
      <c r="D350">
        <v>-4.7886769999999999</v>
      </c>
      <c r="E350">
        <v>23.600221999999999</v>
      </c>
      <c r="F350" t="s">
        <v>1500</v>
      </c>
      <c r="G350" t="s">
        <v>1501</v>
      </c>
    </row>
    <row r="351" spans="1:7" x14ac:dyDescent="0.3">
      <c r="A351" t="s">
        <v>1628</v>
      </c>
      <c r="B351" t="s">
        <v>1410</v>
      </c>
      <c r="C351" t="s">
        <v>57</v>
      </c>
      <c r="D351">
        <v>1.7832440000000001</v>
      </c>
      <c r="E351">
        <v>25.477405999999998</v>
      </c>
      <c r="F351" t="s">
        <v>1495</v>
      </c>
      <c r="G351" t="s">
        <v>1499</v>
      </c>
    </row>
    <row r="352" spans="1:7" x14ac:dyDescent="0.3">
      <c r="A352" t="s">
        <v>1628</v>
      </c>
      <c r="B352" t="s">
        <v>1629</v>
      </c>
      <c r="C352" t="s">
        <v>35</v>
      </c>
      <c r="D352">
        <v>-4.8560549999999996</v>
      </c>
      <c r="E352">
        <v>15.889538999999999</v>
      </c>
      <c r="F352" t="s">
        <v>1500</v>
      </c>
      <c r="G352" t="s">
        <v>1499</v>
      </c>
    </row>
    <row r="353" spans="1:7" x14ac:dyDescent="0.3">
      <c r="A353" t="s">
        <v>1628</v>
      </c>
      <c r="B353" t="s">
        <v>1630</v>
      </c>
      <c r="C353" t="s">
        <v>31</v>
      </c>
      <c r="D353">
        <v>-8.6707929999999998</v>
      </c>
      <c r="E353">
        <v>30.643781000000001</v>
      </c>
      <c r="F353" t="s">
        <v>1498</v>
      </c>
      <c r="G353" t="s">
        <v>1499</v>
      </c>
    </row>
    <row r="354" spans="1:7" x14ac:dyDescent="0.3">
      <c r="A354" t="s">
        <v>1628</v>
      </c>
      <c r="B354" t="s">
        <v>1631</v>
      </c>
      <c r="C354" t="s">
        <v>29</v>
      </c>
      <c r="D354">
        <v>-2.947235</v>
      </c>
      <c r="E354">
        <v>16.534020999999999</v>
      </c>
      <c r="F354" t="s">
        <v>1500</v>
      </c>
      <c r="G354" t="s">
        <v>1508</v>
      </c>
    </row>
    <row r="355" spans="1:7" x14ac:dyDescent="0.3">
      <c r="A355" t="s">
        <v>1628</v>
      </c>
      <c r="B355" t="s">
        <v>1632</v>
      </c>
      <c r="C355" t="s">
        <v>24</v>
      </c>
      <c r="D355">
        <v>-12.776386</v>
      </c>
      <c r="E355">
        <v>14.157596</v>
      </c>
      <c r="F355" t="s">
        <v>1500</v>
      </c>
      <c r="G355" t="s">
        <v>1508</v>
      </c>
    </row>
    <row r="356" spans="1:7" x14ac:dyDescent="0.3">
      <c r="A356" t="s">
        <v>1628</v>
      </c>
      <c r="B356" t="s">
        <v>828</v>
      </c>
      <c r="C356" t="s">
        <v>24</v>
      </c>
      <c r="D356">
        <v>0.172153</v>
      </c>
      <c r="E356">
        <v>21.091376</v>
      </c>
      <c r="F356" t="s">
        <v>1500</v>
      </c>
      <c r="G356" t="s">
        <v>1496</v>
      </c>
    </row>
    <row r="357" spans="1:7" x14ac:dyDescent="0.3">
      <c r="A357" t="s">
        <v>1628</v>
      </c>
      <c r="B357" t="s">
        <v>1374</v>
      </c>
      <c r="C357" t="s">
        <v>16</v>
      </c>
      <c r="D357">
        <v>4.0988100000000003</v>
      </c>
      <c r="E357">
        <v>29.843810999999999</v>
      </c>
      <c r="F357" t="s">
        <v>1500</v>
      </c>
      <c r="G357" t="s">
        <v>1499</v>
      </c>
    </row>
    <row r="358" spans="1:7" x14ac:dyDescent="0.3">
      <c r="A358" t="s">
        <v>1628</v>
      </c>
      <c r="B358" t="s">
        <v>1167</v>
      </c>
      <c r="C358" t="s">
        <v>31</v>
      </c>
      <c r="D358">
        <v>-10.611184</v>
      </c>
      <c r="E358">
        <v>23.022268</v>
      </c>
      <c r="F358" t="s">
        <v>1495</v>
      </c>
      <c r="G358" t="s">
        <v>1501</v>
      </c>
    </row>
    <row r="359" spans="1:7" x14ac:dyDescent="0.3">
      <c r="A359" t="s">
        <v>1628</v>
      </c>
      <c r="B359" t="s">
        <v>1338</v>
      </c>
      <c r="C359" t="s">
        <v>29</v>
      </c>
      <c r="D359">
        <v>-7.6757720000000003</v>
      </c>
      <c r="E359">
        <v>30.222971000000001</v>
      </c>
      <c r="F359" t="s">
        <v>1495</v>
      </c>
      <c r="G359" t="s">
        <v>1496</v>
      </c>
    </row>
    <row r="360" spans="1:7" x14ac:dyDescent="0.3">
      <c r="A360" t="s">
        <v>1628</v>
      </c>
      <c r="B360" t="s">
        <v>954</v>
      </c>
      <c r="C360" t="s">
        <v>89</v>
      </c>
      <c r="D360">
        <v>-1.342476</v>
      </c>
      <c r="E360">
        <v>15.986086</v>
      </c>
      <c r="F360" t="s">
        <v>1498</v>
      </c>
      <c r="G360" t="s">
        <v>1496</v>
      </c>
    </row>
    <row r="361" spans="1:7" x14ac:dyDescent="0.3">
      <c r="A361" t="s">
        <v>1628</v>
      </c>
      <c r="B361" t="s">
        <v>1633</v>
      </c>
      <c r="C361" t="s">
        <v>60</v>
      </c>
      <c r="D361">
        <v>-11.366868999999999</v>
      </c>
      <c r="E361">
        <v>26.155318000000001</v>
      </c>
      <c r="F361" t="s">
        <v>1498</v>
      </c>
      <c r="G361" t="s">
        <v>1499</v>
      </c>
    </row>
    <row r="362" spans="1:7" x14ac:dyDescent="0.3">
      <c r="A362" t="s">
        <v>1628</v>
      </c>
      <c r="B362" t="s">
        <v>1246</v>
      </c>
      <c r="C362" t="s">
        <v>57</v>
      </c>
      <c r="D362">
        <v>-4.3639070000000002</v>
      </c>
      <c r="E362">
        <v>16.283307000000001</v>
      </c>
      <c r="F362" t="s">
        <v>1495</v>
      </c>
      <c r="G362" t="s">
        <v>1499</v>
      </c>
    </row>
    <row r="363" spans="1:7" x14ac:dyDescent="0.3">
      <c r="A363" t="s">
        <v>1628</v>
      </c>
      <c r="B363" t="s">
        <v>1069</v>
      </c>
      <c r="C363" t="s">
        <v>40</v>
      </c>
      <c r="D363">
        <v>-7.5129409999999996</v>
      </c>
      <c r="E363">
        <v>18.701522000000001</v>
      </c>
      <c r="F363" t="s">
        <v>1498</v>
      </c>
      <c r="G363" t="s">
        <v>1508</v>
      </c>
    </row>
    <row r="364" spans="1:7" x14ac:dyDescent="0.3">
      <c r="A364" t="s">
        <v>1628</v>
      </c>
      <c r="B364" t="s">
        <v>1143</v>
      </c>
      <c r="C364" t="s">
        <v>10</v>
      </c>
      <c r="D364">
        <v>-0.34051900000000002</v>
      </c>
      <c r="E364">
        <v>17.079799000000001</v>
      </c>
      <c r="F364" t="s">
        <v>1495</v>
      </c>
      <c r="G364" t="s">
        <v>1496</v>
      </c>
    </row>
    <row r="365" spans="1:7" x14ac:dyDescent="0.3">
      <c r="A365" t="s">
        <v>1628</v>
      </c>
      <c r="B365" t="s">
        <v>1037</v>
      </c>
      <c r="C365" t="s">
        <v>73</v>
      </c>
      <c r="D365">
        <v>2.4425979999999998</v>
      </c>
      <c r="E365">
        <v>24.924308</v>
      </c>
      <c r="F365" t="s">
        <v>1495</v>
      </c>
      <c r="G365" t="s">
        <v>1496</v>
      </c>
    </row>
    <row r="366" spans="1:7" x14ac:dyDescent="0.3">
      <c r="A366" t="s">
        <v>1628</v>
      </c>
      <c r="B366" t="s">
        <v>1327</v>
      </c>
      <c r="C366" t="s">
        <v>26</v>
      </c>
      <c r="D366">
        <v>0.45116099999999998</v>
      </c>
      <c r="E366">
        <v>17.265761000000001</v>
      </c>
      <c r="F366" t="s">
        <v>1498</v>
      </c>
      <c r="G366" t="s">
        <v>1499</v>
      </c>
    </row>
    <row r="367" spans="1:7" x14ac:dyDescent="0.3">
      <c r="A367" t="s">
        <v>1628</v>
      </c>
      <c r="B367" t="s">
        <v>1314</v>
      </c>
      <c r="C367" t="s">
        <v>33</v>
      </c>
      <c r="D367">
        <v>-12.560556999999999</v>
      </c>
      <c r="E367">
        <v>13.204014000000001</v>
      </c>
      <c r="F367" t="s">
        <v>1498</v>
      </c>
      <c r="G367" t="s">
        <v>1496</v>
      </c>
    </row>
    <row r="368" spans="1:7" x14ac:dyDescent="0.3">
      <c r="A368" t="s">
        <v>1628</v>
      </c>
      <c r="B368" t="s">
        <v>1083</v>
      </c>
      <c r="C368" t="s">
        <v>89</v>
      </c>
      <c r="D368">
        <v>-4.8128659999999996</v>
      </c>
      <c r="E368">
        <v>18.559304999999998</v>
      </c>
      <c r="F368" t="s">
        <v>1495</v>
      </c>
      <c r="G368" t="s">
        <v>1501</v>
      </c>
    </row>
    <row r="369" spans="1:7" x14ac:dyDescent="0.3">
      <c r="A369" t="s">
        <v>1628</v>
      </c>
      <c r="B369" t="s">
        <v>1634</v>
      </c>
      <c r="C369" t="s">
        <v>26</v>
      </c>
      <c r="D369">
        <v>0.89302999999999999</v>
      </c>
      <c r="E369">
        <v>21.238310999999999</v>
      </c>
      <c r="F369" t="s">
        <v>1495</v>
      </c>
      <c r="G369" t="s">
        <v>1499</v>
      </c>
    </row>
    <row r="370" spans="1:7" x14ac:dyDescent="0.3">
      <c r="A370" t="s">
        <v>1628</v>
      </c>
      <c r="B370" t="s">
        <v>1635</v>
      </c>
      <c r="C370" t="s">
        <v>127</v>
      </c>
      <c r="D370">
        <v>2.7355830000000001</v>
      </c>
      <c r="E370">
        <v>22.006969000000002</v>
      </c>
      <c r="F370" t="s">
        <v>1495</v>
      </c>
      <c r="G370" t="s">
        <v>1496</v>
      </c>
    </row>
    <row r="371" spans="1:7" x14ac:dyDescent="0.3">
      <c r="A371" t="s">
        <v>1628</v>
      </c>
      <c r="B371" t="s">
        <v>935</v>
      </c>
      <c r="C371" t="s">
        <v>67</v>
      </c>
      <c r="D371">
        <v>-5.7035130000000001</v>
      </c>
      <c r="E371">
        <v>14.331479</v>
      </c>
      <c r="F371" t="s">
        <v>1495</v>
      </c>
      <c r="G371" t="s">
        <v>1508</v>
      </c>
    </row>
    <row r="372" spans="1:7" x14ac:dyDescent="0.3">
      <c r="A372" t="s">
        <v>1628</v>
      </c>
      <c r="B372" t="s">
        <v>1636</v>
      </c>
      <c r="C372" t="s">
        <v>64</v>
      </c>
      <c r="D372">
        <v>1.217457</v>
      </c>
      <c r="E372">
        <v>25.48668</v>
      </c>
      <c r="F372" t="s">
        <v>1495</v>
      </c>
      <c r="G372" t="s">
        <v>1508</v>
      </c>
    </row>
    <row r="373" spans="1:7" x14ac:dyDescent="0.3">
      <c r="A373" t="s">
        <v>1628</v>
      </c>
      <c r="B373" t="s">
        <v>1027</v>
      </c>
      <c r="C373" t="s">
        <v>18</v>
      </c>
      <c r="D373">
        <v>-6.3324319999999998</v>
      </c>
      <c r="E373">
        <v>24.887858000000001</v>
      </c>
      <c r="F373" t="s">
        <v>1498</v>
      </c>
      <c r="G373" t="s">
        <v>1501</v>
      </c>
    </row>
    <row r="374" spans="1:7" x14ac:dyDescent="0.3">
      <c r="A374" t="s">
        <v>1628</v>
      </c>
      <c r="B374" t="s">
        <v>1467</v>
      </c>
      <c r="C374" t="s">
        <v>10</v>
      </c>
      <c r="D374">
        <v>-4.6426759999999998</v>
      </c>
      <c r="E374">
        <v>22.124254000000001</v>
      </c>
      <c r="F374" t="s">
        <v>1498</v>
      </c>
      <c r="G374" t="s">
        <v>1501</v>
      </c>
    </row>
    <row r="375" spans="1:7" x14ac:dyDescent="0.3">
      <c r="A375" t="s">
        <v>1628</v>
      </c>
      <c r="B375" t="s">
        <v>1637</v>
      </c>
      <c r="C375" t="s">
        <v>18</v>
      </c>
      <c r="D375">
        <v>-1.598759</v>
      </c>
      <c r="E375">
        <v>17.553023</v>
      </c>
      <c r="F375" t="s">
        <v>1498</v>
      </c>
      <c r="G375" t="s">
        <v>1499</v>
      </c>
    </row>
    <row r="376" spans="1:7" x14ac:dyDescent="0.3">
      <c r="A376" t="s">
        <v>1628</v>
      </c>
      <c r="B376" t="s">
        <v>1129</v>
      </c>
      <c r="C376" t="s">
        <v>57</v>
      </c>
      <c r="D376">
        <v>2.486888</v>
      </c>
      <c r="E376">
        <v>23.798074</v>
      </c>
      <c r="F376" t="s">
        <v>1495</v>
      </c>
      <c r="G376" t="s">
        <v>1501</v>
      </c>
    </row>
    <row r="377" spans="1:7" x14ac:dyDescent="0.3">
      <c r="A377" t="s">
        <v>1628</v>
      </c>
      <c r="B377" t="s">
        <v>1638</v>
      </c>
      <c r="C377" t="s">
        <v>57</v>
      </c>
      <c r="D377">
        <v>-11.727425</v>
      </c>
      <c r="E377">
        <v>27.198173000000001</v>
      </c>
      <c r="F377" t="s">
        <v>1500</v>
      </c>
      <c r="G377" t="s">
        <v>1496</v>
      </c>
    </row>
    <row r="378" spans="1:7" x14ac:dyDescent="0.3">
      <c r="A378" t="s">
        <v>1628</v>
      </c>
      <c r="B378" t="s">
        <v>1639</v>
      </c>
      <c r="C378" t="s">
        <v>78</v>
      </c>
      <c r="D378">
        <v>3.08182</v>
      </c>
      <c r="E378">
        <v>29.961940999999999</v>
      </c>
      <c r="F378" t="s">
        <v>1498</v>
      </c>
      <c r="G378" t="s">
        <v>1499</v>
      </c>
    </row>
    <row r="379" spans="1:7" x14ac:dyDescent="0.3">
      <c r="A379" t="s">
        <v>1628</v>
      </c>
      <c r="B379" t="s">
        <v>888</v>
      </c>
      <c r="C379" t="s">
        <v>10</v>
      </c>
      <c r="D379">
        <v>-7.0076900000000002</v>
      </c>
      <c r="E379">
        <v>27.367121999999998</v>
      </c>
      <c r="F379" t="s">
        <v>1500</v>
      </c>
      <c r="G379" t="s">
        <v>1508</v>
      </c>
    </row>
    <row r="380" spans="1:7" x14ac:dyDescent="0.3">
      <c r="A380" t="s">
        <v>1628</v>
      </c>
      <c r="B380" t="s">
        <v>1640</v>
      </c>
      <c r="C380" t="s">
        <v>89</v>
      </c>
      <c r="D380">
        <v>-12.411144999999999</v>
      </c>
      <c r="E380">
        <v>29.876642</v>
      </c>
      <c r="F380" t="s">
        <v>1498</v>
      </c>
      <c r="G380" t="s">
        <v>1496</v>
      </c>
    </row>
    <row r="381" spans="1:7" x14ac:dyDescent="0.3">
      <c r="A381" t="s">
        <v>1628</v>
      </c>
      <c r="B381" t="s">
        <v>1641</v>
      </c>
      <c r="C381" t="s">
        <v>57</v>
      </c>
      <c r="D381">
        <v>-5.3337589999999997</v>
      </c>
      <c r="E381">
        <v>13.246924</v>
      </c>
      <c r="F381" t="s">
        <v>1500</v>
      </c>
      <c r="G381" t="s">
        <v>1496</v>
      </c>
    </row>
    <row r="382" spans="1:7" x14ac:dyDescent="0.3">
      <c r="A382" t="s">
        <v>1628</v>
      </c>
      <c r="B382" t="s">
        <v>838</v>
      </c>
      <c r="C382" t="s">
        <v>89</v>
      </c>
      <c r="D382">
        <v>-8.1437910000000002</v>
      </c>
      <c r="E382">
        <v>28.946161</v>
      </c>
      <c r="F382" t="s">
        <v>1498</v>
      </c>
      <c r="G382" t="s">
        <v>1501</v>
      </c>
    </row>
    <row r="383" spans="1:7" x14ac:dyDescent="0.3">
      <c r="A383" t="s">
        <v>1628</v>
      </c>
      <c r="B383" t="s">
        <v>1642</v>
      </c>
      <c r="C383" t="s">
        <v>44</v>
      </c>
      <c r="D383">
        <v>4.0297190000000001</v>
      </c>
      <c r="E383">
        <v>20.699608000000001</v>
      </c>
      <c r="F383" t="s">
        <v>1498</v>
      </c>
      <c r="G383" t="s">
        <v>1496</v>
      </c>
    </row>
    <row r="384" spans="1:7" x14ac:dyDescent="0.3">
      <c r="A384" t="s">
        <v>1628</v>
      </c>
      <c r="B384" t="s">
        <v>1643</v>
      </c>
      <c r="C384" t="s">
        <v>89</v>
      </c>
      <c r="D384">
        <v>-3.2361680000000002</v>
      </c>
      <c r="E384">
        <v>13.523237999999999</v>
      </c>
      <c r="F384" t="s">
        <v>1498</v>
      </c>
      <c r="G384" t="s">
        <v>1499</v>
      </c>
    </row>
    <row r="385" spans="1:7" x14ac:dyDescent="0.3">
      <c r="A385" t="s">
        <v>1628</v>
      </c>
      <c r="B385" t="s">
        <v>1223</v>
      </c>
      <c r="C385" t="s">
        <v>64</v>
      </c>
      <c r="D385">
        <v>1.3006180000000001</v>
      </c>
      <c r="E385">
        <v>29.060970999999999</v>
      </c>
      <c r="F385" t="s">
        <v>1500</v>
      </c>
      <c r="G385" t="s">
        <v>1501</v>
      </c>
    </row>
    <row r="386" spans="1:7" x14ac:dyDescent="0.3">
      <c r="A386" t="s">
        <v>1628</v>
      </c>
      <c r="B386" t="s">
        <v>1644</v>
      </c>
      <c r="C386" t="s">
        <v>10</v>
      </c>
      <c r="D386">
        <v>1.178453</v>
      </c>
      <c r="E386">
        <v>17.479081000000001</v>
      </c>
      <c r="F386" t="s">
        <v>1500</v>
      </c>
      <c r="G386" t="s">
        <v>1496</v>
      </c>
    </row>
    <row r="387" spans="1:7" x14ac:dyDescent="0.3">
      <c r="A387" t="s">
        <v>1628</v>
      </c>
      <c r="B387" t="s">
        <v>1645</v>
      </c>
      <c r="C387" t="s">
        <v>62</v>
      </c>
      <c r="D387">
        <v>-11.542737000000001</v>
      </c>
      <c r="E387">
        <v>30.175912</v>
      </c>
      <c r="F387" t="s">
        <v>1498</v>
      </c>
      <c r="G387" t="s">
        <v>1508</v>
      </c>
    </row>
    <row r="388" spans="1:7" x14ac:dyDescent="0.3">
      <c r="A388" t="s">
        <v>1628</v>
      </c>
      <c r="B388" t="s">
        <v>1394</v>
      </c>
      <c r="C388" t="s">
        <v>62</v>
      </c>
      <c r="D388">
        <v>2.8552499999999998</v>
      </c>
      <c r="E388">
        <v>14.077933</v>
      </c>
      <c r="F388" t="s">
        <v>1498</v>
      </c>
      <c r="G388" t="s">
        <v>1501</v>
      </c>
    </row>
    <row r="389" spans="1:7" x14ac:dyDescent="0.3">
      <c r="A389" t="s">
        <v>1628</v>
      </c>
      <c r="B389" t="s">
        <v>1646</v>
      </c>
      <c r="C389" t="s">
        <v>26</v>
      </c>
      <c r="D389">
        <v>0.24369399999999999</v>
      </c>
      <c r="E389">
        <v>17.242912</v>
      </c>
      <c r="F389" t="s">
        <v>1498</v>
      </c>
      <c r="G389" t="s">
        <v>1508</v>
      </c>
    </row>
    <row r="390" spans="1:7" x14ac:dyDescent="0.3">
      <c r="A390" t="s">
        <v>1628</v>
      </c>
      <c r="B390" t="s">
        <v>1647</v>
      </c>
      <c r="C390" t="s">
        <v>18</v>
      </c>
      <c r="D390">
        <v>-12.013389999999999</v>
      </c>
      <c r="E390">
        <v>25.24456</v>
      </c>
      <c r="F390" t="s">
        <v>1500</v>
      </c>
      <c r="G390" t="s">
        <v>1499</v>
      </c>
    </row>
    <row r="391" spans="1:7" x14ac:dyDescent="0.3">
      <c r="A391" t="s">
        <v>1628</v>
      </c>
      <c r="B391" t="s">
        <v>1038</v>
      </c>
      <c r="C391" t="s">
        <v>137</v>
      </c>
      <c r="D391">
        <v>4.0157999999999996</v>
      </c>
      <c r="E391">
        <v>21.430246</v>
      </c>
      <c r="F391" t="s">
        <v>1495</v>
      </c>
      <c r="G391" t="s">
        <v>1508</v>
      </c>
    </row>
    <row r="392" spans="1:7" x14ac:dyDescent="0.3">
      <c r="A392" t="s">
        <v>1628</v>
      </c>
      <c r="B392" t="s">
        <v>1169</v>
      </c>
      <c r="C392" t="s">
        <v>73</v>
      </c>
      <c r="D392">
        <v>-0.85624699999999998</v>
      </c>
      <c r="E392">
        <v>28.624870000000001</v>
      </c>
      <c r="F392" t="s">
        <v>1500</v>
      </c>
      <c r="G392" t="s">
        <v>1496</v>
      </c>
    </row>
    <row r="393" spans="1:7" x14ac:dyDescent="0.3">
      <c r="A393" t="s">
        <v>1628</v>
      </c>
      <c r="B393" t="s">
        <v>1648</v>
      </c>
      <c r="C393" t="s">
        <v>62</v>
      </c>
      <c r="D393">
        <v>2.9836019999999999</v>
      </c>
      <c r="E393">
        <v>21.893065</v>
      </c>
      <c r="F393" t="s">
        <v>1495</v>
      </c>
      <c r="G393" t="s">
        <v>1508</v>
      </c>
    </row>
    <row r="394" spans="1:7" x14ac:dyDescent="0.3">
      <c r="A394" t="s">
        <v>1628</v>
      </c>
      <c r="B394" t="s">
        <v>1138</v>
      </c>
      <c r="C394" t="s">
        <v>10</v>
      </c>
      <c r="D394">
        <v>-11.002602</v>
      </c>
      <c r="E394">
        <v>23.918247999999998</v>
      </c>
      <c r="F394" t="s">
        <v>1495</v>
      </c>
      <c r="G394" t="s">
        <v>1501</v>
      </c>
    </row>
    <row r="395" spans="1:7" x14ac:dyDescent="0.3">
      <c r="A395" t="s">
        <v>1628</v>
      </c>
      <c r="B395" t="s">
        <v>1649</v>
      </c>
      <c r="C395" t="s">
        <v>73</v>
      </c>
      <c r="D395">
        <v>-6.419365</v>
      </c>
      <c r="E395">
        <v>17.570219000000002</v>
      </c>
      <c r="F395" t="s">
        <v>1498</v>
      </c>
      <c r="G395" t="s">
        <v>1499</v>
      </c>
    </row>
    <row r="396" spans="1:7" x14ac:dyDescent="0.3">
      <c r="A396" t="s">
        <v>1628</v>
      </c>
      <c r="B396" t="s">
        <v>1002</v>
      </c>
      <c r="C396" t="s">
        <v>131</v>
      </c>
      <c r="D396">
        <v>-1.8555980000000001</v>
      </c>
      <c r="E396">
        <v>30.421918000000002</v>
      </c>
      <c r="F396" t="s">
        <v>1500</v>
      </c>
      <c r="G396" t="s">
        <v>1501</v>
      </c>
    </row>
    <row r="397" spans="1:7" x14ac:dyDescent="0.3">
      <c r="A397" t="s">
        <v>1628</v>
      </c>
      <c r="B397" t="s">
        <v>1131</v>
      </c>
      <c r="C397" t="s">
        <v>26</v>
      </c>
      <c r="D397">
        <v>-6.4197189999999997</v>
      </c>
      <c r="E397">
        <v>22.287264</v>
      </c>
      <c r="F397" t="s">
        <v>1500</v>
      </c>
      <c r="G397" t="s">
        <v>1496</v>
      </c>
    </row>
    <row r="398" spans="1:7" x14ac:dyDescent="0.3">
      <c r="A398" t="s">
        <v>1628</v>
      </c>
      <c r="B398" t="s">
        <v>1650</v>
      </c>
      <c r="C398" t="s">
        <v>24</v>
      </c>
      <c r="D398">
        <v>-9.8451869999999992</v>
      </c>
      <c r="E398">
        <v>14.508520000000001</v>
      </c>
      <c r="F398" t="s">
        <v>1495</v>
      </c>
      <c r="G398" t="s">
        <v>1508</v>
      </c>
    </row>
    <row r="399" spans="1:7" x14ac:dyDescent="0.3">
      <c r="A399" t="s">
        <v>1628</v>
      </c>
      <c r="B399" t="s">
        <v>870</v>
      </c>
      <c r="C399" t="s">
        <v>24</v>
      </c>
      <c r="D399">
        <v>-2.9417719999999998</v>
      </c>
      <c r="E399">
        <v>18.587305000000001</v>
      </c>
      <c r="F399" t="s">
        <v>1495</v>
      </c>
      <c r="G399" t="s">
        <v>1496</v>
      </c>
    </row>
    <row r="400" spans="1:7" x14ac:dyDescent="0.3">
      <c r="A400" t="s">
        <v>1628</v>
      </c>
      <c r="B400" t="s">
        <v>1217</v>
      </c>
      <c r="C400" t="s">
        <v>37</v>
      </c>
      <c r="D400">
        <v>-11.793894</v>
      </c>
      <c r="E400">
        <v>20.433340999999999</v>
      </c>
      <c r="F400" t="s">
        <v>1495</v>
      </c>
      <c r="G400" t="s">
        <v>1508</v>
      </c>
    </row>
    <row r="401" spans="1:7" x14ac:dyDescent="0.3">
      <c r="A401" t="s">
        <v>1651</v>
      </c>
      <c r="B401" t="s">
        <v>1652</v>
      </c>
      <c r="C401" t="s">
        <v>57</v>
      </c>
      <c r="D401">
        <v>0.114899</v>
      </c>
      <c r="E401">
        <v>30.510916000000002</v>
      </c>
      <c r="F401" t="s">
        <v>1500</v>
      </c>
      <c r="G401" t="s">
        <v>1508</v>
      </c>
    </row>
    <row r="402" spans="1:7" x14ac:dyDescent="0.3">
      <c r="A402" t="s">
        <v>1651</v>
      </c>
      <c r="B402" t="s">
        <v>867</v>
      </c>
      <c r="C402" t="s">
        <v>24</v>
      </c>
      <c r="D402">
        <v>-5.5445120000000001</v>
      </c>
      <c r="E402">
        <v>27.547335</v>
      </c>
      <c r="F402" t="s">
        <v>1498</v>
      </c>
      <c r="G402" t="s">
        <v>1496</v>
      </c>
    </row>
    <row r="403" spans="1:7" x14ac:dyDescent="0.3">
      <c r="A403" t="s">
        <v>1651</v>
      </c>
      <c r="B403" t="s">
        <v>1193</v>
      </c>
      <c r="C403" t="s">
        <v>137</v>
      </c>
      <c r="D403">
        <v>2.0392079999999999</v>
      </c>
      <c r="E403">
        <v>19.090841999999999</v>
      </c>
      <c r="F403" t="s">
        <v>1498</v>
      </c>
      <c r="G403" t="s">
        <v>1508</v>
      </c>
    </row>
    <row r="404" spans="1:7" x14ac:dyDescent="0.3">
      <c r="A404" t="s">
        <v>1651</v>
      </c>
      <c r="B404" t="s">
        <v>824</v>
      </c>
      <c r="C404" t="s">
        <v>67</v>
      </c>
      <c r="D404">
        <v>-2.2371569999999998</v>
      </c>
      <c r="E404">
        <v>25.926188</v>
      </c>
      <c r="F404" t="s">
        <v>1500</v>
      </c>
      <c r="G404" t="s">
        <v>1508</v>
      </c>
    </row>
    <row r="405" spans="1:7" x14ac:dyDescent="0.3">
      <c r="A405" t="s">
        <v>1651</v>
      </c>
      <c r="B405" t="s">
        <v>938</v>
      </c>
      <c r="C405" t="s">
        <v>33</v>
      </c>
      <c r="D405">
        <v>-10.414493</v>
      </c>
      <c r="E405">
        <v>12.333356999999999</v>
      </c>
      <c r="F405" t="s">
        <v>1500</v>
      </c>
      <c r="G405" t="s">
        <v>1496</v>
      </c>
    </row>
    <row r="406" spans="1:7" x14ac:dyDescent="0.3">
      <c r="A406" t="s">
        <v>1651</v>
      </c>
      <c r="B406" t="s">
        <v>982</v>
      </c>
      <c r="C406" t="s">
        <v>64</v>
      </c>
      <c r="D406">
        <v>-7.5418399999999997</v>
      </c>
      <c r="E406">
        <v>16.931206</v>
      </c>
      <c r="F406" t="s">
        <v>1500</v>
      </c>
      <c r="G406" t="s">
        <v>1508</v>
      </c>
    </row>
    <row r="407" spans="1:7" x14ac:dyDescent="0.3">
      <c r="A407" t="s">
        <v>1651</v>
      </c>
      <c r="B407" t="s">
        <v>1653</v>
      </c>
      <c r="C407" t="s">
        <v>40</v>
      </c>
      <c r="D407">
        <v>4.7908840000000001</v>
      </c>
      <c r="E407">
        <v>23.051435000000001</v>
      </c>
      <c r="F407" t="s">
        <v>1500</v>
      </c>
      <c r="G407" t="s">
        <v>1508</v>
      </c>
    </row>
    <row r="408" spans="1:7" x14ac:dyDescent="0.3">
      <c r="A408" t="s">
        <v>1651</v>
      </c>
      <c r="B408" t="s">
        <v>1654</v>
      </c>
      <c r="C408" t="s">
        <v>60</v>
      </c>
      <c r="D408">
        <v>-3.544581</v>
      </c>
      <c r="E408">
        <v>14.776605</v>
      </c>
      <c r="F408" t="s">
        <v>1498</v>
      </c>
      <c r="G408" t="s">
        <v>1508</v>
      </c>
    </row>
    <row r="409" spans="1:7" x14ac:dyDescent="0.3">
      <c r="A409" t="s">
        <v>1651</v>
      </c>
      <c r="B409" t="s">
        <v>1150</v>
      </c>
      <c r="C409" t="s">
        <v>127</v>
      </c>
      <c r="D409">
        <v>-6.9624990000000002</v>
      </c>
      <c r="E409">
        <v>20.759834999999999</v>
      </c>
      <c r="F409" t="s">
        <v>1498</v>
      </c>
      <c r="G409" t="s">
        <v>1499</v>
      </c>
    </row>
    <row r="410" spans="1:7" x14ac:dyDescent="0.3">
      <c r="A410" t="s">
        <v>1651</v>
      </c>
      <c r="B410" t="s">
        <v>1655</v>
      </c>
      <c r="C410" t="s">
        <v>13</v>
      </c>
      <c r="D410">
        <v>3.796754</v>
      </c>
      <c r="E410">
        <v>25.172377999999998</v>
      </c>
      <c r="F410" t="s">
        <v>1498</v>
      </c>
      <c r="G410" t="s">
        <v>1499</v>
      </c>
    </row>
    <row r="411" spans="1:7" x14ac:dyDescent="0.3">
      <c r="A411" t="s">
        <v>1651</v>
      </c>
      <c r="B411" t="s">
        <v>950</v>
      </c>
      <c r="C411" t="s">
        <v>13</v>
      </c>
      <c r="D411">
        <v>-2.3677800000000002</v>
      </c>
      <c r="E411">
        <v>18.790323999999998</v>
      </c>
      <c r="F411" t="s">
        <v>1495</v>
      </c>
      <c r="G411" t="s">
        <v>1499</v>
      </c>
    </row>
    <row r="412" spans="1:7" x14ac:dyDescent="0.3">
      <c r="A412" t="s">
        <v>1651</v>
      </c>
      <c r="B412" t="s">
        <v>1656</v>
      </c>
      <c r="C412" t="s">
        <v>40</v>
      </c>
      <c r="D412">
        <v>-6.236097</v>
      </c>
      <c r="E412">
        <v>13.004878</v>
      </c>
      <c r="F412" t="s">
        <v>1498</v>
      </c>
      <c r="G412" t="s">
        <v>1496</v>
      </c>
    </row>
    <row r="413" spans="1:7" x14ac:dyDescent="0.3">
      <c r="A413" t="s">
        <v>1651</v>
      </c>
      <c r="B413" t="s">
        <v>1657</v>
      </c>
      <c r="C413" t="s">
        <v>73</v>
      </c>
      <c r="D413">
        <v>-12.88086</v>
      </c>
      <c r="E413">
        <v>18.862106000000001</v>
      </c>
      <c r="F413" t="s">
        <v>1500</v>
      </c>
      <c r="G413" t="s">
        <v>1508</v>
      </c>
    </row>
    <row r="414" spans="1:7" x14ac:dyDescent="0.3">
      <c r="A414" t="s">
        <v>1651</v>
      </c>
      <c r="B414" t="s">
        <v>1658</v>
      </c>
      <c r="C414" t="s">
        <v>131</v>
      </c>
      <c r="D414">
        <v>-1.501492</v>
      </c>
      <c r="E414">
        <v>24.088695999999999</v>
      </c>
      <c r="F414" t="s">
        <v>1498</v>
      </c>
      <c r="G414" t="s">
        <v>1508</v>
      </c>
    </row>
    <row r="415" spans="1:7" x14ac:dyDescent="0.3">
      <c r="A415" t="s">
        <v>1651</v>
      </c>
      <c r="B415" t="s">
        <v>1469</v>
      </c>
      <c r="C415" t="s">
        <v>33</v>
      </c>
      <c r="D415">
        <v>-8.0800809999999998</v>
      </c>
      <c r="E415">
        <v>30.147970999999998</v>
      </c>
      <c r="F415" t="s">
        <v>1495</v>
      </c>
      <c r="G415" t="s">
        <v>1499</v>
      </c>
    </row>
    <row r="416" spans="1:7" x14ac:dyDescent="0.3">
      <c r="A416" t="s">
        <v>1651</v>
      </c>
      <c r="B416" t="s">
        <v>1659</v>
      </c>
      <c r="C416" t="s">
        <v>26</v>
      </c>
      <c r="D416">
        <v>-9.8519260000000006</v>
      </c>
      <c r="E416">
        <v>12.925583</v>
      </c>
      <c r="F416" t="s">
        <v>1495</v>
      </c>
      <c r="G416" t="s">
        <v>1496</v>
      </c>
    </row>
    <row r="417" spans="1:7" x14ac:dyDescent="0.3">
      <c r="A417" t="s">
        <v>1651</v>
      </c>
      <c r="B417" t="s">
        <v>961</v>
      </c>
      <c r="C417" t="s">
        <v>78</v>
      </c>
      <c r="D417">
        <v>-4.6818410000000004</v>
      </c>
      <c r="E417">
        <v>17.541618</v>
      </c>
      <c r="F417" t="s">
        <v>1498</v>
      </c>
      <c r="G417" t="s">
        <v>1496</v>
      </c>
    </row>
    <row r="418" spans="1:7" x14ac:dyDescent="0.3">
      <c r="A418" t="s">
        <v>1651</v>
      </c>
      <c r="B418" t="s">
        <v>1660</v>
      </c>
      <c r="C418" t="s">
        <v>31</v>
      </c>
      <c r="D418">
        <v>-2.7775059999999998</v>
      </c>
      <c r="E418">
        <v>24.139983999999998</v>
      </c>
      <c r="F418" t="s">
        <v>1500</v>
      </c>
      <c r="G418" t="s">
        <v>1496</v>
      </c>
    </row>
    <row r="419" spans="1:7" x14ac:dyDescent="0.3">
      <c r="A419" t="s">
        <v>1651</v>
      </c>
      <c r="B419" t="s">
        <v>1661</v>
      </c>
      <c r="C419" t="s">
        <v>31</v>
      </c>
      <c r="D419">
        <v>3.4676979999999999</v>
      </c>
      <c r="E419">
        <v>13.459707</v>
      </c>
      <c r="F419" t="s">
        <v>1495</v>
      </c>
      <c r="G419" t="s">
        <v>1499</v>
      </c>
    </row>
    <row r="420" spans="1:7" x14ac:dyDescent="0.3">
      <c r="A420" t="s">
        <v>1651</v>
      </c>
      <c r="B420" t="s">
        <v>1148</v>
      </c>
      <c r="C420" t="s">
        <v>73</v>
      </c>
      <c r="D420">
        <v>-9.4133639999999996</v>
      </c>
      <c r="E420">
        <v>15.682482</v>
      </c>
      <c r="F420" t="s">
        <v>1498</v>
      </c>
      <c r="G420" t="s">
        <v>1499</v>
      </c>
    </row>
    <row r="421" spans="1:7" x14ac:dyDescent="0.3">
      <c r="A421" t="s">
        <v>1651</v>
      </c>
      <c r="B421" t="s">
        <v>1346</v>
      </c>
      <c r="C421" t="s">
        <v>62</v>
      </c>
      <c r="D421">
        <v>1.981107</v>
      </c>
      <c r="E421">
        <v>23.932569000000001</v>
      </c>
      <c r="F421" t="s">
        <v>1500</v>
      </c>
      <c r="G421" t="s">
        <v>1508</v>
      </c>
    </row>
    <row r="422" spans="1:7" x14ac:dyDescent="0.3">
      <c r="A422" t="s">
        <v>1651</v>
      </c>
      <c r="B422" t="s">
        <v>1219</v>
      </c>
      <c r="C422" t="s">
        <v>13</v>
      </c>
      <c r="D422">
        <v>-7.789663</v>
      </c>
      <c r="E422">
        <v>26.529098000000001</v>
      </c>
      <c r="F422" t="s">
        <v>1495</v>
      </c>
      <c r="G422" t="s">
        <v>1508</v>
      </c>
    </row>
    <row r="423" spans="1:7" x14ac:dyDescent="0.3">
      <c r="A423" t="s">
        <v>1651</v>
      </c>
      <c r="B423" t="s">
        <v>1119</v>
      </c>
      <c r="C423" t="s">
        <v>21</v>
      </c>
      <c r="D423">
        <v>-4.1694589999999998</v>
      </c>
      <c r="E423">
        <v>23.376487000000001</v>
      </c>
      <c r="F423" t="s">
        <v>1500</v>
      </c>
      <c r="G423" t="s">
        <v>1508</v>
      </c>
    </row>
    <row r="424" spans="1:7" x14ac:dyDescent="0.3">
      <c r="A424" t="s">
        <v>1651</v>
      </c>
      <c r="B424" t="s">
        <v>905</v>
      </c>
      <c r="C424" t="s">
        <v>131</v>
      </c>
      <c r="D424">
        <v>1.8103860000000001</v>
      </c>
      <c r="E424">
        <v>15.175582</v>
      </c>
      <c r="F424" t="s">
        <v>1500</v>
      </c>
      <c r="G424" t="s">
        <v>1499</v>
      </c>
    </row>
    <row r="425" spans="1:7" x14ac:dyDescent="0.3">
      <c r="A425" t="s">
        <v>1651</v>
      </c>
      <c r="B425" t="s">
        <v>1456</v>
      </c>
      <c r="C425" t="s">
        <v>44</v>
      </c>
      <c r="D425">
        <v>-7.5641280000000002</v>
      </c>
      <c r="E425">
        <v>18.129529999999999</v>
      </c>
      <c r="F425" t="s">
        <v>1500</v>
      </c>
      <c r="G425" t="s">
        <v>1499</v>
      </c>
    </row>
    <row r="426" spans="1:7" x14ac:dyDescent="0.3">
      <c r="A426" t="s">
        <v>1651</v>
      </c>
      <c r="B426" t="s">
        <v>837</v>
      </c>
      <c r="C426" t="s">
        <v>37</v>
      </c>
      <c r="D426">
        <v>-2.4662510000000002</v>
      </c>
      <c r="E426">
        <v>18.007998000000001</v>
      </c>
      <c r="F426" t="s">
        <v>1495</v>
      </c>
      <c r="G426" t="s">
        <v>1496</v>
      </c>
    </row>
    <row r="427" spans="1:7" x14ac:dyDescent="0.3">
      <c r="A427" t="s">
        <v>1651</v>
      </c>
      <c r="B427" t="s">
        <v>1662</v>
      </c>
      <c r="C427" t="s">
        <v>10</v>
      </c>
      <c r="D427">
        <v>-4.1061909999999999</v>
      </c>
      <c r="E427">
        <v>28.054902999999999</v>
      </c>
      <c r="F427" t="s">
        <v>1500</v>
      </c>
      <c r="G427" t="s">
        <v>1499</v>
      </c>
    </row>
    <row r="428" spans="1:7" x14ac:dyDescent="0.3">
      <c r="A428" t="s">
        <v>1651</v>
      </c>
      <c r="B428" t="s">
        <v>1094</v>
      </c>
      <c r="C428" t="s">
        <v>21</v>
      </c>
      <c r="D428">
        <v>0.31740800000000002</v>
      </c>
      <c r="E428">
        <v>27.197666999999999</v>
      </c>
      <c r="F428" t="s">
        <v>1495</v>
      </c>
      <c r="G428" t="s">
        <v>1508</v>
      </c>
    </row>
    <row r="429" spans="1:7" x14ac:dyDescent="0.3">
      <c r="A429" t="s">
        <v>1651</v>
      </c>
      <c r="B429" t="s">
        <v>1349</v>
      </c>
      <c r="C429" t="s">
        <v>131</v>
      </c>
      <c r="D429">
        <v>-8.9586360000000003</v>
      </c>
      <c r="E429">
        <v>17.157720000000001</v>
      </c>
      <c r="F429" t="s">
        <v>1500</v>
      </c>
      <c r="G429" t="s">
        <v>1508</v>
      </c>
    </row>
    <row r="430" spans="1:7" x14ac:dyDescent="0.3">
      <c r="A430" t="s">
        <v>1651</v>
      </c>
      <c r="B430" t="s">
        <v>1081</v>
      </c>
      <c r="C430" t="s">
        <v>21</v>
      </c>
      <c r="D430">
        <v>1.2419519999999999</v>
      </c>
      <c r="E430">
        <v>25.261382999999999</v>
      </c>
      <c r="F430" t="s">
        <v>1498</v>
      </c>
      <c r="G430" t="s">
        <v>1499</v>
      </c>
    </row>
    <row r="431" spans="1:7" x14ac:dyDescent="0.3">
      <c r="A431" t="s">
        <v>1651</v>
      </c>
      <c r="B431" t="s">
        <v>1366</v>
      </c>
      <c r="C431" t="s">
        <v>64</v>
      </c>
      <c r="D431">
        <v>-10.227569000000001</v>
      </c>
      <c r="E431">
        <v>18.887930999999998</v>
      </c>
      <c r="F431" t="s">
        <v>1500</v>
      </c>
      <c r="G431" t="s">
        <v>1501</v>
      </c>
    </row>
    <row r="432" spans="1:7" x14ac:dyDescent="0.3">
      <c r="A432" t="s">
        <v>1651</v>
      </c>
      <c r="B432" t="s">
        <v>1042</v>
      </c>
      <c r="C432" t="s">
        <v>35</v>
      </c>
      <c r="D432">
        <v>-7.5969509999999998</v>
      </c>
      <c r="E432">
        <v>22.153986</v>
      </c>
      <c r="F432" t="s">
        <v>1500</v>
      </c>
      <c r="G432" t="s">
        <v>1496</v>
      </c>
    </row>
    <row r="433" spans="1:7" x14ac:dyDescent="0.3">
      <c r="A433" t="s">
        <v>1651</v>
      </c>
      <c r="B433" t="s">
        <v>1356</v>
      </c>
      <c r="C433" t="s">
        <v>21</v>
      </c>
      <c r="D433">
        <v>-1.4700059999999999</v>
      </c>
      <c r="E433">
        <v>18.680958</v>
      </c>
      <c r="F433" t="s">
        <v>1500</v>
      </c>
      <c r="G433" t="s">
        <v>1499</v>
      </c>
    </row>
    <row r="434" spans="1:7" x14ac:dyDescent="0.3">
      <c r="A434" t="s">
        <v>1651</v>
      </c>
      <c r="B434" t="s">
        <v>1071</v>
      </c>
      <c r="C434" t="s">
        <v>21</v>
      </c>
      <c r="D434">
        <v>-1.5419050000000001</v>
      </c>
      <c r="E434">
        <v>14.730632999999999</v>
      </c>
      <c r="F434" t="s">
        <v>1500</v>
      </c>
      <c r="G434" t="s">
        <v>1501</v>
      </c>
    </row>
    <row r="435" spans="1:7" x14ac:dyDescent="0.3">
      <c r="A435" t="s">
        <v>1651</v>
      </c>
      <c r="B435" t="s">
        <v>1475</v>
      </c>
      <c r="C435" t="s">
        <v>35</v>
      </c>
      <c r="D435">
        <v>-10.764815</v>
      </c>
      <c r="E435">
        <v>14.602039</v>
      </c>
      <c r="F435" t="s">
        <v>1498</v>
      </c>
      <c r="G435" t="s">
        <v>1508</v>
      </c>
    </row>
    <row r="436" spans="1:7" x14ac:dyDescent="0.3">
      <c r="A436" t="s">
        <v>1651</v>
      </c>
      <c r="B436" t="s">
        <v>1111</v>
      </c>
      <c r="C436" t="s">
        <v>127</v>
      </c>
      <c r="D436">
        <v>-1.013558</v>
      </c>
      <c r="E436">
        <v>17.346937</v>
      </c>
      <c r="F436" t="s">
        <v>1495</v>
      </c>
      <c r="G436" t="s">
        <v>1499</v>
      </c>
    </row>
    <row r="437" spans="1:7" x14ac:dyDescent="0.3">
      <c r="A437" t="s">
        <v>1651</v>
      </c>
      <c r="B437" t="s">
        <v>1472</v>
      </c>
      <c r="C437" t="s">
        <v>60</v>
      </c>
      <c r="D437">
        <v>-7.8215969999999997</v>
      </c>
      <c r="E437">
        <v>26.797349000000001</v>
      </c>
      <c r="F437" t="s">
        <v>1500</v>
      </c>
      <c r="G437" t="s">
        <v>1496</v>
      </c>
    </row>
    <row r="438" spans="1:7" x14ac:dyDescent="0.3">
      <c r="A438" t="s">
        <v>1651</v>
      </c>
      <c r="B438" t="s">
        <v>884</v>
      </c>
      <c r="C438" t="s">
        <v>40</v>
      </c>
      <c r="D438">
        <v>-9.7712979999999998</v>
      </c>
      <c r="E438">
        <v>19.827895999999999</v>
      </c>
      <c r="F438" t="s">
        <v>1500</v>
      </c>
      <c r="G438" t="s">
        <v>1501</v>
      </c>
    </row>
    <row r="439" spans="1:7" x14ac:dyDescent="0.3">
      <c r="A439" t="s">
        <v>1651</v>
      </c>
      <c r="B439" t="s">
        <v>1663</v>
      </c>
      <c r="C439" t="s">
        <v>33</v>
      </c>
      <c r="D439">
        <v>3.3222779999999998</v>
      </c>
      <c r="E439">
        <v>29.497240000000001</v>
      </c>
      <c r="F439" t="s">
        <v>1500</v>
      </c>
      <c r="G439" t="s">
        <v>1501</v>
      </c>
    </row>
    <row r="440" spans="1:7" x14ac:dyDescent="0.3">
      <c r="A440" t="s">
        <v>1651</v>
      </c>
      <c r="B440" t="s">
        <v>1345</v>
      </c>
      <c r="C440" t="s">
        <v>18</v>
      </c>
      <c r="D440">
        <v>-1.3938550000000001</v>
      </c>
      <c r="E440">
        <v>15.097554000000001</v>
      </c>
      <c r="F440" t="s">
        <v>1498</v>
      </c>
      <c r="G440" t="s">
        <v>1499</v>
      </c>
    </row>
    <row r="441" spans="1:7" x14ac:dyDescent="0.3">
      <c r="A441" t="s">
        <v>1651</v>
      </c>
      <c r="B441" t="s">
        <v>1249</v>
      </c>
      <c r="C441" t="s">
        <v>127</v>
      </c>
      <c r="D441">
        <v>-12.488033</v>
      </c>
      <c r="E441">
        <v>16.139648000000001</v>
      </c>
      <c r="F441" t="s">
        <v>1498</v>
      </c>
      <c r="G441" t="s">
        <v>1499</v>
      </c>
    </row>
    <row r="442" spans="1:7" x14ac:dyDescent="0.3">
      <c r="A442" t="s">
        <v>1651</v>
      </c>
      <c r="B442" t="s">
        <v>1664</v>
      </c>
      <c r="C442" t="s">
        <v>18</v>
      </c>
      <c r="D442">
        <v>0.76493</v>
      </c>
      <c r="E442">
        <v>21.564274999999999</v>
      </c>
      <c r="F442" t="s">
        <v>1500</v>
      </c>
      <c r="G442" t="s">
        <v>1501</v>
      </c>
    </row>
    <row r="443" spans="1:7" x14ac:dyDescent="0.3">
      <c r="A443" t="s">
        <v>1651</v>
      </c>
      <c r="B443" t="s">
        <v>1101</v>
      </c>
      <c r="C443" t="s">
        <v>10</v>
      </c>
      <c r="D443">
        <v>-4.1250960000000001</v>
      </c>
      <c r="E443">
        <v>27.799897999999999</v>
      </c>
      <c r="F443" t="s">
        <v>1500</v>
      </c>
      <c r="G443" t="s">
        <v>1508</v>
      </c>
    </row>
    <row r="444" spans="1:7" x14ac:dyDescent="0.3">
      <c r="A444" t="s">
        <v>1651</v>
      </c>
      <c r="B444" t="s">
        <v>880</v>
      </c>
      <c r="C444" t="s">
        <v>24</v>
      </c>
      <c r="D444">
        <v>4.4712560000000003</v>
      </c>
      <c r="E444">
        <v>27.107028</v>
      </c>
      <c r="F444" t="s">
        <v>1500</v>
      </c>
      <c r="G444" t="s">
        <v>1496</v>
      </c>
    </row>
    <row r="445" spans="1:7" x14ac:dyDescent="0.3">
      <c r="A445" t="s">
        <v>1651</v>
      </c>
      <c r="B445" t="s">
        <v>1395</v>
      </c>
      <c r="C445" t="s">
        <v>127</v>
      </c>
      <c r="D445">
        <v>-2.2199559999999998</v>
      </c>
      <c r="E445">
        <v>22.614449</v>
      </c>
      <c r="F445" t="s">
        <v>1500</v>
      </c>
      <c r="G445" t="s">
        <v>1508</v>
      </c>
    </row>
    <row r="446" spans="1:7" x14ac:dyDescent="0.3">
      <c r="A446" t="s">
        <v>1651</v>
      </c>
      <c r="B446" t="s">
        <v>1170</v>
      </c>
      <c r="C446" t="s">
        <v>35</v>
      </c>
      <c r="D446">
        <v>-6.4883290000000002</v>
      </c>
      <c r="E446">
        <v>25.103404000000001</v>
      </c>
      <c r="F446" t="s">
        <v>1495</v>
      </c>
      <c r="G446" t="s">
        <v>1501</v>
      </c>
    </row>
    <row r="447" spans="1:7" x14ac:dyDescent="0.3">
      <c r="A447" t="s">
        <v>1651</v>
      </c>
      <c r="B447" t="s">
        <v>1005</v>
      </c>
      <c r="C447" t="s">
        <v>29</v>
      </c>
      <c r="D447">
        <v>-4.351254</v>
      </c>
      <c r="E447">
        <v>30.097408999999999</v>
      </c>
      <c r="F447" t="s">
        <v>1495</v>
      </c>
      <c r="G447" t="s">
        <v>1508</v>
      </c>
    </row>
    <row r="448" spans="1:7" x14ac:dyDescent="0.3">
      <c r="A448" t="s">
        <v>1651</v>
      </c>
      <c r="B448" t="s">
        <v>1454</v>
      </c>
      <c r="C448" t="s">
        <v>24</v>
      </c>
      <c r="D448">
        <v>-5.1507670000000001</v>
      </c>
      <c r="E448">
        <v>28.075324999999999</v>
      </c>
      <c r="F448" t="s">
        <v>1495</v>
      </c>
      <c r="G448" t="s">
        <v>1499</v>
      </c>
    </row>
    <row r="449" spans="1:7" x14ac:dyDescent="0.3">
      <c r="A449" t="s">
        <v>1651</v>
      </c>
      <c r="B449" t="s">
        <v>1665</v>
      </c>
      <c r="C449" t="s">
        <v>18</v>
      </c>
      <c r="D449">
        <v>-8.3575920000000004</v>
      </c>
      <c r="E449">
        <v>25.538395000000001</v>
      </c>
      <c r="F449" t="s">
        <v>1500</v>
      </c>
      <c r="G449" t="s">
        <v>1501</v>
      </c>
    </row>
    <row r="450" spans="1:7" x14ac:dyDescent="0.3">
      <c r="A450" t="s">
        <v>1651</v>
      </c>
      <c r="B450" t="s">
        <v>1666</v>
      </c>
      <c r="C450" t="s">
        <v>10</v>
      </c>
      <c r="D450">
        <v>-0.65356899999999996</v>
      </c>
      <c r="E450">
        <v>25.343032999999998</v>
      </c>
      <c r="F450" t="s">
        <v>1498</v>
      </c>
      <c r="G450" t="s">
        <v>1496</v>
      </c>
    </row>
    <row r="451" spans="1:7" x14ac:dyDescent="0.3">
      <c r="A451" t="s">
        <v>1667</v>
      </c>
      <c r="B451" t="s">
        <v>1668</v>
      </c>
      <c r="C451" t="s">
        <v>62</v>
      </c>
      <c r="D451">
        <v>-2.290705</v>
      </c>
      <c r="E451">
        <v>19.150395</v>
      </c>
      <c r="F451" t="s">
        <v>1495</v>
      </c>
      <c r="G451" t="s">
        <v>1496</v>
      </c>
    </row>
    <row r="452" spans="1:7" x14ac:dyDescent="0.3">
      <c r="A452" t="s">
        <v>1667</v>
      </c>
      <c r="B452" t="s">
        <v>819</v>
      </c>
      <c r="C452" t="s">
        <v>40</v>
      </c>
      <c r="D452">
        <v>4.8319039999999998</v>
      </c>
      <c r="E452">
        <v>20.733468999999999</v>
      </c>
      <c r="F452" t="s">
        <v>1495</v>
      </c>
      <c r="G452" t="s">
        <v>1496</v>
      </c>
    </row>
    <row r="453" spans="1:7" x14ac:dyDescent="0.3">
      <c r="A453" t="s">
        <v>1667</v>
      </c>
      <c r="B453" t="s">
        <v>1669</v>
      </c>
      <c r="C453" t="s">
        <v>78</v>
      </c>
      <c r="D453">
        <v>-10.790281</v>
      </c>
      <c r="E453">
        <v>12.624336</v>
      </c>
      <c r="F453" t="s">
        <v>1498</v>
      </c>
      <c r="G453" t="s">
        <v>1508</v>
      </c>
    </row>
    <row r="454" spans="1:7" x14ac:dyDescent="0.3">
      <c r="A454" t="s">
        <v>1667</v>
      </c>
      <c r="B454" t="s">
        <v>1670</v>
      </c>
      <c r="C454" t="s">
        <v>26</v>
      </c>
      <c r="D454">
        <v>2.0859640000000002</v>
      </c>
      <c r="E454">
        <v>22.576664000000001</v>
      </c>
      <c r="F454" t="s">
        <v>1498</v>
      </c>
      <c r="G454" t="s">
        <v>1501</v>
      </c>
    </row>
    <row r="455" spans="1:7" x14ac:dyDescent="0.3">
      <c r="A455" t="s">
        <v>1667</v>
      </c>
      <c r="B455" t="s">
        <v>1257</v>
      </c>
      <c r="C455" t="s">
        <v>51</v>
      </c>
      <c r="D455">
        <v>5.3608999999999997E-2</v>
      </c>
      <c r="E455">
        <v>28.346852999999999</v>
      </c>
      <c r="F455" t="s">
        <v>1500</v>
      </c>
      <c r="G455" t="s">
        <v>1501</v>
      </c>
    </row>
    <row r="456" spans="1:7" x14ac:dyDescent="0.3">
      <c r="A456" t="s">
        <v>1667</v>
      </c>
      <c r="B456" t="s">
        <v>1308</v>
      </c>
      <c r="C456" t="s">
        <v>131</v>
      </c>
      <c r="D456">
        <v>-7.9866700000000002</v>
      </c>
      <c r="E456">
        <v>17.757847000000002</v>
      </c>
      <c r="F456" t="s">
        <v>1495</v>
      </c>
      <c r="G456" t="s">
        <v>1499</v>
      </c>
    </row>
    <row r="457" spans="1:7" x14ac:dyDescent="0.3">
      <c r="A457" t="s">
        <v>1667</v>
      </c>
      <c r="B457" t="s">
        <v>1381</v>
      </c>
      <c r="C457" t="s">
        <v>35</v>
      </c>
      <c r="D457">
        <v>-0.157111</v>
      </c>
      <c r="E457">
        <v>25.415125</v>
      </c>
      <c r="F457" t="s">
        <v>1498</v>
      </c>
      <c r="G457" t="s">
        <v>1496</v>
      </c>
    </row>
    <row r="458" spans="1:7" x14ac:dyDescent="0.3">
      <c r="A458" t="s">
        <v>1667</v>
      </c>
      <c r="B458" t="s">
        <v>1671</v>
      </c>
      <c r="C458" t="s">
        <v>127</v>
      </c>
      <c r="D458">
        <v>-2.5254650000000001</v>
      </c>
      <c r="E458">
        <v>21.338113</v>
      </c>
      <c r="F458" t="s">
        <v>1495</v>
      </c>
      <c r="G458" t="s">
        <v>1508</v>
      </c>
    </row>
    <row r="459" spans="1:7" x14ac:dyDescent="0.3">
      <c r="A459" t="s">
        <v>1667</v>
      </c>
      <c r="B459" t="s">
        <v>1178</v>
      </c>
      <c r="C459" t="s">
        <v>31</v>
      </c>
      <c r="D459">
        <v>-8.0864899999999995</v>
      </c>
      <c r="E459">
        <v>14.555277</v>
      </c>
      <c r="F459" t="s">
        <v>1500</v>
      </c>
      <c r="G459" t="s">
        <v>1496</v>
      </c>
    </row>
    <row r="460" spans="1:7" x14ac:dyDescent="0.3">
      <c r="A460" t="s">
        <v>1667</v>
      </c>
      <c r="B460" t="s">
        <v>998</v>
      </c>
      <c r="C460" t="s">
        <v>18</v>
      </c>
      <c r="D460">
        <v>1.210869</v>
      </c>
      <c r="E460">
        <v>25.598741</v>
      </c>
      <c r="F460" t="s">
        <v>1498</v>
      </c>
      <c r="G460" t="s">
        <v>1496</v>
      </c>
    </row>
    <row r="461" spans="1:7" x14ac:dyDescent="0.3">
      <c r="A461" t="s">
        <v>1667</v>
      </c>
      <c r="B461" t="s">
        <v>1116</v>
      </c>
      <c r="C461" t="s">
        <v>35</v>
      </c>
      <c r="D461">
        <v>-1.4110389999999999</v>
      </c>
      <c r="E461">
        <v>21.261644</v>
      </c>
      <c r="F461" t="s">
        <v>1498</v>
      </c>
      <c r="G461" t="s">
        <v>1501</v>
      </c>
    </row>
    <row r="462" spans="1:7" x14ac:dyDescent="0.3">
      <c r="A462" t="s">
        <v>1667</v>
      </c>
      <c r="B462" t="s">
        <v>1486</v>
      </c>
      <c r="C462" t="s">
        <v>13</v>
      </c>
      <c r="D462">
        <v>-5.7957599999999996</v>
      </c>
      <c r="E462">
        <v>14.078258</v>
      </c>
      <c r="F462" t="s">
        <v>1495</v>
      </c>
      <c r="G462" t="s">
        <v>1496</v>
      </c>
    </row>
    <row r="463" spans="1:7" x14ac:dyDescent="0.3">
      <c r="A463" t="s">
        <v>1667</v>
      </c>
      <c r="B463" t="s">
        <v>948</v>
      </c>
      <c r="C463" t="s">
        <v>127</v>
      </c>
      <c r="D463">
        <v>-4.4351269999999996</v>
      </c>
      <c r="E463">
        <v>24.825467</v>
      </c>
      <c r="F463" t="s">
        <v>1498</v>
      </c>
      <c r="G463" t="s">
        <v>1499</v>
      </c>
    </row>
    <row r="464" spans="1:7" x14ac:dyDescent="0.3">
      <c r="A464" t="s">
        <v>1667</v>
      </c>
      <c r="B464" t="s">
        <v>1672</v>
      </c>
      <c r="C464" t="s">
        <v>57</v>
      </c>
      <c r="D464">
        <v>-2.1430220000000002</v>
      </c>
      <c r="E464">
        <v>24.541492999999999</v>
      </c>
      <c r="F464" t="s">
        <v>1498</v>
      </c>
      <c r="G464" t="s">
        <v>1501</v>
      </c>
    </row>
    <row r="465" spans="1:7" x14ac:dyDescent="0.3">
      <c r="A465" t="s">
        <v>1667</v>
      </c>
      <c r="B465" t="s">
        <v>1200</v>
      </c>
      <c r="C465" t="s">
        <v>60</v>
      </c>
      <c r="D465">
        <v>-5.7200150000000001</v>
      </c>
      <c r="E465">
        <v>25.022109</v>
      </c>
      <c r="F465" t="s">
        <v>1495</v>
      </c>
      <c r="G465" t="s">
        <v>1501</v>
      </c>
    </row>
    <row r="466" spans="1:7" x14ac:dyDescent="0.3">
      <c r="A466" t="s">
        <v>1667</v>
      </c>
      <c r="B466" t="s">
        <v>1673</v>
      </c>
      <c r="C466" t="s">
        <v>10</v>
      </c>
      <c r="D466">
        <v>-4.2784089999999999</v>
      </c>
      <c r="E466">
        <v>22.871994000000001</v>
      </c>
      <c r="F466" t="s">
        <v>1500</v>
      </c>
      <c r="G466" t="s">
        <v>1496</v>
      </c>
    </row>
    <row r="467" spans="1:7" x14ac:dyDescent="0.3">
      <c r="A467" t="s">
        <v>1667</v>
      </c>
      <c r="B467" t="s">
        <v>1674</v>
      </c>
      <c r="C467" t="s">
        <v>35</v>
      </c>
      <c r="D467">
        <v>-7.9799689999999996</v>
      </c>
      <c r="E467">
        <v>21.042310000000001</v>
      </c>
      <c r="F467" t="s">
        <v>1498</v>
      </c>
      <c r="G467" t="s">
        <v>1501</v>
      </c>
    </row>
    <row r="468" spans="1:7" x14ac:dyDescent="0.3">
      <c r="A468" t="s">
        <v>1667</v>
      </c>
      <c r="B468" t="s">
        <v>1675</v>
      </c>
      <c r="C468" t="s">
        <v>10</v>
      </c>
      <c r="D468">
        <v>0.82399199999999995</v>
      </c>
      <c r="E468">
        <v>28.232678</v>
      </c>
      <c r="F468" t="s">
        <v>1500</v>
      </c>
      <c r="G468" t="s">
        <v>1499</v>
      </c>
    </row>
    <row r="469" spans="1:7" x14ac:dyDescent="0.3">
      <c r="A469" t="s">
        <v>1667</v>
      </c>
      <c r="B469" t="s">
        <v>1676</v>
      </c>
      <c r="C469" t="s">
        <v>33</v>
      </c>
      <c r="D469">
        <v>-11.055339999999999</v>
      </c>
      <c r="E469">
        <v>21.627016000000001</v>
      </c>
      <c r="F469" t="s">
        <v>1495</v>
      </c>
      <c r="G469" t="s">
        <v>1508</v>
      </c>
    </row>
    <row r="470" spans="1:7" x14ac:dyDescent="0.3">
      <c r="A470" t="s">
        <v>1667</v>
      </c>
      <c r="B470" t="s">
        <v>1677</v>
      </c>
      <c r="C470" t="s">
        <v>24</v>
      </c>
      <c r="D470">
        <v>-4.0490719999999998</v>
      </c>
      <c r="E470">
        <v>21.399131000000001</v>
      </c>
      <c r="F470" t="s">
        <v>1500</v>
      </c>
      <c r="G470" t="s">
        <v>1501</v>
      </c>
    </row>
    <row r="471" spans="1:7" x14ac:dyDescent="0.3">
      <c r="A471" t="s">
        <v>1667</v>
      </c>
      <c r="B471" t="s">
        <v>1455</v>
      </c>
      <c r="C471" t="s">
        <v>26</v>
      </c>
      <c r="D471">
        <v>-1.6893210000000001</v>
      </c>
      <c r="E471">
        <v>30.446543999999999</v>
      </c>
      <c r="F471" t="s">
        <v>1498</v>
      </c>
      <c r="G471" t="s">
        <v>1499</v>
      </c>
    </row>
    <row r="472" spans="1:7" x14ac:dyDescent="0.3">
      <c r="A472" t="s">
        <v>1667</v>
      </c>
      <c r="B472" t="s">
        <v>1091</v>
      </c>
      <c r="C472" t="s">
        <v>13</v>
      </c>
      <c r="D472">
        <v>-10.577049000000001</v>
      </c>
      <c r="E472">
        <v>23.721854</v>
      </c>
      <c r="F472" t="s">
        <v>1498</v>
      </c>
      <c r="G472" t="s">
        <v>1501</v>
      </c>
    </row>
    <row r="473" spans="1:7" x14ac:dyDescent="0.3">
      <c r="A473" t="s">
        <v>1667</v>
      </c>
      <c r="B473" t="s">
        <v>1373</v>
      </c>
      <c r="C473" t="s">
        <v>21</v>
      </c>
      <c r="D473">
        <v>-11.207139</v>
      </c>
      <c r="E473">
        <v>18.702511999999999</v>
      </c>
      <c r="F473" t="s">
        <v>1495</v>
      </c>
      <c r="G473" t="s">
        <v>1496</v>
      </c>
    </row>
    <row r="474" spans="1:7" x14ac:dyDescent="0.3">
      <c r="A474" t="s">
        <v>1667</v>
      </c>
      <c r="B474" t="s">
        <v>1678</v>
      </c>
      <c r="C474" t="s">
        <v>29</v>
      </c>
      <c r="D474">
        <v>-12.048655999999999</v>
      </c>
      <c r="E474">
        <v>30.577876</v>
      </c>
      <c r="F474" t="s">
        <v>1495</v>
      </c>
      <c r="G474" t="s">
        <v>1501</v>
      </c>
    </row>
    <row r="475" spans="1:7" x14ac:dyDescent="0.3">
      <c r="A475" t="s">
        <v>1667</v>
      </c>
      <c r="B475" t="s">
        <v>1679</v>
      </c>
      <c r="C475" t="s">
        <v>64</v>
      </c>
      <c r="D475">
        <v>-11.771884</v>
      </c>
      <c r="E475">
        <v>18.089172999999999</v>
      </c>
      <c r="F475" t="s">
        <v>1498</v>
      </c>
      <c r="G475" t="s">
        <v>1508</v>
      </c>
    </row>
    <row r="476" spans="1:7" x14ac:dyDescent="0.3">
      <c r="A476" t="s">
        <v>1667</v>
      </c>
      <c r="B476" t="s">
        <v>967</v>
      </c>
      <c r="C476" t="s">
        <v>13</v>
      </c>
      <c r="D476">
        <v>-0.79406600000000005</v>
      </c>
      <c r="E476">
        <v>12.534793000000001</v>
      </c>
      <c r="F476" t="s">
        <v>1500</v>
      </c>
      <c r="G476" t="s">
        <v>1499</v>
      </c>
    </row>
    <row r="477" spans="1:7" x14ac:dyDescent="0.3">
      <c r="A477" t="s">
        <v>1667</v>
      </c>
      <c r="B477" t="s">
        <v>1124</v>
      </c>
      <c r="C477" t="s">
        <v>26</v>
      </c>
      <c r="D477">
        <v>4.497306</v>
      </c>
      <c r="E477">
        <v>12.857251</v>
      </c>
      <c r="F477" t="s">
        <v>1495</v>
      </c>
      <c r="G477" t="s">
        <v>1496</v>
      </c>
    </row>
    <row r="478" spans="1:7" x14ac:dyDescent="0.3">
      <c r="A478" t="s">
        <v>1667</v>
      </c>
      <c r="B478" t="s">
        <v>1680</v>
      </c>
      <c r="C478" t="s">
        <v>13</v>
      </c>
      <c r="D478">
        <v>-6.1126060000000004</v>
      </c>
      <c r="E478">
        <v>27.901748999999999</v>
      </c>
      <c r="F478" t="s">
        <v>1498</v>
      </c>
      <c r="G478" t="s">
        <v>1501</v>
      </c>
    </row>
    <row r="479" spans="1:7" x14ac:dyDescent="0.3">
      <c r="A479" t="s">
        <v>1667</v>
      </c>
      <c r="B479" t="s">
        <v>844</v>
      </c>
      <c r="C479" t="s">
        <v>51</v>
      </c>
      <c r="D479">
        <v>-0.77432100000000004</v>
      </c>
      <c r="E479">
        <v>18.628658999999999</v>
      </c>
      <c r="F479" t="s">
        <v>1498</v>
      </c>
      <c r="G479" t="s">
        <v>1499</v>
      </c>
    </row>
    <row r="480" spans="1:7" x14ac:dyDescent="0.3">
      <c r="A480" t="s">
        <v>1667</v>
      </c>
      <c r="B480" t="s">
        <v>931</v>
      </c>
      <c r="C480" t="s">
        <v>131</v>
      </c>
      <c r="D480">
        <v>-10.25074</v>
      </c>
      <c r="E480">
        <v>26.099086</v>
      </c>
      <c r="F480" t="s">
        <v>1498</v>
      </c>
      <c r="G480" t="s">
        <v>1499</v>
      </c>
    </row>
    <row r="481" spans="1:7" x14ac:dyDescent="0.3">
      <c r="A481" t="s">
        <v>1667</v>
      </c>
      <c r="B481" t="s">
        <v>956</v>
      </c>
      <c r="C481" t="s">
        <v>127</v>
      </c>
      <c r="D481">
        <v>-1.8045979999999999</v>
      </c>
      <c r="E481">
        <v>12.511096999999999</v>
      </c>
      <c r="F481" t="s">
        <v>1500</v>
      </c>
      <c r="G481" t="s">
        <v>1499</v>
      </c>
    </row>
    <row r="482" spans="1:7" x14ac:dyDescent="0.3">
      <c r="A482" t="s">
        <v>1667</v>
      </c>
      <c r="B482" t="s">
        <v>1288</v>
      </c>
      <c r="C482" t="s">
        <v>73</v>
      </c>
      <c r="D482">
        <v>-11.265995</v>
      </c>
      <c r="E482">
        <v>28.935514999999999</v>
      </c>
      <c r="F482" t="s">
        <v>1498</v>
      </c>
      <c r="G482" t="s">
        <v>1496</v>
      </c>
    </row>
    <row r="483" spans="1:7" x14ac:dyDescent="0.3">
      <c r="A483" t="s">
        <v>1667</v>
      </c>
      <c r="B483" t="s">
        <v>937</v>
      </c>
      <c r="C483" t="s">
        <v>13</v>
      </c>
      <c r="D483">
        <v>-11.622688999999999</v>
      </c>
      <c r="E483">
        <v>18.483874</v>
      </c>
      <c r="F483" t="s">
        <v>1495</v>
      </c>
      <c r="G483" t="s">
        <v>1501</v>
      </c>
    </row>
    <row r="484" spans="1:7" x14ac:dyDescent="0.3">
      <c r="A484" t="s">
        <v>1667</v>
      </c>
      <c r="B484" t="s">
        <v>987</v>
      </c>
      <c r="C484" t="s">
        <v>13</v>
      </c>
      <c r="D484">
        <v>0.52897499999999997</v>
      </c>
      <c r="E484">
        <v>13.849651</v>
      </c>
      <c r="F484" t="s">
        <v>1500</v>
      </c>
      <c r="G484" t="s">
        <v>1501</v>
      </c>
    </row>
    <row r="485" spans="1:7" x14ac:dyDescent="0.3">
      <c r="A485" t="s">
        <v>1667</v>
      </c>
      <c r="B485" t="s">
        <v>1681</v>
      </c>
      <c r="C485" t="s">
        <v>40</v>
      </c>
      <c r="D485">
        <v>0.81629799999999997</v>
      </c>
      <c r="E485">
        <v>18.557718000000001</v>
      </c>
      <c r="F485" t="s">
        <v>1495</v>
      </c>
      <c r="G485" t="s">
        <v>1496</v>
      </c>
    </row>
    <row r="486" spans="1:7" x14ac:dyDescent="0.3">
      <c r="A486" t="s">
        <v>1667</v>
      </c>
      <c r="B486" t="s">
        <v>1485</v>
      </c>
      <c r="C486" t="s">
        <v>51</v>
      </c>
      <c r="D486">
        <v>1.2691650000000001</v>
      </c>
      <c r="E486">
        <v>18.789956</v>
      </c>
      <c r="F486" t="s">
        <v>1500</v>
      </c>
      <c r="G486" t="s">
        <v>1508</v>
      </c>
    </row>
    <row r="487" spans="1:7" x14ac:dyDescent="0.3">
      <c r="A487" t="s">
        <v>1667</v>
      </c>
      <c r="B487" t="s">
        <v>992</v>
      </c>
      <c r="C487" t="s">
        <v>44</v>
      </c>
      <c r="D487">
        <v>-9.3652280000000001</v>
      </c>
      <c r="E487">
        <v>18.674116000000001</v>
      </c>
      <c r="F487" t="s">
        <v>1498</v>
      </c>
      <c r="G487" t="s">
        <v>1499</v>
      </c>
    </row>
    <row r="488" spans="1:7" x14ac:dyDescent="0.3">
      <c r="A488" t="s">
        <v>1667</v>
      </c>
      <c r="B488" t="s">
        <v>1682</v>
      </c>
      <c r="C488" t="s">
        <v>131</v>
      </c>
      <c r="D488">
        <v>-1.082322</v>
      </c>
      <c r="E488">
        <v>24.563559999999999</v>
      </c>
      <c r="F488" t="s">
        <v>1498</v>
      </c>
      <c r="G488" t="s">
        <v>1501</v>
      </c>
    </row>
    <row r="489" spans="1:7" x14ac:dyDescent="0.3">
      <c r="A489" t="s">
        <v>1667</v>
      </c>
      <c r="B489" t="s">
        <v>1070</v>
      </c>
      <c r="C489" t="s">
        <v>131</v>
      </c>
      <c r="D489">
        <v>-4.1754939999999996</v>
      </c>
      <c r="E489">
        <v>16.704664999999999</v>
      </c>
      <c r="F489" t="s">
        <v>1500</v>
      </c>
      <c r="G489" t="s">
        <v>1496</v>
      </c>
    </row>
    <row r="490" spans="1:7" x14ac:dyDescent="0.3">
      <c r="A490" t="s">
        <v>1667</v>
      </c>
      <c r="B490" t="s">
        <v>1683</v>
      </c>
      <c r="C490" t="s">
        <v>37</v>
      </c>
      <c r="D490">
        <v>-8.290025</v>
      </c>
      <c r="E490">
        <v>24.313573999999999</v>
      </c>
      <c r="F490" t="s">
        <v>1498</v>
      </c>
      <c r="G490" t="s">
        <v>1496</v>
      </c>
    </row>
    <row r="491" spans="1:7" x14ac:dyDescent="0.3">
      <c r="A491" t="s">
        <v>1667</v>
      </c>
      <c r="B491" t="s">
        <v>1428</v>
      </c>
      <c r="C491" t="s">
        <v>89</v>
      </c>
      <c r="D491">
        <v>-6.8149179999999996</v>
      </c>
      <c r="E491">
        <v>23.258102000000001</v>
      </c>
      <c r="F491" t="s">
        <v>1495</v>
      </c>
      <c r="G491" t="s">
        <v>1499</v>
      </c>
    </row>
    <row r="492" spans="1:7" x14ac:dyDescent="0.3">
      <c r="A492" t="s">
        <v>1667</v>
      </c>
      <c r="B492" t="s">
        <v>922</v>
      </c>
      <c r="C492" t="s">
        <v>51</v>
      </c>
      <c r="D492">
        <v>2.4741019999999998</v>
      </c>
      <c r="E492">
        <v>29.297391000000001</v>
      </c>
      <c r="F492" t="s">
        <v>1498</v>
      </c>
      <c r="G492" t="s">
        <v>1496</v>
      </c>
    </row>
    <row r="493" spans="1:7" x14ac:dyDescent="0.3">
      <c r="A493" t="s">
        <v>1667</v>
      </c>
      <c r="B493" t="s">
        <v>1396</v>
      </c>
      <c r="C493" t="s">
        <v>18</v>
      </c>
      <c r="D493">
        <v>-3.1608390000000002</v>
      </c>
      <c r="E493">
        <v>13.244503999999999</v>
      </c>
      <c r="F493" t="s">
        <v>1500</v>
      </c>
      <c r="G493" t="s">
        <v>1499</v>
      </c>
    </row>
    <row r="494" spans="1:7" x14ac:dyDescent="0.3">
      <c r="A494" t="s">
        <v>1667</v>
      </c>
      <c r="B494" t="s">
        <v>1684</v>
      </c>
      <c r="C494" t="s">
        <v>29</v>
      </c>
      <c r="D494">
        <v>4.1464489999999996</v>
      </c>
      <c r="E494">
        <v>17.793337000000001</v>
      </c>
      <c r="F494" t="s">
        <v>1495</v>
      </c>
      <c r="G494" t="s">
        <v>1501</v>
      </c>
    </row>
    <row r="495" spans="1:7" x14ac:dyDescent="0.3">
      <c r="A495" t="s">
        <v>1667</v>
      </c>
      <c r="B495" t="s">
        <v>1051</v>
      </c>
      <c r="C495" t="s">
        <v>40</v>
      </c>
      <c r="D495">
        <v>-12.431227</v>
      </c>
      <c r="E495">
        <v>18.414290999999999</v>
      </c>
      <c r="F495" t="s">
        <v>1495</v>
      </c>
      <c r="G495" t="s">
        <v>1499</v>
      </c>
    </row>
    <row r="496" spans="1:7" x14ac:dyDescent="0.3">
      <c r="A496" t="s">
        <v>1667</v>
      </c>
      <c r="B496" t="s">
        <v>894</v>
      </c>
      <c r="C496" t="s">
        <v>21</v>
      </c>
      <c r="D496">
        <v>-5.2526849999999996</v>
      </c>
      <c r="E496">
        <v>12.374528</v>
      </c>
      <c r="F496" t="s">
        <v>1500</v>
      </c>
      <c r="G496" t="s">
        <v>1508</v>
      </c>
    </row>
    <row r="497" spans="1:7" x14ac:dyDescent="0.3">
      <c r="A497" t="s">
        <v>1667</v>
      </c>
      <c r="B497" t="s">
        <v>1685</v>
      </c>
      <c r="C497" t="s">
        <v>33</v>
      </c>
      <c r="D497">
        <v>3.4689049999999999</v>
      </c>
      <c r="E497">
        <v>18.19622</v>
      </c>
      <c r="F497" t="s">
        <v>1495</v>
      </c>
      <c r="G497" t="s">
        <v>1499</v>
      </c>
    </row>
    <row r="498" spans="1:7" x14ac:dyDescent="0.3">
      <c r="A498" t="s">
        <v>1667</v>
      </c>
      <c r="B498" t="s">
        <v>1686</v>
      </c>
      <c r="C498" t="s">
        <v>78</v>
      </c>
      <c r="D498">
        <v>-6.0946619999999996</v>
      </c>
      <c r="E498">
        <v>20.757277999999999</v>
      </c>
      <c r="F498" t="s">
        <v>1495</v>
      </c>
      <c r="G498" t="s">
        <v>1499</v>
      </c>
    </row>
    <row r="499" spans="1:7" x14ac:dyDescent="0.3">
      <c r="A499" t="s">
        <v>1667</v>
      </c>
      <c r="B499" t="s">
        <v>1313</v>
      </c>
      <c r="C499" t="s">
        <v>33</v>
      </c>
      <c r="D499">
        <v>-7.3379339999999997</v>
      </c>
      <c r="E499">
        <v>28.404001999999998</v>
      </c>
      <c r="F499" t="s">
        <v>1500</v>
      </c>
      <c r="G499" t="s">
        <v>1508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7C1A-10E4-4546-BC30-DC62A354342E}">
  <dimension ref="A1:L524"/>
  <sheetViews>
    <sheetView workbookViewId="0">
      <selection activeCell="G1" sqref="G1:G1048576"/>
    </sheetView>
  </sheetViews>
  <sheetFormatPr baseColWidth="10" defaultRowHeight="14.4" x14ac:dyDescent="0.3"/>
  <cols>
    <col min="1" max="1" width="22" bestFit="1" customWidth="1"/>
    <col min="2" max="2" width="18.77734375" bestFit="1" customWidth="1"/>
    <col min="3" max="3" width="25.5546875" bestFit="1" customWidth="1"/>
    <col min="4" max="4" width="9" bestFit="1" customWidth="1"/>
    <col min="5" max="5" width="17.6640625" bestFit="1" customWidth="1"/>
    <col min="6" max="6" width="17.109375" bestFit="1" customWidth="1"/>
    <col min="7" max="7" width="26.21875" bestFit="1" customWidth="1"/>
    <col min="8" max="8" width="28.5546875" bestFit="1" customWidth="1"/>
    <col min="9" max="9" width="23.5546875" bestFit="1" customWidth="1"/>
    <col min="10" max="10" width="24.88671875" bestFit="1" customWidth="1"/>
    <col min="11" max="11" width="26.77734375" bestFit="1" customWidth="1"/>
    <col min="12" max="12" width="28.88671875" bestFit="1" customWidth="1"/>
  </cols>
  <sheetData>
    <row r="1" spans="1:12" x14ac:dyDescent="0.3">
      <c r="A1" t="s">
        <v>0</v>
      </c>
      <c r="B1" t="s">
        <v>801</v>
      </c>
      <c r="C1" t="s">
        <v>1487</v>
      </c>
      <c r="D1" t="s">
        <v>802</v>
      </c>
      <c r="E1" t="s">
        <v>803</v>
      </c>
      <c r="F1" t="s">
        <v>804</v>
      </c>
      <c r="G1" t="s">
        <v>1687</v>
      </c>
      <c r="H1" t="s">
        <v>1688</v>
      </c>
      <c r="I1" t="s">
        <v>1689</v>
      </c>
      <c r="J1" t="s">
        <v>1690</v>
      </c>
      <c r="K1" t="s">
        <v>1691</v>
      </c>
      <c r="L1" t="s">
        <v>1692</v>
      </c>
    </row>
    <row r="2" spans="1:12" x14ac:dyDescent="0.3">
      <c r="A2" t="s">
        <v>805</v>
      </c>
      <c r="B2" s="1">
        <v>45212</v>
      </c>
      <c r="C2" s="2">
        <v>0.14027777777777778</v>
      </c>
      <c r="D2" t="s">
        <v>826</v>
      </c>
      <c r="E2">
        <v>19</v>
      </c>
      <c r="F2" t="s">
        <v>810</v>
      </c>
      <c r="G2" t="s">
        <v>826</v>
      </c>
      <c r="H2" t="s">
        <v>37</v>
      </c>
      <c r="I2">
        <v>-9.4708620000000003</v>
      </c>
      <c r="J2">
        <v>29.234387999999999</v>
      </c>
      <c r="K2" t="s">
        <v>1500</v>
      </c>
      <c r="L2" t="s">
        <v>1501</v>
      </c>
    </row>
    <row r="3" spans="1:12" x14ac:dyDescent="0.3">
      <c r="A3" t="s">
        <v>805</v>
      </c>
      <c r="B3" s="1">
        <v>45213</v>
      </c>
      <c r="C3" s="2">
        <v>4.2361111111111113E-2</v>
      </c>
      <c r="D3" t="s">
        <v>814</v>
      </c>
      <c r="E3">
        <v>119</v>
      </c>
      <c r="F3" t="s">
        <v>810</v>
      </c>
      <c r="G3" t="s">
        <v>814</v>
      </c>
      <c r="H3" t="s">
        <v>62</v>
      </c>
      <c r="I3">
        <v>-2.8211520000000001</v>
      </c>
      <c r="J3">
        <v>20.651419000000001</v>
      </c>
      <c r="K3" t="s">
        <v>1495</v>
      </c>
      <c r="L3" t="s">
        <v>1496</v>
      </c>
    </row>
    <row r="4" spans="1:12" x14ac:dyDescent="0.3">
      <c r="A4" t="s">
        <v>805</v>
      </c>
      <c r="B4" s="1">
        <v>45202</v>
      </c>
      <c r="C4" s="2">
        <v>0.25972222222222224</v>
      </c>
      <c r="D4" t="s">
        <v>815</v>
      </c>
      <c r="E4">
        <v>79</v>
      </c>
      <c r="F4" t="s">
        <v>807</v>
      </c>
      <c r="G4" t="s">
        <v>815</v>
      </c>
      <c r="H4" t="s">
        <v>33</v>
      </c>
      <c r="I4">
        <v>-1.648264</v>
      </c>
      <c r="J4">
        <v>28.866143999999998</v>
      </c>
      <c r="K4" t="s">
        <v>1495</v>
      </c>
      <c r="L4" t="s">
        <v>1496</v>
      </c>
    </row>
    <row r="5" spans="1:12" x14ac:dyDescent="0.3">
      <c r="A5" t="s">
        <v>898</v>
      </c>
      <c r="B5" s="1">
        <v>45210</v>
      </c>
      <c r="C5" s="2">
        <v>0.56805555555555554</v>
      </c>
      <c r="D5" t="s">
        <v>904</v>
      </c>
      <c r="E5">
        <v>96</v>
      </c>
      <c r="F5" t="s">
        <v>807</v>
      </c>
      <c r="G5" t="s">
        <v>904</v>
      </c>
      <c r="H5" t="s">
        <v>64</v>
      </c>
      <c r="I5">
        <v>-5.4126279999999998</v>
      </c>
      <c r="J5">
        <v>25.498235999999999</v>
      </c>
      <c r="K5" t="s">
        <v>1495</v>
      </c>
      <c r="L5" t="s">
        <v>1501</v>
      </c>
    </row>
    <row r="6" spans="1:12" x14ac:dyDescent="0.3">
      <c r="A6" t="s">
        <v>805</v>
      </c>
      <c r="B6" s="1">
        <v>45213</v>
      </c>
      <c r="C6" s="2">
        <v>0.31111111111111112</v>
      </c>
      <c r="D6" t="s">
        <v>819</v>
      </c>
      <c r="E6">
        <v>22</v>
      </c>
      <c r="F6" t="s">
        <v>810</v>
      </c>
      <c r="G6" t="s">
        <v>819</v>
      </c>
      <c r="H6" t="s">
        <v>40</v>
      </c>
      <c r="I6">
        <v>4.8319039999999998</v>
      </c>
      <c r="J6">
        <v>20.733468999999999</v>
      </c>
      <c r="K6" t="s">
        <v>1495</v>
      </c>
      <c r="L6" t="s">
        <v>1496</v>
      </c>
    </row>
    <row r="7" spans="1:12" x14ac:dyDescent="0.3">
      <c r="A7" t="s">
        <v>805</v>
      </c>
      <c r="B7" s="1">
        <v>45218</v>
      </c>
      <c r="C7" s="2">
        <v>0.36875000000000002</v>
      </c>
      <c r="D7" t="s">
        <v>820</v>
      </c>
      <c r="E7">
        <v>70</v>
      </c>
      <c r="F7" t="s">
        <v>807</v>
      </c>
      <c r="G7" t="s">
        <v>820</v>
      </c>
      <c r="H7" t="s">
        <v>67</v>
      </c>
      <c r="I7">
        <v>-8.4227860000000003</v>
      </c>
      <c r="J7">
        <v>16.781293000000002</v>
      </c>
      <c r="K7" t="s">
        <v>1498</v>
      </c>
      <c r="L7" t="s">
        <v>1499</v>
      </c>
    </row>
    <row r="8" spans="1:12" x14ac:dyDescent="0.3">
      <c r="A8" t="s">
        <v>805</v>
      </c>
      <c r="B8" s="1">
        <v>45208</v>
      </c>
      <c r="C8" s="2">
        <v>7.3611111111111113E-2</v>
      </c>
      <c r="D8" t="s">
        <v>820</v>
      </c>
      <c r="E8">
        <v>85</v>
      </c>
      <c r="F8" t="s">
        <v>810</v>
      </c>
      <c r="G8" t="s">
        <v>820</v>
      </c>
      <c r="H8" t="s">
        <v>67</v>
      </c>
      <c r="I8">
        <v>-8.4227860000000003</v>
      </c>
      <c r="J8">
        <v>16.781293000000002</v>
      </c>
      <c r="K8" t="s">
        <v>1498</v>
      </c>
      <c r="L8" t="s">
        <v>1499</v>
      </c>
    </row>
    <row r="9" spans="1:12" x14ac:dyDescent="0.3">
      <c r="A9" t="s">
        <v>805</v>
      </c>
      <c r="B9" s="1">
        <v>45204</v>
      </c>
      <c r="C9" s="2">
        <v>0.28333333333333333</v>
      </c>
      <c r="D9" t="s">
        <v>824</v>
      </c>
      <c r="E9">
        <v>11</v>
      </c>
      <c r="F9" t="s">
        <v>812</v>
      </c>
      <c r="G9" t="s">
        <v>824</v>
      </c>
      <c r="H9" t="s">
        <v>67</v>
      </c>
      <c r="I9">
        <v>-2.2371569999999998</v>
      </c>
      <c r="J9">
        <v>25.926188</v>
      </c>
      <c r="K9" t="s">
        <v>1500</v>
      </c>
      <c r="L9" t="s">
        <v>1508</v>
      </c>
    </row>
    <row r="10" spans="1:12" x14ac:dyDescent="0.3">
      <c r="A10" t="s">
        <v>977</v>
      </c>
      <c r="B10" s="1">
        <v>45215</v>
      </c>
      <c r="C10" s="2">
        <v>0.37638888888888888</v>
      </c>
      <c r="D10" t="s">
        <v>824</v>
      </c>
      <c r="E10">
        <v>65</v>
      </c>
      <c r="F10" t="s">
        <v>812</v>
      </c>
      <c r="G10" t="s">
        <v>824</v>
      </c>
      <c r="H10" t="s">
        <v>67</v>
      </c>
      <c r="I10">
        <v>-2.2371569999999998</v>
      </c>
      <c r="J10">
        <v>25.926188</v>
      </c>
      <c r="K10" t="s">
        <v>1500</v>
      </c>
      <c r="L10" t="s">
        <v>1508</v>
      </c>
    </row>
    <row r="11" spans="1:12" x14ac:dyDescent="0.3">
      <c r="A11" t="s">
        <v>898</v>
      </c>
      <c r="B11" s="1">
        <v>45216</v>
      </c>
      <c r="C11" s="2">
        <v>0.90277777777777779</v>
      </c>
      <c r="D11" t="s">
        <v>929</v>
      </c>
      <c r="E11">
        <v>20</v>
      </c>
      <c r="F11" t="s">
        <v>812</v>
      </c>
      <c r="G11" t="s">
        <v>929</v>
      </c>
      <c r="H11" t="s">
        <v>51</v>
      </c>
      <c r="I11">
        <v>-4.2408359999999998</v>
      </c>
      <c r="J11">
        <v>26.210014000000001</v>
      </c>
      <c r="K11" t="s">
        <v>1498</v>
      </c>
      <c r="L11" t="s">
        <v>1499</v>
      </c>
    </row>
    <row r="12" spans="1:12" x14ac:dyDescent="0.3">
      <c r="A12" t="s">
        <v>1073</v>
      </c>
      <c r="B12" s="1">
        <v>45221</v>
      </c>
      <c r="C12" s="2">
        <v>0.37638888888888888</v>
      </c>
      <c r="D12" t="s">
        <v>1096</v>
      </c>
      <c r="E12">
        <v>59</v>
      </c>
      <c r="F12" t="s">
        <v>812</v>
      </c>
      <c r="G12" t="s">
        <v>1096</v>
      </c>
      <c r="H12" t="s">
        <v>78</v>
      </c>
      <c r="I12">
        <v>-8.4824669999999998</v>
      </c>
      <c r="J12">
        <v>21.897777999999999</v>
      </c>
      <c r="K12" t="s">
        <v>1495</v>
      </c>
      <c r="L12" t="s">
        <v>1496</v>
      </c>
    </row>
    <row r="13" spans="1:12" x14ac:dyDescent="0.3">
      <c r="A13" t="s">
        <v>854</v>
      </c>
      <c r="B13" s="1">
        <v>45216</v>
      </c>
      <c r="C13" s="2">
        <v>0.67361111111111116</v>
      </c>
      <c r="D13" t="s">
        <v>881</v>
      </c>
      <c r="E13">
        <v>117</v>
      </c>
      <c r="F13" t="s">
        <v>807</v>
      </c>
      <c r="G13" t="s">
        <v>881</v>
      </c>
      <c r="H13" t="s">
        <v>31</v>
      </c>
      <c r="I13">
        <v>-12.141233</v>
      </c>
      <c r="J13">
        <v>15.179043999999999</v>
      </c>
      <c r="K13" t="s">
        <v>1495</v>
      </c>
      <c r="L13" t="s">
        <v>1496</v>
      </c>
    </row>
    <row r="14" spans="1:12" x14ac:dyDescent="0.3">
      <c r="A14" t="s">
        <v>898</v>
      </c>
      <c r="B14" s="1">
        <v>45229</v>
      </c>
      <c r="C14" s="2">
        <v>0.73819444444444449</v>
      </c>
      <c r="D14" t="s">
        <v>908</v>
      </c>
      <c r="E14">
        <v>36</v>
      </c>
      <c r="F14" t="s">
        <v>810</v>
      </c>
      <c r="G14" t="s">
        <v>908</v>
      </c>
      <c r="H14" t="s">
        <v>67</v>
      </c>
      <c r="I14">
        <v>-11.218453999999999</v>
      </c>
      <c r="J14">
        <v>28.230025000000001</v>
      </c>
      <c r="K14" t="s">
        <v>1495</v>
      </c>
      <c r="L14" t="s">
        <v>1501</v>
      </c>
    </row>
    <row r="15" spans="1:12" x14ac:dyDescent="0.3">
      <c r="A15" t="s">
        <v>805</v>
      </c>
      <c r="B15" s="1">
        <v>45214</v>
      </c>
      <c r="C15" s="2">
        <v>0.71319444444444446</v>
      </c>
      <c r="D15" t="s">
        <v>828</v>
      </c>
      <c r="E15">
        <v>25</v>
      </c>
      <c r="F15" t="s">
        <v>807</v>
      </c>
      <c r="G15" t="s">
        <v>828</v>
      </c>
      <c r="H15" t="s">
        <v>24</v>
      </c>
      <c r="I15">
        <v>0.172153</v>
      </c>
      <c r="J15">
        <v>21.091376</v>
      </c>
      <c r="K15" t="s">
        <v>1500</v>
      </c>
      <c r="L15" t="s">
        <v>1496</v>
      </c>
    </row>
    <row r="16" spans="1:12" x14ac:dyDescent="0.3">
      <c r="A16" t="s">
        <v>977</v>
      </c>
      <c r="B16" s="1">
        <v>45201</v>
      </c>
      <c r="C16" s="2">
        <v>0.57430555555555551</v>
      </c>
      <c r="D16" t="s">
        <v>828</v>
      </c>
      <c r="E16">
        <v>75</v>
      </c>
      <c r="F16" t="s">
        <v>812</v>
      </c>
      <c r="G16" t="s">
        <v>828</v>
      </c>
      <c r="H16" t="s">
        <v>24</v>
      </c>
      <c r="I16">
        <v>0.172153</v>
      </c>
      <c r="J16">
        <v>21.091376</v>
      </c>
      <c r="K16" t="s">
        <v>1500</v>
      </c>
      <c r="L16" t="s">
        <v>1496</v>
      </c>
    </row>
    <row r="17" spans="1:12" x14ac:dyDescent="0.3">
      <c r="A17" t="s">
        <v>805</v>
      </c>
      <c r="B17" s="1">
        <v>45217</v>
      </c>
      <c r="C17" s="2">
        <v>0.96875</v>
      </c>
      <c r="D17" t="s">
        <v>842</v>
      </c>
      <c r="E17">
        <v>97</v>
      </c>
      <c r="F17" t="s">
        <v>810</v>
      </c>
      <c r="G17" t="s">
        <v>842</v>
      </c>
      <c r="H17" t="s">
        <v>29</v>
      </c>
      <c r="I17">
        <v>-10.059846</v>
      </c>
      <c r="J17">
        <v>14.375757999999999</v>
      </c>
      <c r="K17" t="s">
        <v>1498</v>
      </c>
      <c r="L17" t="s">
        <v>1499</v>
      </c>
    </row>
    <row r="18" spans="1:12" x14ac:dyDescent="0.3">
      <c r="A18" t="s">
        <v>1133</v>
      </c>
      <c r="B18" s="1">
        <v>45222</v>
      </c>
      <c r="C18" s="2">
        <v>0.58472222222222225</v>
      </c>
      <c r="D18" t="s">
        <v>1155</v>
      </c>
      <c r="E18">
        <v>15</v>
      </c>
      <c r="F18" t="s">
        <v>812</v>
      </c>
      <c r="G18" t="s">
        <v>1155</v>
      </c>
      <c r="H18" t="s">
        <v>60</v>
      </c>
      <c r="I18">
        <v>-9.1215879999999991</v>
      </c>
      <c r="J18">
        <v>16.457916999999998</v>
      </c>
      <c r="K18" t="s">
        <v>1498</v>
      </c>
      <c r="L18" t="s">
        <v>1508</v>
      </c>
    </row>
    <row r="19" spans="1:12" x14ac:dyDescent="0.3">
      <c r="A19" t="s">
        <v>1133</v>
      </c>
      <c r="B19" s="1">
        <v>45222</v>
      </c>
      <c r="C19" s="2">
        <v>0.65277777777777779</v>
      </c>
      <c r="D19" t="s">
        <v>1153</v>
      </c>
      <c r="E19">
        <v>46</v>
      </c>
      <c r="F19" t="s">
        <v>812</v>
      </c>
      <c r="G19" t="s">
        <v>1153</v>
      </c>
      <c r="H19" t="s">
        <v>67</v>
      </c>
      <c r="I19">
        <v>-11.266565999999999</v>
      </c>
      <c r="J19">
        <v>26.245055000000001</v>
      </c>
      <c r="K19" t="s">
        <v>1500</v>
      </c>
      <c r="L19" t="s">
        <v>1496</v>
      </c>
    </row>
    <row r="20" spans="1:12" x14ac:dyDescent="0.3">
      <c r="A20" t="s">
        <v>805</v>
      </c>
      <c r="B20" s="1">
        <v>45206</v>
      </c>
      <c r="C20" s="2">
        <v>0.9194444444444444</v>
      </c>
      <c r="D20" t="s">
        <v>832</v>
      </c>
      <c r="E20">
        <v>13</v>
      </c>
      <c r="F20" t="s">
        <v>810</v>
      </c>
      <c r="G20" t="s">
        <v>832</v>
      </c>
      <c r="H20" t="s">
        <v>31</v>
      </c>
      <c r="I20">
        <v>-10.56448</v>
      </c>
      <c r="J20">
        <v>19.792876</v>
      </c>
      <c r="K20" t="s">
        <v>1495</v>
      </c>
      <c r="L20" t="s">
        <v>1496</v>
      </c>
    </row>
    <row r="21" spans="1:12" x14ac:dyDescent="0.3">
      <c r="A21" t="s">
        <v>854</v>
      </c>
      <c r="B21" s="1">
        <v>45229</v>
      </c>
      <c r="C21" s="2">
        <v>0.59583333333333333</v>
      </c>
      <c r="D21" t="s">
        <v>832</v>
      </c>
      <c r="E21">
        <v>88</v>
      </c>
      <c r="F21" t="s">
        <v>812</v>
      </c>
      <c r="G21" t="s">
        <v>832</v>
      </c>
      <c r="H21" t="s">
        <v>31</v>
      </c>
      <c r="I21">
        <v>-10.56448</v>
      </c>
      <c r="J21">
        <v>19.792876</v>
      </c>
      <c r="K21" t="s">
        <v>1495</v>
      </c>
      <c r="L21" t="s">
        <v>1496</v>
      </c>
    </row>
    <row r="22" spans="1:12" x14ac:dyDescent="0.3">
      <c r="A22" t="s">
        <v>1098</v>
      </c>
      <c r="B22" s="1">
        <v>45202</v>
      </c>
      <c r="C22" s="2">
        <v>0.42083333333333334</v>
      </c>
      <c r="D22" t="s">
        <v>832</v>
      </c>
      <c r="E22">
        <v>84</v>
      </c>
      <c r="F22" t="s">
        <v>807</v>
      </c>
      <c r="G22" t="s">
        <v>832</v>
      </c>
      <c r="H22" t="s">
        <v>31</v>
      </c>
      <c r="I22">
        <v>-10.56448</v>
      </c>
      <c r="J22">
        <v>19.792876</v>
      </c>
      <c r="K22" t="s">
        <v>1495</v>
      </c>
      <c r="L22" t="s">
        <v>1496</v>
      </c>
    </row>
    <row r="23" spans="1:12" x14ac:dyDescent="0.3">
      <c r="A23" t="s">
        <v>805</v>
      </c>
      <c r="B23" s="1">
        <v>45201</v>
      </c>
      <c r="C23" s="2">
        <v>0.88472222222222219</v>
      </c>
      <c r="D23" t="s">
        <v>833</v>
      </c>
      <c r="E23">
        <v>54</v>
      </c>
      <c r="F23" t="s">
        <v>812</v>
      </c>
      <c r="G23" t="s">
        <v>833</v>
      </c>
      <c r="H23" t="s">
        <v>131</v>
      </c>
      <c r="I23">
        <v>4.6287159999999998</v>
      </c>
      <c r="J23">
        <v>19.407077999999998</v>
      </c>
      <c r="K23" t="s">
        <v>1498</v>
      </c>
      <c r="L23" t="s">
        <v>1496</v>
      </c>
    </row>
    <row r="24" spans="1:12" x14ac:dyDescent="0.3">
      <c r="A24" t="s">
        <v>1014</v>
      </c>
      <c r="B24" s="1">
        <v>45211</v>
      </c>
      <c r="C24" s="2">
        <v>0.47708333333333336</v>
      </c>
      <c r="D24" t="s">
        <v>833</v>
      </c>
      <c r="E24">
        <v>111</v>
      </c>
      <c r="F24" t="s">
        <v>807</v>
      </c>
      <c r="G24" t="s">
        <v>833</v>
      </c>
      <c r="H24" t="s">
        <v>131</v>
      </c>
      <c r="I24">
        <v>4.6287159999999998</v>
      </c>
      <c r="J24">
        <v>19.407077999999998</v>
      </c>
      <c r="K24" t="s">
        <v>1498</v>
      </c>
      <c r="L24" t="s">
        <v>1496</v>
      </c>
    </row>
    <row r="25" spans="1:12" x14ac:dyDescent="0.3">
      <c r="A25" t="s">
        <v>936</v>
      </c>
      <c r="B25" s="1">
        <v>45209</v>
      </c>
      <c r="C25" s="2">
        <v>0.90138888888888891</v>
      </c>
      <c r="D25" t="s">
        <v>968</v>
      </c>
      <c r="E25">
        <v>68</v>
      </c>
      <c r="F25" t="s">
        <v>810</v>
      </c>
      <c r="G25" t="s">
        <v>968</v>
      </c>
      <c r="H25" t="s">
        <v>31</v>
      </c>
      <c r="I25">
        <v>-8.3241560000000003</v>
      </c>
      <c r="J25">
        <v>19.543866000000001</v>
      </c>
      <c r="K25" t="s">
        <v>1498</v>
      </c>
      <c r="L25" t="s">
        <v>1501</v>
      </c>
    </row>
    <row r="26" spans="1:12" x14ac:dyDescent="0.3">
      <c r="A26" t="s">
        <v>936</v>
      </c>
      <c r="B26" s="1">
        <v>45221</v>
      </c>
      <c r="C26" s="2">
        <v>0.51736111111111116</v>
      </c>
      <c r="D26" t="s">
        <v>963</v>
      </c>
      <c r="E26">
        <v>83</v>
      </c>
      <c r="F26" t="s">
        <v>812</v>
      </c>
      <c r="G26" t="s">
        <v>963</v>
      </c>
      <c r="H26" t="s">
        <v>21</v>
      </c>
      <c r="I26">
        <v>-2.9651529999999999</v>
      </c>
      <c r="J26">
        <v>29.79908</v>
      </c>
      <c r="K26" t="s">
        <v>1498</v>
      </c>
      <c r="L26" t="s">
        <v>1496</v>
      </c>
    </row>
    <row r="27" spans="1:12" x14ac:dyDescent="0.3">
      <c r="A27" t="s">
        <v>1073</v>
      </c>
      <c r="B27" s="1">
        <v>45218</v>
      </c>
      <c r="C27" s="2">
        <v>0.67569444444444449</v>
      </c>
      <c r="D27" t="s">
        <v>963</v>
      </c>
      <c r="E27">
        <v>37</v>
      </c>
      <c r="F27" t="s">
        <v>812</v>
      </c>
      <c r="G27" t="s">
        <v>963</v>
      </c>
      <c r="H27" t="s">
        <v>21</v>
      </c>
      <c r="I27">
        <v>-2.9651529999999999</v>
      </c>
      <c r="J27">
        <v>29.79908</v>
      </c>
      <c r="K27" t="s">
        <v>1498</v>
      </c>
      <c r="L27" t="s">
        <v>1496</v>
      </c>
    </row>
    <row r="28" spans="1:12" x14ac:dyDescent="0.3">
      <c r="A28" t="s">
        <v>805</v>
      </c>
      <c r="B28" s="1">
        <v>45203</v>
      </c>
      <c r="C28" s="2">
        <v>0.51180555555555551</v>
      </c>
      <c r="D28" t="s">
        <v>835</v>
      </c>
      <c r="E28">
        <v>64</v>
      </c>
      <c r="F28" t="s">
        <v>812</v>
      </c>
      <c r="G28" t="s">
        <v>835</v>
      </c>
      <c r="H28" t="s">
        <v>73</v>
      </c>
      <c r="I28">
        <v>0.23583499999999999</v>
      </c>
      <c r="J28">
        <v>24.889558999999998</v>
      </c>
      <c r="K28" t="s">
        <v>1500</v>
      </c>
      <c r="L28" t="s">
        <v>1501</v>
      </c>
    </row>
    <row r="29" spans="1:12" x14ac:dyDescent="0.3">
      <c r="A29" t="s">
        <v>1098</v>
      </c>
      <c r="B29" s="1">
        <v>45205</v>
      </c>
      <c r="C29" s="2">
        <v>5.2083333333333336E-2</v>
      </c>
      <c r="D29" t="s">
        <v>1109</v>
      </c>
      <c r="E29">
        <v>81</v>
      </c>
      <c r="F29" t="s">
        <v>812</v>
      </c>
      <c r="G29" t="s">
        <v>1109</v>
      </c>
      <c r="H29" t="s">
        <v>29</v>
      </c>
      <c r="I29">
        <v>1.5802860000000001</v>
      </c>
      <c r="J29">
        <v>20.99053</v>
      </c>
      <c r="K29" t="s">
        <v>1498</v>
      </c>
      <c r="L29" t="s">
        <v>1501</v>
      </c>
    </row>
    <row r="30" spans="1:12" x14ac:dyDescent="0.3">
      <c r="A30" t="s">
        <v>1190</v>
      </c>
      <c r="B30" s="1">
        <v>45220</v>
      </c>
      <c r="C30" s="2">
        <v>0.92777777777777781</v>
      </c>
      <c r="D30" t="s">
        <v>1109</v>
      </c>
      <c r="E30">
        <v>22</v>
      </c>
      <c r="F30" t="s">
        <v>810</v>
      </c>
      <c r="G30" t="s">
        <v>1109</v>
      </c>
      <c r="H30" t="s">
        <v>29</v>
      </c>
      <c r="I30">
        <v>1.5802860000000001</v>
      </c>
      <c r="J30">
        <v>20.99053</v>
      </c>
      <c r="K30" t="s">
        <v>1498</v>
      </c>
      <c r="L30" t="s">
        <v>1501</v>
      </c>
    </row>
    <row r="31" spans="1:12" x14ac:dyDescent="0.3">
      <c r="A31" t="s">
        <v>805</v>
      </c>
      <c r="B31" s="1">
        <v>45211</v>
      </c>
      <c r="C31" s="2">
        <v>0.22430555555555556</v>
      </c>
      <c r="D31" t="s">
        <v>837</v>
      </c>
      <c r="E31">
        <v>37</v>
      </c>
      <c r="F31" t="s">
        <v>807</v>
      </c>
      <c r="G31" t="s">
        <v>837</v>
      </c>
      <c r="H31" t="s">
        <v>37</v>
      </c>
      <c r="I31">
        <v>-2.4662510000000002</v>
      </c>
      <c r="J31">
        <v>18.007998000000001</v>
      </c>
      <c r="K31" t="s">
        <v>1495</v>
      </c>
      <c r="L31" t="s">
        <v>1496</v>
      </c>
    </row>
    <row r="32" spans="1:12" x14ac:dyDescent="0.3">
      <c r="A32" t="s">
        <v>805</v>
      </c>
      <c r="B32" s="1">
        <v>45211</v>
      </c>
      <c r="C32" s="2">
        <v>0.27916666666666667</v>
      </c>
      <c r="D32" t="s">
        <v>838</v>
      </c>
      <c r="E32">
        <v>75</v>
      </c>
      <c r="F32" t="s">
        <v>807</v>
      </c>
      <c r="G32" t="s">
        <v>838</v>
      </c>
      <c r="H32" t="s">
        <v>89</v>
      </c>
      <c r="I32">
        <v>-8.1437910000000002</v>
      </c>
      <c r="J32">
        <v>28.946161</v>
      </c>
      <c r="K32" t="s">
        <v>1498</v>
      </c>
      <c r="L32" t="s">
        <v>1501</v>
      </c>
    </row>
    <row r="33" spans="1:12" x14ac:dyDescent="0.3">
      <c r="A33" t="s">
        <v>898</v>
      </c>
      <c r="B33" s="1">
        <v>45229</v>
      </c>
      <c r="C33" s="2">
        <v>0.44374999999999998</v>
      </c>
      <c r="D33" t="s">
        <v>912</v>
      </c>
      <c r="E33">
        <v>5</v>
      </c>
      <c r="F33" t="s">
        <v>807</v>
      </c>
      <c r="G33" t="s">
        <v>912</v>
      </c>
      <c r="H33" t="s">
        <v>33</v>
      </c>
      <c r="I33">
        <v>-6.6803710000000001</v>
      </c>
      <c r="J33">
        <v>21.955673000000001</v>
      </c>
      <c r="K33" t="s">
        <v>1498</v>
      </c>
      <c r="L33" t="s">
        <v>1508</v>
      </c>
    </row>
    <row r="34" spans="1:12" x14ac:dyDescent="0.3">
      <c r="A34" t="s">
        <v>805</v>
      </c>
      <c r="B34" s="1">
        <v>45208</v>
      </c>
      <c r="C34" s="2">
        <v>0.95763888888888893</v>
      </c>
      <c r="D34" t="s">
        <v>839</v>
      </c>
      <c r="E34">
        <v>115</v>
      </c>
      <c r="F34" t="s">
        <v>807</v>
      </c>
      <c r="G34" t="s">
        <v>839</v>
      </c>
      <c r="H34" t="s">
        <v>73</v>
      </c>
      <c r="I34">
        <v>-6.1837850000000003</v>
      </c>
      <c r="J34">
        <v>25.138759</v>
      </c>
      <c r="K34" t="s">
        <v>1500</v>
      </c>
      <c r="L34" t="s">
        <v>1496</v>
      </c>
    </row>
    <row r="35" spans="1:12" x14ac:dyDescent="0.3">
      <c r="A35" t="s">
        <v>805</v>
      </c>
      <c r="B35" s="1">
        <v>45221</v>
      </c>
      <c r="C35" s="2">
        <v>0.83611111111111114</v>
      </c>
      <c r="D35" t="s">
        <v>840</v>
      </c>
      <c r="E35">
        <v>6</v>
      </c>
      <c r="F35" t="s">
        <v>812</v>
      </c>
      <c r="G35" t="s">
        <v>840</v>
      </c>
      <c r="H35" t="s">
        <v>29</v>
      </c>
      <c r="I35">
        <v>-4.9789079999999997</v>
      </c>
      <c r="J35">
        <v>28.506295000000001</v>
      </c>
      <c r="K35" t="s">
        <v>1498</v>
      </c>
      <c r="L35" t="s">
        <v>1499</v>
      </c>
    </row>
    <row r="36" spans="1:12" x14ac:dyDescent="0.3">
      <c r="A36" t="s">
        <v>977</v>
      </c>
      <c r="B36" s="1">
        <v>45205</v>
      </c>
      <c r="C36" s="2">
        <v>5.2777777777777778E-2</v>
      </c>
      <c r="D36" t="s">
        <v>840</v>
      </c>
      <c r="E36">
        <v>102</v>
      </c>
      <c r="F36" t="s">
        <v>810</v>
      </c>
      <c r="G36" t="s">
        <v>840</v>
      </c>
      <c r="H36" t="s">
        <v>29</v>
      </c>
      <c r="I36">
        <v>-4.9789079999999997</v>
      </c>
      <c r="J36">
        <v>28.506295000000001</v>
      </c>
      <c r="K36" t="s">
        <v>1498</v>
      </c>
      <c r="L36" t="s">
        <v>1499</v>
      </c>
    </row>
    <row r="37" spans="1:12" x14ac:dyDescent="0.3">
      <c r="A37" t="s">
        <v>854</v>
      </c>
      <c r="B37" s="1">
        <v>45222</v>
      </c>
      <c r="C37" s="2">
        <v>0.63124999999999998</v>
      </c>
      <c r="D37" t="s">
        <v>876</v>
      </c>
      <c r="E37">
        <v>90</v>
      </c>
      <c r="F37" t="s">
        <v>807</v>
      </c>
      <c r="G37" t="s">
        <v>876</v>
      </c>
      <c r="H37" t="s">
        <v>37</v>
      </c>
      <c r="I37">
        <v>-2.099631</v>
      </c>
      <c r="J37">
        <v>13.974640000000001</v>
      </c>
      <c r="K37" t="s">
        <v>1500</v>
      </c>
      <c r="L37" t="s">
        <v>1508</v>
      </c>
    </row>
    <row r="38" spans="1:12" x14ac:dyDescent="0.3">
      <c r="A38" t="s">
        <v>805</v>
      </c>
      <c r="B38" s="1">
        <v>45208</v>
      </c>
      <c r="C38" s="2">
        <v>0.86388888888888893</v>
      </c>
      <c r="D38" t="s">
        <v>844</v>
      </c>
      <c r="E38">
        <v>92</v>
      </c>
      <c r="F38" t="s">
        <v>807</v>
      </c>
      <c r="G38" t="s">
        <v>844</v>
      </c>
      <c r="H38" t="s">
        <v>51</v>
      </c>
      <c r="I38">
        <v>-0.77432100000000004</v>
      </c>
      <c r="J38">
        <v>18.628658999999999</v>
      </c>
      <c r="K38" t="s">
        <v>1498</v>
      </c>
      <c r="L38" t="s">
        <v>1499</v>
      </c>
    </row>
    <row r="39" spans="1:12" x14ac:dyDescent="0.3">
      <c r="A39" t="s">
        <v>1190</v>
      </c>
      <c r="B39" s="1">
        <v>45218</v>
      </c>
      <c r="C39" s="2">
        <v>0.63194444444444442</v>
      </c>
      <c r="D39" t="s">
        <v>844</v>
      </c>
      <c r="E39">
        <v>42</v>
      </c>
      <c r="F39" t="s">
        <v>810</v>
      </c>
      <c r="G39" t="s">
        <v>844</v>
      </c>
      <c r="H39" t="s">
        <v>51</v>
      </c>
      <c r="I39">
        <v>-0.77432100000000004</v>
      </c>
      <c r="J39">
        <v>18.628658999999999</v>
      </c>
      <c r="K39" t="s">
        <v>1498</v>
      </c>
      <c r="L39" t="s">
        <v>1499</v>
      </c>
    </row>
    <row r="40" spans="1:12" x14ac:dyDescent="0.3">
      <c r="A40" t="s">
        <v>1190</v>
      </c>
      <c r="B40" s="1">
        <v>45210</v>
      </c>
      <c r="C40" s="2">
        <v>0.87986111111111109</v>
      </c>
      <c r="D40" t="s">
        <v>1198</v>
      </c>
      <c r="E40">
        <v>53</v>
      </c>
      <c r="F40" t="s">
        <v>807</v>
      </c>
      <c r="G40" t="s">
        <v>1198</v>
      </c>
      <c r="H40" t="s">
        <v>67</v>
      </c>
      <c r="I40">
        <v>-7.8770429999999996</v>
      </c>
      <c r="J40">
        <v>16.357762999999998</v>
      </c>
      <c r="K40" t="s">
        <v>1498</v>
      </c>
      <c r="L40" t="s">
        <v>1496</v>
      </c>
    </row>
    <row r="41" spans="1:12" x14ac:dyDescent="0.3">
      <c r="A41" t="s">
        <v>805</v>
      </c>
      <c r="B41" s="1">
        <v>45210</v>
      </c>
      <c r="C41" s="2">
        <v>5.1388888888888887E-2</v>
      </c>
      <c r="D41" t="s">
        <v>846</v>
      </c>
      <c r="E41">
        <v>73</v>
      </c>
      <c r="F41" t="s">
        <v>807</v>
      </c>
      <c r="G41" t="s">
        <v>846</v>
      </c>
      <c r="H41" t="s">
        <v>37</v>
      </c>
      <c r="I41">
        <v>-10.776204</v>
      </c>
      <c r="J41">
        <v>24.672934000000001</v>
      </c>
      <c r="K41" t="s">
        <v>1498</v>
      </c>
      <c r="L41" t="s">
        <v>1496</v>
      </c>
    </row>
    <row r="42" spans="1:12" x14ac:dyDescent="0.3">
      <c r="A42" t="s">
        <v>805</v>
      </c>
      <c r="B42" s="1">
        <v>45228</v>
      </c>
      <c r="C42" s="2">
        <v>0.85347222222222219</v>
      </c>
      <c r="D42" t="s">
        <v>846</v>
      </c>
      <c r="E42">
        <v>42</v>
      </c>
      <c r="F42" t="s">
        <v>807</v>
      </c>
      <c r="G42" t="s">
        <v>846</v>
      </c>
      <c r="H42" t="s">
        <v>37</v>
      </c>
      <c r="I42">
        <v>-10.776204</v>
      </c>
      <c r="J42">
        <v>24.672934000000001</v>
      </c>
      <c r="K42" t="s">
        <v>1498</v>
      </c>
      <c r="L42" t="s">
        <v>1496</v>
      </c>
    </row>
    <row r="43" spans="1:12" x14ac:dyDescent="0.3">
      <c r="A43" t="s">
        <v>1190</v>
      </c>
      <c r="B43" s="1">
        <v>45214</v>
      </c>
      <c r="C43" s="2">
        <v>0.43472222222222223</v>
      </c>
      <c r="D43" t="s">
        <v>846</v>
      </c>
      <c r="E43">
        <v>61</v>
      </c>
      <c r="F43" t="s">
        <v>812</v>
      </c>
      <c r="G43" t="s">
        <v>846</v>
      </c>
      <c r="H43" t="s">
        <v>37</v>
      </c>
      <c r="I43">
        <v>-10.776204</v>
      </c>
      <c r="J43">
        <v>24.672934000000001</v>
      </c>
      <c r="K43" t="s">
        <v>1498</v>
      </c>
      <c r="L43" t="s">
        <v>1496</v>
      </c>
    </row>
    <row r="44" spans="1:12" x14ac:dyDescent="0.3">
      <c r="A44" t="s">
        <v>805</v>
      </c>
      <c r="B44" s="1">
        <v>45226</v>
      </c>
      <c r="C44" s="2">
        <v>7.7083333333333337E-2</v>
      </c>
      <c r="D44" t="s">
        <v>847</v>
      </c>
      <c r="E44">
        <v>101</v>
      </c>
      <c r="F44" t="s">
        <v>807</v>
      </c>
      <c r="G44" t="s">
        <v>847</v>
      </c>
      <c r="H44" t="s">
        <v>21</v>
      </c>
      <c r="I44">
        <v>4.2493650000000001</v>
      </c>
      <c r="J44">
        <v>28.355039999999999</v>
      </c>
      <c r="K44" t="s">
        <v>1500</v>
      </c>
      <c r="L44" t="s">
        <v>1501</v>
      </c>
    </row>
    <row r="45" spans="1:12" x14ac:dyDescent="0.3">
      <c r="A45" t="s">
        <v>1073</v>
      </c>
      <c r="B45" s="1">
        <v>45221</v>
      </c>
      <c r="C45" s="2">
        <v>0.92847222222222225</v>
      </c>
      <c r="D45" t="s">
        <v>847</v>
      </c>
      <c r="E45">
        <v>21</v>
      </c>
      <c r="F45" t="s">
        <v>807</v>
      </c>
      <c r="G45" t="s">
        <v>847</v>
      </c>
      <c r="H45" t="s">
        <v>21</v>
      </c>
      <c r="I45">
        <v>4.2493650000000001</v>
      </c>
      <c r="J45">
        <v>28.355039999999999</v>
      </c>
      <c r="K45" t="s">
        <v>1500</v>
      </c>
      <c r="L45" t="s">
        <v>1501</v>
      </c>
    </row>
    <row r="46" spans="1:12" x14ac:dyDescent="0.3">
      <c r="A46" t="s">
        <v>805</v>
      </c>
      <c r="B46" s="1">
        <v>45202</v>
      </c>
      <c r="C46" s="2">
        <v>0.2902777777777778</v>
      </c>
      <c r="D46" t="s">
        <v>848</v>
      </c>
      <c r="E46">
        <v>103</v>
      </c>
      <c r="F46" t="s">
        <v>810</v>
      </c>
      <c r="G46" t="s">
        <v>848</v>
      </c>
      <c r="H46" t="s">
        <v>60</v>
      </c>
      <c r="I46">
        <v>4.9250049999999996</v>
      </c>
      <c r="J46">
        <v>19.887931999999999</v>
      </c>
      <c r="K46" t="s">
        <v>1498</v>
      </c>
      <c r="L46" t="s">
        <v>1499</v>
      </c>
    </row>
    <row r="47" spans="1:12" x14ac:dyDescent="0.3">
      <c r="A47" t="s">
        <v>854</v>
      </c>
      <c r="B47" s="1">
        <v>45203</v>
      </c>
      <c r="C47" s="2">
        <v>0.76041666666666663</v>
      </c>
      <c r="D47" t="s">
        <v>886</v>
      </c>
      <c r="E47">
        <v>18</v>
      </c>
      <c r="F47" t="s">
        <v>812</v>
      </c>
      <c r="G47" t="s">
        <v>886</v>
      </c>
      <c r="H47" t="s">
        <v>89</v>
      </c>
      <c r="I47">
        <v>0.94539899999999999</v>
      </c>
      <c r="J47">
        <v>14.401821999999999</v>
      </c>
      <c r="K47" t="s">
        <v>1495</v>
      </c>
      <c r="L47" t="s">
        <v>1508</v>
      </c>
    </row>
    <row r="48" spans="1:12" x14ac:dyDescent="0.3">
      <c r="A48" t="s">
        <v>1014</v>
      </c>
      <c r="B48" s="1">
        <v>45225</v>
      </c>
      <c r="C48" s="2">
        <v>0.21527777777777779</v>
      </c>
      <c r="D48" t="s">
        <v>1043</v>
      </c>
      <c r="E48">
        <v>41</v>
      </c>
      <c r="F48" t="s">
        <v>812</v>
      </c>
      <c r="G48" t="s">
        <v>1043</v>
      </c>
      <c r="H48" t="s">
        <v>44</v>
      </c>
      <c r="I48">
        <v>-4.9552579999999997</v>
      </c>
      <c r="J48">
        <v>22.008103999999999</v>
      </c>
      <c r="K48" t="s">
        <v>1498</v>
      </c>
      <c r="L48" t="s">
        <v>1499</v>
      </c>
    </row>
    <row r="49" spans="1:12" x14ac:dyDescent="0.3">
      <c r="A49" t="s">
        <v>805</v>
      </c>
      <c r="B49" s="1">
        <v>45207</v>
      </c>
      <c r="C49" s="2">
        <v>0.98263888888888884</v>
      </c>
      <c r="D49" t="s">
        <v>853</v>
      </c>
      <c r="E49">
        <v>25</v>
      </c>
      <c r="F49" t="s">
        <v>812</v>
      </c>
      <c r="G49" t="s">
        <v>853</v>
      </c>
      <c r="H49" t="s">
        <v>131</v>
      </c>
      <c r="I49">
        <v>-11.866133</v>
      </c>
      <c r="J49">
        <v>27.068932</v>
      </c>
      <c r="K49" t="s">
        <v>1500</v>
      </c>
      <c r="L49" t="s">
        <v>1499</v>
      </c>
    </row>
    <row r="50" spans="1:12" x14ac:dyDescent="0.3">
      <c r="A50" t="s">
        <v>1098</v>
      </c>
      <c r="B50" s="1">
        <v>45215</v>
      </c>
      <c r="C50" s="2">
        <v>0.67291666666666672</v>
      </c>
      <c r="D50" t="s">
        <v>853</v>
      </c>
      <c r="E50">
        <v>117</v>
      </c>
      <c r="F50" t="s">
        <v>812</v>
      </c>
      <c r="G50" t="s">
        <v>853</v>
      </c>
      <c r="H50" t="s">
        <v>131</v>
      </c>
      <c r="I50">
        <v>-11.866133</v>
      </c>
      <c r="J50">
        <v>27.068932</v>
      </c>
      <c r="K50" t="s">
        <v>1500</v>
      </c>
      <c r="L50" t="s">
        <v>1499</v>
      </c>
    </row>
    <row r="51" spans="1:12" x14ac:dyDescent="0.3">
      <c r="A51" t="s">
        <v>1073</v>
      </c>
      <c r="B51" s="1">
        <v>45205</v>
      </c>
      <c r="C51" s="2">
        <v>0.47152777777777777</v>
      </c>
      <c r="D51" t="s">
        <v>1088</v>
      </c>
      <c r="E51">
        <v>50</v>
      </c>
      <c r="F51" t="s">
        <v>810</v>
      </c>
      <c r="G51" t="s">
        <v>1088</v>
      </c>
      <c r="H51" t="s">
        <v>18</v>
      </c>
      <c r="I51">
        <v>2.628638</v>
      </c>
      <c r="J51">
        <v>28.420582</v>
      </c>
      <c r="K51" t="s">
        <v>1498</v>
      </c>
      <c r="L51" t="s">
        <v>1499</v>
      </c>
    </row>
    <row r="52" spans="1:12" x14ac:dyDescent="0.3">
      <c r="A52" t="s">
        <v>854</v>
      </c>
      <c r="B52" s="1">
        <v>45213</v>
      </c>
      <c r="C52" s="2">
        <v>0.25416666666666665</v>
      </c>
      <c r="D52" t="s">
        <v>857</v>
      </c>
      <c r="E52">
        <v>73</v>
      </c>
      <c r="F52" t="s">
        <v>812</v>
      </c>
      <c r="G52" t="s">
        <v>857</v>
      </c>
      <c r="H52" t="s">
        <v>13</v>
      </c>
      <c r="I52">
        <v>-5.1030600000000002</v>
      </c>
      <c r="J52">
        <v>22.849231</v>
      </c>
      <c r="K52" t="s">
        <v>1495</v>
      </c>
      <c r="L52" t="s">
        <v>1501</v>
      </c>
    </row>
    <row r="53" spans="1:12" x14ac:dyDescent="0.3">
      <c r="A53" t="s">
        <v>1161</v>
      </c>
      <c r="B53" s="1">
        <v>45207</v>
      </c>
      <c r="C53" s="2">
        <v>0.13333333333333333</v>
      </c>
      <c r="D53" t="s">
        <v>1165</v>
      </c>
      <c r="E53">
        <v>66</v>
      </c>
      <c r="F53" t="s">
        <v>810</v>
      </c>
      <c r="G53" t="s">
        <v>1165</v>
      </c>
      <c r="H53" t="s">
        <v>57</v>
      </c>
      <c r="I53">
        <v>-5.4073029999999997</v>
      </c>
      <c r="J53">
        <v>29.762294000000001</v>
      </c>
      <c r="K53" t="s">
        <v>1500</v>
      </c>
      <c r="L53" t="s">
        <v>1496</v>
      </c>
    </row>
    <row r="54" spans="1:12" x14ac:dyDescent="0.3">
      <c r="A54" t="s">
        <v>854</v>
      </c>
      <c r="B54" s="1">
        <v>45214</v>
      </c>
      <c r="C54" s="2">
        <v>0.9604166666666667</v>
      </c>
      <c r="D54" t="s">
        <v>859</v>
      </c>
      <c r="E54">
        <v>38</v>
      </c>
      <c r="F54" t="s">
        <v>807</v>
      </c>
      <c r="G54" t="s">
        <v>859</v>
      </c>
      <c r="H54" t="s">
        <v>137</v>
      </c>
      <c r="I54">
        <v>-11.710407999999999</v>
      </c>
      <c r="J54">
        <v>23.741330999999999</v>
      </c>
      <c r="K54" t="s">
        <v>1500</v>
      </c>
      <c r="L54" t="s">
        <v>1499</v>
      </c>
    </row>
    <row r="55" spans="1:12" x14ac:dyDescent="0.3">
      <c r="A55" t="s">
        <v>1014</v>
      </c>
      <c r="B55" s="1">
        <v>45227</v>
      </c>
      <c r="C55" s="2">
        <v>0.52708333333333335</v>
      </c>
      <c r="D55" t="s">
        <v>1044</v>
      </c>
      <c r="E55">
        <v>107</v>
      </c>
      <c r="F55" t="s">
        <v>810</v>
      </c>
      <c r="G55" t="s">
        <v>1044</v>
      </c>
      <c r="H55" t="s">
        <v>37</v>
      </c>
      <c r="I55">
        <v>-1.50664</v>
      </c>
      <c r="J55">
        <v>27.795642000000001</v>
      </c>
      <c r="K55" t="s">
        <v>1495</v>
      </c>
      <c r="L55" t="s">
        <v>1501</v>
      </c>
    </row>
    <row r="56" spans="1:12" x14ac:dyDescent="0.3">
      <c r="A56" t="s">
        <v>854</v>
      </c>
      <c r="B56" s="1">
        <v>45221</v>
      </c>
      <c r="C56" s="2">
        <v>0.8618055555555556</v>
      </c>
      <c r="D56" t="s">
        <v>860</v>
      </c>
      <c r="E56">
        <v>21</v>
      </c>
      <c r="F56" t="s">
        <v>810</v>
      </c>
      <c r="G56" t="s">
        <v>860</v>
      </c>
      <c r="H56" t="s">
        <v>37</v>
      </c>
      <c r="I56">
        <v>-1.864393</v>
      </c>
      <c r="J56">
        <v>21.453434000000001</v>
      </c>
      <c r="K56" t="s">
        <v>1495</v>
      </c>
      <c r="L56" t="s">
        <v>1496</v>
      </c>
    </row>
    <row r="57" spans="1:12" x14ac:dyDescent="0.3">
      <c r="A57" t="s">
        <v>1073</v>
      </c>
      <c r="B57" s="1">
        <v>45207</v>
      </c>
      <c r="C57" s="2">
        <v>0.52638888888888891</v>
      </c>
      <c r="D57" t="s">
        <v>1097</v>
      </c>
      <c r="E57">
        <v>78</v>
      </c>
      <c r="F57" t="s">
        <v>812</v>
      </c>
      <c r="G57" t="s">
        <v>1097</v>
      </c>
      <c r="H57" t="s">
        <v>24</v>
      </c>
      <c r="I57">
        <v>-9.4229749999999992</v>
      </c>
      <c r="J57">
        <v>29.375005999999999</v>
      </c>
      <c r="K57" t="s">
        <v>1500</v>
      </c>
      <c r="L57" t="s">
        <v>1496</v>
      </c>
    </row>
    <row r="58" spans="1:12" x14ac:dyDescent="0.3">
      <c r="A58" t="s">
        <v>1014</v>
      </c>
      <c r="B58" s="1">
        <v>45222</v>
      </c>
      <c r="C58" s="2">
        <v>0.66319444444444442</v>
      </c>
      <c r="D58" t="s">
        <v>1031</v>
      </c>
      <c r="E58">
        <v>6</v>
      </c>
      <c r="F58" t="s">
        <v>812</v>
      </c>
      <c r="G58" t="s">
        <v>1031</v>
      </c>
      <c r="H58" t="s">
        <v>62</v>
      </c>
      <c r="I58">
        <v>2.975352</v>
      </c>
      <c r="J58">
        <v>22.535886000000001</v>
      </c>
      <c r="K58" t="s">
        <v>1498</v>
      </c>
      <c r="L58" t="s">
        <v>1499</v>
      </c>
    </row>
    <row r="59" spans="1:12" x14ac:dyDescent="0.3">
      <c r="A59" t="s">
        <v>1161</v>
      </c>
      <c r="B59" s="1">
        <v>45204</v>
      </c>
      <c r="C59" s="2">
        <v>0.23749999999999999</v>
      </c>
      <c r="D59" t="s">
        <v>1031</v>
      </c>
      <c r="E59">
        <v>21</v>
      </c>
      <c r="F59" t="s">
        <v>810</v>
      </c>
      <c r="G59" t="s">
        <v>1031</v>
      </c>
      <c r="H59" t="s">
        <v>62</v>
      </c>
      <c r="I59">
        <v>2.975352</v>
      </c>
      <c r="J59">
        <v>22.535886000000001</v>
      </c>
      <c r="K59" t="s">
        <v>1498</v>
      </c>
      <c r="L59" t="s">
        <v>1499</v>
      </c>
    </row>
    <row r="60" spans="1:12" x14ac:dyDescent="0.3">
      <c r="A60" t="s">
        <v>1133</v>
      </c>
      <c r="B60" s="1">
        <v>45207</v>
      </c>
      <c r="C60" s="2">
        <v>0.98750000000000004</v>
      </c>
      <c r="D60" t="s">
        <v>1147</v>
      </c>
      <c r="E60">
        <v>15</v>
      </c>
      <c r="F60" t="s">
        <v>810</v>
      </c>
      <c r="G60" t="s">
        <v>1147</v>
      </c>
      <c r="H60" t="s">
        <v>40</v>
      </c>
      <c r="I60">
        <v>-9.0798120000000004</v>
      </c>
      <c r="J60">
        <v>14.945484</v>
      </c>
      <c r="K60" t="s">
        <v>1495</v>
      </c>
      <c r="L60" t="s">
        <v>1496</v>
      </c>
    </row>
    <row r="61" spans="1:12" x14ac:dyDescent="0.3">
      <c r="A61" t="s">
        <v>1098</v>
      </c>
      <c r="B61" s="1">
        <v>45229</v>
      </c>
      <c r="C61" s="2">
        <v>0.39166666666666666</v>
      </c>
      <c r="D61" t="s">
        <v>1112</v>
      </c>
      <c r="E61">
        <v>28</v>
      </c>
      <c r="F61" t="s">
        <v>812</v>
      </c>
      <c r="G61" t="s">
        <v>1112</v>
      </c>
      <c r="H61" t="s">
        <v>137</v>
      </c>
      <c r="I61">
        <v>-10.967288</v>
      </c>
      <c r="J61">
        <v>17.617781000000001</v>
      </c>
      <c r="K61" t="s">
        <v>1498</v>
      </c>
      <c r="L61" t="s">
        <v>1496</v>
      </c>
    </row>
    <row r="62" spans="1:12" x14ac:dyDescent="0.3">
      <c r="A62" t="s">
        <v>936</v>
      </c>
      <c r="B62" s="1">
        <v>45202</v>
      </c>
      <c r="C62" s="2">
        <v>0.8520833333333333</v>
      </c>
      <c r="D62" t="s">
        <v>943</v>
      </c>
      <c r="E62">
        <v>83</v>
      </c>
      <c r="F62" t="s">
        <v>807</v>
      </c>
      <c r="G62" t="s">
        <v>943</v>
      </c>
      <c r="H62" t="s">
        <v>44</v>
      </c>
      <c r="I62">
        <v>-1.607639</v>
      </c>
      <c r="J62">
        <v>17.003636</v>
      </c>
      <c r="K62" t="s">
        <v>1498</v>
      </c>
      <c r="L62" t="s">
        <v>1496</v>
      </c>
    </row>
    <row r="63" spans="1:12" x14ac:dyDescent="0.3">
      <c r="A63" t="s">
        <v>854</v>
      </c>
      <c r="B63" s="1">
        <v>45205</v>
      </c>
      <c r="C63" s="2">
        <v>0.35347222222222224</v>
      </c>
      <c r="D63" t="s">
        <v>865</v>
      </c>
      <c r="E63">
        <v>52</v>
      </c>
      <c r="F63" t="s">
        <v>810</v>
      </c>
      <c r="G63" t="s">
        <v>865</v>
      </c>
      <c r="H63" t="s">
        <v>37</v>
      </c>
      <c r="I63">
        <v>3.1362930000000002</v>
      </c>
      <c r="J63">
        <v>16.190878000000001</v>
      </c>
      <c r="K63" t="s">
        <v>1500</v>
      </c>
      <c r="L63" t="s">
        <v>1508</v>
      </c>
    </row>
    <row r="64" spans="1:12" x14ac:dyDescent="0.3">
      <c r="A64" t="s">
        <v>854</v>
      </c>
      <c r="B64" s="1">
        <v>45207</v>
      </c>
      <c r="C64" s="2">
        <v>0.10277777777777777</v>
      </c>
      <c r="D64" t="s">
        <v>866</v>
      </c>
      <c r="E64">
        <v>41</v>
      </c>
      <c r="F64" t="s">
        <v>807</v>
      </c>
      <c r="G64" t="s">
        <v>866</v>
      </c>
      <c r="H64" t="s">
        <v>51</v>
      </c>
      <c r="I64">
        <v>-5.9021970000000001</v>
      </c>
      <c r="J64">
        <v>20.551169999999999</v>
      </c>
      <c r="K64" t="s">
        <v>1500</v>
      </c>
      <c r="L64" t="s">
        <v>1499</v>
      </c>
    </row>
    <row r="65" spans="1:12" x14ac:dyDescent="0.3">
      <c r="A65" t="s">
        <v>898</v>
      </c>
      <c r="B65" s="1">
        <v>45219</v>
      </c>
      <c r="C65" s="2">
        <v>0.4201388888888889</v>
      </c>
      <c r="D65" t="s">
        <v>930</v>
      </c>
      <c r="E65">
        <v>63</v>
      </c>
      <c r="F65" t="s">
        <v>812</v>
      </c>
      <c r="G65" t="s">
        <v>930</v>
      </c>
      <c r="H65" t="s">
        <v>67</v>
      </c>
      <c r="I65">
        <v>-9.9875139999999991</v>
      </c>
      <c r="J65">
        <v>12.013676999999999</v>
      </c>
      <c r="K65" t="s">
        <v>1500</v>
      </c>
      <c r="L65" t="s">
        <v>1501</v>
      </c>
    </row>
    <row r="66" spans="1:12" x14ac:dyDescent="0.3">
      <c r="A66" t="s">
        <v>854</v>
      </c>
      <c r="B66" s="1">
        <v>45225</v>
      </c>
      <c r="C66" s="2">
        <v>0.71250000000000002</v>
      </c>
      <c r="D66" t="s">
        <v>867</v>
      </c>
      <c r="E66">
        <v>25</v>
      </c>
      <c r="F66" t="s">
        <v>807</v>
      </c>
      <c r="G66" t="s">
        <v>867</v>
      </c>
      <c r="H66" t="s">
        <v>24</v>
      </c>
      <c r="I66">
        <v>-5.5445120000000001</v>
      </c>
      <c r="J66">
        <v>27.547335</v>
      </c>
      <c r="K66" t="s">
        <v>1498</v>
      </c>
      <c r="L66" t="s">
        <v>1496</v>
      </c>
    </row>
    <row r="67" spans="1:12" x14ac:dyDescent="0.3">
      <c r="A67" t="s">
        <v>898</v>
      </c>
      <c r="B67" s="1">
        <v>45220</v>
      </c>
      <c r="C67" s="2">
        <v>0.43680555555555556</v>
      </c>
      <c r="D67" t="s">
        <v>867</v>
      </c>
      <c r="E67">
        <v>64</v>
      </c>
      <c r="F67" t="s">
        <v>810</v>
      </c>
      <c r="G67" t="s">
        <v>867</v>
      </c>
      <c r="H67" t="s">
        <v>24</v>
      </c>
      <c r="I67">
        <v>-5.5445120000000001</v>
      </c>
      <c r="J67">
        <v>27.547335</v>
      </c>
      <c r="K67" t="s">
        <v>1498</v>
      </c>
      <c r="L67" t="s">
        <v>1496</v>
      </c>
    </row>
    <row r="68" spans="1:12" x14ac:dyDescent="0.3">
      <c r="A68" t="s">
        <v>1014</v>
      </c>
      <c r="B68" s="1">
        <v>45222</v>
      </c>
      <c r="C68" s="2">
        <v>0.35347222222222224</v>
      </c>
      <c r="D68" t="s">
        <v>1052</v>
      </c>
      <c r="E68">
        <v>101</v>
      </c>
      <c r="F68" t="s">
        <v>810</v>
      </c>
      <c r="G68" t="s">
        <v>1052</v>
      </c>
      <c r="H68" t="s">
        <v>131</v>
      </c>
      <c r="I68">
        <v>-10.846306999999999</v>
      </c>
      <c r="J68">
        <v>19.201827999999999</v>
      </c>
      <c r="K68" t="s">
        <v>1498</v>
      </c>
      <c r="L68" t="s">
        <v>1496</v>
      </c>
    </row>
    <row r="69" spans="1:12" x14ac:dyDescent="0.3">
      <c r="A69" t="s">
        <v>854</v>
      </c>
      <c r="B69" s="1">
        <v>45213</v>
      </c>
      <c r="C69" s="2">
        <v>0.64583333333333337</v>
      </c>
      <c r="D69" t="s">
        <v>870</v>
      </c>
      <c r="E69">
        <v>95</v>
      </c>
      <c r="F69" t="s">
        <v>807</v>
      </c>
      <c r="G69" t="s">
        <v>870</v>
      </c>
      <c r="H69" t="s">
        <v>24</v>
      </c>
      <c r="I69">
        <v>-2.9417719999999998</v>
      </c>
      <c r="J69">
        <v>18.587305000000001</v>
      </c>
      <c r="K69" t="s">
        <v>1495</v>
      </c>
      <c r="L69" t="s">
        <v>1496</v>
      </c>
    </row>
    <row r="70" spans="1:12" x14ac:dyDescent="0.3">
      <c r="A70" t="s">
        <v>1190</v>
      </c>
      <c r="B70" s="1">
        <v>45222</v>
      </c>
      <c r="C70" s="2">
        <v>0.83402777777777781</v>
      </c>
      <c r="D70" t="s">
        <v>870</v>
      </c>
      <c r="E70">
        <v>109</v>
      </c>
      <c r="F70" t="s">
        <v>810</v>
      </c>
      <c r="G70" t="s">
        <v>870</v>
      </c>
      <c r="H70" t="s">
        <v>24</v>
      </c>
      <c r="I70">
        <v>-2.9417719999999998</v>
      </c>
      <c r="J70">
        <v>18.587305000000001</v>
      </c>
      <c r="K70" t="s">
        <v>1495</v>
      </c>
      <c r="L70" t="s">
        <v>1496</v>
      </c>
    </row>
    <row r="71" spans="1:12" x14ac:dyDescent="0.3">
      <c r="A71" t="s">
        <v>854</v>
      </c>
      <c r="B71" s="1">
        <v>45206</v>
      </c>
      <c r="C71" s="2">
        <v>0.5395833333333333</v>
      </c>
      <c r="D71" t="s">
        <v>871</v>
      </c>
      <c r="E71">
        <v>43</v>
      </c>
      <c r="F71" t="s">
        <v>807</v>
      </c>
      <c r="G71" t="s">
        <v>871</v>
      </c>
      <c r="H71" t="s">
        <v>40</v>
      </c>
      <c r="I71">
        <v>-10.963041</v>
      </c>
      <c r="J71">
        <v>12.269857</v>
      </c>
      <c r="K71" t="s">
        <v>1498</v>
      </c>
      <c r="L71" t="s">
        <v>1499</v>
      </c>
    </row>
    <row r="72" spans="1:12" x14ac:dyDescent="0.3">
      <c r="A72" t="s">
        <v>854</v>
      </c>
      <c r="B72" s="1">
        <v>45201</v>
      </c>
      <c r="C72" s="2">
        <v>0.22500000000000001</v>
      </c>
      <c r="D72" t="s">
        <v>872</v>
      </c>
      <c r="E72">
        <v>83</v>
      </c>
      <c r="F72" t="s">
        <v>810</v>
      </c>
      <c r="G72" t="s">
        <v>872</v>
      </c>
      <c r="H72" t="s">
        <v>131</v>
      </c>
      <c r="I72">
        <v>0.82868600000000003</v>
      </c>
      <c r="J72">
        <v>26.958843999999999</v>
      </c>
      <c r="K72" t="s">
        <v>1495</v>
      </c>
      <c r="L72" t="s">
        <v>1501</v>
      </c>
    </row>
    <row r="73" spans="1:12" x14ac:dyDescent="0.3">
      <c r="A73" t="s">
        <v>898</v>
      </c>
      <c r="B73" s="1">
        <v>45225</v>
      </c>
      <c r="C73" s="2">
        <v>0.77638888888888891</v>
      </c>
      <c r="D73" t="s">
        <v>872</v>
      </c>
      <c r="E73">
        <v>71</v>
      </c>
      <c r="F73" t="s">
        <v>807</v>
      </c>
      <c r="G73" t="s">
        <v>872</v>
      </c>
      <c r="H73" t="s">
        <v>131</v>
      </c>
      <c r="I73">
        <v>0.82868600000000003</v>
      </c>
      <c r="J73">
        <v>26.958843999999999</v>
      </c>
      <c r="K73" t="s">
        <v>1495</v>
      </c>
      <c r="L73" t="s">
        <v>1501</v>
      </c>
    </row>
    <row r="74" spans="1:12" x14ac:dyDescent="0.3">
      <c r="A74" t="s">
        <v>1133</v>
      </c>
      <c r="B74" s="1">
        <v>45208</v>
      </c>
      <c r="C74" s="2">
        <v>0.95902777777777781</v>
      </c>
      <c r="D74" t="s">
        <v>872</v>
      </c>
      <c r="E74">
        <v>98</v>
      </c>
      <c r="F74" t="s">
        <v>812</v>
      </c>
      <c r="G74" t="s">
        <v>872</v>
      </c>
      <c r="H74" t="s">
        <v>131</v>
      </c>
      <c r="I74">
        <v>0.82868600000000003</v>
      </c>
      <c r="J74">
        <v>26.958843999999999</v>
      </c>
      <c r="K74" t="s">
        <v>1495</v>
      </c>
      <c r="L74" t="s">
        <v>1501</v>
      </c>
    </row>
    <row r="75" spans="1:12" x14ac:dyDescent="0.3">
      <c r="A75" t="s">
        <v>977</v>
      </c>
      <c r="B75" s="1">
        <v>45218</v>
      </c>
      <c r="C75" s="2">
        <v>0.37847222222222221</v>
      </c>
      <c r="D75" t="s">
        <v>984</v>
      </c>
      <c r="E75">
        <v>102</v>
      </c>
      <c r="F75" t="s">
        <v>807</v>
      </c>
      <c r="G75" t="s">
        <v>984</v>
      </c>
      <c r="H75" t="s">
        <v>33</v>
      </c>
      <c r="I75">
        <v>-4.4451280000000004</v>
      </c>
      <c r="J75">
        <v>16.536944999999999</v>
      </c>
      <c r="K75" t="s">
        <v>1498</v>
      </c>
      <c r="L75" t="s">
        <v>1496</v>
      </c>
    </row>
    <row r="76" spans="1:12" x14ac:dyDescent="0.3">
      <c r="A76" t="s">
        <v>977</v>
      </c>
      <c r="B76" s="1">
        <v>45226</v>
      </c>
      <c r="C76" s="2">
        <v>0.10069444444444445</v>
      </c>
      <c r="D76" t="s">
        <v>980</v>
      </c>
      <c r="E76">
        <v>110</v>
      </c>
      <c r="F76" t="s">
        <v>810</v>
      </c>
      <c r="G76" t="s">
        <v>980</v>
      </c>
      <c r="H76" t="s">
        <v>67</v>
      </c>
      <c r="I76">
        <v>-2.2681789999999999</v>
      </c>
      <c r="J76">
        <v>25.699068</v>
      </c>
      <c r="K76" t="s">
        <v>1500</v>
      </c>
      <c r="L76" t="s">
        <v>1501</v>
      </c>
    </row>
    <row r="77" spans="1:12" x14ac:dyDescent="0.3">
      <c r="A77" t="s">
        <v>854</v>
      </c>
      <c r="B77" s="1">
        <v>45213</v>
      </c>
      <c r="C77" s="2">
        <v>0.94861111111111107</v>
      </c>
      <c r="D77" t="s">
        <v>874</v>
      </c>
      <c r="E77">
        <v>72</v>
      </c>
      <c r="F77" t="s">
        <v>810</v>
      </c>
      <c r="G77" t="s">
        <v>874</v>
      </c>
      <c r="H77" t="s">
        <v>35</v>
      </c>
      <c r="I77">
        <v>-2.7140689999999998</v>
      </c>
      <c r="J77">
        <v>22.222104000000002</v>
      </c>
      <c r="K77" t="s">
        <v>1498</v>
      </c>
      <c r="L77" t="s">
        <v>1508</v>
      </c>
    </row>
    <row r="78" spans="1:12" x14ac:dyDescent="0.3">
      <c r="A78" t="s">
        <v>898</v>
      </c>
      <c r="B78" s="1">
        <v>45203</v>
      </c>
      <c r="C78" s="2">
        <v>0.99791666666666667</v>
      </c>
      <c r="D78" t="s">
        <v>914</v>
      </c>
      <c r="E78">
        <v>101</v>
      </c>
      <c r="F78" t="s">
        <v>812</v>
      </c>
      <c r="G78" t="s">
        <v>914</v>
      </c>
      <c r="H78" t="s">
        <v>131</v>
      </c>
      <c r="I78">
        <v>-6.3148239999999998</v>
      </c>
      <c r="J78">
        <v>24.507498999999999</v>
      </c>
      <c r="K78" t="s">
        <v>1500</v>
      </c>
      <c r="L78" t="s">
        <v>1501</v>
      </c>
    </row>
    <row r="79" spans="1:12" x14ac:dyDescent="0.3">
      <c r="A79" t="s">
        <v>1133</v>
      </c>
      <c r="B79" s="1">
        <v>45226</v>
      </c>
      <c r="C79" s="2">
        <v>0.84097222222222223</v>
      </c>
      <c r="D79" t="s">
        <v>1151</v>
      </c>
      <c r="E79">
        <v>74</v>
      </c>
      <c r="F79" t="s">
        <v>810</v>
      </c>
      <c r="G79" t="s">
        <v>1151</v>
      </c>
      <c r="H79" t="s">
        <v>64</v>
      </c>
      <c r="I79">
        <v>-11.389362</v>
      </c>
      <c r="J79">
        <v>22.240174</v>
      </c>
      <c r="K79" t="s">
        <v>1495</v>
      </c>
      <c r="L79" t="s">
        <v>1501</v>
      </c>
    </row>
    <row r="80" spans="1:12" x14ac:dyDescent="0.3">
      <c r="A80" t="s">
        <v>1161</v>
      </c>
      <c r="B80" s="1">
        <v>45218</v>
      </c>
      <c r="C80" s="2">
        <v>8.8888888888888892E-2</v>
      </c>
      <c r="D80" t="s">
        <v>1151</v>
      </c>
      <c r="E80">
        <v>12</v>
      </c>
      <c r="F80" t="s">
        <v>812</v>
      </c>
      <c r="G80" t="s">
        <v>1151</v>
      </c>
      <c r="H80" t="s">
        <v>64</v>
      </c>
      <c r="I80">
        <v>-11.389362</v>
      </c>
      <c r="J80">
        <v>22.240174</v>
      </c>
      <c r="K80" t="s">
        <v>1495</v>
      </c>
      <c r="L80" t="s">
        <v>1501</v>
      </c>
    </row>
    <row r="81" spans="1:12" x14ac:dyDescent="0.3">
      <c r="A81" t="s">
        <v>1161</v>
      </c>
      <c r="B81" s="1">
        <v>45209</v>
      </c>
      <c r="C81" s="2">
        <v>0.21527777777777779</v>
      </c>
      <c r="D81" t="s">
        <v>1151</v>
      </c>
      <c r="E81">
        <v>23</v>
      </c>
      <c r="F81" t="s">
        <v>812</v>
      </c>
      <c r="G81" t="s">
        <v>1151</v>
      </c>
      <c r="H81" t="s">
        <v>64</v>
      </c>
      <c r="I81">
        <v>-11.389362</v>
      </c>
      <c r="J81">
        <v>22.240174</v>
      </c>
      <c r="K81" t="s">
        <v>1495</v>
      </c>
      <c r="L81" t="s">
        <v>1501</v>
      </c>
    </row>
    <row r="82" spans="1:12" x14ac:dyDescent="0.3">
      <c r="A82" t="s">
        <v>854</v>
      </c>
      <c r="B82" s="1">
        <v>45223</v>
      </c>
      <c r="C82" s="2">
        <v>0.41875000000000001</v>
      </c>
      <c r="D82" t="s">
        <v>880</v>
      </c>
      <c r="E82">
        <v>89</v>
      </c>
      <c r="F82" t="s">
        <v>807</v>
      </c>
      <c r="G82" t="s">
        <v>880</v>
      </c>
      <c r="H82" t="s">
        <v>24</v>
      </c>
      <c r="I82">
        <v>4.4712560000000003</v>
      </c>
      <c r="J82">
        <v>27.107028</v>
      </c>
      <c r="K82" t="s">
        <v>1500</v>
      </c>
      <c r="L82" t="s">
        <v>1496</v>
      </c>
    </row>
    <row r="83" spans="1:12" x14ac:dyDescent="0.3">
      <c r="A83" t="s">
        <v>1098</v>
      </c>
      <c r="B83" s="1">
        <v>45204</v>
      </c>
      <c r="C83" s="2">
        <v>0.47152777777777777</v>
      </c>
      <c r="D83" t="s">
        <v>1118</v>
      </c>
      <c r="E83">
        <v>10</v>
      </c>
      <c r="F83" t="s">
        <v>807</v>
      </c>
      <c r="G83" t="s">
        <v>1118</v>
      </c>
      <c r="H83" t="s">
        <v>131</v>
      </c>
      <c r="I83">
        <v>4.9455159999999996</v>
      </c>
      <c r="J83">
        <v>23.647746000000001</v>
      </c>
      <c r="K83" t="s">
        <v>1495</v>
      </c>
      <c r="L83" t="s">
        <v>1499</v>
      </c>
    </row>
    <row r="84" spans="1:12" x14ac:dyDescent="0.3">
      <c r="A84" t="s">
        <v>1014</v>
      </c>
      <c r="B84" s="1">
        <v>45221</v>
      </c>
      <c r="C84" s="2">
        <v>0.72499999999999998</v>
      </c>
      <c r="D84" t="s">
        <v>1030</v>
      </c>
      <c r="E84">
        <v>55</v>
      </c>
      <c r="F84" t="s">
        <v>810</v>
      </c>
      <c r="G84" t="s">
        <v>1030</v>
      </c>
      <c r="H84" t="s">
        <v>57</v>
      </c>
      <c r="I84">
        <v>-1.3976519999999999</v>
      </c>
      <c r="J84">
        <v>14.098819000000001</v>
      </c>
      <c r="K84" t="s">
        <v>1500</v>
      </c>
      <c r="L84" t="s">
        <v>1496</v>
      </c>
    </row>
    <row r="85" spans="1:12" x14ac:dyDescent="0.3">
      <c r="A85" t="s">
        <v>854</v>
      </c>
      <c r="B85" s="1">
        <v>45219</v>
      </c>
      <c r="C85" s="2">
        <v>0.11319444444444444</v>
      </c>
      <c r="D85" t="s">
        <v>884</v>
      </c>
      <c r="E85">
        <v>19</v>
      </c>
      <c r="F85" t="s">
        <v>807</v>
      </c>
      <c r="G85" t="s">
        <v>884</v>
      </c>
      <c r="H85" t="s">
        <v>40</v>
      </c>
      <c r="I85">
        <v>-9.7712979999999998</v>
      </c>
      <c r="J85">
        <v>19.827895999999999</v>
      </c>
      <c r="K85" t="s">
        <v>1500</v>
      </c>
      <c r="L85" t="s">
        <v>1501</v>
      </c>
    </row>
    <row r="86" spans="1:12" x14ac:dyDescent="0.3">
      <c r="A86" t="s">
        <v>854</v>
      </c>
      <c r="B86" s="1">
        <v>45227</v>
      </c>
      <c r="C86" s="2">
        <v>0.30902777777777779</v>
      </c>
      <c r="D86" t="s">
        <v>885</v>
      </c>
      <c r="E86">
        <v>118</v>
      </c>
      <c r="F86" t="s">
        <v>812</v>
      </c>
      <c r="G86" t="s">
        <v>885</v>
      </c>
      <c r="H86" t="s">
        <v>31</v>
      </c>
      <c r="I86">
        <v>-10.914952</v>
      </c>
      <c r="J86">
        <v>26.409648000000001</v>
      </c>
      <c r="K86" t="s">
        <v>1498</v>
      </c>
      <c r="L86" t="s">
        <v>1499</v>
      </c>
    </row>
    <row r="87" spans="1:12" x14ac:dyDescent="0.3">
      <c r="A87" t="s">
        <v>1014</v>
      </c>
      <c r="B87" s="1">
        <v>45216</v>
      </c>
      <c r="C87" s="2">
        <v>0.76458333333333328</v>
      </c>
      <c r="D87" t="s">
        <v>885</v>
      </c>
      <c r="E87">
        <v>53</v>
      </c>
      <c r="F87" t="s">
        <v>810</v>
      </c>
      <c r="G87" t="s">
        <v>885</v>
      </c>
      <c r="H87" t="s">
        <v>31</v>
      </c>
      <c r="I87">
        <v>-10.914952</v>
      </c>
      <c r="J87">
        <v>26.409648000000001</v>
      </c>
      <c r="K87" t="s">
        <v>1498</v>
      </c>
      <c r="L87" t="s">
        <v>1499</v>
      </c>
    </row>
    <row r="88" spans="1:12" x14ac:dyDescent="0.3">
      <c r="A88" t="s">
        <v>1098</v>
      </c>
      <c r="B88" s="1">
        <v>45214</v>
      </c>
      <c r="C88" s="2">
        <v>0.77430555555555558</v>
      </c>
      <c r="D88" t="s">
        <v>885</v>
      </c>
      <c r="E88">
        <v>118</v>
      </c>
      <c r="F88" t="s">
        <v>807</v>
      </c>
      <c r="G88" t="s">
        <v>885</v>
      </c>
      <c r="H88" t="s">
        <v>31</v>
      </c>
      <c r="I88">
        <v>-10.914952</v>
      </c>
      <c r="J88">
        <v>26.409648000000001</v>
      </c>
      <c r="K88" t="s">
        <v>1498</v>
      </c>
      <c r="L88" t="s">
        <v>1499</v>
      </c>
    </row>
    <row r="89" spans="1:12" x14ac:dyDescent="0.3">
      <c r="A89" t="s">
        <v>854</v>
      </c>
      <c r="B89" s="1">
        <v>45219</v>
      </c>
      <c r="C89" s="2">
        <v>0.10138888888888889</v>
      </c>
      <c r="D89" t="s">
        <v>888</v>
      </c>
      <c r="E89">
        <v>75</v>
      </c>
      <c r="F89" t="s">
        <v>807</v>
      </c>
      <c r="G89" t="s">
        <v>888</v>
      </c>
      <c r="H89" t="s">
        <v>10</v>
      </c>
      <c r="I89">
        <v>-7.0076900000000002</v>
      </c>
      <c r="J89">
        <v>27.367121999999998</v>
      </c>
      <c r="K89" t="s">
        <v>1500</v>
      </c>
      <c r="L89" t="s">
        <v>1508</v>
      </c>
    </row>
    <row r="90" spans="1:12" x14ac:dyDescent="0.3">
      <c r="A90" t="s">
        <v>854</v>
      </c>
      <c r="B90" s="1">
        <v>45221</v>
      </c>
      <c r="C90" s="2">
        <v>0.77500000000000002</v>
      </c>
      <c r="D90" t="s">
        <v>889</v>
      </c>
      <c r="E90">
        <v>24</v>
      </c>
      <c r="F90" t="s">
        <v>807</v>
      </c>
      <c r="G90" t="s">
        <v>889</v>
      </c>
      <c r="H90" t="s">
        <v>16</v>
      </c>
      <c r="I90">
        <v>-11.514188000000001</v>
      </c>
      <c r="J90">
        <v>15.971181</v>
      </c>
      <c r="K90" t="s">
        <v>1495</v>
      </c>
      <c r="L90" t="s">
        <v>1496</v>
      </c>
    </row>
    <row r="91" spans="1:12" x14ac:dyDescent="0.3">
      <c r="A91" t="s">
        <v>1190</v>
      </c>
      <c r="B91" s="1">
        <v>45230</v>
      </c>
      <c r="C91" s="2">
        <v>0.40902777777777777</v>
      </c>
      <c r="D91" t="s">
        <v>1211</v>
      </c>
      <c r="E91">
        <v>80</v>
      </c>
      <c r="F91" t="s">
        <v>810</v>
      </c>
      <c r="G91" t="s">
        <v>1211</v>
      </c>
      <c r="H91" t="s">
        <v>51</v>
      </c>
      <c r="I91">
        <v>0.62055499999999997</v>
      </c>
      <c r="J91">
        <v>21.222035000000002</v>
      </c>
      <c r="K91" t="s">
        <v>1495</v>
      </c>
      <c r="L91" t="s">
        <v>1508</v>
      </c>
    </row>
    <row r="92" spans="1:12" x14ac:dyDescent="0.3">
      <c r="A92" t="s">
        <v>854</v>
      </c>
      <c r="B92" s="1">
        <v>45216</v>
      </c>
      <c r="C92" s="2">
        <v>0.45763888888888887</v>
      </c>
      <c r="D92" t="s">
        <v>890</v>
      </c>
      <c r="E92">
        <v>39</v>
      </c>
      <c r="F92" t="s">
        <v>807</v>
      </c>
      <c r="G92" t="s">
        <v>890</v>
      </c>
      <c r="H92" t="s">
        <v>33</v>
      </c>
      <c r="I92">
        <v>-9.5266249999999992</v>
      </c>
      <c r="J92">
        <v>27.889690999999999</v>
      </c>
      <c r="K92" t="s">
        <v>1498</v>
      </c>
      <c r="L92" t="s">
        <v>1496</v>
      </c>
    </row>
    <row r="93" spans="1:12" x14ac:dyDescent="0.3">
      <c r="A93" t="s">
        <v>854</v>
      </c>
      <c r="B93" s="1">
        <v>45208</v>
      </c>
      <c r="C93" s="2">
        <v>0.27916666666666667</v>
      </c>
      <c r="D93" t="s">
        <v>891</v>
      </c>
      <c r="E93">
        <v>41</v>
      </c>
      <c r="F93" t="s">
        <v>810</v>
      </c>
      <c r="G93" t="s">
        <v>891</v>
      </c>
      <c r="H93" t="s">
        <v>89</v>
      </c>
      <c r="I93">
        <v>-9.3066320000000005</v>
      </c>
      <c r="J93">
        <v>20.470889</v>
      </c>
      <c r="K93" t="s">
        <v>1495</v>
      </c>
      <c r="L93" t="s">
        <v>1501</v>
      </c>
    </row>
    <row r="94" spans="1:12" x14ac:dyDescent="0.3">
      <c r="A94" t="s">
        <v>854</v>
      </c>
      <c r="B94" s="1">
        <v>45222</v>
      </c>
      <c r="C94" s="2">
        <v>0.42708333333333331</v>
      </c>
      <c r="D94" t="s">
        <v>892</v>
      </c>
      <c r="E94">
        <v>82</v>
      </c>
      <c r="F94" t="s">
        <v>807</v>
      </c>
      <c r="G94" t="s">
        <v>892</v>
      </c>
      <c r="H94" t="s">
        <v>26</v>
      </c>
      <c r="I94">
        <v>-4.4697000000000001E-2</v>
      </c>
      <c r="J94">
        <v>22.943373000000001</v>
      </c>
      <c r="K94" t="s">
        <v>1500</v>
      </c>
      <c r="L94" t="s">
        <v>1499</v>
      </c>
    </row>
    <row r="95" spans="1:12" x14ac:dyDescent="0.3">
      <c r="A95" t="s">
        <v>854</v>
      </c>
      <c r="B95" s="1">
        <v>45221</v>
      </c>
      <c r="C95" s="2">
        <v>0.84652777777777777</v>
      </c>
      <c r="D95" t="s">
        <v>894</v>
      </c>
      <c r="E95">
        <v>96</v>
      </c>
      <c r="F95" t="s">
        <v>812</v>
      </c>
      <c r="G95" t="s">
        <v>894</v>
      </c>
      <c r="H95" t="s">
        <v>21</v>
      </c>
      <c r="I95">
        <v>-5.2526849999999996</v>
      </c>
      <c r="J95">
        <v>12.374528</v>
      </c>
      <c r="K95" t="s">
        <v>1500</v>
      </c>
      <c r="L95" t="s">
        <v>1508</v>
      </c>
    </row>
    <row r="96" spans="1:12" x14ac:dyDescent="0.3">
      <c r="A96" t="s">
        <v>1053</v>
      </c>
      <c r="B96" s="1">
        <v>45205</v>
      </c>
      <c r="C96" s="2">
        <v>0.15416666666666667</v>
      </c>
      <c r="D96" t="s">
        <v>894</v>
      </c>
      <c r="E96">
        <v>12</v>
      </c>
      <c r="F96" t="s">
        <v>807</v>
      </c>
      <c r="G96" t="s">
        <v>894</v>
      </c>
      <c r="H96" t="s">
        <v>21</v>
      </c>
      <c r="I96">
        <v>-5.2526849999999996</v>
      </c>
      <c r="J96">
        <v>12.374528</v>
      </c>
      <c r="K96" t="s">
        <v>1500</v>
      </c>
      <c r="L96" t="s">
        <v>1508</v>
      </c>
    </row>
    <row r="97" spans="1:12" x14ac:dyDescent="0.3">
      <c r="A97" t="s">
        <v>1133</v>
      </c>
      <c r="B97" s="1">
        <v>45202</v>
      </c>
      <c r="C97" s="2">
        <v>0.16180555555555556</v>
      </c>
      <c r="D97" t="s">
        <v>1136</v>
      </c>
      <c r="E97">
        <v>61</v>
      </c>
      <c r="F97" t="s">
        <v>810</v>
      </c>
      <c r="G97" t="s">
        <v>1136</v>
      </c>
      <c r="H97" t="s">
        <v>131</v>
      </c>
      <c r="I97">
        <v>-6.5529849999999996</v>
      </c>
      <c r="J97">
        <v>21.990606</v>
      </c>
      <c r="K97" t="s">
        <v>1500</v>
      </c>
      <c r="L97" t="s">
        <v>1499</v>
      </c>
    </row>
    <row r="98" spans="1:12" x14ac:dyDescent="0.3">
      <c r="A98" t="s">
        <v>854</v>
      </c>
      <c r="B98" s="1">
        <v>45214</v>
      </c>
      <c r="C98" s="2">
        <v>0.45763888888888887</v>
      </c>
      <c r="D98" t="s">
        <v>895</v>
      </c>
      <c r="E98">
        <v>48</v>
      </c>
      <c r="F98" t="s">
        <v>812</v>
      </c>
      <c r="G98" t="s">
        <v>895</v>
      </c>
      <c r="H98" t="s">
        <v>31</v>
      </c>
      <c r="I98">
        <v>-9.3652239999999995</v>
      </c>
      <c r="J98">
        <v>22.593423999999999</v>
      </c>
      <c r="K98" t="s">
        <v>1495</v>
      </c>
      <c r="L98" t="s">
        <v>1508</v>
      </c>
    </row>
    <row r="99" spans="1:12" x14ac:dyDescent="0.3">
      <c r="A99" t="s">
        <v>977</v>
      </c>
      <c r="B99" s="1">
        <v>45206</v>
      </c>
      <c r="C99" s="2">
        <v>0.36249999999999999</v>
      </c>
      <c r="D99" t="s">
        <v>994</v>
      </c>
      <c r="E99">
        <v>60</v>
      </c>
      <c r="F99" t="s">
        <v>812</v>
      </c>
      <c r="G99" t="s">
        <v>994</v>
      </c>
      <c r="H99" t="s">
        <v>78</v>
      </c>
      <c r="I99">
        <v>-4.2645619999999997</v>
      </c>
      <c r="J99">
        <v>18.960726000000001</v>
      </c>
      <c r="K99" t="s">
        <v>1498</v>
      </c>
      <c r="L99" t="s">
        <v>1499</v>
      </c>
    </row>
    <row r="100" spans="1:12" x14ac:dyDescent="0.3">
      <c r="A100" t="s">
        <v>1133</v>
      </c>
      <c r="B100" s="1">
        <v>45211</v>
      </c>
      <c r="C100" s="2">
        <v>0.10625</v>
      </c>
      <c r="D100" t="s">
        <v>1142</v>
      </c>
      <c r="E100">
        <v>107</v>
      </c>
      <c r="F100" t="s">
        <v>807</v>
      </c>
      <c r="G100" t="s">
        <v>1142</v>
      </c>
      <c r="H100" t="s">
        <v>29</v>
      </c>
      <c r="I100">
        <v>-5.125</v>
      </c>
      <c r="J100">
        <v>23.513119</v>
      </c>
      <c r="K100" t="s">
        <v>1495</v>
      </c>
      <c r="L100" t="s">
        <v>1499</v>
      </c>
    </row>
    <row r="101" spans="1:12" x14ac:dyDescent="0.3">
      <c r="A101" t="s">
        <v>1098</v>
      </c>
      <c r="B101" s="1">
        <v>45219</v>
      </c>
      <c r="C101" s="2">
        <v>0.68333333333333335</v>
      </c>
      <c r="D101" t="s">
        <v>1102</v>
      </c>
      <c r="E101">
        <v>99</v>
      </c>
      <c r="F101" t="s">
        <v>810</v>
      </c>
      <c r="G101" t="s">
        <v>1102</v>
      </c>
      <c r="H101" t="s">
        <v>62</v>
      </c>
      <c r="I101">
        <v>-9.5840350000000001</v>
      </c>
      <c r="J101">
        <v>15.966024000000001</v>
      </c>
      <c r="K101" t="s">
        <v>1495</v>
      </c>
      <c r="L101" t="s">
        <v>1508</v>
      </c>
    </row>
    <row r="102" spans="1:12" x14ac:dyDescent="0.3">
      <c r="A102" t="s">
        <v>898</v>
      </c>
      <c r="B102" s="1">
        <v>45216</v>
      </c>
      <c r="C102" s="2">
        <v>0.14166666666666666</v>
      </c>
      <c r="D102" t="s">
        <v>905</v>
      </c>
      <c r="E102">
        <v>94</v>
      </c>
      <c r="F102" t="s">
        <v>807</v>
      </c>
      <c r="G102" t="s">
        <v>905</v>
      </c>
      <c r="H102" t="s">
        <v>131</v>
      </c>
      <c r="I102">
        <v>1.8103860000000001</v>
      </c>
      <c r="J102">
        <v>15.175582</v>
      </c>
      <c r="K102" t="s">
        <v>1500</v>
      </c>
      <c r="L102" t="s">
        <v>1499</v>
      </c>
    </row>
    <row r="103" spans="1:12" x14ac:dyDescent="0.3">
      <c r="A103" t="s">
        <v>1014</v>
      </c>
      <c r="B103" s="1">
        <v>45216</v>
      </c>
      <c r="C103" s="2">
        <v>0.58333333333333337</v>
      </c>
      <c r="D103" t="s">
        <v>1023</v>
      </c>
      <c r="E103">
        <v>78</v>
      </c>
      <c r="F103" t="s">
        <v>812</v>
      </c>
      <c r="G103" t="s">
        <v>1023</v>
      </c>
      <c r="H103" t="s">
        <v>24</v>
      </c>
      <c r="I103">
        <v>0.16841400000000001</v>
      </c>
      <c r="J103">
        <v>30.029876999999999</v>
      </c>
      <c r="K103" t="s">
        <v>1495</v>
      </c>
      <c r="L103" t="s">
        <v>1499</v>
      </c>
    </row>
    <row r="104" spans="1:12" x14ac:dyDescent="0.3">
      <c r="A104" t="s">
        <v>898</v>
      </c>
      <c r="B104" s="1">
        <v>45208</v>
      </c>
      <c r="C104" s="2">
        <v>7.2916666666666671E-2</v>
      </c>
      <c r="D104" t="s">
        <v>907</v>
      </c>
      <c r="E104">
        <v>68</v>
      </c>
      <c r="F104" t="s">
        <v>807</v>
      </c>
      <c r="G104" t="s">
        <v>907</v>
      </c>
      <c r="H104" t="s">
        <v>131</v>
      </c>
      <c r="I104">
        <v>1.017161</v>
      </c>
      <c r="J104">
        <v>16.519689</v>
      </c>
      <c r="K104" t="s">
        <v>1500</v>
      </c>
      <c r="L104" t="s">
        <v>1508</v>
      </c>
    </row>
    <row r="105" spans="1:12" x14ac:dyDescent="0.3">
      <c r="A105" t="s">
        <v>898</v>
      </c>
      <c r="B105" s="1">
        <v>45223</v>
      </c>
      <c r="C105" s="2">
        <v>0.99097222222222225</v>
      </c>
      <c r="D105" t="s">
        <v>909</v>
      </c>
      <c r="E105">
        <v>23</v>
      </c>
      <c r="F105" t="s">
        <v>807</v>
      </c>
      <c r="G105" t="s">
        <v>909</v>
      </c>
      <c r="H105" t="s">
        <v>35</v>
      </c>
      <c r="I105">
        <v>-8.0922239999999999</v>
      </c>
      <c r="J105">
        <v>15.483708</v>
      </c>
      <c r="K105" t="s">
        <v>1495</v>
      </c>
      <c r="L105" t="s">
        <v>1508</v>
      </c>
    </row>
    <row r="106" spans="1:12" x14ac:dyDescent="0.3">
      <c r="A106" t="s">
        <v>1098</v>
      </c>
      <c r="B106" s="1">
        <v>45220</v>
      </c>
      <c r="C106" s="2">
        <v>0.89375000000000004</v>
      </c>
      <c r="D106" t="s">
        <v>1127</v>
      </c>
      <c r="E106">
        <v>101</v>
      </c>
      <c r="F106" t="s">
        <v>812</v>
      </c>
      <c r="G106" t="s">
        <v>1127</v>
      </c>
      <c r="H106" t="s">
        <v>26</v>
      </c>
      <c r="I106">
        <v>-2.2876210000000001</v>
      </c>
      <c r="J106">
        <v>27.582545</v>
      </c>
      <c r="K106" t="s">
        <v>1498</v>
      </c>
      <c r="L106" t="s">
        <v>1499</v>
      </c>
    </row>
    <row r="107" spans="1:12" x14ac:dyDescent="0.3">
      <c r="A107" t="s">
        <v>898</v>
      </c>
      <c r="B107" s="1">
        <v>45221</v>
      </c>
      <c r="C107" s="2">
        <v>0.26597222222222222</v>
      </c>
      <c r="D107" t="s">
        <v>910</v>
      </c>
      <c r="E107">
        <v>88</v>
      </c>
      <c r="F107" t="s">
        <v>810</v>
      </c>
      <c r="G107" t="s">
        <v>910</v>
      </c>
      <c r="H107" t="s">
        <v>64</v>
      </c>
      <c r="I107">
        <v>-1.339734</v>
      </c>
      <c r="J107">
        <v>15.243098</v>
      </c>
      <c r="K107" t="s">
        <v>1500</v>
      </c>
      <c r="L107" t="s">
        <v>1508</v>
      </c>
    </row>
    <row r="108" spans="1:12" x14ac:dyDescent="0.3">
      <c r="A108" t="s">
        <v>898</v>
      </c>
      <c r="B108" s="1">
        <v>45225</v>
      </c>
      <c r="C108" s="2">
        <v>0.96527777777777779</v>
      </c>
      <c r="D108" t="s">
        <v>927</v>
      </c>
      <c r="E108">
        <v>36</v>
      </c>
      <c r="F108" t="s">
        <v>807</v>
      </c>
      <c r="G108" t="s">
        <v>927</v>
      </c>
      <c r="H108" t="s">
        <v>37</v>
      </c>
      <c r="I108">
        <v>-9.002459</v>
      </c>
      <c r="J108">
        <v>25.182109000000001</v>
      </c>
      <c r="K108" t="s">
        <v>1495</v>
      </c>
      <c r="L108" t="s">
        <v>1499</v>
      </c>
    </row>
    <row r="109" spans="1:12" x14ac:dyDescent="0.3">
      <c r="A109" t="s">
        <v>1053</v>
      </c>
      <c r="B109" s="1">
        <v>45226</v>
      </c>
      <c r="C109" s="2">
        <v>0.58680555555555558</v>
      </c>
      <c r="D109" t="s">
        <v>1065</v>
      </c>
      <c r="E109">
        <v>33</v>
      </c>
      <c r="F109" t="s">
        <v>812</v>
      </c>
      <c r="G109" t="s">
        <v>1065</v>
      </c>
      <c r="H109" t="s">
        <v>89</v>
      </c>
      <c r="I109">
        <v>-7.7839049999999999</v>
      </c>
      <c r="J109">
        <v>14.114281999999999</v>
      </c>
      <c r="K109" t="s">
        <v>1500</v>
      </c>
      <c r="L109" t="s">
        <v>1501</v>
      </c>
    </row>
    <row r="110" spans="1:12" x14ac:dyDescent="0.3">
      <c r="A110" t="s">
        <v>1073</v>
      </c>
      <c r="B110" s="1">
        <v>45207</v>
      </c>
      <c r="C110" s="2">
        <v>0.14027777777777778</v>
      </c>
      <c r="D110" t="s">
        <v>1077</v>
      </c>
      <c r="E110">
        <v>46</v>
      </c>
      <c r="F110" t="s">
        <v>810</v>
      </c>
      <c r="G110" t="s">
        <v>1077</v>
      </c>
      <c r="H110" t="s">
        <v>62</v>
      </c>
      <c r="I110">
        <v>-12.112399999999999</v>
      </c>
      <c r="J110">
        <v>15.872226</v>
      </c>
      <c r="K110" t="s">
        <v>1498</v>
      </c>
      <c r="L110" t="s">
        <v>1508</v>
      </c>
    </row>
    <row r="111" spans="1:12" x14ac:dyDescent="0.3">
      <c r="A111" t="s">
        <v>1098</v>
      </c>
      <c r="B111" s="1">
        <v>45220</v>
      </c>
      <c r="C111" s="2">
        <v>0.84791666666666665</v>
      </c>
      <c r="D111" t="s">
        <v>1077</v>
      </c>
      <c r="E111">
        <v>103</v>
      </c>
      <c r="F111" t="s">
        <v>807</v>
      </c>
      <c r="G111" t="s">
        <v>1077</v>
      </c>
      <c r="H111" t="s">
        <v>62</v>
      </c>
      <c r="I111">
        <v>-12.112399999999999</v>
      </c>
      <c r="J111">
        <v>15.872226</v>
      </c>
      <c r="K111" t="s">
        <v>1498</v>
      </c>
      <c r="L111" t="s">
        <v>1508</v>
      </c>
    </row>
    <row r="112" spans="1:12" x14ac:dyDescent="0.3">
      <c r="A112" t="s">
        <v>1161</v>
      </c>
      <c r="B112" s="1">
        <v>45201</v>
      </c>
      <c r="C112" s="2">
        <v>0.86736111111111114</v>
      </c>
      <c r="D112" t="s">
        <v>1077</v>
      </c>
      <c r="E112">
        <v>18</v>
      </c>
      <c r="F112" t="s">
        <v>807</v>
      </c>
      <c r="G112" t="s">
        <v>1077</v>
      </c>
      <c r="H112" t="s">
        <v>62</v>
      </c>
      <c r="I112">
        <v>-12.112399999999999</v>
      </c>
      <c r="J112">
        <v>15.872226</v>
      </c>
      <c r="K112" t="s">
        <v>1498</v>
      </c>
      <c r="L112" t="s">
        <v>1508</v>
      </c>
    </row>
    <row r="113" spans="1:12" x14ac:dyDescent="0.3">
      <c r="A113" t="s">
        <v>898</v>
      </c>
      <c r="B113" s="1">
        <v>45217</v>
      </c>
      <c r="C113" s="2">
        <v>0.17499999999999999</v>
      </c>
      <c r="D113" t="s">
        <v>918</v>
      </c>
      <c r="E113">
        <v>18</v>
      </c>
      <c r="F113" t="s">
        <v>812</v>
      </c>
      <c r="G113" t="s">
        <v>918</v>
      </c>
      <c r="H113" t="s">
        <v>21</v>
      </c>
      <c r="I113">
        <v>-9.4702129999999993</v>
      </c>
      <c r="J113">
        <v>12.826158</v>
      </c>
      <c r="K113" t="s">
        <v>1500</v>
      </c>
      <c r="L113" t="s">
        <v>1496</v>
      </c>
    </row>
    <row r="114" spans="1:12" x14ac:dyDescent="0.3">
      <c r="A114" t="s">
        <v>898</v>
      </c>
      <c r="B114" s="1">
        <v>45209</v>
      </c>
      <c r="C114" s="2">
        <v>0.52430555555555558</v>
      </c>
      <c r="D114" t="s">
        <v>922</v>
      </c>
      <c r="E114">
        <v>27</v>
      </c>
      <c r="F114" t="s">
        <v>812</v>
      </c>
      <c r="G114" t="s">
        <v>922</v>
      </c>
      <c r="H114" t="s">
        <v>51</v>
      </c>
      <c r="I114">
        <v>2.4741019999999998</v>
      </c>
      <c r="J114">
        <v>29.297391000000001</v>
      </c>
      <c r="K114" t="s">
        <v>1498</v>
      </c>
      <c r="L114" t="s">
        <v>1496</v>
      </c>
    </row>
    <row r="115" spans="1:12" x14ac:dyDescent="0.3">
      <c r="A115" t="s">
        <v>898</v>
      </c>
      <c r="B115" s="1">
        <v>45206</v>
      </c>
      <c r="C115" s="2">
        <v>0.6875</v>
      </c>
      <c r="D115" t="s">
        <v>926</v>
      </c>
      <c r="E115">
        <v>76</v>
      </c>
      <c r="F115" t="s">
        <v>812</v>
      </c>
      <c r="G115" t="s">
        <v>926</v>
      </c>
      <c r="H115" t="s">
        <v>127</v>
      </c>
      <c r="I115">
        <v>-12.100756000000001</v>
      </c>
      <c r="J115">
        <v>21.938649999999999</v>
      </c>
      <c r="K115" t="s">
        <v>1498</v>
      </c>
      <c r="L115" t="s">
        <v>1499</v>
      </c>
    </row>
    <row r="116" spans="1:12" x14ac:dyDescent="0.3">
      <c r="A116" t="s">
        <v>1098</v>
      </c>
      <c r="B116" s="1">
        <v>45216</v>
      </c>
      <c r="C116" s="2">
        <v>0.69374999999999998</v>
      </c>
      <c r="D116" t="s">
        <v>926</v>
      </c>
      <c r="E116">
        <v>24</v>
      </c>
      <c r="F116" t="s">
        <v>812</v>
      </c>
      <c r="G116" t="s">
        <v>926</v>
      </c>
      <c r="H116" t="s">
        <v>127</v>
      </c>
      <c r="I116">
        <v>-12.100756000000001</v>
      </c>
      <c r="J116">
        <v>21.938649999999999</v>
      </c>
      <c r="K116" t="s">
        <v>1498</v>
      </c>
      <c r="L116" t="s">
        <v>1499</v>
      </c>
    </row>
    <row r="117" spans="1:12" x14ac:dyDescent="0.3">
      <c r="A117" t="s">
        <v>1098</v>
      </c>
      <c r="B117" s="1">
        <v>45230</v>
      </c>
      <c r="C117" s="2">
        <v>0.99791666666666667</v>
      </c>
      <c r="D117" t="s">
        <v>1103</v>
      </c>
      <c r="E117">
        <v>72</v>
      </c>
      <c r="F117" t="s">
        <v>812</v>
      </c>
      <c r="G117" t="s">
        <v>1103</v>
      </c>
      <c r="H117" t="s">
        <v>10</v>
      </c>
      <c r="I117">
        <v>-1.9120569999999999</v>
      </c>
      <c r="J117">
        <v>15.236072999999999</v>
      </c>
      <c r="K117" t="s">
        <v>1495</v>
      </c>
      <c r="L117" t="s">
        <v>1499</v>
      </c>
    </row>
    <row r="118" spans="1:12" x14ac:dyDescent="0.3">
      <c r="A118" t="s">
        <v>898</v>
      </c>
      <c r="B118" s="1">
        <v>45206</v>
      </c>
      <c r="C118" s="2">
        <v>0.1673611111111111</v>
      </c>
      <c r="D118" t="s">
        <v>933</v>
      </c>
      <c r="E118">
        <v>64</v>
      </c>
      <c r="F118" t="s">
        <v>810</v>
      </c>
      <c r="G118" t="s">
        <v>933</v>
      </c>
      <c r="H118" t="s">
        <v>10</v>
      </c>
      <c r="I118">
        <v>0.24202000000000001</v>
      </c>
      <c r="J118">
        <v>17.396256999999999</v>
      </c>
      <c r="K118" t="s">
        <v>1498</v>
      </c>
      <c r="L118" t="s">
        <v>1499</v>
      </c>
    </row>
    <row r="119" spans="1:12" x14ac:dyDescent="0.3">
      <c r="A119" t="s">
        <v>936</v>
      </c>
      <c r="B119" s="1">
        <v>45204</v>
      </c>
      <c r="C119" s="2">
        <v>0.59097222222222223</v>
      </c>
      <c r="D119" t="s">
        <v>944</v>
      </c>
      <c r="E119">
        <v>108</v>
      </c>
      <c r="F119" t="s">
        <v>810</v>
      </c>
      <c r="G119" t="s">
        <v>944</v>
      </c>
      <c r="H119" t="s">
        <v>51</v>
      </c>
      <c r="I119">
        <v>-8.5675749999999997</v>
      </c>
      <c r="J119">
        <v>26.994581</v>
      </c>
      <c r="K119" t="s">
        <v>1500</v>
      </c>
      <c r="L119" t="s">
        <v>1508</v>
      </c>
    </row>
    <row r="120" spans="1:12" x14ac:dyDescent="0.3">
      <c r="A120" t="s">
        <v>898</v>
      </c>
      <c r="B120" s="1">
        <v>45226</v>
      </c>
      <c r="C120" s="2">
        <v>0.3215277777777778</v>
      </c>
      <c r="D120" t="s">
        <v>931</v>
      </c>
      <c r="E120">
        <v>22</v>
      </c>
      <c r="F120" t="s">
        <v>812</v>
      </c>
      <c r="G120" t="s">
        <v>931</v>
      </c>
      <c r="H120" t="s">
        <v>131</v>
      </c>
      <c r="I120">
        <v>-10.25074</v>
      </c>
      <c r="J120">
        <v>26.099086</v>
      </c>
      <c r="K120" t="s">
        <v>1498</v>
      </c>
      <c r="L120" t="s">
        <v>1499</v>
      </c>
    </row>
    <row r="121" spans="1:12" x14ac:dyDescent="0.3">
      <c r="A121" t="s">
        <v>1053</v>
      </c>
      <c r="B121" s="1">
        <v>45201</v>
      </c>
      <c r="C121" s="2">
        <v>0.51180555555555551</v>
      </c>
      <c r="D121" t="s">
        <v>931</v>
      </c>
      <c r="E121">
        <v>62</v>
      </c>
      <c r="F121" t="s">
        <v>810</v>
      </c>
      <c r="G121" t="s">
        <v>931</v>
      </c>
      <c r="H121" t="s">
        <v>131</v>
      </c>
      <c r="I121">
        <v>-10.25074</v>
      </c>
      <c r="J121">
        <v>26.099086</v>
      </c>
      <c r="K121" t="s">
        <v>1498</v>
      </c>
      <c r="L121" t="s">
        <v>1499</v>
      </c>
    </row>
    <row r="122" spans="1:12" x14ac:dyDescent="0.3">
      <c r="A122" t="s">
        <v>1133</v>
      </c>
      <c r="B122" s="1">
        <v>45213</v>
      </c>
      <c r="C122" s="2">
        <v>0.23749999999999999</v>
      </c>
      <c r="D122" t="s">
        <v>931</v>
      </c>
      <c r="E122">
        <v>68</v>
      </c>
      <c r="F122" t="s">
        <v>812</v>
      </c>
      <c r="G122" t="s">
        <v>931</v>
      </c>
      <c r="H122" t="s">
        <v>131</v>
      </c>
      <c r="I122">
        <v>-10.25074</v>
      </c>
      <c r="J122">
        <v>26.099086</v>
      </c>
      <c r="K122" t="s">
        <v>1498</v>
      </c>
      <c r="L122" t="s">
        <v>1499</v>
      </c>
    </row>
    <row r="123" spans="1:12" x14ac:dyDescent="0.3">
      <c r="A123" t="s">
        <v>898</v>
      </c>
      <c r="B123" s="1">
        <v>45209</v>
      </c>
      <c r="C123" s="2">
        <v>0.32708333333333334</v>
      </c>
      <c r="D123" t="s">
        <v>932</v>
      </c>
      <c r="E123">
        <v>107</v>
      </c>
      <c r="F123" t="s">
        <v>810</v>
      </c>
      <c r="G123" t="s">
        <v>932</v>
      </c>
      <c r="H123" t="s">
        <v>60</v>
      </c>
      <c r="I123">
        <v>-5.0402180000000003</v>
      </c>
      <c r="J123">
        <v>13.892471</v>
      </c>
      <c r="K123" t="s">
        <v>1500</v>
      </c>
      <c r="L123" t="s">
        <v>1501</v>
      </c>
    </row>
    <row r="124" spans="1:12" x14ac:dyDescent="0.3">
      <c r="A124" t="s">
        <v>1098</v>
      </c>
      <c r="B124" s="1">
        <v>45229</v>
      </c>
      <c r="C124" s="2">
        <v>0.67013888888888884</v>
      </c>
      <c r="D124" t="s">
        <v>1126</v>
      </c>
      <c r="E124">
        <v>41</v>
      </c>
      <c r="F124" t="s">
        <v>812</v>
      </c>
      <c r="G124" t="s">
        <v>1126</v>
      </c>
      <c r="H124" t="s">
        <v>18</v>
      </c>
      <c r="I124">
        <v>-7.1785899999999998</v>
      </c>
      <c r="J124">
        <v>24.4404</v>
      </c>
      <c r="K124" t="s">
        <v>1498</v>
      </c>
      <c r="L124" t="s">
        <v>1508</v>
      </c>
    </row>
    <row r="125" spans="1:12" x14ac:dyDescent="0.3">
      <c r="A125" t="s">
        <v>1161</v>
      </c>
      <c r="B125" s="1">
        <v>45216</v>
      </c>
      <c r="C125" s="2">
        <v>0.46388888888888891</v>
      </c>
      <c r="D125" t="s">
        <v>1126</v>
      </c>
      <c r="E125">
        <v>58</v>
      </c>
      <c r="F125" t="s">
        <v>807</v>
      </c>
      <c r="G125" t="s">
        <v>1126</v>
      </c>
      <c r="H125" t="s">
        <v>18</v>
      </c>
      <c r="I125">
        <v>-7.1785899999999998</v>
      </c>
      <c r="J125">
        <v>24.4404</v>
      </c>
      <c r="K125" t="s">
        <v>1498</v>
      </c>
      <c r="L125" t="s">
        <v>1508</v>
      </c>
    </row>
    <row r="126" spans="1:12" x14ac:dyDescent="0.3">
      <c r="A126" t="s">
        <v>1098</v>
      </c>
      <c r="B126" s="1">
        <v>45230</v>
      </c>
      <c r="C126" s="2">
        <v>0.26458333333333334</v>
      </c>
      <c r="D126" t="s">
        <v>1128</v>
      </c>
      <c r="E126">
        <v>62</v>
      </c>
      <c r="F126" t="s">
        <v>807</v>
      </c>
      <c r="G126" t="s">
        <v>1128</v>
      </c>
      <c r="H126" t="s">
        <v>16</v>
      </c>
      <c r="I126">
        <v>3.6344850000000002</v>
      </c>
      <c r="J126">
        <v>12.158348999999999</v>
      </c>
      <c r="K126" t="s">
        <v>1495</v>
      </c>
      <c r="L126" t="s">
        <v>1496</v>
      </c>
    </row>
    <row r="127" spans="1:12" x14ac:dyDescent="0.3">
      <c r="A127" t="s">
        <v>898</v>
      </c>
      <c r="B127" s="1">
        <v>45201</v>
      </c>
      <c r="C127" s="2">
        <v>0.3125</v>
      </c>
      <c r="D127" t="s">
        <v>934</v>
      </c>
      <c r="E127">
        <v>90</v>
      </c>
      <c r="F127" t="s">
        <v>810</v>
      </c>
      <c r="G127" t="s">
        <v>934</v>
      </c>
      <c r="H127" t="s">
        <v>57</v>
      </c>
      <c r="I127">
        <v>-12.333232000000001</v>
      </c>
      <c r="J127">
        <v>25.229620000000001</v>
      </c>
      <c r="K127" t="s">
        <v>1495</v>
      </c>
      <c r="L127" t="s">
        <v>1508</v>
      </c>
    </row>
    <row r="128" spans="1:12" x14ac:dyDescent="0.3">
      <c r="A128" t="s">
        <v>1133</v>
      </c>
      <c r="B128" s="1">
        <v>45211</v>
      </c>
      <c r="C128" s="2">
        <v>9.8611111111111108E-2</v>
      </c>
      <c r="D128" t="s">
        <v>1146</v>
      </c>
      <c r="E128">
        <v>59</v>
      </c>
      <c r="F128" t="s">
        <v>812</v>
      </c>
      <c r="G128" t="s">
        <v>1146</v>
      </c>
      <c r="H128" t="s">
        <v>31</v>
      </c>
      <c r="I128">
        <v>-11.387295999999999</v>
      </c>
      <c r="J128">
        <v>19.384257999999999</v>
      </c>
      <c r="K128" t="s">
        <v>1500</v>
      </c>
      <c r="L128" t="s">
        <v>1499</v>
      </c>
    </row>
    <row r="129" spans="1:12" x14ac:dyDescent="0.3">
      <c r="A129" t="s">
        <v>898</v>
      </c>
      <c r="B129" s="1">
        <v>45219</v>
      </c>
      <c r="C129" s="2">
        <v>0.10347222222222222</v>
      </c>
      <c r="D129" t="s">
        <v>935</v>
      </c>
      <c r="E129">
        <v>72</v>
      </c>
      <c r="F129" t="s">
        <v>810</v>
      </c>
      <c r="G129" t="s">
        <v>935</v>
      </c>
      <c r="H129" t="s">
        <v>67</v>
      </c>
      <c r="I129">
        <v>-5.7035130000000001</v>
      </c>
      <c r="J129">
        <v>14.331479</v>
      </c>
      <c r="K129" t="s">
        <v>1495</v>
      </c>
      <c r="L129" t="s">
        <v>1508</v>
      </c>
    </row>
    <row r="130" spans="1:12" x14ac:dyDescent="0.3">
      <c r="A130" t="s">
        <v>1190</v>
      </c>
      <c r="B130" s="1">
        <v>45230</v>
      </c>
      <c r="C130" s="2">
        <v>0.22847222222222222</v>
      </c>
      <c r="D130" t="s">
        <v>935</v>
      </c>
      <c r="E130">
        <v>39</v>
      </c>
      <c r="F130" t="s">
        <v>812</v>
      </c>
      <c r="G130" t="s">
        <v>935</v>
      </c>
      <c r="H130" t="s">
        <v>67</v>
      </c>
      <c r="I130">
        <v>-5.7035130000000001</v>
      </c>
      <c r="J130">
        <v>14.331479</v>
      </c>
      <c r="K130" t="s">
        <v>1495</v>
      </c>
      <c r="L130" t="s">
        <v>1508</v>
      </c>
    </row>
    <row r="131" spans="1:12" x14ac:dyDescent="0.3">
      <c r="A131" t="s">
        <v>1133</v>
      </c>
      <c r="B131" s="1">
        <v>45222</v>
      </c>
      <c r="C131" s="2">
        <v>0.17916666666666667</v>
      </c>
      <c r="D131" t="s">
        <v>1139</v>
      </c>
      <c r="E131">
        <v>28</v>
      </c>
      <c r="F131" t="s">
        <v>810</v>
      </c>
      <c r="G131" t="s">
        <v>1139</v>
      </c>
      <c r="H131" t="s">
        <v>64</v>
      </c>
      <c r="I131">
        <v>-0.90854400000000002</v>
      </c>
      <c r="J131">
        <v>17.154896999999998</v>
      </c>
      <c r="K131" t="s">
        <v>1500</v>
      </c>
      <c r="L131" t="s">
        <v>1499</v>
      </c>
    </row>
    <row r="132" spans="1:12" x14ac:dyDescent="0.3">
      <c r="A132" t="s">
        <v>936</v>
      </c>
      <c r="B132" s="1">
        <v>45200</v>
      </c>
      <c r="C132" s="2">
        <v>0.51458333333333328</v>
      </c>
      <c r="D132" t="s">
        <v>937</v>
      </c>
      <c r="E132">
        <v>24</v>
      </c>
      <c r="F132" t="s">
        <v>812</v>
      </c>
      <c r="G132" t="s">
        <v>937</v>
      </c>
      <c r="H132" t="s">
        <v>13</v>
      </c>
      <c r="I132">
        <v>-11.622688999999999</v>
      </c>
      <c r="J132">
        <v>18.483874</v>
      </c>
      <c r="K132" t="s">
        <v>1495</v>
      </c>
      <c r="L132" t="s">
        <v>1501</v>
      </c>
    </row>
    <row r="133" spans="1:12" x14ac:dyDescent="0.3">
      <c r="A133" t="s">
        <v>1098</v>
      </c>
      <c r="B133" s="1">
        <v>45217</v>
      </c>
      <c r="C133" s="2">
        <v>0.89166666666666672</v>
      </c>
      <c r="D133" t="s">
        <v>1115</v>
      </c>
      <c r="E133">
        <v>108</v>
      </c>
      <c r="F133" t="s">
        <v>812</v>
      </c>
      <c r="G133" t="s">
        <v>1115</v>
      </c>
      <c r="H133" t="s">
        <v>16</v>
      </c>
      <c r="I133">
        <v>-5.3762689999999997</v>
      </c>
      <c r="J133">
        <v>28.189575999999999</v>
      </c>
      <c r="K133" t="s">
        <v>1495</v>
      </c>
      <c r="L133" t="s">
        <v>1499</v>
      </c>
    </row>
    <row r="134" spans="1:12" x14ac:dyDescent="0.3">
      <c r="A134" t="s">
        <v>936</v>
      </c>
      <c r="B134" s="1">
        <v>45221</v>
      </c>
      <c r="C134" s="2">
        <v>0.91041666666666665</v>
      </c>
      <c r="D134" t="s">
        <v>938</v>
      </c>
      <c r="E134">
        <v>60</v>
      </c>
      <c r="F134" t="s">
        <v>810</v>
      </c>
      <c r="G134" t="s">
        <v>938</v>
      </c>
      <c r="H134" t="s">
        <v>33</v>
      </c>
      <c r="I134">
        <v>-10.414493</v>
      </c>
      <c r="J134">
        <v>12.333356999999999</v>
      </c>
      <c r="K134" t="s">
        <v>1500</v>
      </c>
      <c r="L134" t="s">
        <v>1496</v>
      </c>
    </row>
    <row r="135" spans="1:12" x14ac:dyDescent="0.3">
      <c r="A135" t="s">
        <v>936</v>
      </c>
      <c r="B135" s="1">
        <v>45204</v>
      </c>
      <c r="C135" s="2">
        <v>0.81527777777777777</v>
      </c>
      <c r="D135" t="s">
        <v>938</v>
      </c>
      <c r="E135">
        <v>71</v>
      </c>
      <c r="F135" t="s">
        <v>812</v>
      </c>
      <c r="G135" t="s">
        <v>938</v>
      </c>
      <c r="H135" t="s">
        <v>33</v>
      </c>
      <c r="I135">
        <v>-10.414493</v>
      </c>
      <c r="J135">
        <v>12.333356999999999</v>
      </c>
      <c r="K135" t="s">
        <v>1500</v>
      </c>
      <c r="L135" t="s">
        <v>1496</v>
      </c>
    </row>
    <row r="136" spans="1:12" x14ac:dyDescent="0.3">
      <c r="A136" t="s">
        <v>977</v>
      </c>
      <c r="B136" s="1">
        <v>45209</v>
      </c>
      <c r="C136" s="2">
        <v>0.82430555555555551</v>
      </c>
      <c r="D136" t="s">
        <v>938</v>
      </c>
      <c r="E136">
        <v>93</v>
      </c>
      <c r="F136" t="s">
        <v>812</v>
      </c>
      <c r="G136" t="s">
        <v>938</v>
      </c>
      <c r="H136" t="s">
        <v>33</v>
      </c>
      <c r="I136">
        <v>-10.414493</v>
      </c>
      <c r="J136">
        <v>12.333356999999999</v>
      </c>
      <c r="K136" t="s">
        <v>1500</v>
      </c>
      <c r="L136" t="s">
        <v>1496</v>
      </c>
    </row>
    <row r="137" spans="1:12" x14ac:dyDescent="0.3">
      <c r="A137" t="s">
        <v>1190</v>
      </c>
      <c r="B137" s="1">
        <v>45203</v>
      </c>
      <c r="C137" s="2">
        <v>0.25069444444444444</v>
      </c>
      <c r="D137" t="s">
        <v>938</v>
      </c>
      <c r="E137">
        <v>49</v>
      </c>
      <c r="F137" t="s">
        <v>810</v>
      </c>
      <c r="G137" t="s">
        <v>938</v>
      </c>
      <c r="H137" t="s">
        <v>33</v>
      </c>
      <c r="I137">
        <v>-10.414493</v>
      </c>
      <c r="J137">
        <v>12.333356999999999</v>
      </c>
      <c r="K137" t="s">
        <v>1500</v>
      </c>
      <c r="L137" t="s">
        <v>1496</v>
      </c>
    </row>
    <row r="138" spans="1:12" x14ac:dyDescent="0.3">
      <c r="A138" t="s">
        <v>936</v>
      </c>
      <c r="B138" s="1">
        <v>45212</v>
      </c>
      <c r="C138" s="2">
        <v>0.96527777777777779</v>
      </c>
      <c r="D138" t="s">
        <v>939</v>
      </c>
      <c r="E138">
        <v>27</v>
      </c>
      <c r="F138" t="s">
        <v>812</v>
      </c>
      <c r="G138" t="s">
        <v>939</v>
      </c>
      <c r="H138" t="s">
        <v>62</v>
      </c>
      <c r="I138">
        <v>0.79124300000000003</v>
      </c>
      <c r="J138">
        <v>25.273389000000002</v>
      </c>
      <c r="K138" t="s">
        <v>1498</v>
      </c>
      <c r="L138" t="s">
        <v>1508</v>
      </c>
    </row>
    <row r="139" spans="1:12" x14ac:dyDescent="0.3">
      <c r="A139" t="s">
        <v>936</v>
      </c>
      <c r="B139" s="1">
        <v>45226</v>
      </c>
      <c r="C139" s="2">
        <v>0.62361111111111112</v>
      </c>
      <c r="D139" t="s">
        <v>940</v>
      </c>
      <c r="E139">
        <v>98</v>
      </c>
      <c r="F139" t="s">
        <v>812</v>
      </c>
      <c r="G139" t="s">
        <v>940</v>
      </c>
      <c r="H139" t="s">
        <v>89</v>
      </c>
      <c r="I139">
        <v>-7.9987219999999999</v>
      </c>
      <c r="J139">
        <v>12.779335</v>
      </c>
      <c r="K139" t="s">
        <v>1495</v>
      </c>
      <c r="L139" t="s">
        <v>1508</v>
      </c>
    </row>
    <row r="140" spans="1:12" x14ac:dyDescent="0.3">
      <c r="A140" t="s">
        <v>1053</v>
      </c>
      <c r="B140" s="1">
        <v>45225</v>
      </c>
      <c r="C140" s="2">
        <v>0.31736111111111109</v>
      </c>
      <c r="D140" t="s">
        <v>940</v>
      </c>
      <c r="E140">
        <v>56</v>
      </c>
      <c r="F140" t="s">
        <v>810</v>
      </c>
      <c r="G140" t="s">
        <v>940</v>
      </c>
      <c r="H140" t="s">
        <v>89</v>
      </c>
      <c r="I140">
        <v>-7.9987219999999999</v>
      </c>
      <c r="J140">
        <v>12.779335</v>
      </c>
      <c r="K140" t="s">
        <v>1495</v>
      </c>
      <c r="L140" t="s">
        <v>1508</v>
      </c>
    </row>
    <row r="141" spans="1:12" x14ac:dyDescent="0.3">
      <c r="A141" t="s">
        <v>936</v>
      </c>
      <c r="B141" s="1">
        <v>45211</v>
      </c>
      <c r="C141" s="2">
        <v>0.23472222222222222</v>
      </c>
      <c r="D141" t="s">
        <v>958</v>
      </c>
      <c r="E141">
        <v>62</v>
      </c>
      <c r="F141" t="s">
        <v>812</v>
      </c>
      <c r="G141" t="s">
        <v>958</v>
      </c>
      <c r="H141" t="s">
        <v>131</v>
      </c>
      <c r="I141">
        <v>-2.3102109999999998</v>
      </c>
      <c r="J141">
        <v>12.362488000000001</v>
      </c>
      <c r="K141" t="s">
        <v>1495</v>
      </c>
      <c r="L141" t="s">
        <v>1508</v>
      </c>
    </row>
    <row r="142" spans="1:12" x14ac:dyDescent="0.3">
      <c r="A142" t="s">
        <v>1014</v>
      </c>
      <c r="B142" s="1">
        <v>45230</v>
      </c>
      <c r="C142" s="2">
        <v>0.48402777777777778</v>
      </c>
      <c r="D142" t="s">
        <v>1050</v>
      </c>
      <c r="E142">
        <v>37</v>
      </c>
      <c r="F142" t="s">
        <v>810</v>
      </c>
      <c r="G142" t="s">
        <v>1050</v>
      </c>
      <c r="H142" t="s">
        <v>62</v>
      </c>
      <c r="I142">
        <v>-12.564277000000001</v>
      </c>
      <c r="J142">
        <v>28.480798</v>
      </c>
      <c r="K142" t="s">
        <v>1495</v>
      </c>
      <c r="L142" t="s">
        <v>1501</v>
      </c>
    </row>
    <row r="143" spans="1:12" x14ac:dyDescent="0.3">
      <c r="A143" t="s">
        <v>936</v>
      </c>
      <c r="B143" s="1">
        <v>45200</v>
      </c>
      <c r="C143" s="2">
        <v>0.52569444444444446</v>
      </c>
      <c r="D143" t="s">
        <v>941</v>
      </c>
      <c r="E143">
        <v>88</v>
      </c>
      <c r="F143" t="s">
        <v>812</v>
      </c>
      <c r="G143" t="s">
        <v>941</v>
      </c>
      <c r="H143" t="s">
        <v>64</v>
      </c>
      <c r="I143">
        <v>-1.6097570000000001</v>
      </c>
      <c r="J143">
        <v>30.661662</v>
      </c>
      <c r="K143" t="s">
        <v>1498</v>
      </c>
      <c r="L143" t="s">
        <v>1496</v>
      </c>
    </row>
    <row r="144" spans="1:12" x14ac:dyDescent="0.3">
      <c r="A144" t="s">
        <v>936</v>
      </c>
      <c r="B144" s="1">
        <v>45210</v>
      </c>
      <c r="C144" s="2">
        <v>0.45</v>
      </c>
      <c r="D144" t="s">
        <v>947</v>
      </c>
      <c r="E144">
        <v>66</v>
      </c>
      <c r="F144" t="s">
        <v>807</v>
      </c>
      <c r="G144" t="s">
        <v>947</v>
      </c>
      <c r="H144" t="s">
        <v>137</v>
      </c>
      <c r="I144">
        <v>-9.7803979999999999</v>
      </c>
      <c r="J144">
        <v>17.686595000000001</v>
      </c>
      <c r="K144" t="s">
        <v>1498</v>
      </c>
      <c r="L144" t="s">
        <v>1496</v>
      </c>
    </row>
    <row r="145" spans="1:12" x14ac:dyDescent="0.3">
      <c r="A145" t="s">
        <v>936</v>
      </c>
      <c r="B145" s="1">
        <v>45228</v>
      </c>
      <c r="C145" s="2">
        <v>0.51180555555555551</v>
      </c>
      <c r="D145" t="s">
        <v>948</v>
      </c>
      <c r="E145">
        <v>64</v>
      </c>
      <c r="F145" t="s">
        <v>810</v>
      </c>
      <c r="G145" t="s">
        <v>948</v>
      </c>
      <c r="H145" t="s">
        <v>127</v>
      </c>
      <c r="I145">
        <v>-4.4351269999999996</v>
      </c>
      <c r="J145">
        <v>24.825467</v>
      </c>
      <c r="K145" t="s">
        <v>1498</v>
      </c>
      <c r="L145" t="s">
        <v>1499</v>
      </c>
    </row>
    <row r="146" spans="1:12" x14ac:dyDescent="0.3">
      <c r="A146" t="s">
        <v>1161</v>
      </c>
      <c r="B146" s="1">
        <v>45209</v>
      </c>
      <c r="C146" s="2">
        <v>0.53125</v>
      </c>
      <c r="D146" t="s">
        <v>1171</v>
      </c>
      <c r="E146">
        <v>63</v>
      </c>
      <c r="F146" t="s">
        <v>807</v>
      </c>
      <c r="G146" t="s">
        <v>1171</v>
      </c>
      <c r="H146" t="s">
        <v>78</v>
      </c>
      <c r="I146">
        <v>1.727095</v>
      </c>
      <c r="J146">
        <v>22.099651999999999</v>
      </c>
      <c r="K146" t="s">
        <v>1498</v>
      </c>
      <c r="L146" t="s">
        <v>1499</v>
      </c>
    </row>
    <row r="147" spans="1:12" x14ac:dyDescent="0.3">
      <c r="A147" t="s">
        <v>936</v>
      </c>
      <c r="B147" s="1">
        <v>45224</v>
      </c>
      <c r="C147" s="2">
        <v>0.55277777777777781</v>
      </c>
      <c r="D147" t="s">
        <v>949</v>
      </c>
      <c r="E147">
        <v>60</v>
      </c>
      <c r="F147" t="s">
        <v>810</v>
      </c>
      <c r="G147" t="s">
        <v>949</v>
      </c>
      <c r="H147" t="s">
        <v>37</v>
      </c>
      <c r="I147">
        <v>-10.439686999999999</v>
      </c>
      <c r="J147">
        <v>20.714210000000001</v>
      </c>
      <c r="K147" t="s">
        <v>1498</v>
      </c>
      <c r="L147" t="s">
        <v>1501</v>
      </c>
    </row>
    <row r="148" spans="1:12" x14ac:dyDescent="0.3">
      <c r="A148" t="s">
        <v>936</v>
      </c>
      <c r="B148" s="1">
        <v>45226</v>
      </c>
      <c r="C148" s="2">
        <v>0.10416666666666667</v>
      </c>
      <c r="D148" t="s">
        <v>950</v>
      </c>
      <c r="E148">
        <v>110</v>
      </c>
      <c r="F148" t="s">
        <v>810</v>
      </c>
      <c r="G148" t="s">
        <v>950</v>
      </c>
      <c r="H148" t="s">
        <v>13</v>
      </c>
      <c r="I148">
        <v>-2.3677800000000002</v>
      </c>
      <c r="J148">
        <v>18.790323999999998</v>
      </c>
      <c r="K148" t="s">
        <v>1495</v>
      </c>
      <c r="L148" t="s">
        <v>1499</v>
      </c>
    </row>
    <row r="149" spans="1:12" x14ac:dyDescent="0.3">
      <c r="A149" t="s">
        <v>1190</v>
      </c>
      <c r="B149" s="1">
        <v>45219</v>
      </c>
      <c r="C149" s="2">
        <v>0.50624999999999998</v>
      </c>
      <c r="D149" t="s">
        <v>950</v>
      </c>
      <c r="E149">
        <v>41</v>
      </c>
      <c r="F149" t="s">
        <v>810</v>
      </c>
      <c r="G149" t="s">
        <v>950</v>
      </c>
      <c r="H149" t="s">
        <v>13</v>
      </c>
      <c r="I149">
        <v>-2.3677800000000002</v>
      </c>
      <c r="J149">
        <v>18.790323999999998</v>
      </c>
      <c r="K149" t="s">
        <v>1495</v>
      </c>
      <c r="L149" t="s">
        <v>1499</v>
      </c>
    </row>
    <row r="150" spans="1:12" x14ac:dyDescent="0.3">
      <c r="A150" t="s">
        <v>977</v>
      </c>
      <c r="B150" s="1">
        <v>45216</v>
      </c>
      <c r="C150" s="2">
        <v>0.72986111111111107</v>
      </c>
      <c r="D150" t="s">
        <v>1010</v>
      </c>
      <c r="E150">
        <v>109</v>
      </c>
      <c r="F150" t="s">
        <v>812</v>
      </c>
      <c r="G150" t="s">
        <v>1010</v>
      </c>
      <c r="H150" t="s">
        <v>57</v>
      </c>
      <c r="I150">
        <v>0.639208</v>
      </c>
      <c r="J150">
        <v>20.701739</v>
      </c>
      <c r="K150" t="s">
        <v>1498</v>
      </c>
      <c r="L150" t="s">
        <v>1499</v>
      </c>
    </row>
    <row r="151" spans="1:12" x14ac:dyDescent="0.3">
      <c r="A151" t="s">
        <v>936</v>
      </c>
      <c r="B151" s="1">
        <v>45201</v>
      </c>
      <c r="C151" s="2">
        <v>0.46805555555555556</v>
      </c>
      <c r="D151" t="s">
        <v>951</v>
      </c>
      <c r="E151">
        <v>80</v>
      </c>
      <c r="F151" t="s">
        <v>807</v>
      </c>
      <c r="G151" t="s">
        <v>951</v>
      </c>
      <c r="H151" t="s">
        <v>24</v>
      </c>
      <c r="I151">
        <v>-3.3890790000000002</v>
      </c>
      <c r="J151">
        <v>18.374571</v>
      </c>
      <c r="K151" t="s">
        <v>1495</v>
      </c>
      <c r="L151" t="s">
        <v>1501</v>
      </c>
    </row>
    <row r="152" spans="1:12" x14ac:dyDescent="0.3">
      <c r="A152" t="s">
        <v>936</v>
      </c>
      <c r="B152" s="1">
        <v>45204</v>
      </c>
      <c r="C152" s="2">
        <v>0.29722222222222222</v>
      </c>
      <c r="D152" t="s">
        <v>954</v>
      </c>
      <c r="E152">
        <v>111</v>
      </c>
      <c r="F152" t="s">
        <v>810</v>
      </c>
      <c r="G152" t="s">
        <v>954</v>
      </c>
      <c r="H152" t="s">
        <v>89</v>
      </c>
      <c r="I152">
        <v>-1.342476</v>
      </c>
      <c r="J152">
        <v>15.986086</v>
      </c>
      <c r="K152" t="s">
        <v>1498</v>
      </c>
      <c r="L152" t="s">
        <v>1496</v>
      </c>
    </row>
    <row r="153" spans="1:12" x14ac:dyDescent="0.3">
      <c r="A153" t="s">
        <v>1014</v>
      </c>
      <c r="B153" s="1">
        <v>45227</v>
      </c>
      <c r="C153" s="2">
        <v>0.58750000000000002</v>
      </c>
      <c r="D153" t="s">
        <v>954</v>
      </c>
      <c r="E153">
        <v>50</v>
      </c>
      <c r="F153" t="s">
        <v>810</v>
      </c>
      <c r="G153" t="s">
        <v>954</v>
      </c>
      <c r="H153" t="s">
        <v>89</v>
      </c>
      <c r="I153">
        <v>-1.342476</v>
      </c>
      <c r="J153">
        <v>15.986086</v>
      </c>
      <c r="K153" t="s">
        <v>1498</v>
      </c>
      <c r="L153" t="s">
        <v>1496</v>
      </c>
    </row>
    <row r="154" spans="1:12" x14ac:dyDescent="0.3">
      <c r="A154" t="s">
        <v>1190</v>
      </c>
      <c r="B154" s="1">
        <v>45229</v>
      </c>
      <c r="C154" s="2">
        <v>0.72291666666666665</v>
      </c>
      <c r="D154" t="s">
        <v>954</v>
      </c>
      <c r="E154">
        <v>76</v>
      </c>
      <c r="F154" t="s">
        <v>810</v>
      </c>
      <c r="G154" t="s">
        <v>954</v>
      </c>
      <c r="H154" t="s">
        <v>89</v>
      </c>
      <c r="I154">
        <v>-1.342476</v>
      </c>
      <c r="J154">
        <v>15.986086</v>
      </c>
      <c r="K154" t="s">
        <v>1498</v>
      </c>
      <c r="L154" t="s">
        <v>1496</v>
      </c>
    </row>
    <row r="155" spans="1:12" x14ac:dyDescent="0.3">
      <c r="A155" t="s">
        <v>1190</v>
      </c>
      <c r="B155" s="1">
        <v>45216</v>
      </c>
      <c r="C155" s="2">
        <v>0.86527777777777781</v>
      </c>
      <c r="D155" t="s">
        <v>1201</v>
      </c>
      <c r="E155">
        <v>10</v>
      </c>
      <c r="F155" t="s">
        <v>810</v>
      </c>
      <c r="G155" t="s">
        <v>1201</v>
      </c>
      <c r="H155" t="s">
        <v>57</v>
      </c>
      <c r="I155">
        <v>-1.648326</v>
      </c>
      <c r="J155">
        <v>25.528901999999999</v>
      </c>
      <c r="K155" t="s">
        <v>1498</v>
      </c>
      <c r="L155" t="s">
        <v>1499</v>
      </c>
    </row>
    <row r="156" spans="1:12" x14ac:dyDescent="0.3">
      <c r="A156" t="s">
        <v>977</v>
      </c>
      <c r="B156" s="1">
        <v>45202</v>
      </c>
      <c r="C156" s="2">
        <v>0.21875</v>
      </c>
      <c r="D156" t="s">
        <v>995</v>
      </c>
      <c r="E156">
        <v>86</v>
      </c>
      <c r="F156" t="s">
        <v>812</v>
      </c>
      <c r="G156" t="s">
        <v>995</v>
      </c>
      <c r="H156" t="s">
        <v>18</v>
      </c>
      <c r="I156">
        <v>-12.112682</v>
      </c>
      <c r="J156">
        <v>19.972052000000001</v>
      </c>
      <c r="K156" t="s">
        <v>1498</v>
      </c>
      <c r="L156" t="s">
        <v>1499</v>
      </c>
    </row>
    <row r="157" spans="1:12" x14ac:dyDescent="0.3">
      <c r="A157" t="s">
        <v>1073</v>
      </c>
      <c r="B157" s="1">
        <v>45210</v>
      </c>
      <c r="C157" s="2">
        <v>0.45833333333333331</v>
      </c>
      <c r="D157" t="s">
        <v>995</v>
      </c>
      <c r="E157">
        <v>95</v>
      </c>
      <c r="F157" t="s">
        <v>810</v>
      </c>
      <c r="G157" t="s">
        <v>995</v>
      </c>
      <c r="H157" t="s">
        <v>18</v>
      </c>
      <c r="I157">
        <v>-12.112682</v>
      </c>
      <c r="J157">
        <v>19.972052000000001</v>
      </c>
      <c r="K157" t="s">
        <v>1498</v>
      </c>
      <c r="L157" t="s">
        <v>1499</v>
      </c>
    </row>
    <row r="158" spans="1:12" x14ac:dyDescent="0.3">
      <c r="A158" t="s">
        <v>936</v>
      </c>
      <c r="B158" s="1">
        <v>45218</v>
      </c>
      <c r="C158" s="2">
        <v>0.27013888888888887</v>
      </c>
      <c r="D158" t="s">
        <v>956</v>
      </c>
      <c r="E158">
        <v>40</v>
      </c>
      <c r="F158" t="s">
        <v>810</v>
      </c>
      <c r="G158" t="s">
        <v>956</v>
      </c>
      <c r="H158" t="s">
        <v>127</v>
      </c>
      <c r="I158">
        <v>-1.8045979999999999</v>
      </c>
      <c r="J158">
        <v>12.511096999999999</v>
      </c>
      <c r="K158" t="s">
        <v>1500</v>
      </c>
      <c r="L158" t="s">
        <v>1499</v>
      </c>
    </row>
    <row r="159" spans="1:12" x14ac:dyDescent="0.3">
      <c r="A159" t="s">
        <v>1053</v>
      </c>
      <c r="B159" s="1">
        <v>45212</v>
      </c>
      <c r="C159" s="2">
        <v>0.59930555555555554</v>
      </c>
      <c r="D159" t="s">
        <v>956</v>
      </c>
      <c r="E159">
        <v>58</v>
      </c>
      <c r="F159" t="s">
        <v>810</v>
      </c>
      <c r="G159" t="s">
        <v>956</v>
      </c>
      <c r="H159" t="s">
        <v>127</v>
      </c>
      <c r="I159">
        <v>-1.8045979999999999</v>
      </c>
      <c r="J159">
        <v>12.511096999999999</v>
      </c>
      <c r="K159" t="s">
        <v>1500</v>
      </c>
      <c r="L159" t="s">
        <v>1499</v>
      </c>
    </row>
    <row r="160" spans="1:12" x14ac:dyDescent="0.3">
      <c r="A160" t="s">
        <v>936</v>
      </c>
      <c r="B160" s="1">
        <v>45203</v>
      </c>
      <c r="C160" s="2">
        <v>0.22152777777777777</v>
      </c>
      <c r="D160" t="s">
        <v>960</v>
      </c>
      <c r="E160">
        <v>101</v>
      </c>
      <c r="F160" t="s">
        <v>807</v>
      </c>
      <c r="G160" t="s">
        <v>960</v>
      </c>
      <c r="H160" t="s">
        <v>73</v>
      </c>
      <c r="I160">
        <v>3.0603760000000002</v>
      </c>
      <c r="J160">
        <v>19.708034000000001</v>
      </c>
      <c r="K160" t="s">
        <v>1500</v>
      </c>
      <c r="L160" t="s">
        <v>1501</v>
      </c>
    </row>
    <row r="161" spans="1:12" x14ac:dyDescent="0.3">
      <c r="A161" t="s">
        <v>936</v>
      </c>
      <c r="B161" s="1">
        <v>45203</v>
      </c>
      <c r="C161" s="2">
        <v>0.75069444444444444</v>
      </c>
      <c r="D161" t="s">
        <v>961</v>
      </c>
      <c r="E161">
        <v>64</v>
      </c>
      <c r="F161" t="s">
        <v>812</v>
      </c>
      <c r="G161" t="s">
        <v>961</v>
      </c>
      <c r="H161" t="s">
        <v>78</v>
      </c>
      <c r="I161">
        <v>-4.6818410000000004</v>
      </c>
      <c r="J161">
        <v>17.541618</v>
      </c>
      <c r="K161" t="s">
        <v>1498</v>
      </c>
      <c r="L161" t="s">
        <v>1496</v>
      </c>
    </row>
    <row r="162" spans="1:12" x14ac:dyDescent="0.3">
      <c r="A162" t="s">
        <v>1053</v>
      </c>
      <c r="B162" s="1">
        <v>45224</v>
      </c>
      <c r="C162" s="2">
        <v>0.2013888888888889</v>
      </c>
      <c r="D162" t="s">
        <v>961</v>
      </c>
      <c r="E162">
        <v>43</v>
      </c>
      <c r="F162" t="s">
        <v>812</v>
      </c>
      <c r="G162" t="s">
        <v>961</v>
      </c>
      <c r="H162" t="s">
        <v>78</v>
      </c>
      <c r="I162">
        <v>-4.6818410000000004</v>
      </c>
      <c r="J162">
        <v>17.541618</v>
      </c>
      <c r="K162" t="s">
        <v>1498</v>
      </c>
      <c r="L162" t="s">
        <v>1496</v>
      </c>
    </row>
    <row r="163" spans="1:12" x14ac:dyDescent="0.3">
      <c r="A163" t="s">
        <v>936</v>
      </c>
      <c r="B163" s="1">
        <v>45228</v>
      </c>
      <c r="C163" s="2">
        <v>0.61458333333333337</v>
      </c>
      <c r="D163" t="s">
        <v>976</v>
      </c>
      <c r="E163">
        <v>48</v>
      </c>
      <c r="F163" t="s">
        <v>810</v>
      </c>
      <c r="G163" t="s">
        <v>976</v>
      </c>
      <c r="H163" t="s">
        <v>26</v>
      </c>
      <c r="I163">
        <v>-3.6945459999999999</v>
      </c>
      <c r="J163">
        <v>16.809108999999999</v>
      </c>
      <c r="K163" t="s">
        <v>1495</v>
      </c>
      <c r="L163" t="s">
        <v>1501</v>
      </c>
    </row>
    <row r="164" spans="1:12" x14ac:dyDescent="0.3">
      <c r="A164" t="s">
        <v>1190</v>
      </c>
      <c r="B164" s="1">
        <v>45222</v>
      </c>
      <c r="C164" s="2">
        <v>0.7631944444444444</v>
      </c>
      <c r="D164" t="s">
        <v>976</v>
      </c>
      <c r="E164">
        <v>91</v>
      </c>
      <c r="F164" t="s">
        <v>812</v>
      </c>
      <c r="G164" t="s">
        <v>976</v>
      </c>
      <c r="H164" t="s">
        <v>26</v>
      </c>
      <c r="I164">
        <v>-3.6945459999999999</v>
      </c>
      <c r="J164">
        <v>16.809108999999999</v>
      </c>
      <c r="K164" t="s">
        <v>1495</v>
      </c>
      <c r="L164" t="s">
        <v>1501</v>
      </c>
    </row>
    <row r="165" spans="1:12" x14ac:dyDescent="0.3">
      <c r="A165" t="s">
        <v>936</v>
      </c>
      <c r="B165" s="1">
        <v>45202</v>
      </c>
      <c r="C165" s="2">
        <v>0.78055555555555556</v>
      </c>
      <c r="D165" t="s">
        <v>965</v>
      </c>
      <c r="E165">
        <v>53</v>
      </c>
      <c r="F165" t="s">
        <v>812</v>
      </c>
      <c r="G165" t="s">
        <v>965</v>
      </c>
      <c r="H165" t="s">
        <v>78</v>
      </c>
      <c r="I165">
        <v>-2.3743210000000001</v>
      </c>
      <c r="J165">
        <v>22.399491000000001</v>
      </c>
      <c r="K165" t="s">
        <v>1495</v>
      </c>
      <c r="L165" t="s">
        <v>1496</v>
      </c>
    </row>
    <row r="166" spans="1:12" x14ac:dyDescent="0.3">
      <c r="A166" t="s">
        <v>1073</v>
      </c>
      <c r="B166" s="1">
        <v>45216</v>
      </c>
      <c r="C166" s="2">
        <v>0.26666666666666666</v>
      </c>
      <c r="D166" t="s">
        <v>965</v>
      </c>
      <c r="E166">
        <v>90</v>
      </c>
      <c r="F166" t="s">
        <v>812</v>
      </c>
      <c r="G166" t="s">
        <v>965</v>
      </c>
      <c r="H166" t="s">
        <v>78</v>
      </c>
      <c r="I166">
        <v>-2.3743210000000001</v>
      </c>
      <c r="J166">
        <v>22.399491000000001</v>
      </c>
      <c r="K166" t="s">
        <v>1495</v>
      </c>
      <c r="L166" t="s">
        <v>1496</v>
      </c>
    </row>
    <row r="167" spans="1:12" x14ac:dyDescent="0.3">
      <c r="A167" t="s">
        <v>936</v>
      </c>
      <c r="B167" s="1">
        <v>45203</v>
      </c>
      <c r="C167" s="2">
        <v>0.9506944444444444</v>
      </c>
      <c r="D167" t="s">
        <v>967</v>
      </c>
      <c r="E167">
        <v>8</v>
      </c>
      <c r="F167" t="s">
        <v>810</v>
      </c>
      <c r="G167" t="s">
        <v>967</v>
      </c>
      <c r="H167" t="s">
        <v>13</v>
      </c>
      <c r="I167">
        <v>-0.79406600000000005</v>
      </c>
      <c r="J167">
        <v>12.534793000000001</v>
      </c>
      <c r="K167" t="s">
        <v>1500</v>
      </c>
      <c r="L167" t="s">
        <v>1499</v>
      </c>
    </row>
    <row r="168" spans="1:12" x14ac:dyDescent="0.3">
      <c r="A168" t="s">
        <v>1073</v>
      </c>
      <c r="B168" s="1">
        <v>45204</v>
      </c>
      <c r="C168" s="2">
        <v>0.98611111111111116</v>
      </c>
      <c r="D168" t="s">
        <v>1086</v>
      </c>
      <c r="E168">
        <v>76</v>
      </c>
      <c r="F168" t="s">
        <v>810</v>
      </c>
      <c r="G168" t="s">
        <v>1086</v>
      </c>
      <c r="H168" t="s">
        <v>127</v>
      </c>
      <c r="I168">
        <v>-4.869434</v>
      </c>
      <c r="J168">
        <v>22.326522000000001</v>
      </c>
      <c r="K168" t="s">
        <v>1495</v>
      </c>
      <c r="L168" t="s">
        <v>1496</v>
      </c>
    </row>
    <row r="169" spans="1:12" x14ac:dyDescent="0.3">
      <c r="A169" t="s">
        <v>936</v>
      </c>
      <c r="B169" s="1">
        <v>45220</v>
      </c>
      <c r="C169" s="2">
        <v>0.41666666666666669</v>
      </c>
      <c r="D169" t="s">
        <v>972</v>
      </c>
      <c r="E169">
        <v>32</v>
      </c>
      <c r="F169" t="s">
        <v>810</v>
      </c>
      <c r="G169" t="s">
        <v>972</v>
      </c>
      <c r="H169" t="s">
        <v>64</v>
      </c>
      <c r="I169">
        <v>-11.991020000000001</v>
      </c>
      <c r="J169">
        <v>22.514747</v>
      </c>
      <c r="K169" t="s">
        <v>1495</v>
      </c>
      <c r="L169" t="s">
        <v>1501</v>
      </c>
    </row>
    <row r="170" spans="1:12" x14ac:dyDescent="0.3">
      <c r="A170" t="s">
        <v>936</v>
      </c>
      <c r="B170" s="1">
        <v>45227</v>
      </c>
      <c r="C170" s="2">
        <v>0.57777777777777772</v>
      </c>
      <c r="D170" t="s">
        <v>973</v>
      </c>
      <c r="E170">
        <v>50</v>
      </c>
      <c r="F170" t="s">
        <v>812</v>
      </c>
      <c r="G170" t="s">
        <v>973</v>
      </c>
      <c r="H170" t="s">
        <v>73</v>
      </c>
      <c r="I170">
        <v>-4.5603610000000003</v>
      </c>
      <c r="J170">
        <v>24.113918999999999</v>
      </c>
      <c r="K170" t="s">
        <v>1495</v>
      </c>
      <c r="L170" t="s">
        <v>1501</v>
      </c>
    </row>
    <row r="171" spans="1:12" x14ac:dyDescent="0.3">
      <c r="A171" t="s">
        <v>936</v>
      </c>
      <c r="B171" s="1">
        <v>45230</v>
      </c>
      <c r="C171" s="2">
        <v>0.4861111111111111</v>
      </c>
      <c r="D171" t="s">
        <v>975</v>
      </c>
      <c r="E171">
        <v>38</v>
      </c>
      <c r="F171" t="s">
        <v>807</v>
      </c>
      <c r="G171" t="s">
        <v>975</v>
      </c>
      <c r="H171" t="s">
        <v>131</v>
      </c>
      <c r="I171">
        <v>-12.336202</v>
      </c>
      <c r="J171">
        <v>13.693683999999999</v>
      </c>
      <c r="K171" t="s">
        <v>1495</v>
      </c>
      <c r="L171" t="s">
        <v>1499</v>
      </c>
    </row>
    <row r="172" spans="1:12" x14ac:dyDescent="0.3">
      <c r="A172" t="s">
        <v>1190</v>
      </c>
      <c r="B172" s="1">
        <v>45207</v>
      </c>
      <c r="C172" s="2">
        <v>0.9604166666666667</v>
      </c>
      <c r="D172" t="s">
        <v>975</v>
      </c>
      <c r="E172">
        <v>23</v>
      </c>
      <c r="F172" t="s">
        <v>812</v>
      </c>
      <c r="G172" t="s">
        <v>975</v>
      </c>
      <c r="H172" t="s">
        <v>131</v>
      </c>
      <c r="I172">
        <v>-12.336202</v>
      </c>
      <c r="J172">
        <v>13.693683999999999</v>
      </c>
      <c r="K172" t="s">
        <v>1495</v>
      </c>
      <c r="L172" t="s">
        <v>1499</v>
      </c>
    </row>
    <row r="173" spans="1:12" x14ac:dyDescent="0.3">
      <c r="A173" t="s">
        <v>1190</v>
      </c>
      <c r="B173" s="1">
        <v>45217</v>
      </c>
      <c r="C173" s="2">
        <v>0.38472222222222224</v>
      </c>
      <c r="D173" t="s">
        <v>1210</v>
      </c>
      <c r="E173">
        <v>99</v>
      </c>
      <c r="F173" t="s">
        <v>810</v>
      </c>
      <c r="G173" t="s">
        <v>1210</v>
      </c>
      <c r="H173" t="s">
        <v>18</v>
      </c>
      <c r="I173">
        <v>-4.8157019999999999</v>
      </c>
      <c r="J173">
        <v>27.679798000000002</v>
      </c>
      <c r="K173" t="s">
        <v>1500</v>
      </c>
      <c r="L173" t="s">
        <v>1496</v>
      </c>
    </row>
    <row r="174" spans="1:12" x14ac:dyDescent="0.3">
      <c r="A174" t="s">
        <v>977</v>
      </c>
      <c r="B174" s="1">
        <v>45220</v>
      </c>
      <c r="C174" s="2">
        <v>0.87708333333333333</v>
      </c>
      <c r="D174" t="s">
        <v>982</v>
      </c>
      <c r="E174">
        <v>78</v>
      </c>
      <c r="F174" t="s">
        <v>807</v>
      </c>
      <c r="G174" t="s">
        <v>982</v>
      </c>
      <c r="H174" t="s">
        <v>64</v>
      </c>
      <c r="I174">
        <v>-7.5418399999999997</v>
      </c>
      <c r="J174">
        <v>16.931206</v>
      </c>
      <c r="K174" t="s">
        <v>1500</v>
      </c>
      <c r="L174" t="s">
        <v>1508</v>
      </c>
    </row>
    <row r="175" spans="1:12" x14ac:dyDescent="0.3">
      <c r="A175" t="s">
        <v>977</v>
      </c>
      <c r="B175" s="1">
        <v>45220</v>
      </c>
      <c r="C175" s="2">
        <v>0.20694444444444443</v>
      </c>
      <c r="D175" t="s">
        <v>1004</v>
      </c>
      <c r="E175">
        <v>25</v>
      </c>
      <c r="F175" t="s">
        <v>807</v>
      </c>
      <c r="G175" t="s">
        <v>1004</v>
      </c>
      <c r="H175" t="s">
        <v>60</v>
      </c>
      <c r="I175">
        <v>3.3289240000000002</v>
      </c>
      <c r="J175">
        <v>24.412261000000001</v>
      </c>
      <c r="K175" t="s">
        <v>1495</v>
      </c>
      <c r="L175" t="s">
        <v>1508</v>
      </c>
    </row>
    <row r="176" spans="1:12" x14ac:dyDescent="0.3">
      <c r="A176" t="s">
        <v>977</v>
      </c>
      <c r="B176" s="1">
        <v>45207</v>
      </c>
      <c r="C176" s="2">
        <v>0.14930555555555555</v>
      </c>
      <c r="D176" t="s">
        <v>985</v>
      </c>
      <c r="E176">
        <v>101</v>
      </c>
      <c r="F176" t="s">
        <v>812</v>
      </c>
      <c r="G176" t="s">
        <v>985</v>
      </c>
      <c r="H176" t="s">
        <v>137</v>
      </c>
      <c r="I176">
        <v>-10.872631999999999</v>
      </c>
      <c r="J176">
        <v>12.773279</v>
      </c>
      <c r="K176" t="s">
        <v>1500</v>
      </c>
      <c r="L176" t="s">
        <v>1501</v>
      </c>
    </row>
    <row r="177" spans="1:12" x14ac:dyDescent="0.3">
      <c r="A177" t="s">
        <v>1014</v>
      </c>
      <c r="B177" s="1">
        <v>45209</v>
      </c>
      <c r="C177" s="2">
        <v>0.89861111111111114</v>
      </c>
      <c r="D177" t="s">
        <v>985</v>
      </c>
      <c r="E177">
        <v>29</v>
      </c>
      <c r="F177" t="s">
        <v>810</v>
      </c>
      <c r="G177" t="s">
        <v>985</v>
      </c>
      <c r="H177" t="s">
        <v>137</v>
      </c>
      <c r="I177">
        <v>-10.872631999999999</v>
      </c>
      <c r="J177">
        <v>12.773279</v>
      </c>
      <c r="K177" t="s">
        <v>1500</v>
      </c>
      <c r="L177" t="s">
        <v>1501</v>
      </c>
    </row>
    <row r="178" spans="1:12" x14ac:dyDescent="0.3">
      <c r="A178" t="s">
        <v>977</v>
      </c>
      <c r="B178" s="1">
        <v>45224</v>
      </c>
      <c r="C178" s="2">
        <v>0.56805555555555554</v>
      </c>
      <c r="D178" t="s">
        <v>986</v>
      </c>
      <c r="E178">
        <v>27</v>
      </c>
      <c r="F178" t="s">
        <v>807</v>
      </c>
      <c r="G178" t="s">
        <v>986</v>
      </c>
      <c r="H178" t="s">
        <v>44</v>
      </c>
      <c r="I178">
        <v>-10.442425</v>
      </c>
      <c r="J178">
        <v>23.243632000000002</v>
      </c>
      <c r="K178" t="s">
        <v>1498</v>
      </c>
      <c r="L178" t="s">
        <v>1508</v>
      </c>
    </row>
    <row r="179" spans="1:12" x14ac:dyDescent="0.3">
      <c r="A179" t="s">
        <v>977</v>
      </c>
      <c r="B179" s="1">
        <v>45219</v>
      </c>
      <c r="C179" s="2">
        <v>0.80138888888888893</v>
      </c>
      <c r="D179" t="s">
        <v>987</v>
      </c>
      <c r="E179">
        <v>65</v>
      </c>
      <c r="F179" t="s">
        <v>810</v>
      </c>
      <c r="G179" t="s">
        <v>987</v>
      </c>
      <c r="H179" t="s">
        <v>13</v>
      </c>
      <c r="I179">
        <v>0.52897499999999997</v>
      </c>
      <c r="J179">
        <v>13.849651</v>
      </c>
      <c r="K179" t="s">
        <v>1500</v>
      </c>
      <c r="L179" t="s">
        <v>1501</v>
      </c>
    </row>
    <row r="180" spans="1:12" x14ac:dyDescent="0.3">
      <c r="A180" t="s">
        <v>977</v>
      </c>
      <c r="B180" s="1">
        <v>45209</v>
      </c>
      <c r="C180" s="2">
        <v>0.77708333333333335</v>
      </c>
      <c r="D180" t="s">
        <v>991</v>
      </c>
      <c r="E180">
        <v>40</v>
      </c>
      <c r="F180" t="s">
        <v>812</v>
      </c>
      <c r="G180" t="s">
        <v>991</v>
      </c>
      <c r="H180" t="s">
        <v>137</v>
      </c>
      <c r="I180">
        <v>-9.5243310000000001</v>
      </c>
      <c r="J180">
        <v>30.541212000000002</v>
      </c>
      <c r="K180" t="s">
        <v>1500</v>
      </c>
      <c r="L180" t="s">
        <v>1496</v>
      </c>
    </row>
    <row r="181" spans="1:12" x14ac:dyDescent="0.3">
      <c r="A181" t="s">
        <v>1190</v>
      </c>
      <c r="B181" s="1">
        <v>45216</v>
      </c>
      <c r="C181" s="2">
        <v>0.72986111111111107</v>
      </c>
      <c r="D181" t="s">
        <v>991</v>
      </c>
      <c r="E181">
        <v>78</v>
      </c>
      <c r="F181" t="s">
        <v>810</v>
      </c>
      <c r="G181" t="s">
        <v>991</v>
      </c>
      <c r="H181" t="s">
        <v>137</v>
      </c>
      <c r="I181">
        <v>-9.5243310000000001</v>
      </c>
      <c r="J181">
        <v>30.541212000000002</v>
      </c>
      <c r="K181" t="s">
        <v>1500</v>
      </c>
      <c r="L181" t="s">
        <v>1496</v>
      </c>
    </row>
    <row r="182" spans="1:12" x14ac:dyDescent="0.3">
      <c r="A182" t="s">
        <v>977</v>
      </c>
      <c r="B182" s="1">
        <v>45201</v>
      </c>
      <c r="C182" s="2">
        <v>0.82430555555555551</v>
      </c>
      <c r="D182" t="s">
        <v>992</v>
      </c>
      <c r="E182">
        <v>28</v>
      </c>
      <c r="F182" t="s">
        <v>810</v>
      </c>
      <c r="G182" t="s">
        <v>992</v>
      </c>
      <c r="H182" t="s">
        <v>44</v>
      </c>
      <c r="I182">
        <v>-9.3652280000000001</v>
      </c>
      <c r="J182">
        <v>18.674116000000001</v>
      </c>
      <c r="K182" t="s">
        <v>1498</v>
      </c>
      <c r="L182" t="s">
        <v>1499</v>
      </c>
    </row>
    <row r="183" spans="1:12" x14ac:dyDescent="0.3">
      <c r="A183" t="s">
        <v>977</v>
      </c>
      <c r="B183" s="1">
        <v>45214</v>
      </c>
      <c r="C183" s="2">
        <v>0.94305555555555554</v>
      </c>
      <c r="D183" t="s">
        <v>998</v>
      </c>
      <c r="E183">
        <v>16</v>
      </c>
      <c r="F183" t="s">
        <v>807</v>
      </c>
      <c r="G183" t="s">
        <v>998</v>
      </c>
      <c r="H183" t="s">
        <v>18</v>
      </c>
      <c r="I183">
        <v>1.210869</v>
      </c>
      <c r="J183">
        <v>25.598741</v>
      </c>
      <c r="K183" t="s">
        <v>1498</v>
      </c>
      <c r="L183" t="s">
        <v>1496</v>
      </c>
    </row>
    <row r="184" spans="1:12" x14ac:dyDescent="0.3">
      <c r="A184" t="s">
        <v>1161</v>
      </c>
      <c r="B184" s="1">
        <v>45210</v>
      </c>
      <c r="C184" s="2">
        <v>0.92638888888888893</v>
      </c>
      <c r="D184" t="s">
        <v>998</v>
      </c>
      <c r="E184">
        <v>45</v>
      </c>
      <c r="F184" t="s">
        <v>810</v>
      </c>
      <c r="G184" t="s">
        <v>998</v>
      </c>
      <c r="H184" t="s">
        <v>18</v>
      </c>
      <c r="I184">
        <v>1.210869</v>
      </c>
      <c r="J184">
        <v>25.598741</v>
      </c>
      <c r="K184" t="s">
        <v>1498</v>
      </c>
      <c r="L184" t="s">
        <v>1496</v>
      </c>
    </row>
    <row r="185" spans="1:12" x14ac:dyDescent="0.3">
      <c r="A185" t="s">
        <v>1161</v>
      </c>
      <c r="B185" s="1">
        <v>45206</v>
      </c>
      <c r="C185" s="2">
        <v>0.85763888888888884</v>
      </c>
      <c r="D185" t="s">
        <v>998</v>
      </c>
      <c r="E185">
        <v>45</v>
      </c>
      <c r="F185" t="s">
        <v>812</v>
      </c>
      <c r="G185" t="s">
        <v>998</v>
      </c>
      <c r="H185" t="s">
        <v>18</v>
      </c>
      <c r="I185">
        <v>1.210869</v>
      </c>
      <c r="J185">
        <v>25.598741</v>
      </c>
      <c r="K185" t="s">
        <v>1498</v>
      </c>
      <c r="L185" t="s">
        <v>1496</v>
      </c>
    </row>
    <row r="186" spans="1:12" x14ac:dyDescent="0.3">
      <c r="A186" t="s">
        <v>977</v>
      </c>
      <c r="B186" s="1">
        <v>45207</v>
      </c>
      <c r="C186" s="2">
        <v>0.36805555555555558</v>
      </c>
      <c r="D186" t="s">
        <v>1000</v>
      </c>
      <c r="E186">
        <v>46</v>
      </c>
      <c r="F186" t="s">
        <v>807</v>
      </c>
      <c r="G186" t="s">
        <v>1000</v>
      </c>
      <c r="H186" t="s">
        <v>37</v>
      </c>
      <c r="I186">
        <v>-10.481026999999999</v>
      </c>
      <c r="J186">
        <v>18.160464000000001</v>
      </c>
      <c r="K186" t="s">
        <v>1495</v>
      </c>
      <c r="L186" t="s">
        <v>1499</v>
      </c>
    </row>
    <row r="187" spans="1:12" x14ac:dyDescent="0.3">
      <c r="A187" t="s">
        <v>977</v>
      </c>
      <c r="B187" s="1">
        <v>45221</v>
      </c>
      <c r="C187" s="2">
        <v>0.26874999999999999</v>
      </c>
      <c r="D187" t="s">
        <v>1002</v>
      </c>
      <c r="E187">
        <v>18</v>
      </c>
      <c r="F187" t="s">
        <v>810</v>
      </c>
      <c r="G187" t="s">
        <v>1002</v>
      </c>
      <c r="H187" t="s">
        <v>131</v>
      </c>
      <c r="I187">
        <v>-1.8555980000000001</v>
      </c>
      <c r="J187">
        <v>30.421918000000002</v>
      </c>
      <c r="K187" t="s">
        <v>1500</v>
      </c>
      <c r="L187" t="s">
        <v>1501</v>
      </c>
    </row>
    <row r="188" spans="1:12" x14ac:dyDescent="0.3">
      <c r="A188" t="s">
        <v>977</v>
      </c>
      <c r="B188" s="1">
        <v>45208</v>
      </c>
      <c r="C188" s="2">
        <v>0.16944444444444445</v>
      </c>
      <c r="D188" t="s">
        <v>1005</v>
      </c>
      <c r="E188">
        <v>47</v>
      </c>
      <c r="F188" t="s">
        <v>807</v>
      </c>
      <c r="G188" t="s">
        <v>1005</v>
      </c>
      <c r="H188" t="s">
        <v>29</v>
      </c>
      <c r="I188">
        <v>-4.351254</v>
      </c>
      <c r="J188">
        <v>30.097408999999999</v>
      </c>
      <c r="K188" t="s">
        <v>1495</v>
      </c>
      <c r="L188" t="s">
        <v>1508</v>
      </c>
    </row>
    <row r="189" spans="1:12" x14ac:dyDescent="0.3">
      <c r="A189" t="s">
        <v>1190</v>
      </c>
      <c r="B189" s="1">
        <v>45210</v>
      </c>
      <c r="C189" s="2">
        <v>0.89583333333333337</v>
      </c>
      <c r="D189" t="s">
        <v>1005</v>
      </c>
      <c r="E189">
        <v>110</v>
      </c>
      <c r="F189" t="s">
        <v>812</v>
      </c>
      <c r="G189" t="s">
        <v>1005</v>
      </c>
      <c r="H189" t="s">
        <v>29</v>
      </c>
      <c r="I189">
        <v>-4.351254</v>
      </c>
      <c r="J189">
        <v>30.097408999999999</v>
      </c>
      <c r="K189" t="s">
        <v>1495</v>
      </c>
      <c r="L189" t="s">
        <v>1508</v>
      </c>
    </row>
    <row r="190" spans="1:12" x14ac:dyDescent="0.3">
      <c r="A190" t="s">
        <v>977</v>
      </c>
      <c r="B190" s="1">
        <v>45226</v>
      </c>
      <c r="C190" s="2">
        <v>0.79027777777777775</v>
      </c>
      <c r="D190" t="s">
        <v>1007</v>
      </c>
      <c r="E190">
        <v>68</v>
      </c>
      <c r="F190" t="s">
        <v>812</v>
      </c>
      <c r="G190" t="s">
        <v>1007</v>
      </c>
      <c r="H190" t="s">
        <v>60</v>
      </c>
      <c r="I190">
        <v>-0.37665700000000002</v>
      </c>
      <c r="J190">
        <v>25.154807999999999</v>
      </c>
      <c r="K190" t="s">
        <v>1500</v>
      </c>
      <c r="L190" t="s">
        <v>1508</v>
      </c>
    </row>
    <row r="191" spans="1:12" x14ac:dyDescent="0.3">
      <c r="A191" t="s">
        <v>1098</v>
      </c>
      <c r="B191" s="1">
        <v>45226</v>
      </c>
      <c r="C191" s="2">
        <v>0.37777777777777777</v>
      </c>
      <c r="D191" t="s">
        <v>1100</v>
      </c>
      <c r="E191">
        <v>74</v>
      </c>
      <c r="F191" t="s">
        <v>812</v>
      </c>
      <c r="G191" t="s">
        <v>1100</v>
      </c>
      <c r="H191" t="s">
        <v>16</v>
      </c>
      <c r="I191">
        <v>4.6809229999999999</v>
      </c>
      <c r="J191">
        <v>28.934242000000001</v>
      </c>
      <c r="K191" t="s">
        <v>1495</v>
      </c>
      <c r="L191" t="s">
        <v>1508</v>
      </c>
    </row>
    <row r="192" spans="1:12" x14ac:dyDescent="0.3">
      <c r="A192" t="s">
        <v>1133</v>
      </c>
      <c r="B192" s="1">
        <v>45205</v>
      </c>
      <c r="C192" s="2">
        <v>0.16944444444444445</v>
      </c>
      <c r="D192" t="s">
        <v>1154</v>
      </c>
      <c r="E192">
        <v>18</v>
      </c>
      <c r="F192" t="s">
        <v>810</v>
      </c>
      <c r="G192" t="s">
        <v>1154</v>
      </c>
      <c r="H192" t="s">
        <v>29</v>
      </c>
      <c r="I192">
        <v>4.8689660000000003</v>
      </c>
      <c r="J192">
        <v>25.112373000000002</v>
      </c>
      <c r="K192" t="s">
        <v>1500</v>
      </c>
      <c r="L192" t="s">
        <v>1499</v>
      </c>
    </row>
    <row r="193" spans="1:12" x14ac:dyDescent="0.3">
      <c r="A193" t="s">
        <v>1014</v>
      </c>
      <c r="B193" s="1">
        <v>45210</v>
      </c>
      <c r="C193" s="2">
        <v>0.28055555555555556</v>
      </c>
      <c r="D193" t="s">
        <v>1016</v>
      </c>
      <c r="E193">
        <v>43</v>
      </c>
      <c r="F193" t="s">
        <v>810</v>
      </c>
      <c r="G193" t="s">
        <v>1016</v>
      </c>
      <c r="H193" t="s">
        <v>31</v>
      </c>
      <c r="I193">
        <v>-12.342053999999999</v>
      </c>
      <c r="J193">
        <v>18.756862000000002</v>
      </c>
      <c r="K193" t="s">
        <v>1500</v>
      </c>
      <c r="L193" t="s">
        <v>1496</v>
      </c>
    </row>
    <row r="194" spans="1:12" x14ac:dyDescent="0.3">
      <c r="A194" t="s">
        <v>1053</v>
      </c>
      <c r="B194" s="1">
        <v>45228</v>
      </c>
      <c r="C194" s="2">
        <v>0.79166666666666663</v>
      </c>
      <c r="D194" t="s">
        <v>806</v>
      </c>
      <c r="E194">
        <v>63</v>
      </c>
      <c r="F194" t="s">
        <v>807</v>
      </c>
      <c r="G194" t="s">
        <v>806</v>
      </c>
      <c r="H194" t="s">
        <v>37</v>
      </c>
      <c r="I194">
        <v>-11.144149000000001</v>
      </c>
      <c r="J194">
        <v>27.244658999999999</v>
      </c>
      <c r="K194" t="s">
        <v>1498</v>
      </c>
      <c r="L194" t="s">
        <v>1508</v>
      </c>
    </row>
    <row r="195" spans="1:12" x14ac:dyDescent="0.3">
      <c r="A195" t="s">
        <v>1014</v>
      </c>
      <c r="B195" s="1">
        <v>45208</v>
      </c>
      <c r="C195" s="2">
        <v>0.44374999999999998</v>
      </c>
      <c r="D195" t="s">
        <v>1027</v>
      </c>
      <c r="E195">
        <v>7</v>
      </c>
      <c r="F195" t="s">
        <v>812</v>
      </c>
      <c r="G195" t="s">
        <v>1027</v>
      </c>
      <c r="H195" t="s">
        <v>18</v>
      </c>
      <c r="I195">
        <v>-6.3324319999999998</v>
      </c>
      <c r="J195">
        <v>24.887858000000001</v>
      </c>
      <c r="K195" t="s">
        <v>1498</v>
      </c>
      <c r="L195" t="s">
        <v>1501</v>
      </c>
    </row>
    <row r="196" spans="1:12" x14ac:dyDescent="0.3">
      <c r="A196" t="s">
        <v>1014</v>
      </c>
      <c r="B196" s="1">
        <v>45221</v>
      </c>
      <c r="C196" s="2">
        <v>0.31319444444444444</v>
      </c>
      <c r="D196" t="s">
        <v>1045</v>
      </c>
      <c r="E196">
        <v>34</v>
      </c>
      <c r="F196" t="s">
        <v>810</v>
      </c>
      <c r="G196" t="s">
        <v>1045</v>
      </c>
      <c r="H196" t="s">
        <v>29</v>
      </c>
      <c r="I196">
        <v>-10.165072</v>
      </c>
      <c r="J196">
        <v>29.428024000000001</v>
      </c>
      <c r="K196" t="s">
        <v>1495</v>
      </c>
      <c r="L196" t="s">
        <v>1499</v>
      </c>
    </row>
    <row r="197" spans="1:12" x14ac:dyDescent="0.3">
      <c r="A197" t="s">
        <v>1014</v>
      </c>
      <c r="B197" s="1">
        <v>45225</v>
      </c>
      <c r="C197" s="2">
        <v>0.62291666666666667</v>
      </c>
      <c r="D197" t="s">
        <v>1045</v>
      </c>
      <c r="E197">
        <v>86</v>
      </c>
      <c r="F197" t="s">
        <v>807</v>
      </c>
      <c r="G197" t="s">
        <v>1045</v>
      </c>
      <c r="H197" t="s">
        <v>29</v>
      </c>
      <c r="I197">
        <v>-10.165072</v>
      </c>
      <c r="J197">
        <v>29.428024000000001</v>
      </c>
      <c r="K197" t="s">
        <v>1495</v>
      </c>
      <c r="L197" t="s">
        <v>1499</v>
      </c>
    </row>
    <row r="198" spans="1:12" x14ac:dyDescent="0.3">
      <c r="A198" t="s">
        <v>1190</v>
      </c>
      <c r="B198" s="1">
        <v>45204</v>
      </c>
      <c r="C198" s="2">
        <v>0.57222222222222219</v>
      </c>
      <c r="D198" t="s">
        <v>953</v>
      </c>
      <c r="E198">
        <v>88</v>
      </c>
      <c r="F198" t="s">
        <v>812</v>
      </c>
      <c r="G198" t="s">
        <v>953</v>
      </c>
      <c r="H198" t="s">
        <v>33</v>
      </c>
      <c r="I198">
        <v>-3.111418</v>
      </c>
      <c r="J198">
        <v>14.144854</v>
      </c>
      <c r="K198" t="s">
        <v>1498</v>
      </c>
      <c r="L198" t="s">
        <v>1501</v>
      </c>
    </row>
    <row r="199" spans="1:12" x14ac:dyDescent="0.3">
      <c r="A199" t="s">
        <v>1014</v>
      </c>
      <c r="B199" s="1">
        <v>45227</v>
      </c>
      <c r="C199" s="2">
        <v>0.14444444444444443</v>
      </c>
      <c r="D199" t="s">
        <v>1037</v>
      </c>
      <c r="E199">
        <v>11</v>
      </c>
      <c r="F199" t="s">
        <v>810</v>
      </c>
      <c r="G199" t="s">
        <v>1037</v>
      </c>
      <c r="H199" t="s">
        <v>73</v>
      </c>
      <c r="I199">
        <v>2.4425979999999998</v>
      </c>
      <c r="J199">
        <v>24.924308</v>
      </c>
      <c r="K199" t="s">
        <v>1495</v>
      </c>
      <c r="L199" t="s">
        <v>1496</v>
      </c>
    </row>
    <row r="200" spans="1:12" x14ac:dyDescent="0.3">
      <c r="A200" t="s">
        <v>1014</v>
      </c>
      <c r="B200" s="1">
        <v>45205</v>
      </c>
      <c r="C200" s="2">
        <v>0.92986111111111114</v>
      </c>
      <c r="D200" t="s">
        <v>1038</v>
      </c>
      <c r="E200">
        <v>82</v>
      </c>
      <c r="F200" t="s">
        <v>812</v>
      </c>
      <c r="G200" t="s">
        <v>1038</v>
      </c>
      <c r="H200" t="s">
        <v>137</v>
      </c>
      <c r="I200">
        <v>4.0157999999999996</v>
      </c>
      <c r="J200">
        <v>21.430246</v>
      </c>
      <c r="K200" t="s">
        <v>1495</v>
      </c>
      <c r="L200" t="s">
        <v>1508</v>
      </c>
    </row>
    <row r="201" spans="1:12" x14ac:dyDescent="0.3">
      <c r="A201" t="s">
        <v>1014</v>
      </c>
      <c r="B201" s="1">
        <v>45213</v>
      </c>
      <c r="C201" s="2">
        <v>0.77986111111111112</v>
      </c>
      <c r="D201" t="s">
        <v>1042</v>
      </c>
      <c r="E201">
        <v>120</v>
      </c>
      <c r="F201" t="s">
        <v>807</v>
      </c>
      <c r="G201" t="s">
        <v>1042</v>
      </c>
      <c r="H201" t="s">
        <v>35</v>
      </c>
      <c r="I201">
        <v>-7.5969509999999998</v>
      </c>
      <c r="J201">
        <v>22.153986</v>
      </c>
      <c r="K201" t="s">
        <v>1500</v>
      </c>
      <c r="L201" t="s">
        <v>1496</v>
      </c>
    </row>
    <row r="202" spans="1:12" x14ac:dyDescent="0.3">
      <c r="A202" t="s">
        <v>1098</v>
      </c>
      <c r="B202" s="1">
        <v>45206</v>
      </c>
      <c r="C202" s="2">
        <v>0.44305555555555554</v>
      </c>
      <c r="D202" t="s">
        <v>1106</v>
      </c>
      <c r="E202">
        <v>48</v>
      </c>
      <c r="F202" t="s">
        <v>812</v>
      </c>
      <c r="G202" t="s">
        <v>1106</v>
      </c>
      <c r="H202" t="s">
        <v>18</v>
      </c>
      <c r="I202">
        <v>0.16327700000000001</v>
      </c>
      <c r="J202">
        <v>14.871577</v>
      </c>
      <c r="K202" t="s">
        <v>1498</v>
      </c>
      <c r="L202" t="s">
        <v>1499</v>
      </c>
    </row>
    <row r="203" spans="1:12" x14ac:dyDescent="0.3">
      <c r="A203" t="s">
        <v>1133</v>
      </c>
      <c r="B203" s="1">
        <v>45225</v>
      </c>
      <c r="C203" s="2">
        <v>0.28888888888888886</v>
      </c>
      <c r="D203" t="s">
        <v>1106</v>
      </c>
      <c r="E203">
        <v>89</v>
      </c>
      <c r="F203" t="s">
        <v>807</v>
      </c>
      <c r="G203" t="s">
        <v>1106</v>
      </c>
      <c r="H203" t="s">
        <v>18</v>
      </c>
      <c r="I203">
        <v>0.16327700000000001</v>
      </c>
      <c r="J203">
        <v>14.871577</v>
      </c>
      <c r="K203" t="s">
        <v>1498</v>
      </c>
      <c r="L203" t="s">
        <v>1499</v>
      </c>
    </row>
    <row r="204" spans="1:12" x14ac:dyDescent="0.3">
      <c r="A204" t="s">
        <v>1014</v>
      </c>
      <c r="B204" s="1">
        <v>45209</v>
      </c>
      <c r="C204" s="2">
        <v>0.8520833333333333</v>
      </c>
      <c r="D204" t="s">
        <v>1051</v>
      </c>
      <c r="E204">
        <v>91</v>
      </c>
      <c r="F204" t="s">
        <v>812</v>
      </c>
      <c r="G204" t="s">
        <v>1051</v>
      </c>
      <c r="H204" t="s">
        <v>40</v>
      </c>
      <c r="I204">
        <v>-12.431227</v>
      </c>
      <c r="J204">
        <v>18.414290999999999</v>
      </c>
      <c r="K204" t="s">
        <v>1495</v>
      </c>
      <c r="L204" t="s">
        <v>1499</v>
      </c>
    </row>
    <row r="205" spans="1:12" x14ac:dyDescent="0.3">
      <c r="A205" t="s">
        <v>1098</v>
      </c>
      <c r="B205" s="1">
        <v>45201</v>
      </c>
      <c r="C205" s="2">
        <v>5.7638888888888892E-2</v>
      </c>
      <c r="D205" t="s">
        <v>1099</v>
      </c>
      <c r="E205">
        <v>103</v>
      </c>
      <c r="F205" t="s">
        <v>807</v>
      </c>
      <c r="G205" t="s">
        <v>1099</v>
      </c>
      <c r="H205" t="s">
        <v>24</v>
      </c>
      <c r="I205">
        <v>-11.594525000000001</v>
      </c>
      <c r="J205">
        <v>29.744895</v>
      </c>
      <c r="K205" t="s">
        <v>1500</v>
      </c>
      <c r="L205" t="s">
        <v>1501</v>
      </c>
    </row>
    <row r="206" spans="1:12" x14ac:dyDescent="0.3">
      <c r="A206" t="s">
        <v>1053</v>
      </c>
      <c r="B206" s="1">
        <v>45202</v>
      </c>
      <c r="C206" s="2">
        <v>0.71736111111111112</v>
      </c>
      <c r="D206" t="s">
        <v>1068</v>
      </c>
      <c r="E206">
        <v>115</v>
      </c>
      <c r="F206" t="s">
        <v>812</v>
      </c>
      <c r="G206" t="s">
        <v>1068</v>
      </c>
      <c r="H206" t="s">
        <v>37</v>
      </c>
      <c r="I206">
        <v>-1.5936220000000001</v>
      </c>
      <c r="J206">
        <v>14.928856</v>
      </c>
      <c r="K206" t="s">
        <v>1495</v>
      </c>
      <c r="L206" t="s">
        <v>1496</v>
      </c>
    </row>
    <row r="207" spans="1:12" x14ac:dyDescent="0.3">
      <c r="A207" t="s">
        <v>1053</v>
      </c>
      <c r="B207" s="1">
        <v>45203</v>
      </c>
      <c r="C207" s="2">
        <v>0.65208333333333335</v>
      </c>
      <c r="D207" t="s">
        <v>1058</v>
      </c>
      <c r="E207">
        <v>65</v>
      </c>
      <c r="F207" t="s">
        <v>812</v>
      </c>
      <c r="G207" t="s">
        <v>1058</v>
      </c>
      <c r="H207" t="s">
        <v>24</v>
      </c>
      <c r="I207">
        <v>2.016505</v>
      </c>
      <c r="J207">
        <v>14.294164</v>
      </c>
      <c r="K207" t="s">
        <v>1495</v>
      </c>
      <c r="L207" t="s">
        <v>1499</v>
      </c>
    </row>
    <row r="208" spans="1:12" x14ac:dyDescent="0.3">
      <c r="A208" t="s">
        <v>1073</v>
      </c>
      <c r="B208" s="1">
        <v>45207</v>
      </c>
      <c r="C208" s="2">
        <v>0.57916666666666672</v>
      </c>
      <c r="D208" t="s">
        <v>1079</v>
      </c>
      <c r="E208">
        <v>68</v>
      </c>
      <c r="F208" t="s">
        <v>807</v>
      </c>
      <c r="G208" t="s">
        <v>1079</v>
      </c>
      <c r="H208" t="s">
        <v>10</v>
      </c>
      <c r="I208">
        <v>-3.7720639999999999</v>
      </c>
      <c r="J208">
        <v>16.006277999999998</v>
      </c>
      <c r="K208" t="s">
        <v>1495</v>
      </c>
      <c r="L208" t="s">
        <v>1501</v>
      </c>
    </row>
    <row r="209" spans="1:12" x14ac:dyDescent="0.3">
      <c r="A209" t="s">
        <v>1098</v>
      </c>
      <c r="B209" s="1">
        <v>45227</v>
      </c>
      <c r="C209" s="2">
        <v>0.91527777777777775</v>
      </c>
      <c r="D209" t="s">
        <v>1079</v>
      </c>
      <c r="E209">
        <v>26</v>
      </c>
      <c r="F209" t="s">
        <v>810</v>
      </c>
      <c r="G209" t="s">
        <v>1079</v>
      </c>
      <c r="H209" t="s">
        <v>10</v>
      </c>
      <c r="I209">
        <v>-3.7720639999999999</v>
      </c>
      <c r="J209">
        <v>16.006277999999998</v>
      </c>
      <c r="K209" t="s">
        <v>1495</v>
      </c>
      <c r="L209" t="s">
        <v>1501</v>
      </c>
    </row>
    <row r="210" spans="1:12" x14ac:dyDescent="0.3">
      <c r="A210" t="s">
        <v>1133</v>
      </c>
      <c r="B210" s="1">
        <v>45218</v>
      </c>
      <c r="C210" s="2">
        <v>0.9916666666666667</v>
      </c>
      <c r="D210" t="s">
        <v>1079</v>
      </c>
      <c r="E210">
        <v>82</v>
      </c>
      <c r="F210" t="s">
        <v>807</v>
      </c>
      <c r="G210" t="s">
        <v>1079</v>
      </c>
      <c r="H210" t="s">
        <v>10</v>
      </c>
      <c r="I210">
        <v>-3.7720639999999999</v>
      </c>
      <c r="J210">
        <v>16.006277999999998</v>
      </c>
      <c r="K210" t="s">
        <v>1495</v>
      </c>
      <c r="L210" t="s">
        <v>1501</v>
      </c>
    </row>
    <row r="211" spans="1:12" x14ac:dyDescent="0.3">
      <c r="A211" t="s">
        <v>1190</v>
      </c>
      <c r="B211" s="1">
        <v>45206</v>
      </c>
      <c r="C211" s="2">
        <v>0.56388888888888888</v>
      </c>
      <c r="D211" t="s">
        <v>1204</v>
      </c>
      <c r="E211">
        <v>37</v>
      </c>
      <c r="F211" t="s">
        <v>807</v>
      </c>
      <c r="G211" t="s">
        <v>1204</v>
      </c>
      <c r="H211" t="s">
        <v>127</v>
      </c>
      <c r="I211">
        <v>0.20866199999999999</v>
      </c>
      <c r="J211">
        <v>18.556439000000001</v>
      </c>
      <c r="K211" t="s">
        <v>1498</v>
      </c>
      <c r="L211" t="s">
        <v>1508</v>
      </c>
    </row>
    <row r="212" spans="1:12" x14ac:dyDescent="0.3">
      <c r="A212" t="s">
        <v>1190</v>
      </c>
      <c r="B212" s="1">
        <v>45205</v>
      </c>
      <c r="C212" s="2">
        <v>0.52708333333333335</v>
      </c>
      <c r="D212" t="s">
        <v>1195</v>
      </c>
      <c r="E212">
        <v>40</v>
      </c>
      <c r="F212" t="s">
        <v>812</v>
      </c>
      <c r="G212" t="s">
        <v>1195</v>
      </c>
      <c r="H212" t="s">
        <v>131</v>
      </c>
      <c r="I212">
        <v>-5.42171</v>
      </c>
      <c r="J212">
        <v>24.202960999999998</v>
      </c>
      <c r="K212" t="s">
        <v>1495</v>
      </c>
      <c r="L212" t="s">
        <v>1496</v>
      </c>
    </row>
    <row r="213" spans="1:12" x14ac:dyDescent="0.3">
      <c r="A213" t="s">
        <v>1098</v>
      </c>
      <c r="B213" s="1">
        <v>45225</v>
      </c>
      <c r="C213" s="2">
        <v>0.14722222222222223</v>
      </c>
      <c r="D213" t="s">
        <v>1132</v>
      </c>
      <c r="E213">
        <v>44</v>
      </c>
      <c r="F213" t="s">
        <v>807</v>
      </c>
      <c r="G213" t="s">
        <v>1132</v>
      </c>
      <c r="H213" t="s">
        <v>21</v>
      </c>
      <c r="I213">
        <v>4.2904629999999999</v>
      </c>
      <c r="J213">
        <v>26.354195000000001</v>
      </c>
      <c r="K213" t="s">
        <v>1500</v>
      </c>
      <c r="L213" t="s">
        <v>1496</v>
      </c>
    </row>
    <row r="214" spans="1:12" x14ac:dyDescent="0.3">
      <c r="A214" t="s">
        <v>1053</v>
      </c>
      <c r="B214" s="1">
        <v>45221</v>
      </c>
      <c r="C214" s="2">
        <v>0.27847222222222223</v>
      </c>
      <c r="D214" t="s">
        <v>1066</v>
      </c>
      <c r="E214">
        <v>83</v>
      </c>
      <c r="F214" t="s">
        <v>812</v>
      </c>
      <c r="G214" t="s">
        <v>1066</v>
      </c>
      <c r="H214" t="s">
        <v>13</v>
      </c>
      <c r="I214">
        <v>-12.292039000000001</v>
      </c>
      <c r="J214">
        <v>27.538202999999999</v>
      </c>
      <c r="K214" t="s">
        <v>1500</v>
      </c>
      <c r="L214" t="s">
        <v>1499</v>
      </c>
    </row>
    <row r="215" spans="1:12" x14ac:dyDescent="0.3">
      <c r="A215" t="s">
        <v>1053</v>
      </c>
      <c r="B215" s="1">
        <v>45218</v>
      </c>
      <c r="C215" s="2">
        <v>0.28611111111111109</v>
      </c>
      <c r="D215" t="s">
        <v>1069</v>
      </c>
      <c r="E215">
        <v>89</v>
      </c>
      <c r="F215" t="s">
        <v>807</v>
      </c>
      <c r="G215" t="s">
        <v>1069</v>
      </c>
      <c r="H215" t="s">
        <v>40</v>
      </c>
      <c r="I215">
        <v>-7.5129409999999996</v>
      </c>
      <c r="J215">
        <v>18.701522000000001</v>
      </c>
      <c r="K215" t="s">
        <v>1498</v>
      </c>
      <c r="L215" t="s">
        <v>1508</v>
      </c>
    </row>
    <row r="216" spans="1:12" x14ac:dyDescent="0.3">
      <c r="A216" t="s">
        <v>1190</v>
      </c>
      <c r="B216" s="1">
        <v>45230</v>
      </c>
      <c r="C216" s="2">
        <v>0.86805555555555558</v>
      </c>
      <c r="D216" t="s">
        <v>1199</v>
      </c>
      <c r="E216">
        <v>103</v>
      </c>
      <c r="F216" t="s">
        <v>812</v>
      </c>
      <c r="G216" t="s">
        <v>1199</v>
      </c>
      <c r="H216" t="s">
        <v>26</v>
      </c>
      <c r="I216">
        <v>-2.8532869999999999</v>
      </c>
      <c r="J216">
        <v>22.117896000000002</v>
      </c>
      <c r="K216" t="s">
        <v>1495</v>
      </c>
      <c r="L216" t="s">
        <v>1499</v>
      </c>
    </row>
    <row r="217" spans="1:12" x14ac:dyDescent="0.3">
      <c r="A217" t="s">
        <v>1161</v>
      </c>
      <c r="B217" s="1">
        <v>45228</v>
      </c>
      <c r="C217" s="2">
        <v>0.73611111111111116</v>
      </c>
      <c r="D217" t="s">
        <v>1176</v>
      </c>
      <c r="E217">
        <v>66</v>
      </c>
      <c r="F217" t="s">
        <v>812</v>
      </c>
      <c r="G217" t="s">
        <v>1176</v>
      </c>
      <c r="H217" t="s">
        <v>57</v>
      </c>
      <c r="I217">
        <v>-4.4831099999999999</v>
      </c>
      <c r="J217">
        <v>25.406548000000001</v>
      </c>
      <c r="K217" t="s">
        <v>1495</v>
      </c>
      <c r="L217" t="s">
        <v>1508</v>
      </c>
    </row>
    <row r="218" spans="1:12" x14ac:dyDescent="0.3">
      <c r="A218" t="s">
        <v>1133</v>
      </c>
      <c r="B218" s="1">
        <v>45210</v>
      </c>
      <c r="C218" s="2">
        <v>0.16805555555555557</v>
      </c>
      <c r="D218" t="s">
        <v>1149</v>
      </c>
      <c r="E218">
        <v>110</v>
      </c>
      <c r="F218" t="s">
        <v>807</v>
      </c>
      <c r="G218" t="s">
        <v>1149</v>
      </c>
      <c r="H218" t="s">
        <v>37</v>
      </c>
      <c r="I218">
        <v>-9.9565739999999998</v>
      </c>
      <c r="J218">
        <v>21.017202000000001</v>
      </c>
      <c r="K218" t="s">
        <v>1498</v>
      </c>
      <c r="L218" t="s">
        <v>1499</v>
      </c>
    </row>
    <row r="219" spans="1:12" x14ac:dyDescent="0.3">
      <c r="A219" t="s">
        <v>1053</v>
      </c>
      <c r="B219" s="1">
        <v>45217</v>
      </c>
      <c r="C219" s="2">
        <v>0.36875000000000002</v>
      </c>
      <c r="D219" t="s">
        <v>1070</v>
      </c>
      <c r="E219">
        <v>8</v>
      </c>
      <c r="F219" t="s">
        <v>807</v>
      </c>
      <c r="G219" t="s">
        <v>1070</v>
      </c>
      <c r="H219" t="s">
        <v>131</v>
      </c>
      <c r="I219">
        <v>-4.1754939999999996</v>
      </c>
      <c r="J219">
        <v>16.704664999999999</v>
      </c>
      <c r="K219" t="s">
        <v>1500</v>
      </c>
      <c r="L219" t="s">
        <v>1496</v>
      </c>
    </row>
    <row r="220" spans="1:12" x14ac:dyDescent="0.3">
      <c r="A220" t="s">
        <v>1098</v>
      </c>
      <c r="B220" s="1">
        <v>45219</v>
      </c>
      <c r="C220" s="2">
        <v>0.18124999999999999</v>
      </c>
      <c r="D220" t="s">
        <v>1070</v>
      </c>
      <c r="E220">
        <v>97</v>
      </c>
      <c r="F220" t="s">
        <v>810</v>
      </c>
      <c r="G220" t="s">
        <v>1070</v>
      </c>
      <c r="H220" t="s">
        <v>131</v>
      </c>
      <c r="I220">
        <v>-4.1754939999999996</v>
      </c>
      <c r="J220">
        <v>16.704664999999999</v>
      </c>
      <c r="K220" t="s">
        <v>1500</v>
      </c>
      <c r="L220" t="s">
        <v>1496</v>
      </c>
    </row>
    <row r="221" spans="1:12" x14ac:dyDescent="0.3">
      <c r="A221" t="s">
        <v>1053</v>
      </c>
      <c r="B221" s="1">
        <v>45200</v>
      </c>
      <c r="C221" s="2">
        <v>0.49305555555555558</v>
      </c>
      <c r="D221" t="s">
        <v>1071</v>
      </c>
      <c r="E221">
        <v>113</v>
      </c>
      <c r="F221" t="s">
        <v>807</v>
      </c>
      <c r="G221" t="s">
        <v>1071</v>
      </c>
      <c r="H221" t="s">
        <v>21</v>
      </c>
      <c r="I221">
        <v>-1.5419050000000001</v>
      </c>
      <c r="J221">
        <v>14.730632999999999</v>
      </c>
      <c r="K221" t="s">
        <v>1500</v>
      </c>
      <c r="L221" t="s">
        <v>1501</v>
      </c>
    </row>
    <row r="222" spans="1:12" x14ac:dyDescent="0.3">
      <c r="A222" t="s">
        <v>1190</v>
      </c>
      <c r="B222" s="1">
        <v>45230</v>
      </c>
      <c r="C222" s="2">
        <v>0.3034722222222222</v>
      </c>
      <c r="D222" t="s">
        <v>1209</v>
      </c>
      <c r="E222">
        <v>83</v>
      </c>
      <c r="F222" t="s">
        <v>812</v>
      </c>
      <c r="G222" t="s">
        <v>1209</v>
      </c>
      <c r="H222" t="s">
        <v>62</v>
      </c>
      <c r="I222">
        <v>-9.8208710000000004</v>
      </c>
      <c r="J222">
        <v>23.229807000000001</v>
      </c>
      <c r="K222" t="s">
        <v>1495</v>
      </c>
      <c r="L222" t="s">
        <v>1508</v>
      </c>
    </row>
    <row r="223" spans="1:12" x14ac:dyDescent="0.3">
      <c r="A223" t="s">
        <v>1073</v>
      </c>
      <c r="B223" s="1">
        <v>45200</v>
      </c>
      <c r="C223" s="2">
        <v>0.83263888888888893</v>
      </c>
      <c r="D223" t="s">
        <v>1081</v>
      </c>
      <c r="E223">
        <v>27</v>
      </c>
      <c r="F223" t="s">
        <v>807</v>
      </c>
      <c r="G223" t="s">
        <v>1081</v>
      </c>
      <c r="H223" t="s">
        <v>21</v>
      </c>
      <c r="I223">
        <v>1.2419519999999999</v>
      </c>
      <c r="J223">
        <v>25.261382999999999</v>
      </c>
      <c r="K223" t="s">
        <v>1498</v>
      </c>
      <c r="L223" t="s">
        <v>1499</v>
      </c>
    </row>
    <row r="224" spans="1:12" x14ac:dyDescent="0.3">
      <c r="A224" t="s">
        <v>1073</v>
      </c>
      <c r="B224" s="1">
        <v>45222</v>
      </c>
      <c r="C224" s="2">
        <v>0.4152777777777778</v>
      </c>
      <c r="D224" t="s">
        <v>1083</v>
      </c>
      <c r="E224">
        <v>73</v>
      </c>
      <c r="F224" t="s">
        <v>807</v>
      </c>
      <c r="G224" t="s">
        <v>1083</v>
      </c>
      <c r="H224" t="s">
        <v>89</v>
      </c>
      <c r="I224">
        <v>-4.8128659999999996</v>
      </c>
      <c r="J224">
        <v>18.559304999999998</v>
      </c>
      <c r="K224" t="s">
        <v>1495</v>
      </c>
      <c r="L224" t="s">
        <v>1501</v>
      </c>
    </row>
    <row r="225" spans="1:12" x14ac:dyDescent="0.3">
      <c r="A225" t="s">
        <v>1073</v>
      </c>
      <c r="B225" s="1">
        <v>45205</v>
      </c>
      <c r="C225" s="2">
        <v>0.19166666666666668</v>
      </c>
      <c r="D225" t="s">
        <v>1084</v>
      </c>
      <c r="E225">
        <v>34</v>
      </c>
      <c r="F225" t="s">
        <v>807</v>
      </c>
      <c r="G225" t="s">
        <v>1084</v>
      </c>
      <c r="H225" t="s">
        <v>35</v>
      </c>
      <c r="I225">
        <v>-4.7886769999999999</v>
      </c>
      <c r="J225">
        <v>23.600221999999999</v>
      </c>
      <c r="K225" t="s">
        <v>1500</v>
      </c>
      <c r="L225" t="s">
        <v>1501</v>
      </c>
    </row>
    <row r="226" spans="1:12" x14ac:dyDescent="0.3">
      <c r="A226" t="s">
        <v>1073</v>
      </c>
      <c r="B226" s="1">
        <v>45223</v>
      </c>
      <c r="C226" s="2">
        <v>0.45069444444444445</v>
      </c>
      <c r="D226" t="s">
        <v>1089</v>
      </c>
      <c r="E226">
        <v>14</v>
      </c>
      <c r="F226" t="s">
        <v>812</v>
      </c>
      <c r="G226" t="s">
        <v>1089</v>
      </c>
      <c r="H226" t="s">
        <v>13</v>
      </c>
      <c r="I226">
        <v>-2.571777</v>
      </c>
      <c r="J226">
        <v>12.120642</v>
      </c>
      <c r="K226" t="s">
        <v>1500</v>
      </c>
      <c r="L226" t="s">
        <v>1499</v>
      </c>
    </row>
    <row r="227" spans="1:12" x14ac:dyDescent="0.3">
      <c r="A227" t="s">
        <v>1073</v>
      </c>
      <c r="B227" s="1">
        <v>45202</v>
      </c>
      <c r="C227" s="2">
        <v>4.791666666666667E-2</v>
      </c>
      <c r="D227" t="s">
        <v>1091</v>
      </c>
      <c r="E227">
        <v>115</v>
      </c>
      <c r="F227" t="s">
        <v>810</v>
      </c>
      <c r="G227" t="s">
        <v>1091</v>
      </c>
      <c r="H227" t="s">
        <v>13</v>
      </c>
      <c r="I227">
        <v>-10.577049000000001</v>
      </c>
      <c r="J227">
        <v>23.721854</v>
      </c>
      <c r="K227" t="s">
        <v>1498</v>
      </c>
      <c r="L227" t="s">
        <v>1501</v>
      </c>
    </row>
    <row r="228" spans="1:12" x14ac:dyDescent="0.3">
      <c r="A228" t="s">
        <v>1073</v>
      </c>
      <c r="B228" s="1">
        <v>45213</v>
      </c>
      <c r="C228" s="2">
        <v>0.34236111111111112</v>
      </c>
      <c r="D228" t="s">
        <v>1094</v>
      </c>
      <c r="E228">
        <v>63</v>
      </c>
      <c r="F228" t="s">
        <v>810</v>
      </c>
      <c r="G228" t="s">
        <v>1094</v>
      </c>
      <c r="H228" t="s">
        <v>21</v>
      </c>
      <c r="I228">
        <v>0.31740800000000002</v>
      </c>
      <c r="J228">
        <v>27.197666999999999</v>
      </c>
      <c r="K228" t="s">
        <v>1495</v>
      </c>
      <c r="L228" t="s">
        <v>1508</v>
      </c>
    </row>
    <row r="229" spans="1:12" x14ac:dyDescent="0.3">
      <c r="A229" t="s">
        <v>1098</v>
      </c>
      <c r="B229" s="1">
        <v>45202</v>
      </c>
      <c r="C229" s="2">
        <v>0.77916666666666667</v>
      </c>
      <c r="D229" t="s">
        <v>1117</v>
      </c>
      <c r="E229">
        <v>61</v>
      </c>
      <c r="F229" t="s">
        <v>812</v>
      </c>
      <c r="G229" t="s">
        <v>1117</v>
      </c>
      <c r="H229" t="s">
        <v>37</v>
      </c>
      <c r="I229">
        <v>-12.229338</v>
      </c>
      <c r="J229">
        <v>29.587834999999998</v>
      </c>
      <c r="K229" t="s">
        <v>1498</v>
      </c>
      <c r="L229" t="s">
        <v>1508</v>
      </c>
    </row>
    <row r="230" spans="1:12" x14ac:dyDescent="0.3">
      <c r="A230" t="s">
        <v>1190</v>
      </c>
      <c r="B230" s="1">
        <v>45201</v>
      </c>
      <c r="C230" s="2">
        <v>0.92222222222222228</v>
      </c>
      <c r="D230" t="s">
        <v>997</v>
      </c>
      <c r="E230">
        <v>32</v>
      </c>
      <c r="F230" t="s">
        <v>807</v>
      </c>
      <c r="G230" t="s">
        <v>997</v>
      </c>
      <c r="H230" t="s">
        <v>26</v>
      </c>
      <c r="I230">
        <v>1.5278670000000001</v>
      </c>
      <c r="J230">
        <v>13.899388999999999</v>
      </c>
      <c r="K230" t="s">
        <v>1500</v>
      </c>
      <c r="L230" t="s">
        <v>1499</v>
      </c>
    </row>
    <row r="231" spans="1:12" x14ac:dyDescent="0.3">
      <c r="A231" t="s">
        <v>1133</v>
      </c>
      <c r="B231" s="1">
        <v>45220</v>
      </c>
      <c r="C231" s="2">
        <v>0.81180555555555556</v>
      </c>
      <c r="D231" t="s">
        <v>1135</v>
      </c>
      <c r="E231">
        <v>100</v>
      </c>
      <c r="F231" t="s">
        <v>812</v>
      </c>
      <c r="G231" t="s">
        <v>1135</v>
      </c>
      <c r="H231" t="s">
        <v>51</v>
      </c>
      <c r="I231">
        <v>-0.98830399999999996</v>
      </c>
      <c r="J231">
        <v>28.099966999999999</v>
      </c>
      <c r="K231" t="s">
        <v>1500</v>
      </c>
      <c r="L231" t="s">
        <v>1499</v>
      </c>
    </row>
    <row r="232" spans="1:12" x14ac:dyDescent="0.3">
      <c r="A232" t="s">
        <v>1190</v>
      </c>
      <c r="B232" s="1">
        <v>45210</v>
      </c>
      <c r="C232" s="2">
        <v>0.70347222222222228</v>
      </c>
      <c r="D232" t="s">
        <v>1196</v>
      </c>
      <c r="E232">
        <v>20</v>
      </c>
      <c r="F232" t="s">
        <v>807</v>
      </c>
      <c r="G232" t="s">
        <v>1196</v>
      </c>
      <c r="H232" t="s">
        <v>60</v>
      </c>
      <c r="I232">
        <v>-0.79459900000000006</v>
      </c>
      <c r="J232">
        <v>26.775570999999999</v>
      </c>
      <c r="K232" t="s">
        <v>1495</v>
      </c>
      <c r="L232" t="s">
        <v>1499</v>
      </c>
    </row>
    <row r="233" spans="1:12" x14ac:dyDescent="0.3">
      <c r="A233" t="s">
        <v>1190</v>
      </c>
      <c r="B233" s="1">
        <v>45213</v>
      </c>
      <c r="C233" s="2">
        <v>0.7631944444444444</v>
      </c>
      <c r="D233" t="s">
        <v>1196</v>
      </c>
      <c r="E233">
        <v>119</v>
      </c>
      <c r="F233" t="s">
        <v>812</v>
      </c>
      <c r="G233" t="s">
        <v>1196</v>
      </c>
      <c r="H233" t="s">
        <v>60</v>
      </c>
      <c r="I233">
        <v>-0.79459900000000006</v>
      </c>
      <c r="J233">
        <v>26.775570999999999</v>
      </c>
      <c r="K233" t="s">
        <v>1495</v>
      </c>
      <c r="L233" t="s">
        <v>1499</v>
      </c>
    </row>
    <row r="234" spans="1:12" x14ac:dyDescent="0.3">
      <c r="A234" t="s">
        <v>1098</v>
      </c>
      <c r="B234" s="1">
        <v>45220</v>
      </c>
      <c r="C234" s="2">
        <v>0.11041666666666666</v>
      </c>
      <c r="D234" t="s">
        <v>1101</v>
      </c>
      <c r="E234">
        <v>111</v>
      </c>
      <c r="F234" t="s">
        <v>812</v>
      </c>
      <c r="G234" t="s">
        <v>1101</v>
      </c>
      <c r="H234" t="s">
        <v>10</v>
      </c>
      <c r="I234">
        <v>-4.1250960000000001</v>
      </c>
      <c r="J234">
        <v>27.799897999999999</v>
      </c>
      <c r="K234" t="s">
        <v>1500</v>
      </c>
      <c r="L234" t="s">
        <v>1508</v>
      </c>
    </row>
    <row r="235" spans="1:12" x14ac:dyDescent="0.3">
      <c r="A235" t="s">
        <v>1098</v>
      </c>
      <c r="B235" s="1">
        <v>45221</v>
      </c>
      <c r="C235" s="2">
        <v>0.50555555555555554</v>
      </c>
      <c r="D235" t="s">
        <v>1120</v>
      </c>
      <c r="E235">
        <v>51</v>
      </c>
      <c r="F235" t="s">
        <v>807</v>
      </c>
      <c r="G235" t="s">
        <v>1120</v>
      </c>
      <c r="H235" t="s">
        <v>16</v>
      </c>
      <c r="I235">
        <v>-1.231033</v>
      </c>
      <c r="J235">
        <v>28.851388</v>
      </c>
      <c r="K235" t="s">
        <v>1500</v>
      </c>
      <c r="L235" t="s">
        <v>1496</v>
      </c>
    </row>
    <row r="236" spans="1:12" x14ac:dyDescent="0.3">
      <c r="A236" t="s">
        <v>1190</v>
      </c>
      <c r="B236" s="1">
        <v>45223</v>
      </c>
      <c r="C236" s="2">
        <v>0.40069444444444446</v>
      </c>
      <c r="D236" t="s">
        <v>1120</v>
      </c>
      <c r="E236">
        <v>41</v>
      </c>
      <c r="F236" t="s">
        <v>812</v>
      </c>
      <c r="G236" t="s">
        <v>1120</v>
      </c>
      <c r="H236" t="s">
        <v>16</v>
      </c>
      <c r="I236">
        <v>-1.231033</v>
      </c>
      <c r="J236">
        <v>28.851388</v>
      </c>
      <c r="K236" t="s">
        <v>1500</v>
      </c>
      <c r="L236" t="s">
        <v>1496</v>
      </c>
    </row>
    <row r="237" spans="1:12" x14ac:dyDescent="0.3">
      <c r="A237" t="s">
        <v>1098</v>
      </c>
      <c r="B237" s="1">
        <v>45205</v>
      </c>
      <c r="C237" s="2">
        <v>0.47430555555555554</v>
      </c>
      <c r="D237" t="s">
        <v>1111</v>
      </c>
      <c r="E237">
        <v>25</v>
      </c>
      <c r="F237" t="s">
        <v>807</v>
      </c>
      <c r="G237" t="s">
        <v>1111</v>
      </c>
      <c r="H237" t="s">
        <v>127</v>
      </c>
      <c r="I237">
        <v>-1.013558</v>
      </c>
      <c r="J237">
        <v>17.346937</v>
      </c>
      <c r="K237" t="s">
        <v>1495</v>
      </c>
      <c r="L237" t="s">
        <v>1499</v>
      </c>
    </row>
    <row r="238" spans="1:12" x14ac:dyDescent="0.3">
      <c r="A238" t="s">
        <v>1133</v>
      </c>
      <c r="B238" s="1">
        <v>45211</v>
      </c>
      <c r="C238" s="2">
        <v>0.31666666666666665</v>
      </c>
      <c r="D238" t="s">
        <v>1141</v>
      </c>
      <c r="E238">
        <v>93</v>
      </c>
      <c r="F238" t="s">
        <v>812</v>
      </c>
      <c r="G238" t="s">
        <v>1141</v>
      </c>
      <c r="H238" t="s">
        <v>137</v>
      </c>
      <c r="I238">
        <v>1.286548</v>
      </c>
      <c r="J238">
        <v>29.823702999999998</v>
      </c>
      <c r="K238" t="s">
        <v>1498</v>
      </c>
      <c r="L238" t="s">
        <v>1501</v>
      </c>
    </row>
    <row r="239" spans="1:12" x14ac:dyDescent="0.3">
      <c r="A239" t="s">
        <v>1098</v>
      </c>
      <c r="B239" s="1">
        <v>45209</v>
      </c>
      <c r="C239" s="2">
        <v>0.36527777777777776</v>
      </c>
      <c r="D239" t="s">
        <v>1116</v>
      </c>
      <c r="E239">
        <v>120</v>
      </c>
      <c r="F239" t="s">
        <v>807</v>
      </c>
      <c r="G239" t="s">
        <v>1116</v>
      </c>
      <c r="H239" t="s">
        <v>35</v>
      </c>
      <c r="I239">
        <v>-1.4110389999999999</v>
      </c>
      <c r="J239">
        <v>21.261644</v>
      </c>
      <c r="K239" t="s">
        <v>1498</v>
      </c>
      <c r="L239" t="s">
        <v>1501</v>
      </c>
    </row>
    <row r="240" spans="1:12" x14ac:dyDescent="0.3">
      <c r="A240" t="s">
        <v>1190</v>
      </c>
      <c r="B240" s="1">
        <v>45215</v>
      </c>
      <c r="C240" s="2">
        <v>0.99027777777777781</v>
      </c>
      <c r="D240" t="s">
        <v>1116</v>
      </c>
      <c r="E240">
        <v>66</v>
      </c>
      <c r="F240" t="s">
        <v>812</v>
      </c>
      <c r="G240" t="s">
        <v>1116</v>
      </c>
      <c r="H240" t="s">
        <v>35</v>
      </c>
      <c r="I240">
        <v>-1.4110389999999999</v>
      </c>
      <c r="J240">
        <v>21.261644</v>
      </c>
      <c r="K240" t="s">
        <v>1498</v>
      </c>
      <c r="L240" t="s">
        <v>1501</v>
      </c>
    </row>
    <row r="241" spans="1:12" x14ac:dyDescent="0.3">
      <c r="A241" t="s">
        <v>1161</v>
      </c>
      <c r="B241" s="1">
        <v>45225</v>
      </c>
      <c r="C241" s="2">
        <v>0.62569444444444444</v>
      </c>
      <c r="D241" t="s">
        <v>1167</v>
      </c>
      <c r="E241">
        <v>108</v>
      </c>
      <c r="F241" t="s">
        <v>812</v>
      </c>
      <c r="G241" t="s">
        <v>1167</v>
      </c>
      <c r="H241" t="s">
        <v>31</v>
      </c>
      <c r="I241">
        <v>-10.611184</v>
      </c>
      <c r="J241">
        <v>23.022268</v>
      </c>
      <c r="K241" t="s">
        <v>1495</v>
      </c>
      <c r="L241" t="s">
        <v>1501</v>
      </c>
    </row>
    <row r="242" spans="1:12" x14ac:dyDescent="0.3">
      <c r="A242" t="s">
        <v>1098</v>
      </c>
      <c r="B242" s="1">
        <v>45230</v>
      </c>
      <c r="C242" s="2">
        <v>0.86388888888888893</v>
      </c>
      <c r="D242" t="s">
        <v>1119</v>
      </c>
      <c r="E242">
        <v>57</v>
      </c>
      <c r="F242" t="s">
        <v>807</v>
      </c>
      <c r="G242" t="s">
        <v>1119</v>
      </c>
      <c r="H242" t="s">
        <v>21</v>
      </c>
      <c r="I242">
        <v>-4.1694589999999998</v>
      </c>
      <c r="J242">
        <v>23.376487000000001</v>
      </c>
      <c r="K242" t="s">
        <v>1500</v>
      </c>
      <c r="L242" t="s">
        <v>1508</v>
      </c>
    </row>
    <row r="243" spans="1:12" x14ac:dyDescent="0.3">
      <c r="A243" t="s">
        <v>1133</v>
      </c>
      <c r="B243" s="1">
        <v>45216</v>
      </c>
      <c r="C243" s="2">
        <v>0.70902777777777781</v>
      </c>
      <c r="D243" t="s">
        <v>1143</v>
      </c>
      <c r="E243">
        <v>39</v>
      </c>
      <c r="F243" t="s">
        <v>807</v>
      </c>
      <c r="G243" t="s">
        <v>1143</v>
      </c>
      <c r="H243" t="s">
        <v>10</v>
      </c>
      <c r="I243">
        <v>-0.34051900000000002</v>
      </c>
      <c r="J243">
        <v>17.079799000000001</v>
      </c>
      <c r="K243" t="s">
        <v>1495</v>
      </c>
      <c r="L243" t="s">
        <v>1496</v>
      </c>
    </row>
    <row r="244" spans="1:12" x14ac:dyDescent="0.3">
      <c r="A244" t="s">
        <v>1098</v>
      </c>
      <c r="B244" s="1">
        <v>45204</v>
      </c>
      <c r="C244" s="2">
        <v>0.90555555555555556</v>
      </c>
      <c r="D244" t="s">
        <v>1124</v>
      </c>
      <c r="E244">
        <v>61</v>
      </c>
      <c r="F244" t="s">
        <v>807</v>
      </c>
      <c r="G244" t="s">
        <v>1124</v>
      </c>
      <c r="H244" t="s">
        <v>26</v>
      </c>
      <c r="I244">
        <v>4.497306</v>
      </c>
      <c r="J244">
        <v>12.857251</v>
      </c>
      <c r="K244" t="s">
        <v>1495</v>
      </c>
      <c r="L244" t="s">
        <v>1496</v>
      </c>
    </row>
    <row r="245" spans="1:12" x14ac:dyDescent="0.3">
      <c r="A245" t="s">
        <v>1098</v>
      </c>
      <c r="B245" s="1">
        <v>45230</v>
      </c>
      <c r="C245" s="2">
        <v>0.6333333333333333</v>
      </c>
      <c r="D245" t="s">
        <v>1129</v>
      </c>
      <c r="E245">
        <v>34</v>
      </c>
      <c r="F245" t="s">
        <v>807</v>
      </c>
      <c r="G245" t="s">
        <v>1129</v>
      </c>
      <c r="H245" t="s">
        <v>57</v>
      </c>
      <c r="I245">
        <v>2.486888</v>
      </c>
      <c r="J245">
        <v>23.798074</v>
      </c>
      <c r="K245" t="s">
        <v>1495</v>
      </c>
      <c r="L245" t="s">
        <v>1501</v>
      </c>
    </row>
    <row r="246" spans="1:12" x14ac:dyDescent="0.3">
      <c r="A246" t="s">
        <v>1098</v>
      </c>
      <c r="B246" s="1">
        <v>45202</v>
      </c>
      <c r="C246" s="2">
        <v>0.41249999999999998</v>
      </c>
      <c r="D246" t="s">
        <v>1131</v>
      </c>
      <c r="E246">
        <v>35</v>
      </c>
      <c r="F246" t="s">
        <v>807</v>
      </c>
      <c r="G246" t="s">
        <v>1131</v>
      </c>
      <c r="H246" t="s">
        <v>26</v>
      </c>
      <c r="I246">
        <v>-6.4197189999999997</v>
      </c>
      <c r="J246">
        <v>22.287264</v>
      </c>
      <c r="K246" t="s">
        <v>1500</v>
      </c>
      <c r="L246" t="s">
        <v>1496</v>
      </c>
    </row>
    <row r="247" spans="1:12" x14ac:dyDescent="0.3">
      <c r="A247" t="s">
        <v>1133</v>
      </c>
      <c r="B247" s="1">
        <v>45216</v>
      </c>
      <c r="C247" s="2">
        <v>0.76041666666666663</v>
      </c>
      <c r="D247" t="s">
        <v>1138</v>
      </c>
      <c r="E247">
        <v>48</v>
      </c>
      <c r="F247" t="s">
        <v>807</v>
      </c>
      <c r="G247" t="s">
        <v>1138</v>
      </c>
      <c r="H247" t="s">
        <v>10</v>
      </c>
      <c r="I247">
        <v>-11.002602</v>
      </c>
      <c r="J247">
        <v>23.918247999999998</v>
      </c>
      <c r="K247" t="s">
        <v>1495</v>
      </c>
      <c r="L247" t="s">
        <v>1501</v>
      </c>
    </row>
    <row r="248" spans="1:12" x14ac:dyDescent="0.3">
      <c r="A248" t="s">
        <v>1161</v>
      </c>
      <c r="B248" s="1">
        <v>45211</v>
      </c>
      <c r="C248" s="2">
        <v>0.61875000000000002</v>
      </c>
      <c r="D248" t="s">
        <v>1169</v>
      </c>
      <c r="E248">
        <v>92</v>
      </c>
      <c r="F248" t="s">
        <v>807</v>
      </c>
      <c r="G248" t="s">
        <v>1169</v>
      </c>
      <c r="H248" t="s">
        <v>73</v>
      </c>
      <c r="I248">
        <v>-0.85624699999999998</v>
      </c>
      <c r="J248">
        <v>28.624870000000001</v>
      </c>
      <c r="K248" t="s">
        <v>1500</v>
      </c>
      <c r="L248" t="s">
        <v>1496</v>
      </c>
    </row>
    <row r="249" spans="1:12" x14ac:dyDescent="0.3">
      <c r="A249" t="s">
        <v>1133</v>
      </c>
      <c r="B249" s="1">
        <v>45220</v>
      </c>
      <c r="C249" s="2">
        <v>0.15902777777777777</v>
      </c>
      <c r="D249" t="s">
        <v>1148</v>
      </c>
      <c r="E249">
        <v>60</v>
      </c>
      <c r="F249" t="s">
        <v>812</v>
      </c>
      <c r="G249" t="s">
        <v>1148</v>
      </c>
      <c r="H249" t="s">
        <v>73</v>
      </c>
      <c r="I249">
        <v>-9.4133639999999996</v>
      </c>
      <c r="J249">
        <v>15.682482</v>
      </c>
      <c r="K249" t="s">
        <v>1498</v>
      </c>
      <c r="L249" t="s">
        <v>1499</v>
      </c>
    </row>
    <row r="250" spans="1:12" x14ac:dyDescent="0.3">
      <c r="A250" t="s">
        <v>1133</v>
      </c>
      <c r="B250" s="1">
        <v>45211</v>
      </c>
      <c r="C250" s="2">
        <v>0.72291666666666665</v>
      </c>
      <c r="D250" t="s">
        <v>1150</v>
      </c>
      <c r="E250">
        <v>28</v>
      </c>
      <c r="F250" t="s">
        <v>807</v>
      </c>
      <c r="G250" t="s">
        <v>1150</v>
      </c>
      <c r="H250" t="s">
        <v>127</v>
      </c>
      <c r="I250">
        <v>-6.9624990000000002</v>
      </c>
      <c r="J250">
        <v>20.759834999999999</v>
      </c>
      <c r="K250" t="s">
        <v>1498</v>
      </c>
      <c r="L250" t="s">
        <v>1499</v>
      </c>
    </row>
    <row r="251" spans="1:12" x14ac:dyDescent="0.3">
      <c r="A251" t="s">
        <v>1190</v>
      </c>
      <c r="B251" s="1">
        <v>45228</v>
      </c>
      <c r="C251" s="2">
        <v>0.67222222222222228</v>
      </c>
      <c r="D251" t="s">
        <v>1193</v>
      </c>
      <c r="E251">
        <v>106</v>
      </c>
      <c r="F251" t="s">
        <v>807</v>
      </c>
      <c r="G251" t="s">
        <v>1193</v>
      </c>
      <c r="H251" t="s">
        <v>137</v>
      </c>
      <c r="I251">
        <v>2.0392079999999999</v>
      </c>
      <c r="J251">
        <v>19.090841999999999</v>
      </c>
      <c r="K251" t="s">
        <v>1498</v>
      </c>
      <c r="L251" t="s">
        <v>1508</v>
      </c>
    </row>
    <row r="252" spans="1:12" x14ac:dyDescent="0.3">
      <c r="A252" t="s">
        <v>1161</v>
      </c>
      <c r="B252" s="1">
        <v>45228</v>
      </c>
      <c r="C252" s="2">
        <v>8.611111111111111E-2</v>
      </c>
      <c r="D252" t="s">
        <v>1170</v>
      </c>
      <c r="E252">
        <v>43</v>
      </c>
      <c r="F252" t="s">
        <v>812</v>
      </c>
      <c r="G252" t="s">
        <v>1170</v>
      </c>
      <c r="H252" t="s">
        <v>35</v>
      </c>
      <c r="I252">
        <v>-6.4883290000000002</v>
      </c>
      <c r="J252">
        <v>25.103404000000001</v>
      </c>
      <c r="K252" t="s">
        <v>1495</v>
      </c>
      <c r="L252" t="s">
        <v>1501</v>
      </c>
    </row>
    <row r="253" spans="1:12" x14ac:dyDescent="0.3">
      <c r="A253" t="s">
        <v>1161</v>
      </c>
      <c r="B253" s="1">
        <v>45216</v>
      </c>
      <c r="C253" s="2">
        <v>7.8472222222222221E-2</v>
      </c>
      <c r="D253" t="s">
        <v>1178</v>
      </c>
      <c r="E253">
        <v>48</v>
      </c>
      <c r="F253" t="s">
        <v>810</v>
      </c>
      <c r="G253" t="s">
        <v>1178</v>
      </c>
      <c r="H253" t="s">
        <v>31</v>
      </c>
      <c r="I253">
        <v>-8.0864899999999995</v>
      </c>
      <c r="J253">
        <v>14.555277</v>
      </c>
      <c r="K253" t="s">
        <v>1500</v>
      </c>
      <c r="L253" t="s">
        <v>1496</v>
      </c>
    </row>
    <row r="254" spans="1:12" x14ac:dyDescent="0.3">
      <c r="A254" t="s">
        <v>1190</v>
      </c>
      <c r="B254" s="1">
        <v>45224</v>
      </c>
      <c r="C254" s="2">
        <v>0.77500000000000002</v>
      </c>
      <c r="D254" t="s">
        <v>1200</v>
      </c>
      <c r="E254">
        <v>107</v>
      </c>
      <c r="F254" t="s">
        <v>812</v>
      </c>
      <c r="G254" t="s">
        <v>1200</v>
      </c>
      <c r="H254" t="s">
        <v>60</v>
      </c>
      <c r="I254">
        <v>-5.7200150000000001</v>
      </c>
      <c r="J254">
        <v>25.022109</v>
      </c>
      <c r="K254" t="s">
        <v>1495</v>
      </c>
      <c r="L254" t="s">
        <v>1501</v>
      </c>
    </row>
    <row r="255" spans="1:12" x14ac:dyDescent="0.3">
      <c r="A255" t="s">
        <v>1190</v>
      </c>
      <c r="B255" s="1">
        <v>45216</v>
      </c>
      <c r="C255" s="2">
        <v>0.27430555555555558</v>
      </c>
      <c r="D255" t="s">
        <v>1200</v>
      </c>
      <c r="E255">
        <v>30</v>
      </c>
      <c r="F255" t="s">
        <v>810</v>
      </c>
      <c r="G255" t="s">
        <v>1200</v>
      </c>
      <c r="H255" t="s">
        <v>60</v>
      </c>
      <c r="I255">
        <v>-5.7200150000000001</v>
      </c>
      <c r="J255">
        <v>25.022109</v>
      </c>
      <c r="K255" t="s">
        <v>1495</v>
      </c>
      <c r="L255" t="s">
        <v>1501</v>
      </c>
    </row>
    <row r="256" spans="1:12" x14ac:dyDescent="0.3">
      <c r="A256" t="s">
        <v>1214</v>
      </c>
      <c r="B256" s="1">
        <v>45202</v>
      </c>
      <c r="C256" s="2">
        <v>0.52916666666666667</v>
      </c>
      <c r="D256" t="s">
        <v>1215</v>
      </c>
      <c r="E256">
        <v>109</v>
      </c>
      <c r="F256" t="s">
        <v>810</v>
      </c>
      <c r="G256" t="s">
        <v>1215</v>
      </c>
      <c r="H256" t="s">
        <v>127</v>
      </c>
      <c r="I256">
        <v>-7.1483749999999997</v>
      </c>
      <c r="J256">
        <v>26.014271000000001</v>
      </c>
      <c r="K256" t="s">
        <v>1495</v>
      </c>
      <c r="L256" t="s">
        <v>1499</v>
      </c>
    </row>
    <row r="257" spans="1:12" x14ac:dyDescent="0.3">
      <c r="A257" t="s">
        <v>1214</v>
      </c>
      <c r="B257" s="1">
        <v>45203</v>
      </c>
      <c r="C257" s="2">
        <v>0.21388888888888888</v>
      </c>
      <c r="D257" t="s">
        <v>1216</v>
      </c>
      <c r="E257">
        <v>5</v>
      </c>
      <c r="F257" t="s">
        <v>807</v>
      </c>
      <c r="G257" t="s">
        <v>1216</v>
      </c>
      <c r="H257" t="s">
        <v>131</v>
      </c>
      <c r="I257">
        <v>-6.5332999999999997</v>
      </c>
      <c r="J257">
        <v>20.098018</v>
      </c>
      <c r="K257" t="s">
        <v>1498</v>
      </c>
      <c r="L257" t="s">
        <v>1499</v>
      </c>
    </row>
    <row r="258" spans="1:12" x14ac:dyDescent="0.3">
      <c r="A258" t="s">
        <v>1214</v>
      </c>
      <c r="B258" s="1">
        <v>45215</v>
      </c>
      <c r="C258" s="2">
        <v>0.45763888888888887</v>
      </c>
      <c r="D258" t="s">
        <v>1217</v>
      </c>
      <c r="E258">
        <v>100</v>
      </c>
      <c r="F258" t="s">
        <v>807</v>
      </c>
      <c r="G258" t="s">
        <v>1217</v>
      </c>
      <c r="H258" t="s">
        <v>37</v>
      </c>
      <c r="I258">
        <v>-11.793894</v>
      </c>
      <c r="J258">
        <v>20.433340999999999</v>
      </c>
      <c r="K258" t="s">
        <v>1495</v>
      </c>
      <c r="L258" t="s">
        <v>1508</v>
      </c>
    </row>
    <row r="259" spans="1:12" x14ac:dyDescent="0.3">
      <c r="A259" t="s">
        <v>1214</v>
      </c>
      <c r="B259" s="1">
        <v>45212</v>
      </c>
      <c r="C259" s="2">
        <v>0.31111111111111112</v>
      </c>
      <c r="D259" t="s">
        <v>819</v>
      </c>
      <c r="E259">
        <v>79</v>
      </c>
      <c r="F259" t="s">
        <v>807</v>
      </c>
      <c r="G259" t="s">
        <v>819</v>
      </c>
      <c r="H259" t="s">
        <v>40</v>
      </c>
      <c r="I259">
        <v>4.8319039999999998</v>
      </c>
      <c r="J259">
        <v>20.733468999999999</v>
      </c>
      <c r="K259" t="s">
        <v>1495</v>
      </c>
      <c r="L259" t="s">
        <v>1496</v>
      </c>
    </row>
    <row r="260" spans="1:12" x14ac:dyDescent="0.3">
      <c r="A260" t="s">
        <v>1214</v>
      </c>
      <c r="B260" s="1">
        <v>45224</v>
      </c>
      <c r="C260" s="2">
        <v>0.34791666666666665</v>
      </c>
      <c r="D260" t="s">
        <v>1219</v>
      </c>
      <c r="E260">
        <v>14</v>
      </c>
      <c r="F260" t="s">
        <v>807</v>
      </c>
      <c r="G260" t="s">
        <v>1219</v>
      </c>
      <c r="H260" t="s">
        <v>13</v>
      </c>
      <c r="I260">
        <v>-7.789663</v>
      </c>
      <c r="J260">
        <v>26.529098000000001</v>
      </c>
      <c r="K260" t="s">
        <v>1495</v>
      </c>
      <c r="L260" t="s">
        <v>1508</v>
      </c>
    </row>
    <row r="261" spans="1:12" x14ac:dyDescent="0.3">
      <c r="A261" t="s">
        <v>1214</v>
      </c>
      <c r="B261" s="1">
        <v>45220</v>
      </c>
      <c r="C261" s="2">
        <v>0.48888888888888887</v>
      </c>
      <c r="D261" t="s">
        <v>895</v>
      </c>
      <c r="E261">
        <v>49</v>
      </c>
      <c r="F261" t="s">
        <v>812</v>
      </c>
      <c r="G261" t="s">
        <v>895</v>
      </c>
      <c r="H261" t="s">
        <v>31</v>
      </c>
      <c r="I261">
        <v>-9.3652239999999995</v>
      </c>
      <c r="J261">
        <v>22.593423999999999</v>
      </c>
      <c r="K261" t="s">
        <v>1495</v>
      </c>
      <c r="L261" t="s">
        <v>1508</v>
      </c>
    </row>
    <row r="262" spans="1:12" x14ac:dyDescent="0.3">
      <c r="A262" t="s">
        <v>1214</v>
      </c>
      <c r="B262" s="1">
        <v>45207</v>
      </c>
      <c r="C262" s="2">
        <v>7.0833333333333331E-2</v>
      </c>
      <c r="D262" t="s">
        <v>1220</v>
      </c>
      <c r="E262">
        <v>94</v>
      </c>
      <c r="F262" t="s">
        <v>810</v>
      </c>
      <c r="G262" t="s">
        <v>1220</v>
      </c>
      <c r="H262" t="s">
        <v>60</v>
      </c>
      <c r="I262">
        <v>-1.1284540000000001</v>
      </c>
      <c r="J262">
        <v>23.000360000000001</v>
      </c>
      <c r="K262" t="s">
        <v>1495</v>
      </c>
      <c r="L262" t="s">
        <v>1496</v>
      </c>
    </row>
    <row r="263" spans="1:12" x14ac:dyDescent="0.3">
      <c r="A263" t="s">
        <v>1214</v>
      </c>
      <c r="B263" s="1">
        <v>45203</v>
      </c>
      <c r="C263" s="2">
        <v>0.59652777777777777</v>
      </c>
      <c r="D263" t="s">
        <v>1221</v>
      </c>
      <c r="E263">
        <v>13</v>
      </c>
      <c r="F263" t="s">
        <v>810</v>
      </c>
      <c r="G263" t="s">
        <v>1221</v>
      </c>
      <c r="H263" t="s">
        <v>13</v>
      </c>
      <c r="I263">
        <v>-1.9540519999999999</v>
      </c>
      <c r="J263">
        <v>12.667945</v>
      </c>
      <c r="K263" t="s">
        <v>1498</v>
      </c>
      <c r="L263" t="s">
        <v>1499</v>
      </c>
    </row>
    <row r="264" spans="1:12" x14ac:dyDescent="0.3">
      <c r="A264" t="s">
        <v>1214</v>
      </c>
      <c r="B264" s="1">
        <v>45205</v>
      </c>
      <c r="C264" s="2">
        <v>0.52986111111111112</v>
      </c>
      <c r="D264" t="s">
        <v>889</v>
      </c>
      <c r="E264">
        <v>74</v>
      </c>
      <c r="F264" t="s">
        <v>810</v>
      </c>
      <c r="G264" t="s">
        <v>889</v>
      </c>
      <c r="H264" t="s">
        <v>16</v>
      </c>
      <c r="I264">
        <v>-11.514188000000001</v>
      </c>
      <c r="J264">
        <v>15.971181</v>
      </c>
      <c r="K264" t="s">
        <v>1495</v>
      </c>
      <c r="L264" t="s">
        <v>1496</v>
      </c>
    </row>
    <row r="265" spans="1:12" x14ac:dyDescent="0.3">
      <c r="A265" t="s">
        <v>1214</v>
      </c>
      <c r="B265" s="1">
        <v>45209</v>
      </c>
      <c r="C265" s="2">
        <v>0.92152777777777772</v>
      </c>
      <c r="D265" t="s">
        <v>997</v>
      </c>
      <c r="E265">
        <v>119</v>
      </c>
      <c r="F265" t="s">
        <v>807</v>
      </c>
      <c r="G265" t="s">
        <v>997</v>
      </c>
      <c r="H265" t="s">
        <v>26</v>
      </c>
      <c r="I265">
        <v>1.5278670000000001</v>
      </c>
      <c r="J265">
        <v>13.899388999999999</v>
      </c>
      <c r="K265" t="s">
        <v>1500</v>
      </c>
      <c r="L265" t="s">
        <v>1499</v>
      </c>
    </row>
    <row r="266" spans="1:12" x14ac:dyDescent="0.3">
      <c r="A266" t="s">
        <v>1214</v>
      </c>
      <c r="B266" s="1">
        <v>45204</v>
      </c>
      <c r="C266" s="2">
        <v>0.61597222222222225</v>
      </c>
      <c r="D266" t="s">
        <v>1223</v>
      </c>
      <c r="E266">
        <v>41</v>
      </c>
      <c r="F266" t="s">
        <v>812</v>
      </c>
      <c r="G266" t="s">
        <v>1223</v>
      </c>
      <c r="H266" t="s">
        <v>64</v>
      </c>
      <c r="I266">
        <v>1.3006180000000001</v>
      </c>
      <c r="J266">
        <v>29.060970999999999</v>
      </c>
      <c r="K266" t="s">
        <v>1500</v>
      </c>
      <c r="L266" t="s">
        <v>1501</v>
      </c>
    </row>
    <row r="267" spans="1:12" x14ac:dyDescent="0.3">
      <c r="A267" t="s">
        <v>1214</v>
      </c>
      <c r="B267" s="1">
        <v>45219</v>
      </c>
      <c r="C267" s="2">
        <v>0.47638888888888886</v>
      </c>
      <c r="D267" t="s">
        <v>814</v>
      </c>
      <c r="E267">
        <v>57</v>
      </c>
      <c r="F267" t="s">
        <v>807</v>
      </c>
      <c r="G267" t="s">
        <v>814</v>
      </c>
      <c r="H267" t="s">
        <v>62</v>
      </c>
      <c r="I267">
        <v>-2.8211520000000001</v>
      </c>
      <c r="J267">
        <v>20.651419000000001</v>
      </c>
      <c r="K267" t="s">
        <v>1495</v>
      </c>
      <c r="L267" t="s">
        <v>1496</v>
      </c>
    </row>
    <row r="268" spans="1:12" x14ac:dyDescent="0.3">
      <c r="A268" t="s">
        <v>1214</v>
      </c>
      <c r="B268" s="1">
        <v>45222</v>
      </c>
      <c r="C268" s="2">
        <v>0.74861111111111112</v>
      </c>
      <c r="D268" t="s">
        <v>1224</v>
      </c>
      <c r="E268">
        <v>28</v>
      </c>
      <c r="F268" t="s">
        <v>810</v>
      </c>
      <c r="G268" t="s">
        <v>1224</v>
      </c>
      <c r="H268" t="s">
        <v>24</v>
      </c>
      <c r="I268">
        <v>-11.468578000000001</v>
      </c>
      <c r="J268">
        <v>16.914501999999999</v>
      </c>
      <c r="K268" t="s">
        <v>1498</v>
      </c>
      <c r="L268" t="s">
        <v>1496</v>
      </c>
    </row>
    <row r="269" spans="1:12" x14ac:dyDescent="0.3">
      <c r="A269" t="s">
        <v>1214</v>
      </c>
      <c r="B269" s="1">
        <v>45221</v>
      </c>
      <c r="C269" s="2">
        <v>0.28333333333333333</v>
      </c>
      <c r="D269" t="s">
        <v>1226</v>
      </c>
      <c r="E269">
        <v>22</v>
      </c>
      <c r="F269" t="s">
        <v>807</v>
      </c>
      <c r="G269" t="s">
        <v>1226</v>
      </c>
      <c r="H269" t="s">
        <v>64</v>
      </c>
      <c r="I269">
        <v>-2.6665070000000002</v>
      </c>
      <c r="J269">
        <v>18.623692999999999</v>
      </c>
      <c r="K269" t="s">
        <v>1500</v>
      </c>
      <c r="L269" t="s">
        <v>1501</v>
      </c>
    </row>
    <row r="270" spans="1:12" x14ac:dyDescent="0.3">
      <c r="A270" t="s">
        <v>1214</v>
      </c>
      <c r="B270" s="1">
        <v>45214</v>
      </c>
      <c r="C270" s="2">
        <v>0.69791666666666663</v>
      </c>
      <c r="D270" t="s">
        <v>1229</v>
      </c>
      <c r="E270">
        <v>98</v>
      </c>
      <c r="F270" t="s">
        <v>812</v>
      </c>
      <c r="G270" t="s">
        <v>1229</v>
      </c>
      <c r="H270" t="s">
        <v>44</v>
      </c>
      <c r="I270">
        <v>-12.192204</v>
      </c>
      <c r="J270">
        <v>28.468682000000001</v>
      </c>
      <c r="K270" t="s">
        <v>1500</v>
      </c>
      <c r="L270" t="s">
        <v>1501</v>
      </c>
    </row>
    <row r="271" spans="1:12" x14ac:dyDescent="0.3">
      <c r="A271" t="s">
        <v>1214</v>
      </c>
      <c r="B271" s="1">
        <v>45218</v>
      </c>
      <c r="C271" s="2">
        <v>0.12708333333333333</v>
      </c>
      <c r="D271" t="s">
        <v>1081</v>
      </c>
      <c r="E271">
        <v>58</v>
      </c>
      <c r="F271" t="s">
        <v>810</v>
      </c>
      <c r="G271" t="s">
        <v>1081</v>
      </c>
      <c r="H271" t="s">
        <v>21</v>
      </c>
      <c r="I271">
        <v>1.2419519999999999</v>
      </c>
      <c r="J271">
        <v>25.261382999999999</v>
      </c>
      <c r="K271" t="s">
        <v>1498</v>
      </c>
      <c r="L271" t="s">
        <v>1499</v>
      </c>
    </row>
    <row r="272" spans="1:12" x14ac:dyDescent="0.3">
      <c r="A272" t="s">
        <v>1214</v>
      </c>
      <c r="B272" s="1">
        <v>45216</v>
      </c>
      <c r="C272" s="2">
        <v>0.27500000000000002</v>
      </c>
      <c r="D272" t="s">
        <v>1231</v>
      </c>
      <c r="E272">
        <v>119</v>
      </c>
      <c r="F272" t="s">
        <v>812</v>
      </c>
      <c r="G272" t="s">
        <v>1231</v>
      </c>
      <c r="H272" t="s">
        <v>21</v>
      </c>
      <c r="I272">
        <v>2.4414509999999998</v>
      </c>
      <c r="J272">
        <v>30.167489</v>
      </c>
      <c r="K272" t="s">
        <v>1495</v>
      </c>
      <c r="L272" t="s">
        <v>1508</v>
      </c>
    </row>
    <row r="273" spans="1:12" x14ac:dyDescent="0.3">
      <c r="A273" t="s">
        <v>1214</v>
      </c>
      <c r="B273" s="1">
        <v>45217</v>
      </c>
      <c r="C273" s="2">
        <v>0.1736111111111111</v>
      </c>
      <c r="D273" t="s">
        <v>941</v>
      </c>
      <c r="E273">
        <v>53</v>
      </c>
      <c r="F273" t="s">
        <v>810</v>
      </c>
      <c r="G273" t="s">
        <v>941</v>
      </c>
      <c r="H273" t="s">
        <v>64</v>
      </c>
      <c r="I273">
        <v>-1.6097570000000001</v>
      </c>
      <c r="J273">
        <v>30.661662</v>
      </c>
      <c r="K273" t="s">
        <v>1498</v>
      </c>
      <c r="L273" t="s">
        <v>1496</v>
      </c>
    </row>
    <row r="274" spans="1:12" x14ac:dyDescent="0.3">
      <c r="A274" t="s">
        <v>1214</v>
      </c>
      <c r="B274" s="1">
        <v>45210</v>
      </c>
      <c r="C274" s="2">
        <v>0.68611111111111112</v>
      </c>
      <c r="D274" t="s">
        <v>1232</v>
      </c>
      <c r="E274">
        <v>62</v>
      </c>
      <c r="F274" t="s">
        <v>810</v>
      </c>
      <c r="G274" t="s">
        <v>1232</v>
      </c>
      <c r="H274" t="s">
        <v>89</v>
      </c>
      <c r="I274">
        <v>8.5490999999999998E-2</v>
      </c>
      <c r="J274">
        <v>26.296129000000001</v>
      </c>
      <c r="K274" t="s">
        <v>1500</v>
      </c>
      <c r="L274" t="s">
        <v>1501</v>
      </c>
    </row>
    <row r="275" spans="1:12" x14ac:dyDescent="0.3">
      <c r="A275" t="s">
        <v>1214</v>
      </c>
      <c r="B275" s="1">
        <v>45225</v>
      </c>
      <c r="C275" s="2">
        <v>0.40694444444444444</v>
      </c>
      <c r="D275" t="s">
        <v>1238</v>
      </c>
      <c r="E275">
        <v>74</v>
      </c>
      <c r="F275" t="s">
        <v>807</v>
      </c>
      <c r="G275" t="s">
        <v>1238</v>
      </c>
      <c r="H275" t="s">
        <v>40</v>
      </c>
      <c r="I275">
        <v>-4.6957509999999996</v>
      </c>
      <c r="J275">
        <v>14.233525999999999</v>
      </c>
      <c r="K275" t="s">
        <v>1498</v>
      </c>
      <c r="L275" t="s">
        <v>1508</v>
      </c>
    </row>
    <row r="276" spans="1:12" x14ac:dyDescent="0.3">
      <c r="A276" t="s">
        <v>1214</v>
      </c>
      <c r="B276" s="1">
        <v>45200</v>
      </c>
      <c r="C276" s="2">
        <v>0.51111111111111107</v>
      </c>
      <c r="D276" t="s">
        <v>1239</v>
      </c>
      <c r="E276">
        <v>22</v>
      </c>
      <c r="F276" t="s">
        <v>812</v>
      </c>
      <c r="G276" t="s">
        <v>1239</v>
      </c>
      <c r="H276" t="s">
        <v>51</v>
      </c>
      <c r="I276">
        <v>-10.939712999999999</v>
      </c>
      <c r="J276">
        <v>18.276230999999999</v>
      </c>
      <c r="K276" t="s">
        <v>1498</v>
      </c>
      <c r="L276" t="s">
        <v>1501</v>
      </c>
    </row>
    <row r="277" spans="1:12" x14ac:dyDescent="0.3">
      <c r="A277" t="s">
        <v>1240</v>
      </c>
      <c r="B277" s="1">
        <v>45221</v>
      </c>
      <c r="C277" s="2">
        <v>0.56597222222222221</v>
      </c>
      <c r="D277" t="s">
        <v>1241</v>
      </c>
      <c r="E277">
        <v>87</v>
      </c>
      <c r="F277" t="s">
        <v>810</v>
      </c>
      <c r="G277" t="s">
        <v>1241</v>
      </c>
      <c r="H277" t="s">
        <v>73</v>
      </c>
      <c r="I277">
        <v>4.7777349999999998</v>
      </c>
      <c r="J277">
        <v>16.392204</v>
      </c>
      <c r="K277" t="s">
        <v>1495</v>
      </c>
      <c r="L277" t="s">
        <v>1501</v>
      </c>
    </row>
    <row r="278" spans="1:12" x14ac:dyDescent="0.3">
      <c r="A278" t="s">
        <v>1240</v>
      </c>
      <c r="B278" s="1">
        <v>45215</v>
      </c>
      <c r="C278" s="2">
        <v>5.6944444444444443E-2</v>
      </c>
      <c r="D278" t="s">
        <v>1226</v>
      </c>
      <c r="E278">
        <v>99</v>
      </c>
      <c r="F278" t="s">
        <v>810</v>
      </c>
      <c r="G278" t="s">
        <v>1226</v>
      </c>
      <c r="H278" t="s">
        <v>64</v>
      </c>
      <c r="I278">
        <v>-2.6665070000000002</v>
      </c>
      <c r="J278">
        <v>18.623692999999999</v>
      </c>
      <c r="K278" t="s">
        <v>1500</v>
      </c>
      <c r="L278" t="s">
        <v>1501</v>
      </c>
    </row>
    <row r="279" spans="1:12" x14ac:dyDescent="0.3">
      <c r="A279" t="s">
        <v>1240</v>
      </c>
      <c r="B279" s="1">
        <v>45230</v>
      </c>
      <c r="C279" s="2">
        <v>0.86250000000000004</v>
      </c>
      <c r="D279" t="s">
        <v>876</v>
      </c>
      <c r="E279">
        <v>67</v>
      </c>
      <c r="F279" t="s">
        <v>807</v>
      </c>
      <c r="G279" t="s">
        <v>876</v>
      </c>
      <c r="H279" t="s">
        <v>37</v>
      </c>
      <c r="I279">
        <v>-2.099631</v>
      </c>
      <c r="J279">
        <v>13.974640000000001</v>
      </c>
      <c r="K279" t="s">
        <v>1500</v>
      </c>
      <c r="L279" t="s">
        <v>1508</v>
      </c>
    </row>
    <row r="280" spans="1:12" x14ac:dyDescent="0.3">
      <c r="A280" t="s">
        <v>1240</v>
      </c>
      <c r="B280" s="1">
        <v>45205</v>
      </c>
      <c r="C280" s="2">
        <v>0.72916666666666663</v>
      </c>
      <c r="D280" t="s">
        <v>1244</v>
      </c>
      <c r="E280">
        <v>106</v>
      </c>
      <c r="F280" t="s">
        <v>812</v>
      </c>
      <c r="G280" t="s">
        <v>1244</v>
      </c>
      <c r="H280" t="s">
        <v>24</v>
      </c>
      <c r="I280">
        <v>-4.4958720000000003</v>
      </c>
      <c r="J280">
        <v>18.514112000000001</v>
      </c>
      <c r="K280" t="s">
        <v>1498</v>
      </c>
      <c r="L280" t="s">
        <v>1508</v>
      </c>
    </row>
    <row r="281" spans="1:12" x14ac:dyDescent="0.3">
      <c r="A281" t="s">
        <v>1240</v>
      </c>
      <c r="B281" s="1">
        <v>45227</v>
      </c>
      <c r="C281" s="2">
        <v>0.92291666666666672</v>
      </c>
      <c r="D281" t="s">
        <v>931</v>
      </c>
      <c r="E281">
        <v>26</v>
      </c>
      <c r="F281" t="s">
        <v>812</v>
      </c>
      <c r="G281" t="s">
        <v>931</v>
      </c>
      <c r="H281" t="s">
        <v>131</v>
      </c>
      <c r="I281">
        <v>-10.25074</v>
      </c>
      <c r="J281">
        <v>26.099086</v>
      </c>
      <c r="K281" t="s">
        <v>1498</v>
      </c>
      <c r="L281" t="s">
        <v>1499</v>
      </c>
    </row>
    <row r="282" spans="1:12" x14ac:dyDescent="0.3">
      <c r="A282" t="s">
        <v>1240</v>
      </c>
      <c r="B282" s="1">
        <v>45225</v>
      </c>
      <c r="C282" s="2">
        <v>0.62361111111111112</v>
      </c>
      <c r="D282" t="s">
        <v>1245</v>
      </c>
      <c r="E282">
        <v>22</v>
      </c>
      <c r="F282" t="s">
        <v>807</v>
      </c>
      <c r="G282" t="s">
        <v>1245</v>
      </c>
      <c r="H282" t="s">
        <v>44</v>
      </c>
      <c r="I282">
        <v>-0.47411900000000001</v>
      </c>
      <c r="J282">
        <v>27.184329000000002</v>
      </c>
      <c r="K282" t="s">
        <v>1495</v>
      </c>
      <c r="L282" t="s">
        <v>1501</v>
      </c>
    </row>
    <row r="283" spans="1:12" x14ac:dyDescent="0.3">
      <c r="A283" t="s">
        <v>1240</v>
      </c>
      <c r="B283" s="1">
        <v>45201</v>
      </c>
      <c r="C283" s="2">
        <v>0.72638888888888886</v>
      </c>
      <c r="D283" t="s">
        <v>1246</v>
      </c>
      <c r="E283">
        <v>97</v>
      </c>
      <c r="F283" t="s">
        <v>810</v>
      </c>
      <c r="G283" t="s">
        <v>1246</v>
      </c>
      <c r="H283" t="s">
        <v>57</v>
      </c>
      <c r="I283">
        <v>-4.3639070000000002</v>
      </c>
      <c r="J283">
        <v>16.283307000000001</v>
      </c>
      <c r="K283" t="s">
        <v>1495</v>
      </c>
      <c r="L283" t="s">
        <v>1499</v>
      </c>
    </row>
    <row r="284" spans="1:12" x14ac:dyDescent="0.3">
      <c r="A284" t="s">
        <v>1240</v>
      </c>
      <c r="B284" s="1">
        <v>45216</v>
      </c>
      <c r="C284" s="2">
        <v>0.18333333333333332</v>
      </c>
      <c r="D284" t="s">
        <v>1112</v>
      </c>
      <c r="E284">
        <v>67</v>
      </c>
      <c r="F284" t="s">
        <v>810</v>
      </c>
      <c r="G284" t="s">
        <v>1112</v>
      </c>
      <c r="H284" t="s">
        <v>137</v>
      </c>
      <c r="I284">
        <v>-10.967288</v>
      </c>
      <c r="J284">
        <v>17.617781000000001</v>
      </c>
      <c r="K284" t="s">
        <v>1498</v>
      </c>
      <c r="L284" t="s">
        <v>1496</v>
      </c>
    </row>
    <row r="285" spans="1:12" x14ac:dyDescent="0.3">
      <c r="A285" t="s">
        <v>1240</v>
      </c>
      <c r="B285" s="1">
        <v>45207</v>
      </c>
      <c r="C285" s="2">
        <v>0.34236111111111112</v>
      </c>
      <c r="D285" t="s">
        <v>1247</v>
      </c>
      <c r="E285">
        <v>28</v>
      </c>
      <c r="F285" t="s">
        <v>807</v>
      </c>
      <c r="G285" t="s">
        <v>1247</v>
      </c>
      <c r="H285" t="s">
        <v>26</v>
      </c>
      <c r="I285">
        <v>0.40267799999999998</v>
      </c>
      <c r="J285">
        <v>16.000858000000001</v>
      </c>
      <c r="K285" t="s">
        <v>1500</v>
      </c>
      <c r="L285" t="s">
        <v>1508</v>
      </c>
    </row>
    <row r="286" spans="1:12" x14ac:dyDescent="0.3">
      <c r="A286" t="s">
        <v>1240</v>
      </c>
      <c r="B286" s="1">
        <v>45210</v>
      </c>
      <c r="C286" s="2">
        <v>0.83680555555555558</v>
      </c>
      <c r="D286" t="s">
        <v>1248</v>
      </c>
      <c r="E286">
        <v>118</v>
      </c>
      <c r="F286" t="s">
        <v>807</v>
      </c>
      <c r="G286" t="s">
        <v>1248</v>
      </c>
      <c r="H286" t="s">
        <v>16</v>
      </c>
      <c r="I286">
        <v>-11.407966</v>
      </c>
      <c r="J286">
        <v>28.378274000000001</v>
      </c>
      <c r="K286" t="s">
        <v>1498</v>
      </c>
      <c r="L286" t="s">
        <v>1501</v>
      </c>
    </row>
    <row r="287" spans="1:12" x14ac:dyDescent="0.3">
      <c r="A287" t="s">
        <v>1240</v>
      </c>
      <c r="B287" s="1">
        <v>45229</v>
      </c>
      <c r="C287" s="2">
        <v>0.62083333333333335</v>
      </c>
      <c r="D287" t="s">
        <v>1249</v>
      </c>
      <c r="E287">
        <v>74</v>
      </c>
      <c r="F287" t="s">
        <v>812</v>
      </c>
      <c r="G287" t="s">
        <v>1249</v>
      </c>
      <c r="H287" t="s">
        <v>127</v>
      </c>
      <c r="I287">
        <v>-12.488033</v>
      </c>
      <c r="J287">
        <v>16.139648000000001</v>
      </c>
      <c r="K287" t="s">
        <v>1498</v>
      </c>
      <c r="L287" t="s">
        <v>1499</v>
      </c>
    </row>
    <row r="288" spans="1:12" x14ac:dyDescent="0.3">
      <c r="A288" t="s">
        <v>1240</v>
      </c>
      <c r="B288" s="1">
        <v>45211</v>
      </c>
      <c r="C288" s="2">
        <v>0.10694444444444444</v>
      </c>
      <c r="D288" t="s">
        <v>894</v>
      </c>
      <c r="E288">
        <v>87</v>
      </c>
      <c r="F288" t="s">
        <v>812</v>
      </c>
      <c r="G288" t="s">
        <v>894</v>
      </c>
      <c r="H288" t="s">
        <v>21</v>
      </c>
      <c r="I288">
        <v>-5.2526849999999996</v>
      </c>
      <c r="J288">
        <v>12.374528</v>
      </c>
      <c r="K288" t="s">
        <v>1500</v>
      </c>
      <c r="L288" t="s">
        <v>1508</v>
      </c>
    </row>
    <row r="289" spans="1:12" x14ac:dyDescent="0.3">
      <c r="A289" t="s">
        <v>1240</v>
      </c>
      <c r="B289" s="1">
        <v>45223</v>
      </c>
      <c r="C289" s="2">
        <v>0.25208333333333333</v>
      </c>
      <c r="D289" t="s">
        <v>1052</v>
      </c>
      <c r="E289">
        <v>12</v>
      </c>
      <c r="F289" t="s">
        <v>810</v>
      </c>
      <c r="G289" t="s">
        <v>1052</v>
      </c>
      <c r="H289" t="s">
        <v>131</v>
      </c>
      <c r="I289">
        <v>-10.846306999999999</v>
      </c>
      <c r="J289">
        <v>19.201827999999999</v>
      </c>
      <c r="K289" t="s">
        <v>1498</v>
      </c>
      <c r="L289" t="s">
        <v>1496</v>
      </c>
    </row>
    <row r="290" spans="1:12" x14ac:dyDescent="0.3">
      <c r="A290" t="s">
        <v>1240</v>
      </c>
      <c r="B290" s="1">
        <v>45227</v>
      </c>
      <c r="C290" s="2">
        <v>9.166666666666666E-2</v>
      </c>
      <c r="D290" t="s">
        <v>1251</v>
      </c>
      <c r="E290">
        <v>112</v>
      </c>
      <c r="F290" t="s">
        <v>807</v>
      </c>
      <c r="G290" t="s">
        <v>1251</v>
      </c>
      <c r="H290" t="s">
        <v>51</v>
      </c>
      <c r="I290">
        <v>-10.161428000000001</v>
      </c>
      <c r="J290">
        <v>19.362325999999999</v>
      </c>
      <c r="K290" t="s">
        <v>1500</v>
      </c>
      <c r="L290" t="s">
        <v>1508</v>
      </c>
    </row>
    <row r="291" spans="1:12" x14ac:dyDescent="0.3">
      <c r="A291" t="s">
        <v>1240</v>
      </c>
      <c r="B291" s="1">
        <v>45225</v>
      </c>
      <c r="C291" s="2">
        <v>0.78194444444444444</v>
      </c>
      <c r="D291" t="s">
        <v>1252</v>
      </c>
      <c r="E291">
        <v>113</v>
      </c>
      <c r="F291" t="s">
        <v>810</v>
      </c>
      <c r="G291" t="s">
        <v>1252</v>
      </c>
      <c r="H291" t="s">
        <v>37</v>
      </c>
      <c r="I291">
        <v>-7.9425049999999997</v>
      </c>
      <c r="J291">
        <v>24.111059000000001</v>
      </c>
      <c r="K291" t="s">
        <v>1500</v>
      </c>
      <c r="L291" t="s">
        <v>1501</v>
      </c>
    </row>
    <row r="292" spans="1:12" x14ac:dyDescent="0.3">
      <c r="A292" t="s">
        <v>1240</v>
      </c>
      <c r="B292" s="1">
        <v>45221</v>
      </c>
      <c r="C292" s="2">
        <v>0.71736111111111112</v>
      </c>
      <c r="D292" t="s">
        <v>837</v>
      </c>
      <c r="E292">
        <v>14</v>
      </c>
      <c r="F292" t="s">
        <v>807</v>
      </c>
      <c r="G292" t="s">
        <v>837</v>
      </c>
      <c r="H292" t="s">
        <v>37</v>
      </c>
      <c r="I292">
        <v>-2.4662510000000002</v>
      </c>
      <c r="J292">
        <v>18.007998000000001</v>
      </c>
      <c r="K292" t="s">
        <v>1495</v>
      </c>
      <c r="L292" t="s">
        <v>1496</v>
      </c>
    </row>
    <row r="293" spans="1:12" x14ac:dyDescent="0.3">
      <c r="A293" t="s">
        <v>1240</v>
      </c>
      <c r="B293" s="1">
        <v>45215</v>
      </c>
      <c r="C293" s="2">
        <v>0.28819444444444442</v>
      </c>
      <c r="D293" t="s">
        <v>1253</v>
      </c>
      <c r="E293">
        <v>109</v>
      </c>
      <c r="F293" t="s">
        <v>807</v>
      </c>
      <c r="G293" t="s">
        <v>1253</v>
      </c>
      <c r="H293" t="s">
        <v>62</v>
      </c>
      <c r="I293">
        <v>-11.157245</v>
      </c>
      <c r="J293">
        <v>21.262627999999999</v>
      </c>
      <c r="K293" t="s">
        <v>1495</v>
      </c>
      <c r="L293" t="s">
        <v>1501</v>
      </c>
    </row>
    <row r="294" spans="1:12" x14ac:dyDescent="0.3">
      <c r="A294" t="s">
        <v>1240</v>
      </c>
      <c r="B294" s="1">
        <v>45210</v>
      </c>
      <c r="C294" s="2">
        <v>0.39166666666666666</v>
      </c>
      <c r="D294" t="s">
        <v>907</v>
      </c>
      <c r="E294">
        <v>85</v>
      </c>
      <c r="F294" t="s">
        <v>810</v>
      </c>
      <c r="G294" t="s">
        <v>907</v>
      </c>
      <c r="H294" t="s">
        <v>131</v>
      </c>
      <c r="I294">
        <v>1.017161</v>
      </c>
      <c r="J294">
        <v>16.519689</v>
      </c>
      <c r="K294" t="s">
        <v>1500</v>
      </c>
      <c r="L294" t="s">
        <v>1508</v>
      </c>
    </row>
    <row r="295" spans="1:12" x14ac:dyDescent="0.3">
      <c r="A295" t="s">
        <v>1240</v>
      </c>
      <c r="B295" s="1">
        <v>45214</v>
      </c>
      <c r="C295" s="2">
        <v>0.7368055555555556</v>
      </c>
      <c r="D295" t="s">
        <v>1257</v>
      </c>
      <c r="E295">
        <v>34</v>
      </c>
      <c r="F295" t="s">
        <v>812</v>
      </c>
      <c r="G295" t="s">
        <v>1257</v>
      </c>
      <c r="H295" t="s">
        <v>51</v>
      </c>
      <c r="I295">
        <v>5.3608999999999997E-2</v>
      </c>
      <c r="J295">
        <v>28.346852999999999</v>
      </c>
      <c r="K295" t="s">
        <v>1500</v>
      </c>
      <c r="L295" t="s">
        <v>1501</v>
      </c>
    </row>
    <row r="296" spans="1:12" x14ac:dyDescent="0.3">
      <c r="A296" t="s">
        <v>1240</v>
      </c>
      <c r="B296" s="1">
        <v>45215</v>
      </c>
      <c r="C296" s="2">
        <v>0.58750000000000002</v>
      </c>
      <c r="D296" t="s">
        <v>1259</v>
      </c>
      <c r="E296">
        <v>24</v>
      </c>
      <c r="F296" t="s">
        <v>810</v>
      </c>
      <c r="G296" t="s">
        <v>1259</v>
      </c>
      <c r="H296" t="s">
        <v>78</v>
      </c>
      <c r="I296">
        <v>2.5458379999999998</v>
      </c>
      <c r="J296">
        <v>13.308655</v>
      </c>
      <c r="K296" t="s">
        <v>1495</v>
      </c>
      <c r="L296" t="s">
        <v>1501</v>
      </c>
    </row>
    <row r="297" spans="1:12" x14ac:dyDescent="0.3">
      <c r="A297" t="s">
        <v>1240</v>
      </c>
      <c r="B297" s="1">
        <v>45225</v>
      </c>
      <c r="C297" s="2">
        <v>0.97916666666666663</v>
      </c>
      <c r="D297" t="s">
        <v>1091</v>
      </c>
      <c r="E297">
        <v>6</v>
      </c>
      <c r="F297" t="s">
        <v>807</v>
      </c>
      <c r="G297" t="s">
        <v>1091</v>
      </c>
      <c r="H297" t="s">
        <v>13</v>
      </c>
      <c r="I297">
        <v>-10.577049000000001</v>
      </c>
      <c r="J297">
        <v>23.721854</v>
      </c>
      <c r="K297" t="s">
        <v>1498</v>
      </c>
      <c r="L297" t="s">
        <v>1501</v>
      </c>
    </row>
    <row r="298" spans="1:12" x14ac:dyDescent="0.3">
      <c r="A298" t="s">
        <v>1240</v>
      </c>
      <c r="B298" s="1">
        <v>45213</v>
      </c>
      <c r="C298" s="2">
        <v>6.6666666666666666E-2</v>
      </c>
      <c r="D298" t="s">
        <v>1146</v>
      </c>
      <c r="E298">
        <v>63</v>
      </c>
      <c r="F298" t="s">
        <v>807</v>
      </c>
      <c r="G298" t="s">
        <v>1146</v>
      </c>
      <c r="H298" t="s">
        <v>31</v>
      </c>
      <c r="I298">
        <v>-11.387295999999999</v>
      </c>
      <c r="J298">
        <v>19.384257999999999</v>
      </c>
      <c r="K298" t="s">
        <v>1500</v>
      </c>
      <c r="L298" t="s">
        <v>1499</v>
      </c>
    </row>
    <row r="299" spans="1:12" x14ac:dyDescent="0.3">
      <c r="A299" t="s">
        <v>1240</v>
      </c>
      <c r="B299" s="1">
        <v>45217</v>
      </c>
      <c r="C299" s="2">
        <v>0.77569444444444446</v>
      </c>
      <c r="D299" t="s">
        <v>965</v>
      </c>
      <c r="E299">
        <v>84</v>
      </c>
      <c r="F299" t="s">
        <v>807</v>
      </c>
      <c r="G299" t="s">
        <v>965</v>
      </c>
      <c r="H299" t="s">
        <v>78</v>
      </c>
      <c r="I299">
        <v>-2.3743210000000001</v>
      </c>
      <c r="J299">
        <v>22.399491000000001</v>
      </c>
      <c r="K299" t="s">
        <v>1495</v>
      </c>
      <c r="L299" t="s">
        <v>1496</v>
      </c>
    </row>
    <row r="300" spans="1:12" x14ac:dyDescent="0.3">
      <c r="A300" t="s">
        <v>1240</v>
      </c>
      <c r="B300" s="1">
        <v>45223</v>
      </c>
      <c r="C300" s="2">
        <v>0.5541666666666667</v>
      </c>
      <c r="D300" t="s">
        <v>1263</v>
      </c>
      <c r="E300">
        <v>86</v>
      </c>
      <c r="F300" t="s">
        <v>810</v>
      </c>
      <c r="G300" t="s">
        <v>1263</v>
      </c>
      <c r="H300" t="s">
        <v>31</v>
      </c>
      <c r="I300">
        <v>-12.050063</v>
      </c>
      <c r="J300">
        <v>26.636987999999999</v>
      </c>
      <c r="K300" t="s">
        <v>1500</v>
      </c>
      <c r="L300" t="s">
        <v>1508</v>
      </c>
    </row>
    <row r="301" spans="1:12" x14ac:dyDescent="0.3">
      <c r="A301" t="s">
        <v>1240</v>
      </c>
      <c r="B301" s="1">
        <v>45204</v>
      </c>
      <c r="C301" s="2">
        <v>0.26458333333333334</v>
      </c>
      <c r="D301" t="s">
        <v>1193</v>
      </c>
      <c r="E301">
        <v>90</v>
      </c>
      <c r="F301" t="s">
        <v>812</v>
      </c>
      <c r="G301" t="s">
        <v>1193</v>
      </c>
      <c r="H301" t="s">
        <v>137</v>
      </c>
      <c r="I301">
        <v>2.0392079999999999</v>
      </c>
      <c r="J301">
        <v>19.090841999999999</v>
      </c>
      <c r="K301" t="s">
        <v>1498</v>
      </c>
      <c r="L301" t="s">
        <v>1508</v>
      </c>
    </row>
    <row r="302" spans="1:12" x14ac:dyDescent="0.3">
      <c r="A302" t="s">
        <v>1240</v>
      </c>
      <c r="B302" s="1">
        <v>45226</v>
      </c>
      <c r="C302" s="2">
        <v>0.31319444444444444</v>
      </c>
      <c r="D302" t="s">
        <v>1265</v>
      </c>
      <c r="E302">
        <v>66</v>
      </c>
      <c r="F302" t="s">
        <v>812</v>
      </c>
      <c r="G302" t="s">
        <v>1265</v>
      </c>
      <c r="H302" t="s">
        <v>60</v>
      </c>
      <c r="I302">
        <v>-12.839263000000001</v>
      </c>
      <c r="J302">
        <v>12.355677</v>
      </c>
      <c r="K302" t="s">
        <v>1500</v>
      </c>
      <c r="L302" t="s">
        <v>1499</v>
      </c>
    </row>
    <row r="303" spans="1:12" x14ac:dyDescent="0.3">
      <c r="A303" t="s">
        <v>1240</v>
      </c>
      <c r="B303" s="1">
        <v>45210</v>
      </c>
      <c r="C303" s="2">
        <v>0.36666666666666664</v>
      </c>
      <c r="D303" t="s">
        <v>1267</v>
      </c>
      <c r="E303">
        <v>67</v>
      </c>
      <c r="F303" t="s">
        <v>810</v>
      </c>
      <c r="G303" t="s">
        <v>1267</v>
      </c>
      <c r="H303" t="s">
        <v>137</v>
      </c>
      <c r="I303">
        <v>-8.0301989999999996</v>
      </c>
      <c r="J303">
        <v>24.122495000000001</v>
      </c>
      <c r="K303" t="s">
        <v>1495</v>
      </c>
      <c r="L303" t="s">
        <v>1501</v>
      </c>
    </row>
    <row r="304" spans="1:12" x14ac:dyDescent="0.3">
      <c r="A304" t="s">
        <v>1268</v>
      </c>
      <c r="B304" s="1">
        <v>45225</v>
      </c>
      <c r="C304" s="2">
        <v>0.94861111111111107</v>
      </c>
      <c r="D304" t="s">
        <v>1270</v>
      </c>
      <c r="E304">
        <v>30</v>
      </c>
      <c r="F304" t="s">
        <v>807</v>
      </c>
      <c r="G304" t="s">
        <v>1270</v>
      </c>
      <c r="H304" t="s">
        <v>40</v>
      </c>
      <c r="I304">
        <v>-10.653247</v>
      </c>
      <c r="J304">
        <v>14.685601</v>
      </c>
      <c r="K304" t="s">
        <v>1498</v>
      </c>
      <c r="L304" t="s">
        <v>1496</v>
      </c>
    </row>
    <row r="305" spans="1:12" x14ac:dyDescent="0.3">
      <c r="A305" t="s">
        <v>1268</v>
      </c>
      <c r="B305" s="1">
        <v>45202</v>
      </c>
      <c r="C305" s="2">
        <v>0.69930555555555551</v>
      </c>
      <c r="D305" t="s">
        <v>1271</v>
      </c>
      <c r="E305">
        <v>63</v>
      </c>
      <c r="F305" t="s">
        <v>810</v>
      </c>
      <c r="G305" t="s">
        <v>1271</v>
      </c>
      <c r="H305" t="s">
        <v>73</v>
      </c>
      <c r="I305">
        <v>1.400674</v>
      </c>
      <c r="J305">
        <v>13.503126999999999</v>
      </c>
      <c r="K305" t="s">
        <v>1495</v>
      </c>
      <c r="L305" t="s">
        <v>1501</v>
      </c>
    </row>
    <row r="306" spans="1:12" x14ac:dyDescent="0.3">
      <c r="A306" t="s">
        <v>1268</v>
      </c>
      <c r="B306" s="1">
        <v>45211</v>
      </c>
      <c r="C306" s="2">
        <v>4.583333333333333E-2</v>
      </c>
      <c r="D306" t="s">
        <v>1115</v>
      </c>
      <c r="E306">
        <v>18</v>
      </c>
      <c r="F306" t="s">
        <v>812</v>
      </c>
      <c r="G306" t="s">
        <v>1115</v>
      </c>
      <c r="H306" t="s">
        <v>16</v>
      </c>
      <c r="I306">
        <v>-5.3762689999999997</v>
      </c>
      <c r="J306">
        <v>28.189575999999999</v>
      </c>
      <c r="K306" t="s">
        <v>1495</v>
      </c>
      <c r="L306" t="s">
        <v>1499</v>
      </c>
    </row>
    <row r="307" spans="1:12" x14ac:dyDescent="0.3">
      <c r="A307" t="s">
        <v>1268</v>
      </c>
      <c r="B307" s="1">
        <v>45212</v>
      </c>
      <c r="C307" s="2">
        <v>0.41736111111111113</v>
      </c>
      <c r="D307" t="s">
        <v>1273</v>
      </c>
      <c r="E307">
        <v>55</v>
      </c>
      <c r="F307" t="s">
        <v>810</v>
      </c>
      <c r="G307" t="s">
        <v>1273</v>
      </c>
      <c r="H307" t="s">
        <v>78</v>
      </c>
      <c r="I307">
        <v>1.938083</v>
      </c>
      <c r="J307">
        <v>28.25281</v>
      </c>
      <c r="K307" t="s">
        <v>1498</v>
      </c>
      <c r="L307" t="s">
        <v>1508</v>
      </c>
    </row>
    <row r="308" spans="1:12" x14ac:dyDescent="0.3">
      <c r="A308" t="s">
        <v>1268</v>
      </c>
      <c r="B308" s="1">
        <v>45214</v>
      </c>
      <c r="C308" s="2">
        <v>0.63472222222222219</v>
      </c>
      <c r="D308" t="s">
        <v>1275</v>
      </c>
      <c r="E308">
        <v>112</v>
      </c>
      <c r="F308" t="s">
        <v>810</v>
      </c>
      <c r="G308" t="s">
        <v>1275</v>
      </c>
      <c r="H308" t="s">
        <v>60</v>
      </c>
      <c r="I308">
        <v>-6.1490739999999997</v>
      </c>
      <c r="J308">
        <v>23.304411000000002</v>
      </c>
      <c r="K308" t="s">
        <v>1495</v>
      </c>
      <c r="L308" t="s">
        <v>1501</v>
      </c>
    </row>
    <row r="309" spans="1:12" x14ac:dyDescent="0.3">
      <c r="A309" t="s">
        <v>1268</v>
      </c>
      <c r="B309" s="1">
        <v>45211</v>
      </c>
      <c r="C309" s="2">
        <v>0.72499999999999998</v>
      </c>
      <c r="D309" t="s">
        <v>1116</v>
      </c>
      <c r="E309">
        <v>84</v>
      </c>
      <c r="F309" t="s">
        <v>812</v>
      </c>
      <c r="G309" t="s">
        <v>1116</v>
      </c>
      <c r="H309" t="s">
        <v>35</v>
      </c>
      <c r="I309">
        <v>-1.4110389999999999</v>
      </c>
      <c r="J309">
        <v>21.261644</v>
      </c>
      <c r="K309" t="s">
        <v>1498</v>
      </c>
      <c r="L309" t="s">
        <v>1501</v>
      </c>
    </row>
    <row r="310" spans="1:12" x14ac:dyDescent="0.3">
      <c r="A310" t="s">
        <v>1268</v>
      </c>
      <c r="B310" s="1">
        <v>45213</v>
      </c>
      <c r="C310" s="2">
        <v>0.23819444444444443</v>
      </c>
      <c r="D310" t="s">
        <v>1276</v>
      </c>
      <c r="E310">
        <v>53</v>
      </c>
      <c r="F310" t="s">
        <v>810</v>
      </c>
      <c r="G310" t="s">
        <v>1276</v>
      </c>
      <c r="H310" t="s">
        <v>89</v>
      </c>
      <c r="I310">
        <v>-8.4985189999999999</v>
      </c>
      <c r="J310">
        <v>12.929456999999999</v>
      </c>
      <c r="K310" t="s">
        <v>1498</v>
      </c>
      <c r="L310" t="s">
        <v>1496</v>
      </c>
    </row>
    <row r="311" spans="1:12" x14ac:dyDescent="0.3">
      <c r="A311" t="s">
        <v>1268</v>
      </c>
      <c r="B311" s="1">
        <v>45202</v>
      </c>
      <c r="C311" s="2">
        <v>0.8041666666666667</v>
      </c>
      <c r="D311" t="s">
        <v>1277</v>
      </c>
      <c r="E311">
        <v>115</v>
      </c>
      <c r="F311" t="s">
        <v>810</v>
      </c>
      <c r="G311" t="s">
        <v>1277</v>
      </c>
      <c r="H311" t="s">
        <v>127</v>
      </c>
      <c r="I311">
        <v>1.2391989999999999</v>
      </c>
      <c r="J311">
        <v>15.386718999999999</v>
      </c>
      <c r="K311" t="s">
        <v>1495</v>
      </c>
      <c r="L311" t="s">
        <v>1501</v>
      </c>
    </row>
    <row r="312" spans="1:12" x14ac:dyDescent="0.3">
      <c r="A312" t="s">
        <v>1268</v>
      </c>
      <c r="B312" s="1">
        <v>45204</v>
      </c>
      <c r="C312" s="2">
        <v>0.53125</v>
      </c>
      <c r="D312" t="s">
        <v>975</v>
      </c>
      <c r="E312">
        <v>47</v>
      </c>
      <c r="F312" t="s">
        <v>807</v>
      </c>
      <c r="G312" t="s">
        <v>975</v>
      </c>
      <c r="H312" t="s">
        <v>131</v>
      </c>
      <c r="I312">
        <v>-12.336202</v>
      </c>
      <c r="J312">
        <v>13.693683999999999</v>
      </c>
      <c r="K312" t="s">
        <v>1495</v>
      </c>
      <c r="L312" t="s">
        <v>1499</v>
      </c>
    </row>
    <row r="313" spans="1:12" x14ac:dyDescent="0.3">
      <c r="A313" t="s">
        <v>1268</v>
      </c>
      <c r="B313" s="1">
        <v>45211</v>
      </c>
      <c r="C313" s="2">
        <v>0.12847222222222221</v>
      </c>
      <c r="D313" t="s">
        <v>1281</v>
      </c>
      <c r="E313">
        <v>110</v>
      </c>
      <c r="F313" t="s">
        <v>810</v>
      </c>
      <c r="G313" t="s">
        <v>1281</v>
      </c>
      <c r="H313" t="s">
        <v>21</v>
      </c>
      <c r="I313">
        <v>2.453036</v>
      </c>
      <c r="J313">
        <v>20.555484</v>
      </c>
      <c r="K313" t="s">
        <v>1495</v>
      </c>
      <c r="L313" t="s">
        <v>1496</v>
      </c>
    </row>
    <row r="314" spans="1:12" x14ac:dyDescent="0.3">
      <c r="A314" t="s">
        <v>1268</v>
      </c>
      <c r="B314" s="1">
        <v>45211</v>
      </c>
      <c r="C314" s="2">
        <v>0.33750000000000002</v>
      </c>
      <c r="D314" t="s">
        <v>1282</v>
      </c>
      <c r="E314">
        <v>88</v>
      </c>
      <c r="F314" t="s">
        <v>810</v>
      </c>
      <c r="G314" t="s">
        <v>1282</v>
      </c>
      <c r="H314" t="s">
        <v>10</v>
      </c>
      <c r="I314">
        <v>-12.364127999999999</v>
      </c>
      <c r="J314">
        <v>19.576150999999999</v>
      </c>
      <c r="K314" t="s">
        <v>1500</v>
      </c>
      <c r="L314" t="s">
        <v>1508</v>
      </c>
    </row>
    <row r="315" spans="1:12" x14ac:dyDescent="0.3">
      <c r="A315" t="s">
        <v>1268</v>
      </c>
      <c r="B315" s="1">
        <v>45219</v>
      </c>
      <c r="C315" s="2">
        <v>0.82638888888888884</v>
      </c>
      <c r="D315" t="s">
        <v>847</v>
      </c>
      <c r="E315">
        <v>93</v>
      </c>
      <c r="F315" t="s">
        <v>812</v>
      </c>
      <c r="G315" t="s">
        <v>847</v>
      </c>
      <c r="H315" t="s">
        <v>21</v>
      </c>
      <c r="I315">
        <v>4.2493650000000001</v>
      </c>
      <c r="J315">
        <v>28.355039999999999</v>
      </c>
      <c r="K315" t="s">
        <v>1500</v>
      </c>
      <c r="L315" t="s">
        <v>1501</v>
      </c>
    </row>
    <row r="316" spans="1:12" x14ac:dyDescent="0.3">
      <c r="A316" t="s">
        <v>1268</v>
      </c>
      <c r="B316" s="1">
        <v>45209</v>
      </c>
      <c r="C316" s="2">
        <v>0.55833333333333335</v>
      </c>
      <c r="D316" t="s">
        <v>1287</v>
      </c>
      <c r="E316">
        <v>66</v>
      </c>
      <c r="F316" t="s">
        <v>810</v>
      </c>
      <c r="G316" t="s">
        <v>1287</v>
      </c>
      <c r="H316" t="s">
        <v>10</v>
      </c>
      <c r="I316">
        <v>-12.595355</v>
      </c>
      <c r="J316">
        <v>17.897442000000002</v>
      </c>
      <c r="K316" t="s">
        <v>1498</v>
      </c>
      <c r="L316" t="s">
        <v>1499</v>
      </c>
    </row>
    <row r="317" spans="1:12" x14ac:dyDescent="0.3">
      <c r="A317" t="s">
        <v>1268</v>
      </c>
      <c r="B317" s="1">
        <v>45224</v>
      </c>
      <c r="C317" s="2">
        <v>0.11527777777777778</v>
      </c>
      <c r="D317" t="s">
        <v>1288</v>
      </c>
      <c r="E317">
        <v>45</v>
      </c>
      <c r="F317" t="s">
        <v>810</v>
      </c>
      <c r="G317" t="s">
        <v>1288</v>
      </c>
      <c r="H317" t="s">
        <v>73</v>
      </c>
      <c r="I317">
        <v>-11.265995</v>
      </c>
      <c r="J317">
        <v>28.935514999999999</v>
      </c>
      <c r="K317" t="s">
        <v>1498</v>
      </c>
      <c r="L317" t="s">
        <v>1496</v>
      </c>
    </row>
    <row r="318" spans="1:12" x14ac:dyDescent="0.3">
      <c r="A318" t="s">
        <v>1268</v>
      </c>
      <c r="B318" s="1">
        <v>45228</v>
      </c>
      <c r="C318" s="2">
        <v>0.74791666666666667</v>
      </c>
      <c r="D318" t="s">
        <v>1267</v>
      </c>
      <c r="E318">
        <v>27</v>
      </c>
      <c r="F318" t="s">
        <v>807</v>
      </c>
      <c r="G318" t="s">
        <v>1267</v>
      </c>
      <c r="H318" t="s">
        <v>137</v>
      </c>
      <c r="I318">
        <v>-8.0301989999999996</v>
      </c>
      <c r="J318">
        <v>24.122495000000001</v>
      </c>
      <c r="K318" t="s">
        <v>1495</v>
      </c>
      <c r="L318" t="s">
        <v>1501</v>
      </c>
    </row>
    <row r="319" spans="1:12" x14ac:dyDescent="0.3">
      <c r="A319" t="s">
        <v>1268</v>
      </c>
      <c r="B319" s="1">
        <v>45205</v>
      </c>
      <c r="C319" s="2">
        <v>0.17847222222222223</v>
      </c>
      <c r="D319" t="s">
        <v>1289</v>
      </c>
      <c r="E319">
        <v>42</v>
      </c>
      <c r="F319" t="s">
        <v>810</v>
      </c>
      <c r="G319" t="s">
        <v>1289</v>
      </c>
      <c r="H319" t="s">
        <v>31</v>
      </c>
      <c r="I319">
        <v>3.611561</v>
      </c>
      <c r="J319">
        <v>17.725974999999998</v>
      </c>
      <c r="K319" t="s">
        <v>1500</v>
      </c>
      <c r="L319" t="s">
        <v>1501</v>
      </c>
    </row>
    <row r="320" spans="1:12" x14ac:dyDescent="0.3">
      <c r="A320" t="s">
        <v>1268</v>
      </c>
      <c r="B320" s="1">
        <v>45209</v>
      </c>
      <c r="C320" s="2">
        <v>0.35486111111111113</v>
      </c>
      <c r="D320" t="s">
        <v>1223</v>
      </c>
      <c r="E320">
        <v>99</v>
      </c>
      <c r="F320" t="s">
        <v>810</v>
      </c>
      <c r="G320" t="s">
        <v>1223</v>
      </c>
      <c r="H320" t="s">
        <v>64</v>
      </c>
      <c r="I320">
        <v>1.3006180000000001</v>
      </c>
      <c r="J320">
        <v>29.060970999999999</v>
      </c>
      <c r="K320" t="s">
        <v>1500</v>
      </c>
      <c r="L320" t="s">
        <v>1501</v>
      </c>
    </row>
    <row r="321" spans="1:12" x14ac:dyDescent="0.3">
      <c r="A321" t="s">
        <v>1268</v>
      </c>
      <c r="B321" s="1">
        <v>45213</v>
      </c>
      <c r="C321" s="2">
        <v>0.35138888888888886</v>
      </c>
      <c r="D321" t="s">
        <v>1291</v>
      </c>
      <c r="E321">
        <v>86</v>
      </c>
      <c r="F321" t="s">
        <v>812</v>
      </c>
      <c r="G321" t="s">
        <v>1291</v>
      </c>
      <c r="H321" t="s">
        <v>78</v>
      </c>
      <c r="I321">
        <v>4.8228650000000002</v>
      </c>
      <c r="J321">
        <v>30.555627000000001</v>
      </c>
      <c r="K321" t="s">
        <v>1498</v>
      </c>
      <c r="L321" t="s">
        <v>1499</v>
      </c>
    </row>
    <row r="322" spans="1:12" x14ac:dyDescent="0.3">
      <c r="A322" t="s">
        <v>1268</v>
      </c>
      <c r="B322" s="1">
        <v>45209</v>
      </c>
      <c r="C322" s="2">
        <v>0.65972222222222221</v>
      </c>
      <c r="D322" t="s">
        <v>1065</v>
      </c>
      <c r="E322">
        <v>67</v>
      </c>
      <c r="F322" t="s">
        <v>812</v>
      </c>
      <c r="G322" t="s">
        <v>1065</v>
      </c>
      <c r="H322" t="s">
        <v>89</v>
      </c>
      <c r="I322">
        <v>-7.7839049999999999</v>
      </c>
      <c r="J322">
        <v>14.114281999999999</v>
      </c>
      <c r="K322" t="s">
        <v>1500</v>
      </c>
      <c r="L322" t="s">
        <v>1501</v>
      </c>
    </row>
    <row r="323" spans="1:12" x14ac:dyDescent="0.3">
      <c r="A323" t="s">
        <v>1268</v>
      </c>
      <c r="B323" s="1">
        <v>45230</v>
      </c>
      <c r="C323" s="2">
        <v>0.32361111111111113</v>
      </c>
      <c r="D323" t="s">
        <v>948</v>
      </c>
      <c r="E323">
        <v>105</v>
      </c>
      <c r="F323" t="s">
        <v>807</v>
      </c>
      <c r="G323" t="s">
        <v>948</v>
      </c>
      <c r="H323" t="s">
        <v>127</v>
      </c>
      <c r="I323">
        <v>-4.4351269999999996</v>
      </c>
      <c r="J323">
        <v>24.825467</v>
      </c>
      <c r="K323" t="s">
        <v>1498</v>
      </c>
      <c r="L323" t="s">
        <v>1499</v>
      </c>
    </row>
    <row r="324" spans="1:12" x14ac:dyDescent="0.3">
      <c r="A324" t="s">
        <v>1293</v>
      </c>
      <c r="B324" s="1">
        <v>45207</v>
      </c>
      <c r="C324" s="2">
        <v>0.59930555555555554</v>
      </c>
      <c r="D324" t="s">
        <v>931</v>
      </c>
      <c r="E324">
        <v>59</v>
      </c>
      <c r="F324" t="s">
        <v>807</v>
      </c>
      <c r="G324" t="s">
        <v>931</v>
      </c>
      <c r="H324" t="s">
        <v>131</v>
      </c>
      <c r="I324">
        <v>-10.25074</v>
      </c>
      <c r="J324">
        <v>26.099086</v>
      </c>
      <c r="K324" t="s">
        <v>1498</v>
      </c>
      <c r="L324" t="s">
        <v>1499</v>
      </c>
    </row>
    <row r="325" spans="1:12" x14ac:dyDescent="0.3">
      <c r="A325" t="s">
        <v>1293</v>
      </c>
      <c r="B325" s="1">
        <v>45221</v>
      </c>
      <c r="C325" s="2">
        <v>0.78055555555555556</v>
      </c>
      <c r="D325" t="s">
        <v>1219</v>
      </c>
      <c r="E325">
        <v>67</v>
      </c>
      <c r="F325" t="s">
        <v>807</v>
      </c>
      <c r="G325" t="s">
        <v>1219</v>
      </c>
      <c r="H325" t="s">
        <v>13</v>
      </c>
      <c r="I325">
        <v>-7.789663</v>
      </c>
      <c r="J325">
        <v>26.529098000000001</v>
      </c>
      <c r="K325" t="s">
        <v>1495</v>
      </c>
      <c r="L325" t="s">
        <v>1508</v>
      </c>
    </row>
    <row r="326" spans="1:12" x14ac:dyDescent="0.3">
      <c r="A326" t="s">
        <v>1293</v>
      </c>
      <c r="B326" s="1">
        <v>45226</v>
      </c>
      <c r="C326" s="2">
        <v>0.96458333333333335</v>
      </c>
      <c r="D326" t="s">
        <v>1297</v>
      </c>
      <c r="E326">
        <v>27</v>
      </c>
      <c r="F326" t="s">
        <v>810</v>
      </c>
      <c r="G326" t="s">
        <v>1297</v>
      </c>
      <c r="H326" t="s">
        <v>137</v>
      </c>
      <c r="I326">
        <v>-11.354772000000001</v>
      </c>
      <c r="J326">
        <v>21.957325999999998</v>
      </c>
      <c r="K326" t="s">
        <v>1500</v>
      </c>
      <c r="L326" t="s">
        <v>1508</v>
      </c>
    </row>
    <row r="327" spans="1:12" x14ac:dyDescent="0.3">
      <c r="A327" t="s">
        <v>1293</v>
      </c>
      <c r="B327" s="1">
        <v>45222</v>
      </c>
      <c r="C327" s="2">
        <v>0.59722222222222221</v>
      </c>
      <c r="D327" t="s">
        <v>1002</v>
      </c>
      <c r="E327">
        <v>22</v>
      </c>
      <c r="F327" t="s">
        <v>810</v>
      </c>
      <c r="G327" t="s">
        <v>1002</v>
      </c>
      <c r="H327" t="s">
        <v>131</v>
      </c>
      <c r="I327">
        <v>-1.8555980000000001</v>
      </c>
      <c r="J327">
        <v>30.421918000000002</v>
      </c>
      <c r="K327" t="s">
        <v>1500</v>
      </c>
      <c r="L327" t="s">
        <v>1501</v>
      </c>
    </row>
    <row r="328" spans="1:12" x14ac:dyDescent="0.3">
      <c r="A328" t="s">
        <v>1293</v>
      </c>
      <c r="B328" s="1">
        <v>45202</v>
      </c>
      <c r="C328" s="2">
        <v>0.37638888888888888</v>
      </c>
      <c r="D328" t="s">
        <v>1300</v>
      </c>
      <c r="E328">
        <v>28</v>
      </c>
      <c r="F328" t="s">
        <v>807</v>
      </c>
      <c r="G328" t="s">
        <v>1300</v>
      </c>
      <c r="H328" t="s">
        <v>51</v>
      </c>
      <c r="I328">
        <v>-7.402336</v>
      </c>
      <c r="J328">
        <v>27.376697</v>
      </c>
      <c r="K328" t="s">
        <v>1498</v>
      </c>
      <c r="L328" t="s">
        <v>1499</v>
      </c>
    </row>
    <row r="329" spans="1:12" x14ac:dyDescent="0.3">
      <c r="A329" t="s">
        <v>1293</v>
      </c>
      <c r="B329" s="1">
        <v>45200</v>
      </c>
      <c r="C329" s="2">
        <v>0.44513888888888886</v>
      </c>
      <c r="D329" t="s">
        <v>1301</v>
      </c>
      <c r="E329">
        <v>112</v>
      </c>
      <c r="F329" t="s">
        <v>807</v>
      </c>
      <c r="G329" t="s">
        <v>1301</v>
      </c>
      <c r="H329" t="s">
        <v>24</v>
      </c>
      <c r="I329">
        <v>-10.945031</v>
      </c>
      <c r="J329">
        <v>27.922274000000002</v>
      </c>
      <c r="K329" t="s">
        <v>1498</v>
      </c>
      <c r="L329" t="s">
        <v>1496</v>
      </c>
    </row>
    <row r="330" spans="1:12" x14ac:dyDescent="0.3">
      <c r="A330" t="s">
        <v>1293</v>
      </c>
      <c r="B330" s="1">
        <v>45203</v>
      </c>
      <c r="C330" s="2">
        <v>0.91041666666666665</v>
      </c>
      <c r="D330" t="s">
        <v>1273</v>
      </c>
      <c r="E330">
        <v>62</v>
      </c>
      <c r="F330" t="s">
        <v>807</v>
      </c>
      <c r="G330" t="s">
        <v>1273</v>
      </c>
      <c r="H330" t="s">
        <v>78</v>
      </c>
      <c r="I330">
        <v>1.938083</v>
      </c>
      <c r="J330">
        <v>28.25281</v>
      </c>
      <c r="K330" t="s">
        <v>1498</v>
      </c>
      <c r="L330" t="s">
        <v>1508</v>
      </c>
    </row>
    <row r="331" spans="1:12" x14ac:dyDescent="0.3">
      <c r="A331" t="s">
        <v>1293</v>
      </c>
      <c r="B331" s="1">
        <v>45216</v>
      </c>
      <c r="C331" s="2">
        <v>0.2326388888888889</v>
      </c>
      <c r="D331" t="s">
        <v>1303</v>
      </c>
      <c r="E331">
        <v>11</v>
      </c>
      <c r="F331" t="s">
        <v>812</v>
      </c>
      <c r="G331" t="s">
        <v>1303</v>
      </c>
      <c r="H331" t="s">
        <v>29</v>
      </c>
      <c r="I331">
        <v>-3.8119990000000001</v>
      </c>
      <c r="J331">
        <v>20.420048000000001</v>
      </c>
      <c r="K331" t="s">
        <v>1500</v>
      </c>
      <c r="L331" t="s">
        <v>1501</v>
      </c>
    </row>
    <row r="332" spans="1:12" x14ac:dyDescent="0.3">
      <c r="A332" t="s">
        <v>1293</v>
      </c>
      <c r="B332" s="1">
        <v>45205</v>
      </c>
      <c r="C332" s="2">
        <v>0.44097222222222221</v>
      </c>
      <c r="D332" t="s">
        <v>1304</v>
      </c>
      <c r="E332">
        <v>115</v>
      </c>
      <c r="F332" t="s">
        <v>810</v>
      </c>
      <c r="G332" t="s">
        <v>1304</v>
      </c>
      <c r="H332" t="s">
        <v>21</v>
      </c>
      <c r="I332">
        <v>-1.3024210000000001</v>
      </c>
      <c r="J332">
        <v>13.601914000000001</v>
      </c>
      <c r="K332" t="s">
        <v>1500</v>
      </c>
      <c r="L332" t="s">
        <v>1499</v>
      </c>
    </row>
    <row r="333" spans="1:12" x14ac:dyDescent="0.3">
      <c r="A333" t="s">
        <v>1293</v>
      </c>
      <c r="B333" s="1">
        <v>45221</v>
      </c>
      <c r="C333" s="2">
        <v>0.55902777777777779</v>
      </c>
      <c r="D333" t="s">
        <v>1306</v>
      </c>
      <c r="E333">
        <v>22</v>
      </c>
      <c r="F333" t="s">
        <v>807</v>
      </c>
      <c r="G333" t="s">
        <v>1306</v>
      </c>
      <c r="H333" t="s">
        <v>40</v>
      </c>
      <c r="I333">
        <v>0.65288900000000005</v>
      </c>
      <c r="J333">
        <v>24.243953999999999</v>
      </c>
      <c r="K333" t="s">
        <v>1495</v>
      </c>
      <c r="L333" t="s">
        <v>1496</v>
      </c>
    </row>
    <row r="334" spans="1:12" x14ac:dyDescent="0.3">
      <c r="A334" t="s">
        <v>1293</v>
      </c>
      <c r="B334" s="1">
        <v>45200</v>
      </c>
      <c r="C334" s="2">
        <v>0.98541666666666672</v>
      </c>
      <c r="D334" t="s">
        <v>997</v>
      </c>
      <c r="E334">
        <v>29</v>
      </c>
      <c r="F334" t="s">
        <v>812</v>
      </c>
      <c r="G334" t="s">
        <v>997</v>
      </c>
      <c r="H334" t="s">
        <v>26</v>
      </c>
      <c r="I334">
        <v>1.5278670000000001</v>
      </c>
      <c r="J334">
        <v>13.899388999999999</v>
      </c>
      <c r="K334" t="s">
        <v>1500</v>
      </c>
      <c r="L334" t="s">
        <v>1499</v>
      </c>
    </row>
    <row r="335" spans="1:12" x14ac:dyDescent="0.3">
      <c r="A335" t="s">
        <v>1293</v>
      </c>
      <c r="B335" s="1">
        <v>45200</v>
      </c>
      <c r="C335" s="2">
        <v>0.92569444444444449</v>
      </c>
      <c r="D335" t="s">
        <v>814</v>
      </c>
      <c r="E335">
        <v>76</v>
      </c>
      <c r="F335" t="s">
        <v>812</v>
      </c>
      <c r="G335" t="s">
        <v>814</v>
      </c>
      <c r="H335" t="s">
        <v>62</v>
      </c>
      <c r="I335">
        <v>-2.8211520000000001</v>
      </c>
      <c r="J335">
        <v>20.651419000000001</v>
      </c>
      <c r="K335" t="s">
        <v>1495</v>
      </c>
      <c r="L335" t="s">
        <v>1496</v>
      </c>
    </row>
    <row r="336" spans="1:12" x14ac:dyDescent="0.3">
      <c r="A336" t="s">
        <v>1293</v>
      </c>
      <c r="B336" s="1">
        <v>45203</v>
      </c>
      <c r="C336" s="2">
        <v>0.71597222222222223</v>
      </c>
      <c r="D336" t="s">
        <v>1308</v>
      </c>
      <c r="E336">
        <v>68</v>
      </c>
      <c r="F336" t="s">
        <v>810</v>
      </c>
      <c r="G336" t="s">
        <v>1308</v>
      </c>
      <c r="H336" t="s">
        <v>131</v>
      </c>
      <c r="I336">
        <v>-7.9866700000000002</v>
      </c>
      <c r="J336">
        <v>17.757847000000002</v>
      </c>
      <c r="K336" t="s">
        <v>1495</v>
      </c>
      <c r="L336" t="s">
        <v>1499</v>
      </c>
    </row>
    <row r="337" spans="1:12" x14ac:dyDescent="0.3">
      <c r="A337" t="s">
        <v>1293</v>
      </c>
      <c r="B337" s="1">
        <v>45211</v>
      </c>
      <c r="C337" s="2">
        <v>0.42499999999999999</v>
      </c>
      <c r="D337" t="s">
        <v>973</v>
      </c>
      <c r="E337">
        <v>57</v>
      </c>
      <c r="F337" t="s">
        <v>810</v>
      </c>
      <c r="G337" t="s">
        <v>973</v>
      </c>
      <c r="H337" t="s">
        <v>73</v>
      </c>
      <c r="I337">
        <v>-4.5603610000000003</v>
      </c>
      <c r="J337">
        <v>24.113918999999999</v>
      </c>
      <c r="K337" t="s">
        <v>1495</v>
      </c>
      <c r="L337" t="s">
        <v>1501</v>
      </c>
    </row>
    <row r="338" spans="1:12" x14ac:dyDescent="0.3">
      <c r="A338" t="s">
        <v>1293</v>
      </c>
      <c r="B338" s="1">
        <v>45221</v>
      </c>
      <c r="C338" s="2">
        <v>0.6479166666666667</v>
      </c>
      <c r="D338" t="s">
        <v>1310</v>
      </c>
      <c r="E338">
        <v>67</v>
      </c>
      <c r="F338" t="s">
        <v>807</v>
      </c>
      <c r="G338" t="s">
        <v>1310</v>
      </c>
      <c r="H338" t="s">
        <v>127</v>
      </c>
      <c r="I338">
        <v>-11.924048000000001</v>
      </c>
      <c r="J338">
        <v>24.177174999999998</v>
      </c>
      <c r="K338" t="s">
        <v>1500</v>
      </c>
      <c r="L338" t="s">
        <v>1508</v>
      </c>
    </row>
    <row r="339" spans="1:12" x14ac:dyDescent="0.3">
      <c r="A339" t="s">
        <v>1293</v>
      </c>
      <c r="B339" s="1">
        <v>45230</v>
      </c>
      <c r="C339" s="2">
        <v>0.84722222222222221</v>
      </c>
      <c r="D339" t="s">
        <v>866</v>
      </c>
      <c r="E339">
        <v>58</v>
      </c>
      <c r="F339" t="s">
        <v>812</v>
      </c>
      <c r="G339" t="s">
        <v>866</v>
      </c>
      <c r="H339" t="s">
        <v>51</v>
      </c>
      <c r="I339">
        <v>-5.9021970000000001</v>
      </c>
      <c r="J339">
        <v>20.551169999999999</v>
      </c>
      <c r="K339" t="s">
        <v>1500</v>
      </c>
      <c r="L339" t="s">
        <v>1499</v>
      </c>
    </row>
    <row r="340" spans="1:12" x14ac:dyDescent="0.3">
      <c r="A340" t="s">
        <v>1293</v>
      </c>
      <c r="B340" s="1">
        <v>45219</v>
      </c>
      <c r="C340" s="2">
        <v>0.52708333333333335</v>
      </c>
      <c r="D340" t="s">
        <v>1215</v>
      </c>
      <c r="E340">
        <v>95</v>
      </c>
      <c r="F340" t="s">
        <v>807</v>
      </c>
      <c r="G340" t="s">
        <v>1215</v>
      </c>
      <c r="H340" t="s">
        <v>127</v>
      </c>
      <c r="I340">
        <v>-7.1483749999999997</v>
      </c>
      <c r="J340">
        <v>26.014271000000001</v>
      </c>
      <c r="K340" t="s">
        <v>1495</v>
      </c>
      <c r="L340" t="s">
        <v>1499</v>
      </c>
    </row>
    <row r="341" spans="1:12" x14ac:dyDescent="0.3">
      <c r="A341" t="s">
        <v>1293</v>
      </c>
      <c r="B341" s="1">
        <v>45212</v>
      </c>
      <c r="C341" s="2">
        <v>0.75486111111111109</v>
      </c>
      <c r="D341" t="s">
        <v>922</v>
      </c>
      <c r="E341">
        <v>112</v>
      </c>
      <c r="F341" t="s">
        <v>812</v>
      </c>
      <c r="G341" t="s">
        <v>922</v>
      </c>
      <c r="H341" t="s">
        <v>51</v>
      </c>
      <c r="I341">
        <v>2.4741019999999998</v>
      </c>
      <c r="J341">
        <v>29.297391000000001</v>
      </c>
      <c r="K341" t="s">
        <v>1498</v>
      </c>
      <c r="L341" t="s">
        <v>1496</v>
      </c>
    </row>
    <row r="342" spans="1:12" x14ac:dyDescent="0.3">
      <c r="A342" t="s">
        <v>1293</v>
      </c>
      <c r="B342" s="1">
        <v>45221</v>
      </c>
      <c r="C342" s="2">
        <v>0.18055555555555555</v>
      </c>
      <c r="D342" t="s">
        <v>815</v>
      </c>
      <c r="E342">
        <v>8</v>
      </c>
      <c r="F342" t="s">
        <v>807</v>
      </c>
      <c r="G342" t="s">
        <v>815</v>
      </c>
      <c r="H342" t="s">
        <v>33</v>
      </c>
      <c r="I342">
        <v>-1.648264</v>
      </c>
      <c r="J342">
        <v>28.866143999999998</v>
      </c>
      <c r="K342" t="s">
        <v>1495</v>
      </c>
      <c r="L342" t="s">
        <v>1496</v>
      </c>
    </row>
    <row r="343" spans="1:12" x14ac:dyDescent="0.3">
      <c r="A343" t="s">
        <v>1293</v>
      </c>
      <c r="B343" s="1">
        <v>45203</v>
      </c>
      <c r="C343" s="2">
        <v>0.30486111111111114</v>
      </c>
      <c r="D343" t="s">
        <v>1217</v>
      </c>
      <c r="E343">
        <v>106</v>
      </c>
      <c r="F343" t="s">
        <v>810</v>
      </c>
      <c r="G343" t="s">
        <v>1217</v>
      </c>
      <c r="H343" t="s">
        <v>37</v>
      </c>
      <c r="I343">
        <v>-11.793894</v>
      </c>
      <c r="J343">
        <v>20.433340999999999</v>
      </c>
      <c r="K343" t="s">
        <v>1495</v>
      </c>
      <c r="L343" t="s">
        <v>1508</v>
      </c>
    </row>
    <row r="344" spans="1:12" x14ac:dyDescent="0.3">
      <c r="A344" t="s">
        <v>1293</v>
      </c>
      <c r="B344" s="1">
        <v>45203</v>
      </c>
      <c r="C344" s="2">
        <v>0.22430555555555556</v>
      </c>
      <c r="D344" t="s">
        <v>918</v>
      </c>
      <c r="E344">
        <v>102</v>
      </c>
      <c r="F344" t="s">
        <v>812</v>
      </c>
      <c r="G344" t="s">
        <v>918</v>
      </c>
      <c r="H344" t="s">
        <v>21</v>
      </c>
      <c r="I344">
        <v>-9.4702129999999993</v>
      </c>
      <c r="J344">
        <v>12.826158</v>
      </c>
      <c r="K344" t="s">
        <v>1500</v>
      </c>
      <c r="L344" t="s">
        <v>1496</v>
      </c>
    </row>
    <row r="345" spans="1:12" x14ac:dyDescent="0.3">
      <c r="A345" t="s">
        <v>1293</v>
      </c>
      <c r="B345" s="1">
        <v>45222</v>
      </c>
      <c r="C345" s="2">
        <v>0.18888888888888888</v>
      </c>
      <c r="D345" t="s">
        <v>1115</v>
      </c>
      <c r="E345">
        <v>33</v>
      </c>
      <c r="F345" t="s">
        <v>807</v>
      </c>
      <c r="G345" t="s">
        <v>1115</v>
      </c>
      <c r="H345" t="s">
        <v>16</v>
      </c>
      <c r="I345">
        <v>-5.3762689999999997</v>
      </c>
      <c r="J345">
        <v>28.189575999999999</v>
      </c>
      <c r="K345" t="s">
        <v>1495</v>
      </c>
      <c r="L345" t="s">
        <v>1499</v>
      </c>
    </row>
    <row r="346" spans="1:12" x14ac:dyDescent="0.3">
      <c r="A346" t="s">
        <v>1293</v>
      </c>
      <c r="B346" s="1">
        <v>45212</v>
      </c>
      <c r="C346" s="2">
        <v>0.56805555555555554</v>
      </c>
      <c r="D346" t="s">
        <v>1313</v>
      </c>
      <c r="E346">
        <v>42</v>
      </c>
      <c r="F346" t="s">
        <v>810</v>
      </c>
      <c r="G346" t="s">
        <v>1313</v>
      </c>
      <c r="H346" t="s">
        <v>33</v>
      </c>
      <c r="I346">
        <v>-7.3379339999999997</v>
      </c>
      <c r="J346">
        <v>28.404001999999998</v>
      </c>
      <c r="K346" t="s">
        <v>1500</v>
      </c>
      <c r="L346" t="s">
        <v>1508</v>
      </c>
    </row>
    <row r="347" spans="1:12" x14ac:dyDescent="0.3">
      <c r="A347" t="s">
        <v>1293</v>
      </c>
      <c r="B347" s="1">
        <v>45204</v>
      </c>
      <c r="C347" s="2">
        <v>0.76666666666666672</v>
      </c>
      <c r="D347" t="s">
        <v>1314</v>
      </c>
      <c r="E347">
        <v>9</v>
      </c>
      <c r="F347" t="s">
        <v>812</v>
      </c>
      <c r="G347" t="s">
        <v>1314</v>
      </c>
      <c r="H347" t="s">
        <v>33</v>
      </c>
      <c r="I347">
        <v>-12.560556999999999</v>
      </c>
      <c r="J347">
        <v>13.204014000000001</v>
      </c>
      <c r="K347" t="s">
        <v>1498</v>
      </c>
      <c r="L347" t="s">
        <v>1496</v>
      </c>
    </row>
    <row r="348" spans="1:12" x14ac:dyDescent="0.3">
      <c r="A348" t="s">
        <v>1315</v>
      </c>
      <c r="B348" s="1">
        <v>45216</v>
      </c>
      <c r="C348" s="2">
        <v>0.97013888888888888</v>
      </c>
      <c r="D348" t="s">
        <v>1131</v>
      </c>
      <c r="E348">
        <v>13</v>
      </c>
      <c r="F348" t="s">
        <v>812</v>
      </c>
      <c r="G348" t="s">
        <v>1131</v>
      </c>
      <c r="H348" t="s">
        <v>26</v>
      </c>
      <c r="I348">
        <v>-6.4197189999999997</v>
      </c>
      <c r="J348">
        <v>22.287264</v>
      </c>
      <c r="K348" t="s">
        <v>1500</v>
      </c>
      <c r="L348" t="s">
        <v>1496</v>
      </c>
    </row>
    <row r="349" spans="1:12" x14ac:dyDescent="0.3">
      <c r="A349" t="s">
        <v>1315</v>
      </c>
      <c r="B349" s="1">
        <v>45230</v>
      </c>
      <c r="C349" s="2">
        <v>0.63888888888888884</v>
      </c>
      <c r="D349" t="s">
        <v>1316</v>
      </c>
      <c r="E349">
        <v>77</v>
      </c>
      <c r="F349" t="s">
        <v>810</v>
      </c>
      <c r="G349" t="s">
        <v>1316</v>
      </c>
      <c r="H349" t="s">
        <v>64</v>
      </c>
      <c r="I349">
        <v>-0.57104900000000003</v>
      </c>
      <c r="J349">
        <v>15.317663</v>
      </c>
      <c r="K349" t="s">
        <v>1495</v>
      </c>
      <c r="L349" t="s">
        <v>1508</v>
      </c>
    </row>
    <row r="350" spans="1:12" x14ac:dyDescent="0.3">
      <c r="A350" t="s">
        <v>1315</v>
      </c>
      <c r="B350" s="1">
        <v>45223</v>
      </c>
      <c r="C350" s="2">
        <v>0.61111111111111116</v>
      </c>
      <c r="D350" t="s">
        <v>1267</v>
      </c>
      <c r="E350">
        <v>88</v>
      </c>
      <c r="F350" t="s">
        <v>807</v>
      </c>
      <c r="G350" t="s">
        <v>1267</v>
      </c>
      <c r="H350" t="s">
        <v>137</v>
      </c>
      <c r="I350">
        <v>-8.0301989999999996</v>
      </c>
      <c r="J350">
        <v>24.122495000000001</v>
      </c>
      <c r="K350" t="s">
        <v>1495</v>
      </c>
      <c r="L350" t="s">
        <v>1501</v>
      </c>
    </row>
    <row r="351" spans="1:12" x14ac:dyDescent="0.3">
      <c r="A351" t="s">
        <v>1315</v>
      </c>
      <c r="B351" s="1">
        <v>45206</v>
      </c>
      <c r="C351" s="2">
        <v>0.63680555555555551</v>
      </c>
      <c r="D351" t="s">
        <v>1320</v>
      </c>
      <c r="E351">
        <v>32</v>
      </c>
      <c r="F351" t="s">
        <v>812</v>
      </c>
      <c r="G351" t="s">
        <v>1320</v>
      </c>
      <c r="H351" t="s">
        <v>21</v>
      </c>
      <c r="I351">
        <v>-11.514817000000001</v>
      </c>
      <c r="J351">
        <v>24.891375</v>
      </c>
      <c r="K351" t="s">
        <v>1500</v>
      </c>
      <c r="L351" t="s">
        <v>1508</v>
      </c>
    </row>
    <row r="352" spans="1:12" x14ac:dyDescent="0.3">
      <c r="A352" t="s">
        <v>1315</v>
      </c>
      <c r="B352" s="1">
        <v>45210</v>
      </c>
      <c r="C352" s="2">
        <v>0.38958333333333334</v>
      </c>
      <c r="D352" t="s">
        <v>994</v>
      </c>
      <c r="E352">
        <v>85</v>
      </c>
      <c r="F352" t="s">
        <v>807</v>
      </c>
      <c r="G352" t="s">
        <v>994</v>
      </c>
      <c r="H352" t="s">
        <v>78</v>
      </c>
      <c r="I352">
        <v>-4.2645619999999997</v>
      </c>
      <c r="J352">
        <v>18.960726000000001</v>
      </c>
      <c r="K352" t="s">
        <v>1498</v>
      </c>
      <c r="L352" t="s">
        <v>1499</v>
      </c>
    </row>
    <row r="353" spans="1:12" x14ac:dyDescent="0.3">
      <c r="A353" t="s">
        <v>1315</v>
      </c>
      <c r="B353" s="1">
        <v>45217</v>
      </c>
      <c r="C353" s="2">
        <v>0.75555555555555554</v>
      </c>
      <c r="D353" t="s">
        <v>1321</v>
      </c>
      <c r="E353">
        <v>100</v>
      </c>
      <c r="F353" t="s">
        <v>807</v>
      </c>
      <c r="G353" t="s">
        <v>1321</v>
      </c>
      <c r="H353" t="s">
        <v>127</v>
      </c>
      <c r="I353">
        <v>-3.003879</v>
      </c>
      <c r="J353">
        <v>23.633893</v>
      </c>
      <c r="K353" t="s">
        <v>1495</v>
      </c>
      <c r="L353" t="s">
        <v>1496</v>
      </c>
    </row>
    <row r="354" spans="1:12" x14ac:dyDescent="0.3">
      <c r="A354" t="s">
        <v>1315</v>
      </c>
      <c r="B354" s="1">
        <v>45210</v>
      </c>
      <c r="C354" s="2">
        <v>0.90833333333333333</v>
      </c>
      <c r="D354" t="s">
        <v>1232</v>
      </c>
      <c r="E354">
        <v>57</v>
      </c>
      <c r="F354" t="s">
        <v>812</v>
      </c>
      <c r="G354" t="s">
        <v>1232</v>
      </c>
      <c r="H354" t="s">
        <v>89</v>
      </c>
      <c r="I354">
        <v>8.5490999999999998E-2</v>
      </c>
      <c r="J354">
        <v>26.296129000000001</v>
      </c>
      <c r="K354" t="s">
        <v>1500</v>
      </c>
      <c r="L354" t="s">
        <v>1501</v>
      </c>
    </row>
    <row r="355" spans="1:12" x14ac:dyDescent="0.3">
      <c r="A355" t="s">
        <v>1315</v>
      </c>
      <c r="B355" s="1">
        <v>45220</v>
      </c>
      <c r="C355" s="2">
        <v>0.58402777777777781</v>
      </c>
      <c r="D355" t="s">
        <v>1323</v>
      </c>
      <c r="E355">
        <v>92</v>
      </c>
      <c r="F355" t="s">
        <v>812</v>
      </c>
      <c r="G355" t="s">
        <v>1323</v>
      </c>
      <c r="H355" t="s">
        <v>89</v>
      </c>
      <c r="I355">
        <v>-11.588665000000001</v>
      </c>
      <c r="J355">
        <v>15.241552</v>
      </c>
      <c r="K355" t="s">
        <v>1498</v>
      </c>
      <c r="L355" t="s">
        <v>1508</v>
      </c>
    </row>
    <row r="356" spans="1:12" x14ac:dyDescent="0.3">
      <c r="A356" t="s">
        <v>1315</v>
      </c>
      <c r="B356" s="1">
        <v>45206</v>
      </c>
      <c r="C356" s="2">
        <v>0.95694444444444449</v>
      </c>
      <c r="D356" t="s">
        <v>992</v>
      </c>
      <c r="E356">
        <v>32</v>
      </c>
      <c r="F356" t="s">
        <v>810</v>
      </c>
      <c r="G356" t="s">
        <v>992</v>
      </c>
      <c r="H356" t="s">
        <v>44</v>
      </c>
      <c r="I356">
        <v>-9.3652280000000001</v>
      </c>
      <c r="J356">
        <v>18.674116000000001</v>
      </c>
      <c r="K356" t="s">
        <v>1498</v>
      </c>
      <c r="L356" t="s">
        <v>1499</v>
      </c>
    </row>
    <row r="357" spans="1:12" x14ac:dyDescent="0.3">
      <c r="A357" t="s">
        <v>1315</v>
      </c>
      <c r="B357" s="1">
        <v>45220</v>
      </c>
      <c r="C357" s="2">
        <v>0.46944444444444444</v>
      </c>
      <c r="D357" t="s">
        <v>1071</v>
      </c>
      <c r="E357">
        <v>17</v>
      </c>
      <c r="F357" t="s">
        <v>810</v>
      </c>
      <c r="G357" t="s">
        <v>1071</v>
      </c>
      <c r="H357" t="s">
        <v>21</v>
      </c>
      <c r="I357">
        <v>-1.5419050000000001</v>
      </c>
      <c r="J357">
        <v>14.730632999999999</v>
      </c>
      <c r="K357" t="s">
        <v>1500</v>
      </c>
      <c r="L357" t="s">
        <v>1501</v>
      </c>
    </row>
    <row r="358" spans="1:12" x14ac:dyDescent="0.3">
      <c r="A358" t="s">
        <v>1315</v>
      </c>
      <c r="B358" s="1">
        <v>45201</v>
      </c>
      <c r="C358" s="2">
        <v>0.52777777777777779</v>
      </c>
      <c r="D358" t="s">
        <v>1327</v>
      </c>
      <c r="E358">
        <v>20</v>
      </c>
      <c r="F358" t="s">
        <v>810</v>
      </c>
      <c r="G358" t="s">
        <v>1327</v>
      </c>
      <c r="H358" t="s">
        <v>26</v>
      </c>
      <c r="I358">
        <v>0.45116099999999998</v>
      </c>
      <c r="J358">
        <v>17.265761000000001</v>
      </c>
      <c r="K358" t="s">
        <v>1498</v>
      </c>
      <c r="L358" t="s">
        <v>1499</v>
      </c>
    </row>
    <row r="359" spans="1:12" x14ac:dyDescent="0.3">
      <c r="A359" t="s">
        <v>1315</v>
      </c>
      <c r="B359" s="1">
        <v>45215</v>
      </c>
      <c r="C359" s="2">
        <v>9.3055555555555558E-2</v>
      </c>
      <c r="D359" t="s">
        <v>1332</v>
      </c>
      <c r="E359">
        <v>87</v>
      </c>
      <c r="F359" t="s">
        <v>807</v>
      </c>
      <c r="G359" t="s">
        <v>1332</v>
      </c>
      <c r="H359" t="s">
        <v>16</v>
      </c>
      <c r="I359">
        <v>-7.6951369999999999</v>
      </c>
      <c r="J359">
        <v>13.346605</v>
      </c>
      <c r="K359" t="s">
        <v>1498</v>
      </c>
      <c r="L359" t="s">
        <v>1496</v>
      </c>
    </row>
    <row r="360" spans="1:12" x14ac:dyDescent="0.3">
      <c r="A360" t="s">
        <v>1315</v>
      </c>
      <c r="B360" s="1">
        <v>45212</v>
      </c>
      <c r="C360" s="2">
        <v>0.11527777777777778</v>
      </c>
      <c r="D360" t="s">
        <v>1126</v>
      </c>
      <c r="E360">
        <v>15</v>
      </c>
      <c r="F360" t="s">
        <v>810</v>
      </c>
      <c r="G360" t="s">
        <v>1126</v>
      </c>
      <c r="H360" t="s">
        <v>18</v>
      </c>
      <c r="I360">
        <v>-7.1785899999999998</v>
      </c>
      <c r="J360">
        <v>24.4404</v>
      </c>
      <c r="K360" t="s">
        <v>1498</v>
      </c>
      <c r="L360" t="s">
        <v>1508</v>
      </c>
    </row>
    <row r="361" spans="1:12" x14ac:dyDescent="0.3">
      <c r="A361" t="s">
        <v>1315</v>
      </c>
      <c r="B361" s="1">
        <v>45210</v>
      </c>
      <c r="C361" s="2">
        <v>0.49722222222222223</v>
      </c>
      <c r="D361" t="s">
        <v>1039</v>
      </c>
      <c r="E361">
        <v>75</v>
      </c>
      <c r="F361" t="s">
        <v>812</v>
      </c>
      <c r="G361" t="s">
        <v>1039</v>
      </c>
      <c r="H361" t="s">
        <v>21</v>
      </c>
      <c r="I361">
        <v>-9.3900009999999998</v>
      </c>
      <c r="J361">
        <v>30.001517</v>
      </c>
      <c r="K361" t="s">
        <v>1500</v>
      </c>
      <c r="L361" t="s">
        <v>1508</v>
      </c>
    </row>
    <row r="362" spans="1:12" x14ac:dyDescent="0.3">
      <c r="A362" t="s">
        <v>1315</v>
      </c>
      <c r="B362" s="1">
        <v>45224</v>
      </c>
      <c r="C362" s="2">
        <v>0.19513888888888889</v>
      </c>
      <c r="D362" t="s">
        <v>1334</v>
      </c>
      <c r="E362">
        <v>81</v>
      </c>
      <c r="F362" t="s">
        <v>810</v>
      </c>
      <c r="G362" t="s">
        <v>1334</v>
      </c>
      <c r="H362" t="s">
        <v>26</v>
      </c>
      <c r="I362">
        <v>-1.500685</v>
      </c>
      <c r="J362">
        <v>26.563376000000002</v>
      </c>
      <c r="K362" t="s">
        <v>1495</v>
      </c>
      <c r="L362" t="s">
        <v>1508</v>
      </c>
    </row>
    <row r="363" spans="1:12" x14ac:dyDescent="0.3">
      <c r="A363" t="s">
        <v>1335</v>
      </c>
      <c r="B363" s="1">
        <v>45223</v>
      </c>
      <c r="C363" s="2">
        <v>0.29375000000000001</v>
      </c>
      <c r="D363" t="s">
        <v>1244</v>
      </c>
      <c r="E363">
        <v>42</v>
      </c>
      <c r="F363" t="s">
        <v>812</v>
      </c>
      <c r="G363" t="s">
        <v>1244</v>
      </c>
      <c r="H363" t="s">
        <v>24</v>
      </c>
      <c r="I363">
        <v>-4.4958720000000003</v>
      </c>
      <c r="J363">
        <v>18.514112000000001</v>
      </c>
      <c r="K363" t="s">
        <v>1498</v>
      </c>
      <c r="L363" t="s">
        <v>1508</v>
      </c>
    </row>
    <row r="364" spans="1:12" x14ac:dyDescent="0.3">
      <c r="A364" t="s">
        <v>1335</v>
      </c>
      <c r="B364" s="1">
        <v>45213</v>
      </c>
      <c r="C364" s="2">
        <v>0.1451388888888889</v>
      </c>
      <c r="D364" t="s">
        <v>1239</v>
      </c>
      <c r="E364">
        <v>105</v>
      </c>
      <c r="F364" t="s">
        <v>810</v>
      </c>
      <c r="G364" t="s">
        <v>1239</v>
      </c>
      <c r="H364" t="s">
        <v>51</v>
      </c>
      <c r="I364">
        <v>-10.939712999999999</v>
      </c>
      <c r="J364">
        <v>18.276230999999999</v>
      </c>
      <c r="K364" t="s">
        <v>1498</v>
      </c>
      <c r="L364" t="s">
        <v>1501</v>
      </c>
    </row>
    <row r="365" spans="1:12" x14ac:dyDescent="0.3">
      <c r="A365" t="s">
        <v>1335</v>
      </c>
      <c r="B365" s="1">
        <v>45209</v>
      </c>
      <c r="C365" s="2">
        <v>0.90763888888888888</v>
      </c>
      <c r="D365" t="s">
        <v>1338</v>
      </c>
      <c r="E365">
        <v>99</v>
      </c>
      <c r="F365" t="s">
        <v>812</v>
      </c>
      <c r="G365" t="s">
        <v>1338</v>
      </c>
      <c r="H365" t="s">
        <v>29</v>
      </c>
      <c r="I365">
        <v>-7.6757720000000003</v>
      </c>
      <c r="J365">
        <v>30.222971000000001</v>
      </c>
      <c r="K365" t="s">
        <v>1495</v>
      </c>
      <c r="L365" t="s">
        <v>1496</v>
      </c>
    </row>
    <row r="366" spans="1:12" x14ac:dyDescent="0.3">
      <c r="A366" t="s">
        <v>1335</v>
      </c>
      <c r="B366" s="1">
        <v>45216</v>
      </c>
      <c r="C366" s="2">
        <v>0.70138888888888884</v>
      </c>
      <c r="D366" t="s">
        <v>937</v>
      </c>
      <c r="E366">
        <v>80</v>
      </c>
      <c r="F366" t="s">
        <v>807</v>
      </c>
      <c r="G366" t="s">
        <v>937</v>
      </c>
      <c r="H366" t="s">
        <v>13</v>
      </c>
      <c r="I366">
        <v>-11.622688999999999</v>
      </c>
      <c r="J366">
        <v>18.483874</v>
      </c>
      <c r="K366" t="s">
        <v>1495</v>
      </c>
      <c r="L366" t="s">
        <v>1501</v>
      </c>
    </row>
    <row r="367" spans="1:12" x14ac:dyDescent="0.3">
      <c r="A367" t="s">
        <v>1335</v>
      </c>
      <c r="B367" s="1">
        <v>45226</v>
      </c>
      <c r="C367" s="2">
        <v>0.96944444444444444</v>
      </c>
      <c r="D367" t="s">
        <v>960</v>
      </c>
      <c r="E367">
        <v>68</v>
      </c>
      <c r="F367" t="s">
        <v>807</v>
      </c>
      <c r="G367" t="s">
        <v>960</v>
      </c>
      <c r="H367" t="s">
        <v>73</v>
      </c>
      <c r="I367">
        <v>3.0603760000000002</v>
      </c>
      <c r="J367">
        <v>19.708034000000001</v>
      </c>
      <c r="K367" t="s">
        <v>1500</v>
      </c>
      <c r="L367" t="s">
        <v>1501</v>
      </c>
    </row>
    <row r="368" spans="1:12" x14ac:dyDescent="0.3">
      <c r="A368" t="s">
        <v>1335</v>
      </c>
      <c r="B368" s="1">
        <v>45205</v>
      </c>
      <c r="C368" s="2">
        <v>0.46388888888888891</v>
      </c>
      <c r="D368" t="s">
        <v>1341</v>
      </c>
      <c r="E368">
        <v>103</v>
      </c>
      <c r="F368" t="s">
        <v>807</v>
      </c>
      <c r="G368" t="s">
        <v>1341</v>
      </c>
      <c r="H368" t="s">
        <v>131</v>
      </c>
      <c r="I368">
        <v>-0.17258100000000001</v>
      </c>
      <c r="J368">
        <v>23.775555000000001</v>
      </c>
      <c r="K368" t="s">
        <v>1495</v>
      </c>
      <c r="L368" t="s">
        <v>1508</v>
      </c>
    </row>
    <row r="369" spans="1:12" x14ac:dyDescent="0.3">
      <c r="A369" t="s">
        <v>1335</v>
      </c>
      <c r="B369" s="1">
        <v>45228</v>
      </c>
      <c r="C369" s="2">
        <v>0.15902777777777777</v>
      </c>
      <c r="D369" t="s">
        <v>1211</v>
      </c>
      <c r="E369">
        <v>30</v>
      </c>
      <c r="F369" t="s">
        <v>807</v>
      </c>
      <c r="G369" t="s">
        <v>1211</v>
      </c>
      <c r="H369" t="s">
        <v>51</v>
      </c>
      <c r="I369">
        <v>0.62055499999999997</v>
      </c>
      <c r="J369">
        <v>21.222035000000002</v>
      </c>
      <c r="K369" t="s">
        <v>1495</v>
      </c>
      <c r="L369" t="s">
        <v>1508</v>
      </c>
    </row>
    <row r="370" spans="1:12" x14ac:dyDescent="0.3">
      <c r="A370" t="s">
        <v>1335</v>
      </c>
      <c r="B370" s="1">
        <v>45216</v>
      </c>
      <c r="C370" s="2">
        <v>9.4444444444444442E-2</v>
      </c>
      <c r="D370" t="s">
        <v>1344</v>
      </c>
      <c r="E370">
        <v>74</v>
      </c>
      <c r="F370" t="s">
        <v>807</v>
      </c>
      <c r="G370" t="s">
        <v>1344</v>
      </c>
      <c r="H370" t="s">
        <v>67</v>
      </c>
      <c r="I370">
        <v>4.8265669999999998</v>
      </c>
      <c r="J370">
        <v>28.535277000000001</v>
      </c>
      <c r="K370" t="s">
        <v>1500</v>
      </c>
      <c r="L370" t="s">
        <v>1499</v>
      </c>
    </row>
    <row r="371" spans="1:12" x14ac:dyDescent="0.3">
      <c r="A371" t="s">
        <v>1335</v>
      </c>
      <c r="B371" s="1">
        <v>45222</v>
      </c>
      <c r="C371" s="2">
        <v>0.77777777777777779</v>
      </c>
      <c r="D371" t="s">
        <v>1345</v>
      </c>
      <c r="E371">
        <v>102</v>
      </c>
      <c r="F371" t="s">
        <v>812</v>
      </c>
      <c r="G371" t="s">
        <v>1345</v>
      </c>
      <c r="H371" t="s">
        <v>18</v>
      </c>
      <c r="I371">
        <v>-1.3938550000000001</v>
      </c>
      <c r="J371">
        <v>15.097554000000001</v>
      </c>
      <c r="K371" t="s">
        <v>1498</v>
      </c>
      <c r="L371" t="s">
        <v>1499</v>
      </c>
    </row>
    <row r="372" spans="1:12" x14ac:dyDescent="0.3">
      <c r="A372" t="s">
        <v>1335</v>
      </c>
      <c r="B372" s="1">
        <v>45202</v>
      </c>
      <c r="C372" s="2">
        <v>0.64513888888888893</v>
      </c>
      <c r="D372" t="s">
        <v>1346</v>
      </c>
      <c r="E372">
        <v>106</v>
      </c>
      <c r="F372" t="s">
        <v>812</v>
      </c>
      <c r="G372" t="s">
        <v>1346</v>
      </c>
      <c r="H372" t="s">
        <v>62</v>
      </c>
      <c r="I372">
        <v>1.981107</v>
      </c>
      <c r="J372">
        <v>23.932569000000001</v>
      </c>
      <c r="K372" t="s">
        <v>1500</v>
      </c>
      <c r="L372" t="s">
        <v>1508</v>
      </c>
    </row>
    <row r="373" spans="1:12" x14ac:dyDescent="0.3">
      <c r="A373" t="s">
        <v>1335</v>
      </c>
      <c r="B373" s="1">
        <v>45216</v>
      </c>
      <c r="C373" s="2">
        <v>0.46041666666666664</v>
      </c>
      <c r="D373" t="s">
        <v>1347</v>
      </c>
      <c r="E373">
        <v>36</v>
      </c>
      <c r="F373" t="s">
        <v>812</v>
      </c>
      <c r="G373" t="s">
        <v>1347</v>
      </c>
      <c r="H373" t="s">
        <v>131</v>
      </c>
      <c r="I373">
        <v>-11.231472</v>
      </c>
      <c r="J373">
        <v>25.388874000000001</v>
      </c>
      <c r="K373" t="s">
        <v>1498</v>
      </c>
      <c r="L373" t="s">
        <v>1499</v>
      </c>
    </row>
    <row r="374" spans="1:12" x14ac:dyDescent="0.3">
      <c r="A374" t="s">
        <v>1335</v>
      </c>
      <c r="B374" s="1">
        <v>45211</v>
      </c>
      <c r="C374" s="2">
        <v>0.21944444444444444</v>
      </c>
      <c r="D374" t="s">
        <v>1349</v>
      </c>
      <c r="E374">
        <v>5</v>
      </c>
      <c r="F374" t="s">
        <v>807</v>
      </c>
      <c r="G374" t="s">
        <v>1349</v>
      </c>
      <c r="H374" t="s">
        <v>131</v>
      </c>
      <c r="I374">
        <v>-8.9586360000000003</v>
      </c>
      <c r="J374">
        <v>17.157720000000001</v>
      </c>
      <c r="K374" t="s">
        <v>1500</v>
      </c>
      <c r="L374" t="s">
        <v>1508</v>
      </c>
    </row>
    <row r="375" spans="1:12" x14ac:dyDescent="0.3">
      <c r="A375" t="s">
        <v>1335</v>
      </c>
      <c r="B375" s="1">
        <v>45229</v>
      </c>
      <c r="C375" s="2">
        <v>6.5972222222222224E-2</v>
      </c>
      <c r="D375" t="s">
        <v>872</v>
      </c>
      <c r="E375">
        <v>93</v>
      </c>
      <c r="F375" t="s">
        <v>807</v>
      </c>
      <c r="G375" t="s">
        <v>872</v>
      </c>
      <c r="H375" t="s">
        <v>131</v>
      </c>
      <c r="I375">
        <v>0.82868600000000003</v>
      </c>
      <c r="J375">
        <v>26.958843999999999</v>
      </c>
      <c r="K375" t="s">
        <v>1495</v>
      </c>
      <c r="L375" t="s">
        <v>1501</v>
      </c>
    </row>
    <row r="376" spans="1:12" x14ac:dyDescent="0.3">
      <c r="A376" t="s">
        <v>1335</v>
      </c>
      <c r="B376" s="1">
        <v>45229</v>
      </c>
      <c r="C376" s="2">
        <v>0.97222222222222221</v>
      </c>
      <c r="D376" t="s">
        <v>1276</v>
      </c>
      <c r="E376">
        <v>5</v>
      </c>
      <c r="F376" t="s">
        <v>812</v>
      </c>
      <c r="G376" t="s">
        <v>1276</v>
      </c>
      <c r="H376" t="s">
        <v>89</v>
      </c>
      <c r="I376">
        <v>-8.4985189999999999</v>
      </c>
      <c r="J376">
        <v>12.929456999999999</v>
      </c>
      <c r="K376" t="s">
        <v>1498</v>
      </c>
      <c r="L376" t="s">
        <v>1496</v>
      </c>
    </row>
    <row r="377" spans="1:12" x14ac:dyDescent="0.3">
      <c r="A377" t="s">
        <v>1335</v>
      </c>
      <c r="B377" s="1">
        <v>45208</v>
      </c>
      <c r="C377" s="2">
        <v>0.10833333333333334</v>
      </c>
      <c r="D377" t="s">
        <v>1356</v>
      </c>
      <c r="E377">
        <v>102</v>
      </c>
      <c r="F377" t="s">
        <v>810</v>
      </c>
      <c r="G377" t="s">
        <v>1356</v>
      </c>
      <c r="H377" t="s">
        <v>21</v>
      </c>
      <c r="I377">
        <v>-1.4700059999999999</v>
      </c>
      <c r="J377">
        <v>18.680958</v>
      </c>
      <c r="K377" t="s">
        <v>1500</v>
      </c>
      <c r="L377" t="s">
        <v>1499</v>
      </c>
    </row>
    <row r="378" spans="1:12" x14ac:dyDescent="0.3">
      <c r="A378" t="s">
        <v>1335</v>
      </c>
      <c r="B378" s="1">
        <v>45221</v>
      </c>
      <c r="C378" s="2">
        <v>4.9305555555555554E-2</v>
      </c>
      <c r="D378" t="s">
        <v>1141</v>
      </c>
      <c r="E378">
        <v>53</v>
      </c>
      <c r="F378" t="s">
        <v>810</v>
      </c>
      <c r="G378" t="s">
        <v>1141</v>
      </c>
      <c r="H378" t="s">
        <v>137</v>
      </c>
      <c r="I378">
        <v>1.286548</v>
      </c>
      <c r="J378">
        <v>29.823702999999998</v>
      </c>
      <c r="K378" t="s">
        <v>1498</v>
      </c>
      <c r="L378" t="s">
        <v>1501</v>
      </c>
    </row>
    <row r="379" spans="1:12" x14ac:dyDescent="0.3">
      <c r="A379" t="s">
        <v>1335</v>
      </c>
      <c r="B379" s="1">
        <v>45207</v>
      </c>
      <c r="C379" s="2">
        <v>0.66805555555555551</v>
      </c>
      <c r="D379" t="s">
        <v>1358</v>
      </c>
      <c r="E379">
        <v>113</v>
      </c>
      <c r="F379" t="s">
        <v>807</v>
      </c>
      <c r="G379" t="s">
        <v>1358</v>
      </c>
      <c r="H379" t="s">
        <v>62</v>
      </c>
      <c r="I379">
        <v>-7.1587569999999996</v>
      </c>
      <c r="J379">
        <v>18.975141000000001</v>
      </c>
      <c r="K379" t="s">
        <v>1495</v>
      </c>
      <c r="L379" t="s">
        <v>1496</v>
      </c>
    </row>
    <row r="380" spans="1:12" x14ac:dyDescent="0.3">
      <c r="A380" t="s">
        <v>1335</v>
      </c>
      <c r="B380" s="1">
        <v>45230</v>
      </c>
      <c r="C380" s="2">
        <v>0.50277777777777777</v>
      </c>
      <c r="D380" t="s">
        <v>1200</v>
      </c>
      <c r="E380">
        <v>99</v>
      </c>
      <c r="F380" t="s">
        <v>807</v>
      </c>
      <c r="G380" t="s">
        <v>1200</v>
      </c>
      <c r="H380" t="s">
        <v>60</v>
      </c>
      <c r="I380">
        <v>-5.7200150000000001</v>
      </c>
      <c r="J380">
        <v>25.022109</v>
      </c>
      <c r="K380" t="s">
        <v>1495</v>
      </c>
      <c r="L380" t="s">
        <v>1501</v>
      </c>
    </row>
    <row r="381" spans="1:12" x14ac:dyDescent="0.3">
      <c r="A381" t="s">
        <v>1335</v>
      </c>
      <c r="B381" s="1">
        <v>45228</v>
      </c>
      <c r="C381" s="2">
        <v>0.62152777777777779</v>
      </c>
      <c r="D381" t="s">
        <v>871</v>
      </c>
      <c r="E381">
        <v>98</v>
      </c>
      <c r="F381" t="s">
        <v>812</v>
      </c>
      <c r="G381" t="s">
        <v>871</v>
      </c>
      <c r="H381" t="s">
        <v>40</v>
      </c>
      <c r="I381">
        <v>-10.963041</v>
      </c>
      <c r="J381">
        <v>12.269857</v>
      </c>
      <c r="K381" t="s">
        <v>1498</v>
      </c>
      <c r="L381" t="s">
        <v>1499</v>
      </c>
    </row>
    <row r="382" spans="1:12" x14ac:dyDescent="0.3">
      <c r="A382" t="s">
        <v>1335</v>
      </c>
      <c r="B382" s="1">
        <v>45200</v>
      </c>
      <c r="C382" s="2">
        <v>0.46666666666666667</v>
      </c>
      <c r="D382" t="s">
        <v>1360</v>
      </c>
      <c r="E382">
        <v>31</v>
      </c>
      <c r="F382" t="s">
        <v>810</v>
      </c>
      <c r="G382" t="s">
        <v>1360</v>
      </c>
      <c r="H382" t="s">
        <v>67</v>
      </c>
      <c r="I382">
        <v>-9.5619429999999994</v>
      </c>
      <c r="J382">
        <v>21.445726000000001</v>
      </c>
      <c r="K382" t="s">
        <v>1498</v>
      </c>
      <c r="L382" t="s">
        <v>1508</v>
      </c>
    </row>
    <row r="383" spans="1:12" x14ac:dyDescent="0.3">
      <c r="A383" t="s">
        <v>1361</v>
      </c>
      <c r="B383" s="1">
        <v>45226</v>
      </c>
      <c r="C383" s="2">
        <v>0.20902777777777778</v>
      </c>
      <c r="D383" t="s">
        <v>1276</v>
      </c>
      <c r="E383">
        <v>81</v>
      </c>
      <c r="F383" t="s">
        <v>812</v>
      </c>
      <c r="G383" t="s">
        <v>1276</v>
      </c>
      <c r="H383" t="s">
        <v>89</v>
      </c>
      <c r="I383">
        <v>-8.4985189999999999</v>
      </c>
      <c r="J383">
        <v>12.929456999999999</v>
      </c>
      <c r="K383" t="s">
        <v>1498</v>
      </c>
      <c r="L383" t="s">
        <v>1496</v>
      </c>
    </row>
    <row r="384" spans="1:12" x14ac:dyDescent="0.3">
      <c r="A384" t="s">
        <v>1361</v>
      </c>
      <c r="B384" s="1">
        <v>45214</v>
      </c>
      <c r="C384" s="2">
        <v>0.74097222222222225</v>
      </c>
      <c r="D384" t="s">
        <v>1052</v>
      </c>
      <c r="E384">
        <v>8</v>
      </c>
      <c r="F384" t="s">
        <v>807</v>
      </c>
      <c r="G384" t="s">
        <v>1052</v>
      </c>
      <c r="H384" t="s">
        <v>131</v>
      </c>
      <c r="I384">
        <v>-10.846306999999999</v>
      </c>
      <c r="J384">
        <v>19.201827999999999</v>
      </c>
      <c r="K384" t="s">
        <v>1498</v>
      </c>
      <c r="L384" t="s">
        <v>1496</v>
      </c>
    </row>
    <row r="385" spans="1:12" x14ac:dyDescent="0.3">
      <c r="A385" t="s">
        <v>1361</v>
      </c>
      <c r="B385" s="1">
        <v>45214</v>
      </c>
      <c r="C385" s="2">
        <v>0.16041666666666668</v>
      </c>
      <c r="D385" t="s">
        <v>1248</v>
      </c>
      <c r="E385">
        <v>108</v>
      </c>
      <c r="F385" t="s">
        <v>812</v>
      </c>
      <c r="G385" t="s">
        <v>1248</v>
      </c>
      <c r="H385" t="s">
        <v>16</v>
      </c>
      <c r="I385">
        <v>-11.407966</v>
      </c>
      <c r="J385">
        <v>28.378274000000001</v>
      </c>
      <c r="K385" t="s">
        <v>1498</v>
      </c>
      <c r="L385" t="s">
        <v>1501</v>
      </c>
    </row>
    <row r="386" spans="1:12" x14ac:dyDescent="0.3">
      <c r="A386" t="s">
        <v>1361</v>
      </c>
      <c r="B386" s="1">
        <v>45225</v>
      </c>
      <c r="C386" s="2">
        <v>0.17152777777777778</v>
      </c>
      <c r="D386" t="s">
        <v>1364</v>
      </c>
      <c r="E386">
        <v>104</v>
      </c>
      <c r="F386" t="s">
        <v>810</v>
      </c>
      <c r="G386" t="s">
        <v>1364</v>
      </c>
      <c r="H386" t="s">
        <v>62</v>
      </c>
      <c r="I386">
        <v>1.2463919999999999</v>
      </c>
      <c r="J386">
        <v>13.266916999999999</v>
      </c>
      <c r="K386" t="s">
        <v>1495</v>
      </c>
      <c r="L386" t="s">
        <v>1499</v>
      </c>
    </row>
    <row r="387" spans="1:12" x14ac:dyDescent="0.3">
      <c r="A387" t="s">
        <v>1361</v>
      </c>
      <c r="B387" s="1">
        <v>45200</v>
      </c>
      <c r="C387" s="2">
        <v>7.8472222222222221E-2</v>
      </c>
      <c r="D387" t="s">
        <v>1045</v>
      </c>
      <c r="E387">
        <v>40</v>
      </c>
      <c r="F387" t="s">
        <v>807</v>
      </c>
      <c r="G387" t="s">
        <v>1045</v>
      </c>
      <c r="H387" t="s">
        <v>29</v>
      </c>
      <c r="I387">
        <v>-10.165072</v>
      </c>
      <c r="J387">
        <v>29.428024000000001</v>
      </c>
      <c r="K387" t="s">
        <v>1495</v>
      </c>
      <c r="L387" t="s">
        <v>1499</v>
      </c>
    </row>
    <row r="388" spans="1:12" x14ac:dyDescent="0.3">
      <c r="A388" t="s">
        <v>1361</v>
      </c>
      <c r="B388" s="1">
        <v>45206</v>
      </c>
      <c r="C388" s="2">
        <v>0.51597222222222228</v>
      </c>
      <c r="D388" t="s">
        <v>1366</v>
      </c>
      <c r="E388">
        <v>108</v>
      </c>
      <c r="F388" t="s">
        <v>807</v>
      </c>
      <c r="G388" t="s">
        <v>1366</v>
      </c>
      <c r="H388" t="s">
        <v>64</v>
      </c>
      <c r="I388">
        <v>-10.227569000000001</v>
      </c>
      <c r="J388">
        <v>18.887930999999998</v>
      </c>
      <c r="K388" t="s">
        <v>1500</v>
      </c>
      <c r="L388" t="s">
        <v>1501</v>
      </c>
    </row>
    <row r="389" spans="1:12" x14ac:dyDescent="0.3">
      <c r="A389" t="s">
        <v>1361</v>
      </c>
      <c r="B389" s="1">
        <v>45221</v>
      </c>
      <c r="C389" s="2">
        <v>0.8618055555555556</v>
      </c>
      <c r="D389" t="s">
        <v>1367</v>
      </c>
      <c r="E389">
        <v>65</v>
      </c>
      <c r="F389" t="s">
        <v>807</v>
      </c>
      <c r="G389" t="s">
        <v>1367</v>
      </c>
      <c r="H389" t="s">
        <v>37</v>
      </c>
      <c r="I389">
        <v>-3.9148719999999999</v>
      </c>
      <c r="J389">
        <v>12.260933</v>
      </c>
      <c r="K389" t="s">
        <v>1498</v>
      </c>
      <c r="L389" t="s">
        <v>1496</v>
      </c>
    </row>
    <row r="390" spans="1:12" x14ac:dyDescent="0.3">
      <c r="A390" t="s">
        <v>1361</v>
      </c>
      <c r="B390" s="1">
        <v>45202</v>
      </c>
      <c r="C390" s="2">
        <v>0.77569444444444446</v>
      </c>
      <c r="D390" t="s">
        <v>1346</v>
      </c>
      <c r="E390">
        <v>72</v>
      </c>
      <c r="F390" t="s">
        <v>807</v>
      </c>
      <c r="G390" t="s">
        <v>1346</v>
      </c>
      <c r="H390" t="s">
        <v>62</v>
      </c>
      <c r="I390">
        <v>1.981107</v>
      </c>
      <c r="J390">
        <v>23.932569000000001</v>
      </c>
      <c r="K390" t="s">
        <v>1500</v>
      </c>
      <c r="L390" t="s">
        <v>1508</v>
      </c>
    </row>
    <row r="391" spans="1:12" x14ac:dyDescent="0.3">
      <c r="A391" t="s">
        <v>1361</v>
      </c>
      <c r="B391" s="1">
        <v>45220</v>
      </c>
      <c r="C391" s="2">
        <v>0.61875000000000002</v>
      </c>
      <c r="D391" t="s">
        <v>1356</v>
      </c>
      <c r="E391">
        <v>79</v>
      </c>
      <c r="F391" t="s">
        <v>807</v>
      </c>
      <c r="G391" t="s">
        <v>1356</v>
      </c>
      <c r="H391" t="s">
        <v>21</v>
      </c>
      <c r="I391">
        <v>-1.4700059999999999</v>
      </c>
      <c r="J391">
        <v>18.680958</v>
      </c>
      <c r="K391" t="s">
        <v>1500</v>
      </c>
      <c r="L391" t="s">
        <v>1499</v>
      </c>
    </row>
    <row r="392" spans="1:12" x14ac:dyDescent="0.3">
      <c r="A392" t="s">
        <v>1361</v>
      </c>
      <c r="B392" s="1">
        <v>45204</v>
      </c>
      <c r="C392" s="2">
        <v>0.12291666666666666</v>
      </c>
      <c r="D392" t="s">
        <v>1275</v>
      </c>
      <c r="E392">
        <v>34</v>
      </c>
      <c r="F392" t="s">
        <v>807</v>
      </c>
      <c r="G392" t="s">
        <v>1275</v>
      </c>
      <c r="H392" t="s">
        <v>60</v>
      </c>
      <c r="I392">
        <v>-6.1490739999999997</v>
      </c>
      <c r="J392">
        <v>23.304411000000002</v>
      </c>
      <c r="K392" t="s">
        <v>1495</v>
      </c>
      <c r="L392" t="s">
        <v>1501</v>
      </c>
    </row>
    <row r="393" spans="1:12" x14ac:dyDescent="0.3">
      <c r="A393" t="s">
        <v>1361</v>
      </c>
      <c r="B393" s="1">
        <v>45205</v>
      </c>
      <c r="C393" s="2">
        <v>0.76875000000000004</v>
      </c>
      <c r="D393" t="s">
        <v>1370</v>
      </c>
      <c r="E393">
        <v>36</v>
      </c>
      <c r="F393" t="s">
        <v>807</v>
      </c>
      <c r="G393" t="s">
        <v>1370</v>
      </c>
      <c r="H393" t="s">
        <v>62</v>
      </c>
      <c r="I393">
        <v>-0.469945</v>
      </c>
      <c r="J393">
        <v>21.038527999999999</v>
      </c>
      <c r="K393" t="s">
        <v>1500</v>
      </c>
      <c r="L393" t="s">
        <v>1496</v>
      </c>
    </row>
    <row r="394" spans="1:12" x14ac:dyDescent="0.3">
      <c r="A394" t="s">
        <v>1361</v>
      </c>
      <c r="B394" s="1">
        <v>45205</v>
      </c>
      <c r="C394" s="2">
        <v>0.34513888888888888</v>
      </c>
      <c r="D394" t="s">
        <v>980</v>
      </c>
      <c r="E394">
        <v>109</v>
      </c>
      <c r="F394" t="s">
        <v>810</v>
      </c>
      <c r="G394" t="s">
        <v>980</v>
      </c>
      <c r="H394" t="s">
        <v>67</v>
      </c>
      <c r="I394">
        <v>-2.2681789999999999</v>
      </c>
      <c r="J394">
        <v>25.699068</v>
      </c>
      <c r="K394" t="s">
        <v>1500</v>
      </c>
      <c r="L394" t="s">
        <v>1501</v>
      </c>
    </row>
    <row r="395" spans="1:12" x14ac:dyDescent="0.3">
      <c r="A395" t="s">
        <v>1361</v>
      </c>
      <c r="B395" s="1">
        <v>45214</v>
      </c>
      <c r="C395" s="2">
        <v>0.16805555555555557</v>
      </c>
      <c r="D395" t="s">
        <v>1373</v>
      </c>
      <c r="E395">
        <v>106</v>
      </c>
      <c r="F395" t="s">
        <v>807</v>
      </c>
      <c r="G395" t="s">
        <v>1373</v>
      </c>
      <c r="H395" t="s">
        <v>21</v>
      </c>
      <c r="I395">
        <v>-11.207139</v>
      </c>
      <c r="J395">
        <v>18.702511999999999</v>
      </c>
      <c r="K395" t="s">
        <v>1495</v>
      </c>
      <c r="L395" t="s">
        <v>1496</v>
      </c>
    </row>
    <row r="396" spans="1:12" x14ac:dyDescent="0.3">
      <c r="A396" t="s">
        <v>1361</v>
      </c>
      <c r="B396" s="1">
        <v>45215</v>
      </c>
      <c r="C396" s="2">
        <v>0.5805555555555556</v>
      </c>
      <c r="D396" t="s">
        <v>1037</v>
      </c>
      <c r="E396">
        <v>102</v>
      </c>
      <c r="F396" t="s">
        <v>812</v>
      </c>
      <c r="G396" t="s">
        <v>1037</v>
      </c>
      <c r="H396" t="s">
        <v>73</v>
      </c>
      <c r="I396">
        <v>2.4425979999999998</v>
      </c>
      <c r="J396">
        <v>24.924308</v>
      </c>
      <c r="K396" t="s">
        <v>1495</v>
      </c>
      <c r="L396" t="s">
        <v>1496</v>
      </c>
    </row>
    <row r="397" spans="1:12" x14ac:dyDescent="0.3">
      <c r="A397" t="s">
        <v>1361</v>
      </c>
      <c r="B397" s="1">
        <v>45217</v>
      </c>
      <c r="C397" s="2">
        <v>0.62708333333333333</v>
      </c>
      <c r="D397" t="s">
        <v>956</v>
      </c>
      <c r="E397">
        <v>33</v>
      </c>
      <c r="F397" t="s">
        <v>807</v>
      </c>
      <c r="G397" t="s">
        <v>956</v>
      </c>
      <c r="H397" t="s">
        <v>127</v>
      </c>
      <c r="I397">
        <v>-1.8045979999999999</v>
      </c>
      <c r="J397">
        <v>12.511096999999999</v>
      </c>
      <c r="K397" t="s">
        <v>1500</v>
      </c>
      <c r="L397" t="s">
        <v>1499</v>
      </c>
    </row>
    <row r="398" spans="1:12" x14ac:dyDescent="0.3">
      <c r="A398" t="s">
        <v>1361</v>
      </c>
      <c r="B398" s="1">
        <v>45202</v>
      </c>
      <c r="C398" s="2">
        <v>0.35</v>
      </c>
      <c r="D398" t="s">
        <v>1374</v>
      </c>
      <c r="E398">
        <v>78</v>
      </c>
      <c r="F398" t="s">
        <v>807</v>
      </c>
      <c r="G398" t="s">
        <v>1374</v>
      </c>
      <c r="H398" t="s">
        <v>16</v>
      </c>
      <c r="I398">
        <v>4.0988100000000003</v>
      </c>
      <c r="J398">
        <v>29.843810999999999</v>
      </c>
      <c r="K398" t="s">
        <v>1500</v>
      </c>
      <c r="L398" t="s">
        <v>1499</v>
      </c>
    </row>
    <row r="399" spans="1:12" x14ac:dyDescent="0.3">
      <c r="A399" t="s">
        <v>1361</v>
      </c>
      <c r="B399" s="1">
        <v>45204</v>
      </c>
      <c r="C399" s="2">
        <v>0.55000000000000004</v>
      </c>
      <c r="D399" t="s">
        <v>1031</v>
      </c>
      <c r="E399">
        <v>113</v>
      </c>
      <c r="F399" t="s">
        <v>810</v>
      </c>
      <c r="G399" t="s">
        <v>1031</v>
      </c>
      <c r="H399" t="s">
        <v>62</v>
      </c>
      <c r="I399">
        <v>2.975352</v>
      </c>
      <c r="J399">
        <v>22.535886000000001</v>
      </c>
      <c r="K399" t="s">
        <v>1498</v>
      </c>
      <c r="L399" t="s">
        <v>1499</v>
      </c>
    </row>
    <row r="400" spans="1:12" x14ac:dyDescent="0.3">
      <c r="A400" t="s">
        <v>1361</v>
      </c>
      <c r="B400" s="1">
        <v>45220</v>
      </c>
      <c r="C400" s="2">
        <v>0.67708333333333337</v>
      </c>
      <c r="D400" t="s">
        <v>1375</v>
      </c>
      <c r="E400">
        <v>107</v>
      </c>
      <c r="F400" t="s">
        <v>812</v>
      </c>
      <c r="G400" t="s">
        <v>1375</v>
      </c>
      <c r="H400" t="s">
        <v>73</v>
      </c>
      <c r="I400">
        <v>-6.4670189999999996</v>
      </c>
      <c r="J400">
        <v>29.487309</v>
      </c>
      <c r="K400" t="s">
        <v>1498</v>
      </c>
      <c r="L400" t="s">
        <v>1501</v>
      </c>
    </row>
    <row r="401" spans="1:12" x14ac:dyDescent="0.3">
      <c r="A401" t="s">
        <v>1361</v>
      </c>
      <c r="B401" s="1">
        <v>45220</v>
      </c>
      <c r="C401" s="2">
        <v>0.74305555555555558</v>
      </c>
      <c r="D401" t="s">
        <v>1195</v>
      </c>
      <c r="E401">
        <v>54</v>
      </c>
      <c r="F401" t="s">
        <v>810</v>
      </c>
      <c r="G401" t="s">
        <v>1195</v>
      </c>
      <c r="H401" t="s">
        <v>131</v>
      </c>
      <c r="I401">
        <v>-5.42171</v>
      </c>
      <c r="J401">
        <v>24.202960999999998</v>
      </c>
      <c r="K401" t="s">
        <v>1495</v>
      </c>
      <c r="L401" t="s">
        <v>1496</v>
      </c>
    </row>
    <row r="402" spans="1:12" x14ac:dyDescent="0.3">
      <c r="A402" t="s">
        <v>1361</v>
      </c>
      <c r="B402" s="1">
        <v>45200</v>
      </c>
      <c r="C402" s="2">
        <v>0.53472222222222221</v>
      </c>
      <c r="D402" t="s">
        <v>1376</v>
      </c>
      <c r="E402">
        <v>50</v>
      </c>
      <c r="F402" t="s">
        <v>812</v>
      </c>
      <c r="G402" t="s">
        <v>1376</v>
      </c>
      <c r="H402" t="s">
        <v>13</v>
      </c>
      <c r="I402">
        <v>-7.7587710000000003</v>
      </c>
      <c r="J402">
        <v>17.880848</v>
      </c>
      <c r="K402" t="s">
        <v>1500</v>
      </c>
      <c r="L402" t="s">
        <v>1496</v>
      </c>
    </row>
    <row r="403" spans="1:12" x14ac:dyDescent="0.3">
      <c r="A403" t="s">
        <v>1361</v>
      </c>
      <c r="B403" s="1">
        <v>45222</v>
      </c>
      <c r="C403" s="2">
        <v>0.47916666666666669</v>
      </c>
      <c r="D403" t="s">
        <v>1377</v>
      </c>
      <c r="E403">
        <v>112</v>
      </c>
      <c r="F403" t="s">
        <v>810</v>
      </c>
      <c r="G403" t="s">
        <v>1377</v>
      </c>
      <c r="H403" t="s">
        <v>127</v>
      </c>
      <c r="I403">
        <v>-8.8118569999999998</v>
      </c>
      <c r="J403">
        <v>14.465711000000001</v>
      </c>
      <c r="K403" t="s">
        <v>1495</v>
      </c>
      <c r="L403" t="s">
        <v>1508</v>
      </c>
    </row>
    <row r="404" spans="1:12" x14ac:dyDescent="0.3">
      <c r="A404" t="s">
        <v>1380</v>
      </c>
      <c r="B404" s="1">
        <v>45226</v>
      </c>
      <c r="C404" s="2">
        <v>0.22500000000000001</v>
      </c>
      <c r="D404" t="s">
        <v>1381</v>
      </c>
      <c r="E404">
        <v>11</v>
      </c>
      <c r="F404" t="s">
        <v>810</v>
      </c>
      <c r="G404" t="s">
        <v>1381</v>
      </c>
      <c r="H404" t="s">
        <v>35</v>
      </c>
      <c r="I404">
        <v>-0.157111</v>
      </c>
      <c r="J404">
        <v>25.415125</v>
      </c>
      <c r="K404" t="s">
        <v>1498</v>
      </c>
      <c r="L404" t="s">
        <v>1496</v>
      </c>
    </row>
    <row r="405" spans="1:12" x14ac:dyDescent="0.3">
      <c r="A405" t="s">
        <v>1380</v>
      </c>
      <c r="B405" s="1">
        <v>45209</v>
      </c>
      <c r="C405" s="2">
        <v>0.98888888888888893</v>
      </c>
      <c r="D405" t="s">
        <v>1275</v>
      </c>
      <c r="E405">
        <v>51</v>
      </c>
      <c r="F405" t="s">
        <v>810</v>
      </c>
      <c r="G405" t="s">
        <v>1275</v>
      </c>
      <c r="H405" t="s">
        <v>60</v>
      </c>
      <c r="I405">
        <v>-6.1490739999999997</v>
      </c>
      <c r="J405">
        <v>23.304411000000002</v>
      </c>
      <c r="K405" t="s">
        <v>1495</v>
      </c>
      <c r="L405" t="s">
        <v>1501</v>
      </c>
    </row>
    <row r="406" spans="1:12" x14ac:dyDescent="0.3">
      <c r="A406" t="s">
        <v>1380</v>
      </c>
      <c r="B406" s="1">
        <v>45227</v>
      </c>
      <c r="C406" s="2">
        <v>0.75138888888888888</v>
      </c>
      <c r="D406" t="s">
        <v>1263</v>
      </c>
      <c r="E406">
        <v>42</v>
      </c>
      <c r="F406" t="s">
        <v>807</v>
      </c>
      <c r="G406" t="s">
        <v>1263</v>
      </c>
      <c r="H406" t="s">
        <v>31</v>
      </c>
      <c r="I406">
        <v>-12.050063</v>
      </c>
      <c r="J406">
        <v>26.636987999999999</v>
      </c>
      <c r="K406" t="s">
        <v>1500</v>
      </c>
      <c r="L406" t="s">
        <v>1508</v>
      </c>
    </row>
    <row r="407" spans="1:12" x14ac:dyDescent="0.3">
      <c r="A407" t="s">
        <v>1380</v>
      </c>
      <c r="B407" s="1">
        <v>45220</v>
      </c>
      <c r="C407" s="2">
        <v>0.75416666666666665</v>
      </c>
      <c r="D407" t="s">
        <v>947</v>
      </c>
      <c r="E407">
        <v>85</v>
      </c>
      <c r="F407" t="s">
        <v>807</v>
      </c>
      <c r="G407" t="s">
        <v>947</v>
      </c>
      <c r="H407" t="s">
        <v>137</v>
      </c>
      <c r="I407">
        <v>-9.7803979999999999</v>
      </c>
      <c r="J407">
        <v>17.686595000000001</v>
      </c>
      <c r="K407" t="s">
        <v>1498</v>
      </c>
      <c r="L407" t="s">
        <v>1496</v>
      </c>
    </row>
    <row r="408" spans="1:12" x14ac:dyDescent="0.3">
      <c r="A408" t="s">
        <v>1380</v>
      </c>
      <c r="B408" s="1">
        <v>45229</v>
      </c>
      <c r="C408" s="2">
        <v>0.63124999999999998</v>
      </c>
      <c r="D408" t="s">
        <v>1384</v>
      </c>
      <c r="E408">
        <v>81</v>
      </c>
      <c r="F408" t="s">
        <v>807</v>
      </c>
      <c r="G408" t="s">
        <v>1384</v>
      </c>
      <c r="H408" t="s">
        <v>13</v>
      </c>
      <c r="I408">
        <v>-10.574821</v>
      </c>
      <c r="J408">
        <v>25.324966</v>
      </c>
      <c r="K408" t="s">
        <v>1495</v>
      </c>
      <c r="L408" t="s">
        <v>1496</v>
      </c>
    </row>
    <row r="409" spans="1:12" x14ac:dyDescent="0.3">
      <c r="A409" t="s">
        <v>1380</v>
      </c>
      <c r="B409" s="1">
        <v>45210</v>
      </c>
      <c r="C409" s="2">
        <v>0.96111111111111114</v>
      </c>
      <c r="D409" t="s">
        <v>972</v>
      </c>
      <c r="E409">
        <v>66</v>
      </c>
      <c r="F409" t="s">
        <v>807</v>
      </c>
      <c r="G409" t="s">
        <v>972</v>
      </c>
      <c r="H409" t="s">
        <v>64</v>
      </c>
      <c r="I409">
        <v>-11.991020000000001</v>
      </c>
      <c r="J409">
        <v>22.514747</v>
      </c>
      <c r="K409" t="s">
        <v>1495</v>
      </c>
      <c r="L409" t="s">
        <v>1501</v>
      </c>
    </row>
    <row r="410" spans="1:12" x14ac:dyDescent="0.3">
      <c r="A410" t="s">
        <v>1380</v>
      </c>
      <c r="B410" s="1">
        <v>45230</v>
      </c>
      <c r="C410" s="2">
        <v>0.11944444444444445</v>
      </c>
      <c r="D410" t="s">
        <v>991</v>
      </c>
      <c r="E410">
        <v>8</v>
      </c>
      <c r="F410" t="s">
        <v>810</v>
      </c>
      <c r="G410" t="s">
        <v>991</v>
      </c>
      <c r="H410" t="s">
        <v>137</v>
      </c>
      <c r="I410">
        <v>-9.5243310000000001</v>
      </c>
      <c r="J410">
        <v>30.541212000000002</v>
      </c>
      <c r="K410" t="s">
        <v>1500</v>
      </c>
      <c r="L410" t="s">
        <v>1496</v>
      </c>
    </row>
    <row r="411" spans="1:12" x14ac:dyDescent="0.3">
      <c r="A411" t="s">
        <v>1380</v>
      </c>
      <c r="B411" s="1">
        <v>45222</v>
      </c>
      <c r="C411" s="2">
        <v>0.90277777777777779</v>
      </c>
      <c r="D411" t="s">
        <v>1042</v>
      </c>
      <c r="E411">
        <v>31</v>
      </c>
      <c r="F411" t="s">
        <v>812</v>
      </c>
      <c r="G411" t="s">
        <v>1042</v>
      </c>
      <c r="H411" t="s">
        <v>35</v>
      </c>
      <c r="I411">
        <v>-7.5969509999999998</v>
      </c>
      <c r="J411">
        <v>22.153986</v>
      </c>
      <c r="K411" t="s">
        <v>1500</v>
      </c>
      <c r="L411" t="s">
        <v>1496</v>
      </c>
    </row>
    <row r="412" spans="1:12" x14ac:dyDescent="0.3">
      <c r="A412" t="s">
        <v>1380</v>
      </c>
      <c r="B412" s="1">
        <v>45223</v>
      </c>
      <c r="C412" s="2">
        <v>0.43611111111111112</v>
      </c>
      <c r="D412" t="s">
        <v>997</v>
      </c>
      <c r="E412">
        <v>26</v>
      </c>
      <c r="F412" t="s">
        <v>807</v>
      </c>
      <c r="G412" t="s">
        <v>997</v>
      </c>
      <c r="H412" t="s">
        <v>26</v>
      </c>
      <c r="I412">
        <v>1.5278670000000001</v>
      </c>
      <c r="J412">
        <v>13.899388999999999</v>
      </c>
      <c r="K412" t="s">
        <v>1500</v>
      </c>
      <c r="L412" t="s">
        <v>1499</v>
      </c>
    </row>
    <row r="413" spans="1:12" x14ac:dyDescent="0.3">
      <c r="A413" t="s">
        <v>1380</v>
      </c>
      <c r="B413" s="1">
        <v>45200</v>
      </c>
      <c r="C413" s="2">
        <v>0.34236111111111112</v>
      </c>
      <c r="D413" t="s">
        <v>1088</v>
      </c>
      <c r="E413">
        <v>86</v>
      </c>
      <c r="F413" t="s">
        <v>810</v>
      </c>
      <c r="G413" t="s">
        <v>1088</v>
      </c>
      <c r="H413" t="s">
        <v>18</v>
      </c>
      <c r="I413">
        <v>2.628638</v>
      </c>
      <c r="J413">
        <v>28.420582</v>
      </c>
      <c r="K413" t="s">
        <v>1498</v>
      </c>
      <c r="L413" t="s">
        <v>1499</v>
      </c>
    </row>
    <row r="414" spans="1:12" x14ac:dyDescent="0.3">
      <c r="A414" t="s">
        <v>1380</v>
      </c>
      <c r="B414" s="1">
        <v>45228</v>
      </c>
      <c r="C414" s="2">
        <v>0.56319444444444444</v>
      </c>
      <c r="D414" t="s">
        <v>1288</v>
      </c>
      <c r="E414">
        <v>44</v>
      </c>
      <c r="F414" t="s">
        <v>807</v>
      </c>
      <c r="G414" t="s">
        <v>1288</v>
      </c>
      <c r="H414" t="s">
        <v>73</v>
      </c>
      <c r="I414">
        <v>-11.265995</v>
      </c>
      <c r="J414">
        <v>28.935514999999999</v>
      </c>
      <c r="K414" t="s">
        <v>1498</v>
      </c>
      <c r="L414" t="s">
        <v>1496</v>
      </c>
    </row>
    <row r="415" spans="1:12" x14ac:dyDescent="0.3">
      <c r="A415" t="s">
        <v>1380</v>
      </c>
      <c r="B415" s="1">
        <v>45228</v>
      </c>
      <c r="C415" s="2">
        <v>0.51527777777777772</v>
      </c>
      <c r="D415" t="s">
        <v>1389</v>
      </c>
      <c r="E415">
        <v>105</v>
      </c>
      <c r="F415" t="s">
        <v>807</v>
      </c>
      <c r="G415" t="s">
        <v>1389</v>
      </c>
      <c r="H415" t="s">
        <v>73</v>
      </c>
      <c r="I415">
        <v>-0.919767</v>
      </c>
      <c r="J415">
        <v>18.905538</v>
      </c>
      <c r="K415" t="s">
        <v>1495</v>
      </c>
      <c r="L415" t="s">
        <v>1496</v>
      </c>
    </row>
    <row r="416" spans="1:12" x14ac:dyDescent="0.3">
      <c r="A416" t="s">
        <v>1380</v>
      </c>
      <c r="B416" s="1">
        <v>45226</v>
      </c>
      <c r="C416" s="2">
        <v>0.65972222222222221</v>
      </c>
      <c r="D416" t="s">
        <v>1099</v>
      </c>
      <c r="E416">
        <v>65</v>
      </c>
      <c r="F416" t="s">
        <v>810</v>
      </c>
      <c r="G416" t="s">
        <v>1099</v>
      </c>
      <c r="H416" t="s">
        <v>24</v>
      </c>
      <c r="I416">
        <v>-11.594525000000001</v>
      </c>
      <c r="J416">
        <v>29.744895</v>
      </c>
      <c r="K416" t="s">
        <v>1500</v>
      </c>
      <c r="L416" t="s">
        <v>1501</v>
      </c>
    </row>
    <row r="417" spans="1:12" x14ac:dyDescent="0.3">
      <c r="A417" t="s">
        <v>1380</v>
      </c>
      <c r="B417" s="1">
        <v>45227</v>
      </c>
      <c r="C417" s="2">
        <v>0.77847222222222223</v>
      </c>
      <c r="D417" t="s">
        <v>1245</v>
      </c>
      <c r="E417">
        <v>67</v>
      </c>
      <c r="F417" t="s">
        <v>812</v>
      </c>
      <c r="G417" t="s">
        <v>1245</v>
      </c>
      <c r="H417" t="s">
        <v>44</v>
      </c>
      <c r="I417">
        <v>-0.47411900000000001</v>
      </c>
      <c r="J417">
        <v>27.184329000000002</v>
      </c>
      <c r="K417" t="s">
        <v>1495</v>
      </c>
      <c r="L417" t="s">
        <v>1501</v>
      </c>
    </row>
    <row r="418" spans="1:12" x14ac:dyDescent="0.3">
      <c r="A418" t="s">
        <v>1380</v>
      </c>
      <c r="B418" s="1">
        <v>45225</v>
      </c>
      <c r="C418" s="2">
        <v>5.4166666666666669E-2</v>
      </c>
      <c r="D418" t="s">
        <v>1392</v>
      </c>
      <c r="E418">
        <v>38</v>
      </c>
      <c r="F418" t="s">
        <v>812</v>
      </c>
      <c r="G418" t="s">
        <v>1392</v>
      </c>
      <c r="H418" t="s">
        <v>137</v>
      </c>
      <c r="I418">
        <v>-4.2184999999999997</v>
      </c>
      <c r="J418">
        <v>23.077093999999999</v>
      </c>
      <c r="K418" t="s">
        <v>1498</v>
      </c>
      <c r="L418" t="s">
        <v>1496</v>
      </c>
    </row>
    <row r="419" spans="1:12" x14ac:dyDescent="0.3">
      <c r="A419" t="s">
        <v>1380</v>
      </c>
      <c r="B419" s="1">
        <v>45230</v>
      </c>
      <c r="C419" s="2">
        <v>0.12777777777777777</v>
      </c>
      <c r="D419" t="s">
        <v>1301</v>
      </c>
      <c r="E419">
        <v>87</v>
      </c>
      <c r="F419" t="s">
        <v>812</v>
      </c>
      <c r="G419" t="s">
        <v>1301</v>
      </c>
      <c r="H419" t="s">
        <v>24</v>
      </c>
      <c r="I419">
        <v>-10.945031</v>
      </c>
      <c r="J419">
        <v>27.922274000000002</v>
      </c>
      <c r="K419" t="s">
        <v>1498</v>
      </c>
      <c r="L419" t="s">
        <v>1496</v>
      </c>
    </row>
    <row r="420" spans="1:12" x14ac:dyDescent="0.3">
      <c r="A420" t="s">
        <v>1380</v>
      </c>
      <c r="B420" s="1">
        <v>45202</v>
      </c>
      <c r="C420" s="2">
        <v>0.74791666666666667</v>
      </c>
      <c r="D420" t="s">
        <v>953</v>
      </c>
      <c r="E420">
        <v>28</v>
      </c>
      <c r="F420" t="s">
        <v>810</v>
      </c>
      <c r="G420" t="s">
        <v>953</v>
      </c>
      <c r="H420" t="s">
        <v>33</v>
      </c>
      <c r="I420">
        <v>-3.111418</v>
      </c>
      <c r="J420">
        <v>14.144854</v>
      </c>
      <c r="K420" t="s">
        <v>1498</v>
      </c>
      <c r="L420" t="s">
        <v>1501</v>
      </c>
    </row>
    <row r="421" spans="1:12" x14ac:dyDescent="0.3">
      <c r="A421" t="s">
        <v>1380</v>
      </c>
      <c r="B421" s="1">
        <v>45219</v>
      </c>
      <c r="C421" s="2">
        <v>0.65625</v>
      </c>
      <c r="D421" t="s">
        <v>1091</v>
      </c>
      <c r="E421">
        <v>118</v>
      </c>
      <c r="F421" t="s">
        <v>810</v>
      </c>
      <c r="G421" t="s">
        <v>1091</v>
      </c>
      <c r="H421" t="s">
        <v>13</v>
      </c>
      <c r="I421">
        <v>-10.577049000000001</v>
      </c>
      <c r="J421">
        <v>23.721854</v>
      </c>
      <c r="K421" t="s">
        <v>1498</v>
      </c>
      <c r="L421" t="s">
        <v>1501</v>
      </c>
    </row>
    <row r="422" spans="1:12" x14ac:dyDescent="0.3">
      <c r="A422" t="s">
        <v>1380</v>
      </c>
      <c r="B422" s="1">
        <v>45200</v>
      </c>
      <c r="C422" s="2">
        <v>0.57013888888888886</v>
      </c>
      <c r="D422" t="s">
        <v>1394</v>
      </c>
      <c r="E422">
        <v>53</v>
      </c>
      <c r="F422" t="s">
        <v>812</v>
      </c>
      <c r="G422" t="s">
        <v>1394</v>
      </c>
      <c r="H422" t="s">
        <v>62</v>
      </c>
      <c r="I422">
        <v>2.8552499999999998</v>
      </c>
      <c r="J422">
        <v>14.077933</v>
      </c>
      <c r="K422" t="s">
        <v>1498</v>
      </c>
      <c r="L422" t="s">
        <v>1501</v>
      </c>
    </row>
    <row r="423" spans="1:12" x14ac:dyDescent="0.3">
      <c r="A423" t="s">
        <v>1380</v>
      </c>
      <c r="B423" s="1">
        <v>45205</v>
      </c>
      <c r="C423" s="2">
        <v>0.8305555555555556</v>
      </c>
      <c r="D423" t="s">
        <v>1395</v>
      </c>
      <c r="E423">
        <v>52</v>
      </c>
      <c r="F423" t="s">
        <v>807</v>
      </c>
      <c r="G423" t="s">
        <v>1395</v>
      </c>
      <c r="H423" t="s">
        <v>127</v>
      </c>
      <c r="I423">
        <v>-2.2199559999999998</v>
      </c>
      <c r="J423">
        <v>22.614449</v>
      </c>
      <c r="K423" t="s">
        <v>1500</v>
      </c>
      <c r="L423" t="s">
        <v>1508</v>
      </c>
    </row>
    <row r="424" spans="1:12" x14ac:dyDescent="0.3">
      <c r="A424" t="s">
        <v>1380</v>
      </c>
      <c r="B424" s="1">
        <v>45213</v>
      </c>
      <c r="C424" s="2">
        <v>0.21041666666666667</v>
      </c>
      <c r="D424" t="s">
        <v>1396</v>
      </c>
      <c r="E424">
        <v>28</v>
      </c>
      <c r="F424" t="s">
        <v>812</v>
      </c>
      <c r="G424" t="s">
        <v>1396</v>
      </c>
      <c r="H424" t="s">
        <v>18</v>
      </c>
      <c r="I424">
        <v>-3.1608390000000002</v>
      </c>
      <c r="J424">
        <v>13.244503999999999</v>
      </c>
      <c r="K424" t="s">
        <v>1500</v>
      </c>
      <c r="L424" t="s">
        <v>1499</v>
      </c>
    </row>
    <row r="425" spans="1:12" x14ac:dyDescent="0.3">
      <c r="A425" t="s">
        <v>1380</v>
      </c>
      <c r="B425" s="1">
        <v>45217</v>
      </c>
      <c r="C425" s="2">
        <v>0.99930555555555556</v>
      </c>
      <c r="D425" t="s">
        <v>1112</v>
      </c>
      <c r="E425">
        <v>38</v>
      </c>
      <c r="F425" t="s">
        <v>810</v>
      </c>
      <c r="G425" t="s">
        <v>1112</v>
      </c>
      <c r="H425" t="s">
        <v>137</v>
      </c>
      <c r="I425">
        <v>-10.967288</v>
      </c>
      <c r="J425">
        <v>17.617781000000001</v>
      </c>
      <c r="K425" t="s">
        <v>1498</v>
      </c>
      <c r="L425" t="s">
        <v>1496</v>
      </c>
    </row>
    <row r="426" spans="1:12" x14ac:dyDescent="0.3">
      <c r="A426" t="s">
        <v>1380</v>
      </c>
      <c r="B426" s="1">
        <v>45221</v>
      </c>
      <c r="C426" s="2">
        <v>0.38819444444444445</v>
      </c>
      <c r="D426" t="s">
        <v>1398</v>
      </c>
      <c r="E426">
        <v>64</v>
      </c>
      <c r="F426" t="s">
        <v>810</v>
      </c>
      <c r="G426" t="s">
        <v>1398</v>
      </c>
      <c r="H426" t="s">
        <v>73</v>
      </c>
      <c r="I426">
        <v>-12.070842000000001</v>
      </c>
      <c r="J426">
        <v>14.757847</v>
      </c>
      <c r="K426" t="s">
        <v>1498</v>
      </c>
      <c r="L426" t="s">
        <v>1501</v>
      </c>
    </row>
    <row r="427" spans="1:12" x14ac:dyDescent="0.3">
      <c r="A427" t="s">
        <v>1380</v>
      </c>
      <c r="B427" s="1">
        <v>45207</v>
      </c>
      <c r="C427" s="2">
        <v>0.12708333333333333</v>
      </c>
      <c r="D427" t="s">
        <v>944</v>
      </c>
      <c r="E427">
        <v>38</v>
      </c>
      <c r="F427" t="s">
        <v>807</v>
      </c>
      <c r="G427" t="s">
        <v>944</v>
      </c>
      <c r="H427" t="s">
        <v>51</v>
      </c>
      <c r="I427">
        <v>-8.5675749999999997</v>
      </c>
      <c r="J427">
        <v>26.994581</v>
      </c>
      <c r="K427" t="s">
        <v>1500</v>
      </c>
      <c r="L427" t="s">
        <v>1508</v>
      </c>
    </row>
    <row r="428" spans="1:12" x14ac:dyDescent="0.3">
      <c r="A428" t="s">
        <v>1401</v>
      </c>
      <c r="B428" s="1">
        <v>45208</v>
      </c>
      <c r="C428" s="2">
        <v>0.52847222222222223</v>
      </c>
      <c r="D428" t="s">
        <v>985</v>
      </c>
      <c r="E428">
        <v>33</v>
      </c>
      <c r="F428" t="s">
        <v>810</v>
      </c>
      <c r="G428" t="s">
        <v>985</v>
      </c>
      <c r="H428" t="s">
        <v>137</v>
      </c>
      <c r="I428">
        <v>-10.872631999999999</v>
      </c>
      <c r="J428">
        <v>12.773279</v>
      </c>
      <c r="K428" t="s">
        <v>1500</v>
      </c>
      <c r="L428" t="s">
        <v>1501</v>
      </c>
    </row>
    <row r="429" spans="1:12" x14ac:dyDescent="0.3">
      <c r="A429" t="s">
        <v>1401</v>
      </c>
      <c r="B429" s="1">
        <v>45215</v>
      </c>
      <c r="C429" s="2">
        <v>0.77638888888888891</v>
      </c>
      <c r="D429" t="s">
        <v>1402</v>
      </c>
      <c r="E429">
        <v>87</v>
      </c>
      <c r="F429" t="s">
        <v>812</v>
      </c>
      <c r="G429" t="s">
        <v>1402</v>
      </c>
      <c r="H429" t="s">
        <v>29</v>
      </c>
      <c r="I429">
        <v>2.5665840000000002</v>
      </c>
      <c r="J429">
        <v>15.764796</v>
      </c>
      <c r="K429" t="s">
        <v>1500</v>
      </c>
      <c r="L429" t="s">
        <v>1501</v>
      </c>
    </row>
    <row r="430" spans="1:12" x14ac:dyDescent="0.3">
      <c r="A430" t="s">
        <v>1401</v>
      </c>
      <c r="B430" s="1">
        <v>45215</v>
      </c>
      <c r="C430" s="2">
        <v>4.9305555555555554E-2</v>
      </c>
      <c r="D430" t="s">
        <v>1259</v>
      </c>
      <c r="E430">
        <v>33</v>
      </c>
      <c r="F430" t="s">
        <v>810</v>
      </c>
      <c r="G430" t="s">
        <v>1259</v>
      </c>
      <c r="H430" t="s">
        <v>78</v>
      </c>
      <c r="I430">
        <v>2.5458379999999998</v>
      </c>
      <c r="J430">
        <v>13.308655</v>
      </c>
      <c r="K430" t="s">
        <v>1495</v>
      </c>
      <c r="L430" t="s">
        <v>1501</v>
      </c>
    </row>
    <row r="431" spans="1:12" x14ac:dyDescent="0.3">
      <c r="A431" t="s">
        <v>1401</v>
      </c>
      <c r="B431" s="1">
        <v>45222</v>
      </c>
      <c r="C431" s="2">
        <v>0.50138888888888888</v>
      </c>
      <c r="D431" t="s">
        <v>1404</v>
      </c>
      <c r="E431">
        <v>39</v>
      </c>
      <c r="F431" t="s">
        <v>807</v>
      </c>
      <c r="G431" t="s">
        <v>1404</v>
      </c>
      <c r="H431" t="s">
        <v>18</v>
      </c>
      <c r="I431">
        <v>-11.89448</v>
      </c>
      <c r="J431">
        <v>19.216214999999998</v>
      </c>
      <c r="K431" t="s">
        <v>1500</v>
      </c>
      <c r="L431" t="s">
        <v>1501</v>
      </c>
    </row>
    <row r="432" spans="1:12" x14ac:dyDescent="0.3">
      <c r="A432" t="s">
        <v>1401</v>
      </c>
      <c r="B432" s="1">
        <v>45212</v>
      </c>
      <c r="C432" s="2">
        <v>0.44722222222222224</v>
      </c>
      <c r="D432" t="s">
        <v>1300</v>
      </c>
      <c r="E432">
        <v>88</v>
      </c>
      <c r="F432" t="s">
        <v>810</v>
      </c>
      <c r="G432" t="s">
        <v>1300</v>
      </c>
      <c r="H432" t="s">
        <v>51</v>
      </c>
      <c r="I432">
        <v>-7.402336</v>
      </c>
      <c r="J432">
        <v>27.376697</v>
      </c>
      <c r="K432" t="s">
        <v>1498</v>
      </c>
      <c r="L432" t="s">
        <v>1499</v>
      </c>
    </row>
    <row r="433" spans="1:12" x14ac:dyDescent="0.3">
      <c r="A433" t="s">
        <v>1401</v>
      </c>
      <c r="B433" s="1">
        <v>45207</v>
      </c>
      <c r="C433" s="2">
        <v>7.4305555555555555E-2</v>
      </c>
      <c r="D433" t="s">
        <v>1358</v>
      </c>
      <c r="E433">
        <v>57</v>
      </c>
      <c r="F433" t="s">
        <v>807</v>
      </c>
      <c r="G433" t="s">
        <v>1358</v>
      </c>
      <c r="H433" t="s">
        <v>62</v>
      </c>
      <c r="I433">
        <v>-7.1587569999999996</v>
      </c>
      <c r="J433">
        <v>18.975141000000001</v>
      </c>
      <c r="K433" t="s">
        <v>1495</v>
      </c>
      <c r="L433" t="s">
        <v>1496</v>
      </c>
    </row>
    <row r="434" spans="1:12" x14ac:dyDescent="0.3">
      <c r="A434" t="s">
        <v>1401</v>
      </c>
      <c r="B434" s="1">
        <v>45215</v>
      </c>
      <c r="C434" s="2">
        <v>0.37291666666666667</v>
      </c>
      <c r="D434" t="s">
        <v>1077</v>
      </c>
      <c r="E434">
        <v>70</v>
      </c>
      <c r="F434" t="s">
        <v>810</v>
      </c>
      <c r="G434" t="s">
        <v>1077</v>
      </c>
      <c r="H434" t="s">
        <v>62</v>
      </c>
      <c r="I434">
        <v>-12.112399999999999</v>
      </c>
      <c r="J434">
        <v>15.872226</v>
      </c>
      <c r="K434" t="s">
        <v>1498</v>
      </c>
      <c r="L434" t="s">
        <v>1508</v>
      </c>
    </row>
    <row r="435" spans="1:12" x14ac:dyDescent="0.3">
      <c r="A435" t="s">
        <v>1401</v>
      </c>
      <c r="B435" s="1">
        <v>45227</v>
      </c>
      <c r="C435" s="2">
        <v>0.29722222222222222</v>
      </c>
      <c r="D435" t="s">
        <v>1408</v>
      </c>
      <c r="E435">
        <v>92</v>
      </c>
      <c r="F435" t="s">
        <v>812</v>
      </c>
      <c r="G435" t="s">
        <v>1408</v>
      </c>
      <c r="H435" t="s">
        <v>18</v>
      </c>
      <c r="I435">
        <v>-5.5559329999999996</v>
      </c>
      <c r="J435">
        <v>13.508692999999999</v>
      </c>
      <c r="K435" t="s">
        <v>1500</v>
      </c>
      <c r="L435" t="s">
        <v>1508</v>
      </c>
    </row>
    <row r="436" spans="1:12" x14ac:dyDescent="0.3">
      <c r="A436" t="s">
        <v>1401</v>
      </c>
      <c r="B436" s="1">
        <v>45224</v>
      </c>
      <c r="C436" s="2">
        <v>0.4284722222222222</v>
      </c>
      <c r="D436" t="s">
        <v>828</v>
      </c>
      <c r="E436">
        <v>65</v>
      </c>
      <c r="F436" t="s">
        <v>810</v>
      </c>
      <c r="G436" t="s">
        <v>828</v>
      </c>
      <c r="H436" t="s">
        <v>24</v>
      </c>
      <c r="I436">
        <v>0.172153</v>
      </c>
      <c r="J436">
        <v>21.091376</v>
      </c>
      <c r="K436" t="s">
        <v>1500</v>
      </c>
      <c r="L436" t="s">
        <v>1496</v>
      </c>
    </row>
    <row r="437" spans="1:12" x14ac:dyDescent="0.3">
      <c r="A437" t="s">
        <v>1401</v>
      </c>
      <c r="B437" s="1">
        <v>45214</v>
      </c>
      <c r="C437" s="2">
        <v>0.2902777777777778</v>
      </c>
      <c r="D437" t="s">
        <v>1265</v>
      </c>
      <c r="E437">
        <v>27</v>
      </c>
      <c r="F437" t="s">
        <v>810</v>
      </c>
      <c r="G437" t="s">
        <v>1265</v>
      </c>
      <c r="H437" t="s">
        <v>60</v>
      </c>
      <c r="I437">
        <v>-12.839263000000001</v>
      </c>
      <c r="J437">
        <v>12.355677</v>
      </c>
      <c r="K437" t="s">
        <v>1500</v>
      </c>
      <c r="L437" t="s">
        <v>1499</v>
      </c>
    </row>
    <row r="438" spans="1:12" x14ac:dyDescent="0.3">
      <c r="A438" t="s">
        <v>1401</v>
      </c>
      <c r="B438" s="1">
        <v>45215</v>
      </c>
      <c r="C438" s="2">
        <v>0.70486111111111116</v>
      </c>
      <c r="D438" t="s">
        <v>1050</v>
      </c>
      <c r="E438">
        <v>107</v>
      </c>
      <c r="F438" t="s">
        <v>807</v>
      </c>
      <c r="G438" t="s">
        <v>1050</v>
      </c>
      <c r="H438" t="s">
        <v>62</v>
      </c>
      <c r="I438">
        <v>-12.564277000000001</v>
      </c>
      <c r="J438">
        <v>28.480798</v>
      </c>
      <c r="K438" t="s">
        <v>1495</v>
      </c>
      <c r="L438" t="s">
        <v>1501</v>
      </c>
    </row>
    <row r="439" spans="1:12" x14ac:dyDescent="0.3">
      <c r="A439" t="s">
        <v>1401</v>
      </c>
      <c r="B439" s="1">
        <v>45211</v>
      </c>
      <c r="C439" s="2">
        <v>6.3888888888888884E-2</v>
      </c>
      <c r="D439" t="s">
        <v>1410</v>
      </c>
      <c r="E439">
        <v>6</v>
      </c>
      <c r="F439" t="s">
        <v>812</v>
      </c>
      <c r="G439" t="s">
        <v>1410</v>
      </c>
      <c r="H439" t="s">
        <v>57</v>
      </c>
      <c r="I439">
        <v>1.7832440000000001</v>
      </c>
      <c r="J439">
        <v>25.477405999999998</v>
      </c>
      <c r="K439" t="s">
        <v>1495</v>
      </c>
      <c r="L439" t="s">
        <v>1499</v>
      </c>
    </row>
    <row r="440" spans="1:12" x14ac:dyDescent="0.3">
      <c r="A440" t="s">
        <v>1401</v>
      </c>
      <c r="B440" s="1">
        <v>45209</v>
      </c>
      <c r="C440" s="2">
        <v>0.93888888888888888</v>
      </c>
      <c r="D440" t="s">
        <v>867</v>
      </c>
      <c r="E440">
        <v>37</v>
      </c>
      <c r="F440" t="s">
        <v>810</v>
      </c>
      <c r="G440" t="s">
        <v>867</v>
      </c>
      <c r="H440" t="s">
        <v>24</v>
      </c>
      <c r="I440">
        <v>-5.5445120000000001</v>
      </c>
      <c r="J440">
        <v>27.547335</v>
      </c>
      <c r="K440" t="s">
        <v>1498</v>
      </c>
      <c r="L440" t="s">
        <v>1496</v>
      </c>
    </row>
    <row r="441" spans="1:12" x14ac:dyDescent="0.3">
      <c r="A441" t="s">
        <v>1401</v>
      </c>
      <c r="B441" s="1">
        <v>45206</v>
      </c>
      <c r="C441" s="2">
        <v>0.28680555555555554</v>
      </c>
      <c r="D441" t="s">
        <v>867</v>
      </c>
      <c r="E441">
        <v>96</v>
      </c>
      <c r="F441" t="s">
        <v>810</v>
      </c>
      <c r="G441" t="s">
        <v>867</v>
      </c>
      <c r="H441" t="s">
        <v>24</v>
      </c>
      <c r="I441">
        <v>-5.5445120000000001</v>
      </c>
      <c r="J441">
        <v>27.547335</v>
      </c>
      <c r="K441" t="s">
        <v>1498</v>
      </c>
      <c r="L441" t="s">
        <v>1496</v>
      </c>
    </row>
    <row r="442" spans="1:12" x14ac:dyDescent="0.3">
      <c r="A442" t="s">
        <v>1401</v>
      </c>
      <c r="B442" s="1">
        <v>45201</v>
      </c>
      <c r="C442" s="2">
        <v>0.29305555555555557</v>
      </c>
      <c r="D442" t="s">
        <v>1360</v>
      </c>
      <c r="E442">
        <v>95</v>
      </c>
      <c r="F442" t="s">
        <v>812</v>
      </c>
      <c r="G442" t="s">
        <v>1360</v>
      </c>
      <c r="H442" t="s">
        <v>67</v>
      </c>
      <c r="I442">
        <v>-9.5619429999999994</v>
      </c>
      <c r="J442">
        <v>21.445726000000001</v>
      </c>
      <c r="K442" t="s">
        <v>1498</v>
      </c>
      <c r="L442" t="s">
        <v>1508</v>
      </c>
    </row>
    <row r="443" spans="1:12" x14ac:dyDescent="0.3">
      <c r="A443" t="s">
        <v>1401</v>
      </c>
      <c r="B443" s="1">
        <v>45214</v>
      </c>
      <c r="C443" s="2">
        <v>0.68402777777777779</v>
      </c>
      <c r="D443" t="s">
        <v>908</v>
      </c>
      <c r="E443">
        <v>119</v>
      </c>
      <c r="F443" t="s">
        <v>812</v>
      </c>
      <c r="G443" t="s">
        <v>908</v>
      </c>
      <c r="H443" t="s">
        <v>67</v>
      </c>
      <c r="I443">
        <v>-11.218453999999999</v>
      </c>
      <c r="J443">
        <v>28.230025000000001</v>
      </c>
      <c r="K443" t="s">
        <v>1495</v>
      </c>
      <c r="L443" t="s">
        <v>1501</v>
      </c>
    </row>
    <row r="444" spans="1:12" x14ac:dyDescent="0.3">
      <c r="A444" t="s">
        <v>1401</v>
      </c>
      <c r="B444" s="1">
        <v>45220</v>
      </c>
      <c r="C444" s="2">
        <v>0.15486111111111112</v>
      </c>
      <c r="D444" t="s">
        <v>1209</v>
      </c>
      <c r="E444">
        <v>53</v>
      </c>
      <c r="F444" t="s">
        <v>807</v>
      </c>
      <c r="G444" t="s">
        <v>1209</v>
      </c>
      <c r="H444" t="s">
        <v>62</v>
      </c>
      <c r="I444">
        <v>-9.8208710000000004</v>
      </c>
      <c r="J444">
        <v>23.229807000000001</v>
      </c>
      <c r="K444" t="s">
        <v>1495</v>
      </c>
      <c r="L444" t="s">
        <v>1508</v>
      </c>
    </row>
    <row r="445" spans="1:12" x14ac:dyDescent="0.3">
      <c r="A445" t="s">
        <v>1401</v>
      </c>
      <c r="B445" s="1">
        <v>45205</v>
      </c>
      <c r="C445" s="2">
        <v>0.65069444444444446</v>
      </c>
      <c r="D445" t="s">
        <v>1413</v>
      </c>
      <c r="E445">
        <v>63</v>
      </c>
      <c r="F445" t="s">
        <v>807</v>
      </c>
      <c r="G445" t="s">
        <v>1413</v>
      </c>
      <c r="H445" t="s">
        <v>62</v>
      </c>
      <c r="I445">
        <v>-10.977309</v>
      </c>
      <c r="J445">
        <v>12.408281000000001</v>
      </c>
      <c r="K445" t="s">
        <v>1495</v>
      </c>
      <c r="L445" t="s">
        <v>1501</v>
      </c>
    </row>
    <row r="446" spans="1:12" x14ac:dyDescent="0.3">
      <c r="A446" t="s">
        <v>1401</v>
      </c>
      <c r="B446" s="1">
        <v>45217</v>
      </c>
      <c r="C446" s="2">
        <v>0.47361111111111109</v>
      </c>
      <c r="D446" t="s">
        <v>944</v>
      </c>
      <c r="E446">
        <v>37</v>
      </c>
      <c r="F446" t="s">
        <v>812</v>
      </c>
      <c r="G446" t="s">
        <v>944</v>
      </c>
      <c r="H446" t="s">
        <v>51</v>
      </c>
      <c r="I446">
        <v>-8.5675749999999997</v>
      </c>
      <c r="J446">
        <v>26.994581</v>
      </c>
      <c r="K446" t="s">
        <v>1500</v>
      </c>
      <c r="L446" t="s">
        <v>1508</v>
      </c>
    </row>
    <row r="447" spans="1:12" x14ac:dyDescent="0.3">
      <c r="A447" t="s">
        <v>1401</v>
      </c>
      <c r="B447" s="1">
        <v>45201</v>
      </c>
      <c r="C447" s="2">
        <v>0.24583333333333332</v>
      </c>
      <c r="D447" t="s">
        <v>1143</v>
      </c>
      <c r="E447">
        <v>91</v>
      </c>
      <c r="F447" t="s">
        <v>810</v>
      </c>
      <c r="G447" t="s">
        <v>1143</v>
      </c>
      <c r="H447" t="s">
        <v>10</v>
      </c>
      <c r="I447">
        <v>-0.34051900000000002</v>
      </c>
      <c r="J447">
        <v>17.079799000000001</v>
      </c>
      <c r="K447" t="s">
        <v>1495</v>
      </c>
      <c r="L447" t="s">
        <v>1496</v>
      </c>
    </row>
    <row r="448" spans="1:12" x14ac:dyDescent="0.3">
      <c r="A448" t="s">
        <v>1415</v>
      </c>
      <c r="B448" s="1">
        <v>45218</v>
      </c>
      <c r="C448" s="2">
        <v>0.58958333333333335</v>
      </c>
      <c r="D448" t="s">
        <v>1320</v>
      </c>
      <c r="E448">
        <v>21</v>
      </c>
      <c r="F448" t="s">
        <v>807</v>
      </c>
      <c r="G448" t="s">
        <v>1320</v>
      </c>
      <c r="H448" t="s">
        <v>21</v>
      </c>
      <c r="I448">
        <v>-11.514817000000001</v>
      </c>
      <c r="J448">
        <v>24.891375</v>
      </c>
      <c r="K448" t="s">
        <v>1500</v>
      </c>
      <c r="L448" t="s">
        <v>1508</v>
      </c>
    </row>
    <row r="449" spans="1:12" x14ac:dyDescent="0.3">
      <c r="A449" t="s">
        <v>1415</v>
      </c>
      <c r="B449" s="1">
        <v>45224</v>
      </c>
      <c r="C449" s="2">
        <v>0.10486111111111111</v>
      </c>
      <c r="D449" t="s">
        <v>1424</v>
      </c>
      <c r="E449">
        <v>98</v>
      </c>
      <c r="F449" t="s">
        <v>812</v>
      </c>
      <c r="G449" t="s">
        <v>1424</v>
      </c>
      <c r="H449" t="s">
        <v>37</v>
      </c>
      <c r="I449">
        <v>-7.0007840000000003</v>
      </c>
      <c r="J449">
        <v>22.787997000000001</v>
      </c>
      <c r="K449" t="s">
        <v>1495</v>
      </c>
      <c r="L449" t="s">
        <v>1501</v>
      </c>
    </row>
    <row r="450" spans="1:12" x14ac:dyDescent="0.3">
      <c r="A450" t="s">
        <v>1415</v>
      </c>
      <c r="B450" s="1">
        <v>45210</v>
      </c>
      <c r="C450" s="2">
        <v>0.8354166666666667</v>
      </c>
      <c r="D450" t="s">
        <v>880</v>
      </c>
      <c r="E450">
        <v>80</v>
      </c>
      <c r="F450" t="s">
        <v>810</v>
      </c>
      <c r="G450" t="s">
        <v>880</v>
      </c>
      <c r="H450" t="s">
        <v>24</v>
      </c>
      <c r="I450">
        <v>4.4712560000000003</v>
      </c>
      <c r="J450">
        <v>27.107028</v>
      </c>
      <c r="K450" t="s">
        <v>1500</v>
      </c>
      <c r="L450" t="s">
        <v>1496</v>
      </c>
    </row>
    <row r="451" spans="1:12" x14ac:dyDescent="0.3">
      <c r="A451" t="s">
        <v>1415</v>
      </c>
      <c r="B451" s="1">
        <v>45206</v>
      </c>
      <c r="C451" s="2">
        <v>0.23333333333333334</v>
      </c>
      <c r="D451" t="s">
        <v>1425</v>
      </c>
      <c r="E451">
        <v>26</v>
      </c>
      <c r="F451" t="s">
        <v>812</v>
      </c>
      <c r="G451" t="s">
        <v>1425</v>
      </c>
      <c r="H451" t="s">
        <v>44</v>
      </c>
      <c r="I451">
        <v>-4.6311460000000002</v>
      </c>
      <c r="J451">
        <v>25.314723000000001</v>
      </c>
      <c r="K451" t="s">
        <v>1498</v>
      </c>
      <c r="L451" t="s">
        <v>1499</v>
      </c>
    </row>
    <row r="452" spans="1:12" x14ac:dyDescent="0.3">
      <c r="A452" t="s">
        <v>1415</v>
      </c>
      <c r="B452" s="1">
        <v>45224</v>
      </c>
      <c r="C452" s="2">
        <v>0.2298611111111111</v>
      </c>
      <c r="D452" t="s">
        <v>1426</v>
      </c>
      <c r="E452">
        <v>20</v>
      </c>
      <c r="F452" t="s">
        <v>807</v>
      </c>
      <c r="G452" t="s">
        <v>1426</v>
      </c>
      <c r="H452" t="s">
        <v>131</v>
      </c>
      <c r="I452">
        <v>-10.298385</v>
      </c>
      <c r="J452">
        <v>29.698117</v>
      </c>
      <c r="K452" t="s">
        <v>1495</v>
      </c>
      <c r="L452" t="s">
        <v>1508</v>
      </c>
    </row>
    <row r="453" spans="1:12" x14ac:dyDescent="0.3">
      <c r="A453" t="s">
        <v>1415</v>
      </c>
      <c r="B453" s="1">
        <v>45219</v>
      </c>
      <c r="C453" s="2">
        <v>0.56944444444444442</v>
      </c>
      <c r="D453" t="s">
        <v>1358</v>
      </c>
      <c r="E453">
        <v>96</v>
      </c>
      <c r="F453" t="s">
        <v>807</v>
      </c>
      <c r="G453" t="s">
        <v>1358</v>
      </c>
      <c r="H453" t="s">
        <v>62</v>
      </c>
      <c r="I453">
        <v>-7.1587569999999996</v>
      </c>
      <c r="J453">
        <v>18.975141000000001</v>
      </c>
      <c r="K453" t="s">
        <v>1495</v>
      </c>
      <c r="L453" t="s">
        <v>1496</v>
      </c>
    </row>
    <row r="454" spans="1:12" x14ac:dyDescent="0.3">
      <c r="A454" t="s">
        <v>1415</v>
      </c>
      <c r="B454" s="1">
        <v>45213</v>
      </c>
      <c r="C454" s="2">
        <v>0.51875000000000004</v>
      </c>
      <c r="D454" t="s">
        <v>1344</v>
      </c>
      <c r="E454">
        <v>88</v>
      </c>
      <c r="F454" t="s">
        <v>810</v>
      </c>
      <c r="G454" t="s">
        <v>1344</v>
      </c>
      <c r="H454" t="s">
        <v>67</v>
      </c>
      <c r="I454">
        <v>4.8265669999999998</v>
      </c>
      <c r="J454">
        <v>28.535277000000001</v>
      </c>
      <c r="K454" t="s">
        <v>1500</v>
      </c>
      <c r="L454" t="s">
        <v>1499</v>
      </c>
    </row>
    <row r="455" spans="1:12" x14ac:dyDescent="0.3">
      <c r="A455" t="s">
        <v>1415</v>
      </c>
      <c r="B455" s="1">
        <v>45230</v>
      </c>
      <c r="C455" s="2">
        <v>0.64166666666666672</v>
      </c>
      <c r="D455" t="s">
        <v>1428</v>
      </c>
      <c r="E455">
        <v>106</v>
      </c>
      <c r="F455" t="s">
        <v>807</v>
      </c>
      <c r="G455" t="s">
        <v>1428</v>
      </c>
      <c r="H455" t="s">
        <v>89</v>
      </c>
      <c r="I455">
        <v>-6.8149179999999996</v>
      </c>
      <c r="J455">
        <v>23.258102000000001</v>
      </c>
      <c r="K455" t="s">
        <v>1495</v>
      </c>
      <c r="L455" t="s">
        <v>1499</v>
      </c>
    </row>
    <row r="456" spans="1:12" x14ac:dyDescent="0.3">
      <c r="A456" t="s">
        <v>1415</v>
      </c>
      <c r="B456" s="1">
        <v>45206</v>
      </c>
      <c r="C456" s="2">
        <v>0.97430555555555554</v>
      </c>
      <c r="D456" t="s">
        <v>1429</v>
      </c>
      <c r="E456">
        <v>53</v>
      </c>
      <c r="F456" t="s">
        <v>810</v>
      </c>
      <c r="G456" t="s">
        <v>1429</v>
      </c>
      <c r="H456" t="s">
        <v>24</v>
      </c>
      <c r="I456">
        <v>-2.926736</v>
      </c>
      <c r="J456">
        <v>18.170461</v>
      </c>
      <c r="K456" t="s">
        <v>1495</v>
      </c>
      <c r="L456" t="s">
        <v>1496</v>
      </c>
    </row>
    <row r="457" spans="1:12" x14ac:dyDescent="0.3">
      <c r="A457" t="s">
        <v>1415</v>
      </c>
      <c r="B457" s="1">
        <v>45207</v>
      </c>
      <c r="C457" s="2">
        <v>0.9555555555555556</v>
      </c>
      <c r="D457" t="s">
        <v>1058</v>
      </c>
      <c r="E457">
        <v>73</v>
      </c>
      <c r="F457" t="s">
        <v>810</v>
      </c>
      <c r="G457" t="s">
        <v>1058</v>
      </c>
      <c r="H457" t="s">
        <v>24</v>
      </c>
      <c r="I457">
        <v>2.016505</v>
      </c>
      <c r="J457">
        <v>14.294164</v>
      </c>
      <c r="K457" t="s">
        <v>1495</v>
      </c>
      <c r="L457" t="s">
        <v>1499</v>
      </c>
    </row>
    <row r="458" spans="1:12" x14ac:dyDescent="0.3">
      <c r="A458" t="s">
        <v>1415</v>
      </c>
      <c r="B458" s="1">
        <v>45203</v>
      </c>
      <c r="C458" s="2">
        <v>0.52222222222222225</v>
      </c>
      <c r="D458" t="s">
        <v>1300</v>
      </c>
      <c r="E458">
        <v>11</v>
      </c>
      <c r="F458" t="s">
        <v>810</v>
      </c>
      <c r="G458" t="s">
        <v>1300</v>
      </c>
      <c r="H458" t="s">
        <v>51</v>
      </c>
      <c r="I458">
        <v>-7.402336</v>
      </c>
      <c r="J458">
        <v>27.376697</v>
      </c>
      <c r="K458" t="s">
        <v>1498</v>
      </c>
      <c r="L458" t="s">
        <v>1499</v>
      </c>
    </row>
    <row r="459" spans="1:12" x14ac:dyDescent="0.3">
      <c r="A459" t="s">
        <v>1415</v>
      </c>
      <c r="B459" s="1">
        <v>45218</v>
      </c>
      <c r="C459" s="2">
        <v>0.38194444444444442</v>
      </c>
      <c r="D459" t="s">
        <v>814</v>
      </c>
      <c r="E459">
        <v>81</v>
      </c>
      <c r="F459" t="s">
        <v>810</v>
      </c>
      <c r="G459" t="s">
        <v>814</v>
      </c>
      <c r="H459" t="s">
        <v>62</v>
      </c>
      <c r="I459">
        <v>-2.8211520000000001</v>
      </c>
      <c r="J459">
        <v>20.651419000000001</v>
      </c>
      <c r="K459" t="s">
        <v>1495</v>
      </c>
      <c r="L459" t="s">
        <v>1496</v>
      </c>
    </row>
    <row r="460" spans="1:12" x14ac:dyDescent="0.3">
      <c r="A460" t="s">
        <v>1415</v>
      </c>
      <c r="B460" s="1">
        <v>45230</v>
      </c>
      <c r="C460" s="2">
        <v>0.39513888888888887</v>
      </c>
      <c r="D460" t="s">
        <v>1431</v>
      </c>
      <c r="E460">
        <v>89</v>
      </c>
      <c r="F460" t="s">
        <v>812</v>
      </c>
      <c r="G460" t="s">
        <v>1431</v>
      </c>
      <c r="H460" t="s">
        <v>26</v>
      </c>
      <c r="I460">
        <v>-7.3952039999999997</v>
      </c>
      <c r="J460">
        <v>21.651043999999999</v>
      </c>
      <c r="K460" t="s">
        <v>1498</v>
      </c>
      <c r="L460" t="s">
        <v>1499</v>
      </c>
    </row>
    <row r="461" spans="1:12" x14ac:dyDescent="0.3">
      <c r="A461" t="s">
        <v>1415</v>
      </c>
      <c r="B461" s="1">
        <v>45216</v>
      </c>
      <c r="C461" s="2">
        <v>0.43541666666666667</v>
      </c>
      <c r="D461" t="s">
        <v>1273</v>
      </c>
      <c r="E461">
        <v>88</v>
      </c>
      <c r="F461" t="s">
        <v>807</v>
      </c>
      <c r="G461" t="s">
        <v>1273</v>
      </c>
      <c r="H461" t="s">
        <v>78</v>
      </c>
      <c r="I461">
        <v>1.938083</v>
      </c>
      <c r="J461">
        <v>28.25281</v>
      </c>
      <c r="K461" t="s">
        <v>1498</v>
      </c>
      <c r="L461" t="s">
        <v>1508</v>
      </c>
    </row>
    <row r="462" spans="1:12" x14ac:dyDescent="0.3">
      <c r="A462" t="s">
        <v>1415</v>
      </c>
      <c r="B462" s="1">
        <v>45228</v>
      </c>
      <c r="C462" s="2">
        <v>0.88055555555555554</v>
      </c>
      <c r="D462" t="s">
        <v>1101</v>
      </c>
      <c r="E462">
        <v>112</v>
      </c>
      <c r="F462" t="s">
        <v>812</v>
      </c>
      <c r="G462" t="s">
        <v>1101</v>
      </c>
      <c r="H462" t="s">
        <v>10</v>
      </c>
      <c r="I462">
        <v>-4.1250960000000001</v>
      </c>
      <c r="J462">
        <v>27.799897999999999</v>
      </c>
      <c r="K462" t="s">
        <v>1500</v>
      </c>
      <c r="L462" t="s">
        <v>1508</v>
      </c>
    </row>
    <row r="463" spans="1:12" x14ac:dyDescent="0.3">
      <c r="A463" t="s">
        <v>1432</v>
      </c>
      <c r="B463" s="1">
        <v>45211</v>
      </c>
      <c r="C463" s="2">
        <v>0.88888888888888884</v>
      </c>
      <c r="D463" t="s">
        <v>1215</v>
      </c>
      <c r="E463">
        <v>87</v>
      </c>
      <c r="F463" t="s">
        <v>810</v>
      </c>
      <c r="G463" t="s">
        <v>1215</v>
      </c>
      <c r="H463" t="s">
        <v>127</v>
      </c>
      <c r="I463">
        <v>-7.1483749999999997</v>
      </c>
      <c r="J463">
        <v>26.014271000000001</v>
      </c>
      <c r="K463" t="s">
        <v>1495</v>
      </c>
      <c r="L463" t="s">
        <v>1499</v>
      </c>
    </row>
    <row r="464" spans="1:12" x14ac:dyDescent="0.3">
      <c r="A464" t="s">
        <v>1432</v>
      </c>
      <c r="B464" s="1">
        <v>45203</v>
      </c>
      <c r="C464" s="2">
        <v>4.1666666666666664E-2</v>
      </c>
      <c r="D464" t="s">
        <v>1127</v>
      </c>
      <c r="E464">
        <v>69</v>
      </c>
      <c r="F464" t="s">
        <v>812</v>
      </c>
      <c r="G464" t="s">
        <v>1127</v>
      </c>
      <c r="H464" t="s">
        <v>26</v>
      </c>
      <c r="I464">
        <v>-2.2876210000000001</v>
      </c>
      <c r="J464">
        <v>27.582545</v>
      </c>
      <c r="K464" t="s">
        <v>1498</v>
      </c>
      <c r="L464" t="s">
        <v>1499</v>
      </c>
    </row>
    <row r="465" spans="1:12" x14ac:dyDescent="0.3">
      <c r="A465" t="s">
        <v>1432</v>
      </c>
      <c r="B465" s="1">
        <v>45227</v>
      </c>
      <c r="C465" s="2">
        <v>0.19583333333333333</v>
      </c>
      <c r="D465" t="s">
        <v>982</v>
      </c>
      <c r="E465">
        <v>113</v>
      </c>
      <c r="F465" t="s">
        <v>810</v>
      </c>
      <c r="G465" t="s">
        <v>982</v>
      </c>
      <c r="H465" t="s">
        <v>64</v>
      </c>
      <c r="I465">
        <v>-7.5418399999999997</v>
      </c>
      <c r="J465">
        <v>16.931206</v>
      </c>
      <c r="K465" t="s">
        <v>1500</v>
      </c>
      <c r="L465" t="s">
        <v>1508</v>
      </c>
    </row>
    <row r="466" spans="1:12" x14ac:dyDescent="0.3">
      <c r="A466" t="s">
        <v>1432</v>
      </c>
      <c r="B466" s="1">
        <v>45220</v>
      </c>
      <c r="C466" s="2">
        <v>0.22291666666666668</v>
      </c>
      <c r="D466" t="s">
        <v>1345</v>
      </c>
      <c r="E466">
        <v>65</v>
      </c>
      <c r="F466" t="s">
        <v>812</v>
      </c>
      <c r="G466" t="s">
        <v>1345</v>
      </c>
      <c r="H466" t="s">
        <v>18</v>
      </c>
      <c r="I466">
        <v>-1.3938550000000001</v>
      </c>
      <c r="J466">
        <v>15.097554000000001</v>
      </c>
      <c r="K466" t="s">
        <v>1498</v>
      </c>
      <c r="L466" t="s">
        <v>1499</v>
      </c>
    </row>
    <row r="467" spans="1:12" x14ac:dyDescent="0.3">
      <c r="A467" t="s">
        <v>1432</v>
      </c>
      <c r="B467" s="1">
        <v>45211</v>
      </c>
      <c r="C467" s="2">
        <v>0.61041666666666672</v>
      </c>
      <c r="D467" t="s">
        <v>888</v>
      </c>
      <c r="E467">
        <v>114</v>
      </c>
      <c r="F467" t="s">
        <v>807</v>
      </c>
      <c r="G467" t="s">
        <v>888</v>
      </c>
      <c r="H467" t="s">
        <v>10</v>
      </c>
      <c r="I467">
        <v>-7.0076900000000002</v>
      </c>
      <c r="J467">
        <v>27.367121999999998</v>
      </c>
      <c r="K467" t="s">
        <v>1500</v>
      </c>
      <c r="L467" t="s">
        <v>1508</v>
      </c>
    </row>
    <row r="468" spans="1:12" x14ac:dyDescent="0.3">
      <c r="A468" t="s">
        <v>1432</v>
      </c>
      <c r="B468" s="1">
        <v>45208</v>
      </c>
      <c r="C468" s="2">
        <v>0.96180555555555558</v>
      </c>
      <c r="D468" t="s">
        <v>1434</v>
      </c>
      <c r="E468">
        <v>68</v>
      </c>
      <c r="F468" t="s">
        <v>807</v>
      </c>
      <c r="G468" t="s">
        <v>1434</v>
      </c>
      <c r="H468" t="s">
        <v>26</v>
      </c>
      <c r="I468">
        <v>-2.3269820000000001</v>
      </c>
      <c r="J468">
        <v>14.609259</v>
      </c>
      <c r="K468" t="s">
        <v>1500</v>
      </c>
      <c r="L468" t="s">
        <v>1508</v>
      </c>
    </row>
    <row r="469" spans="1:12" x14ac:dyDescent="0.3">
      <c r="A469" t="s">
        <v>1432</v>
      </c>
      <c r="B469" s="1">
        <v>45211</v>
      </c>
      <c r="C469" s="2">
        <v>0.42430555555555555</v>
      </c>
      <c r="D469" t="s">
        <v>1002</v>
      </c>
      <c r="E469">
        <v>116</v>
      </c>
      <c r="F469" t="s">
        <v>810</v>
      </c>
      <c r="G469" t="s">
        <v>1002</v>
      </c>
      <c r="H469" t="s">
        <v>131</v>
      </c>
      <c r="I469">
        <v>-1.8555980000000001</v>
      </c>
      <c r="J469">
        <v>30.421918000000002</v>
      </c>
      <c r="K469" t="s">
        <v>1500</v>
      </c>
      <c r="L469" t="s">
        <v>1501</v>
      </c>
    </row>
    <row r="470" spans="1:12" x14ac:dyDescent="0.3">
      <c r="A470" t="s">
        <v>1432</v>
      </c>
      <c r="B470" s="1">
        <v>45203</v>
      </c>
      <c r="C470" s="2">
        <v>0.51736111111111116</v>
      </c>
      <c r="D470" t="s">
        <v>838</v>
      </c>
      <c r="E470">
        <v>26</v>
      </c>
      <c r="F470" t="s">
        <v>807</v>
      </c>
      <c r="G470" t="s">
        <v>838</v>
      </c>
      <c r="H470" t="s">
        <v>89</v>
      </c>
      <c r="I470">
        <v>-8.1437910000000002</v>
      </c>
      <c r="J470">
        <v>28.946161</v>
      </c>
      <c r="K470" t="s">
        <v>1498</v>
      </c>
      <c r="L470" t="s">
        <v>1501</v>
      </c>
    </row>
    <row r="471" spans="1:12" x14ac:dyDescent="0.3">
      <c r="A471" t="s">
        <v>1432</v>
      </c>
      <c r="B471" s="1">
        <v>45230</v>
      </c>
      <c r="C471" s="2">
        <v>0.59513888888888888</v>
      </c>
      <c r="D471" t="s">
        <v>1435</v>
      </c>
      <c r="E471">
        <v>14</v>
      </c>
      <c r="F471" t="s">
        <v>807</v>
      </c>
      <c r="G471" t="s">
        <v>1435</v>
      </c>
      <c r="H471" t="s">
        <v>64</v>
      </c>
      <c r="I471">
        <v>-7.1079169999999996</v>
      </c>
      <c r="J471">
        <v>13.636272</v>
      </c>
      <c r="K471" t="s">
        <v>1495</v>
      </c>
      <c r="L471" t="s">
        <v>1508</v>
      </c>
    </row>
    <row r="472" spans="1:12" x14ac:dyDescent="0.3">
      <c r="A472" t="s">
        <v>1432</v>
      </c>
      <c r="B472" s="1">
        <v>45226</v>
      </c>
      <c r="C472" s="2">
        <v>0.53055555555555556</v>
      </c>
      <c r="D472" t="s">
        <v>1436</v>
      </c>
      <c r="E472">
        <v>101</v>
      </c>
      <c r="F472" t="s">
        <v>812</v>
      </c>
      <c r="G472" t="s">
        <v>1436</v>
      </c>
      <c r="H472" t="s">
        <v>78</v>
      </c>
      <c r="I472">
        <v>-10.650321</v>
      </c>
      <c r="J472">
        <v>15.917044000000001</v>
      </c>
      <c r="K472" t="s">
        <v>1498</v>
      </c>
      <c r="L472" t="s">
        <v>1508</v>
      </c>
    </row>
    <row r="473" spans="1:12" x14ac:dyDescent="0.3">
      <c r="A473" t="s">
        <v>1432</v>
      </c>
      <c r="B473" s="1">
        <v>45227</v>
      </c>
      <c r="C473" s="2">
        <v>0.66041666666666665</v>
      </c>
      <c r="D473" t="s">
        <v>1142</v>
      </c>
      <c r="E473">
        <v>67</v>
      </c>
      <c r="F473" t="s">
        <v>812</v>
      </c>
      <c r="G473" t="s">
        <v>1142</v>
      </c>
      <c r="H473" t="s">
        <v>29</v>
      </c>
      <c r="I473">
        <v>-5.125</v>
      </c>
      <c r="J473">
        <v>23.513119</v>
      </c>
      <c r="K473" t="s">
        <v>1495</v>
      </c>
      <c r="L473" t="s">
        <v>1499</v>
      </c>
    </row>
    <row r="474" spans="1:12" x14ac:dyDescent="0.3">
      <c r="A474" t="s">
        <v>1432</v>
      </c>
      <c r="B474" s="1">
        <v>45213</v>
      </c>
      <c r="C474" s="2">
        <v>0.87222222222222223</v>
      </c>
      <c r="D474" t="s">
        <v>1437</v>
      </c>
      <c r="E474">
        <v>46</v>
      </c>
      <c r="F474" t="s">
        <v>810</v>
      </c>
      <c r="G474" t="s">
        <v>1437</v>
      </c>
      <c r="H474" t="s">
        <v>35</v>
      </c>
      <c r="I474">
        <v>-7.513261</v>
      </c>
      <c r="J474">
        <v>24.338812000000001</v>
      </c>
      <c r="K474" t="s">
        <v>1495</v>
      </c>
      <c r="L474" t="s">
        <v>1499</v>
      </c>
    </row>
    <row r="475" spans="1:12" x14ac:dyDescent="0.3">
      <c r="A475" t="s">
        <v>1432</v>
      </c>
      <c r="B475" s="1">
        <v>45201</v>
      </c>
      <c r="C475" s="2">
        <v>0.21249999999999999</v>
      </c>
      <c r="D475" t="s">
        <v>872</v>
      </c>
      <c r="E475">
        <v>40</v>
      </c>
      <c r="F475" t="s">
        <v>810</v>
      </c>
      <c r="G475" t="s">
        <v>872</v>
      </c>
      <c r="H475" t="s">
        <v>131</v>
      </c>
      <c r="I475">
        <v>0.82868600000000003</v>
      </c>
      <c r="J475">
        <v>26.958843999999999</v>
      </c>
      <c r="K475" t="s">
        <v>1495</v>
      </c>
      <c r="L475" t="s">
        <v>1501</v>
      </c>
    </row>
    <row r="476" spans="1:12" x14ac:dyDescent="0.3">
      <c r="A476" t="s">
        <v>1432</v>
      </c>
      <c r="B476" s="1">
        <v>45214</v>
      </c>
      <c r="C476" s="2">
        <v>0.23541666666666666</v>
      </c>
      <c r="D476" t="s">
        <v>1442</v>
      </c>
      <c r="E476">
        <v>33</v>
      </c>
      <c r="F476" t="s">
        <v>807</v>
      </c>
      <c r="G476" t="s">
        <v>1442</v>
      </c>
      <c r="H476" t="s">
        <v>78</v>
      </c>
      <c r="I476">
        <v>-10.318835</v>
      </c>
      <c r="J476">
        <v>21.252382000000001</v>
      </c>
      <c r="K476" t="s">
        <v>1498</v>
      </c>
      <c r="L476" t="s">
        <v>1496</v>
      </c>
    </row>
    <row r="477" spans="1:12" x14ac:dyDescent="0.3">
      <c r="A477" t="s">
        <v>1432</v>
      </c>
      <c r="B477" s="1">
        <v>45200</v>
      </c>
      <c r="C477" s="2">
        <v>0.91388888888888886</v>
      </c>
      <c r="D477" t="s">
        <v>1444</v>
      </c>
      <c r="E477">
        <v>87</v>
      </c>
      <c r="F477" t="s">
        <v>807</v>
      </c>
      <c r="G477" t="s">
        <v>1444</v>
      </c>
      <c r="H477" t="s">
        <v>35</v>
      </c>
      <c r="I477">
        <v>3.175935</v>
      </c>
      <c r="J477">
        <v>16.862832000000001</v>
      </c>
      <c r="K477" t="s">
        <v>1495</v>
      </c>
      <c r="L477" t="s">
        <v>1496</v>
      </c>
    </row>
    <row r="478" spans="1:12" x14ac:dyDescent="0.3">
      <c r="A478" t="s">
        <v>1432</v>
      </c>
      <c r="B478" s="1">
        <v>45226</v>
      </c>
      <c r="C478" s="2">
        <v>0.99791666666666667</v>
      </c>
      <c r="D478" t="s">
        <v>1445</v>
      </c>
      <c r="E478">
        <v>53</v>
      </c>
      <c r="F478" t="s">
        <v>812</v>
      </c>
      <c r="G478" t="s">
        <v>1445</v>
      </c>
      <c r="H478" t="s">
        <v>89</v>
      </c>
      <c r="I478">
        <v>-7.8373179999999998</v>
      </c>
      <c r="J478">
        <v>20.527591999999999</v>
      </c>
      <c r="K478" t="s">
        <v>1498</v>
      </c>
      <c r="L478" t="s">
        <v>1496</v>
      </c>
    </row>
    <row r="479" spans="1:12" x14ac:dyDescent="0.3">
      <c r="A479" t="s">
        <v>1432</v>
      </c>
      <c r="B479" s="1">
        <v>45227</v>
      </c>
      <c r="C479" s="2">
        <v>0.8979166666666667</v>
      </c>
      <c r="D479" t="s">
        <v>1435</v>
      </c>
      <c r="E479">
        <v>61</v>
      </c>
      <c r="F479" t="s">
        <v>807</v>
      </c>
      <c r="G479" t="s">
        <v>1435</v>
      </c>
      <c r="H479" t="s">
        <v>64</v>
      </c>
      <c r="I479">
        <v>-7.1079169999999996</v>
      </c>
      <c r="J479">
        <v>13.636272</v>
      </c>
      <c r="K479" t="s">
        <v>1495</v>
      </c>
      <c r="L479" t="s">
        <v>1508</v>
      </c>
    </row>
    <row r="480" spans="1:12" x14ac:dyDescent="0.3">
      <c r="A480" t="s">
        <v>1432</v>
      </c>
      <c r="B480" s="1">
        <v>45224</v>
      </c>
      <c r="C480" s="2">
        <v>0.98333333333333328</v>
      </c>
      <c r="D480" t="s">
        <v>992</v>
      </c>
      <c r="E480">
        <v>107</v>
      </c>
      <c r="F480" t="s">
        <v>812</v>
      </c>
      <c r="G480" t="s">
        <v>992</v>
      </c>
      <c r="H480" t="s">
        <v>44</v>
      </c>
      <c r="I480">
        <v>-9.3652280000000001</v>
      </c>
      <c r="J480">
        <v>18.674116000000001</v>
      </c>
      <c r="K480" t="s">
        <v>1498</v>
      </c>
      <c r="L480" t="s">
        <v>1499</v>
      </c>
    </row>
    <row r="481" spans="1:12" x14ac:dyDescent="0.3">
      <c r="A481" t="s">
        <v>1432</v>
      </c>
      <c r="B481" s="1">
        <v>45223</v>
      </c>
      <c r="C481" s="2">
        <v>0.75972222222222219</v>
      </c>
      <c r="D481" t="s">
        <v>1115</v>
      </c>
      <c r="E481">
        <v>78</v>
      </c>
      <c r="F481" t="s">
        <v>810</v>
      </c>
      <c r="G481" t="s">
        <v>1115</v>
      </c>
      <c r="H481" t="s">
        <v>16</v>
      </c>
      <c r="I481">
        <v>-5.3762689999999997</v>
      </c>
      <c r="J481">
        <v>28.189575999999999</v>
      </c>
      <c r="K481" t="s">
        <v>1495</v>
      </c>
      <c r="L481" t="s">
        <v>1499</v>
      </c>
    </row>
    <row r="482" spans="1:12" x14ac:dyDescent="0.3">
      <c r="A482" t="s">
        <v>1432</v>
      </c>
      <c r="B482" s="1">
        <v>45230</v>
      </c>
      <c r="C482" s="2">
        <v>0.91319444444444442</v>
      </c>
      <c r="D482" t="s">
        <v>1221</v>
      </c>
      <c r="E482">
        <v>62</v>
      </c>
      <c r="F482" t="s">
        <v>807</v>
      </c>
      <c r="G482" t="s">
        <v>1221</v>
      </c>
      <c r="H482" t="s">
        <v>13</v>
      </c>
      <c r="I482">
        <v>-1.9540519999999999</v>
      </c>
      <c r="J482">
        <v>12.667945</v>
      </c>
      <c r="K482" t="s">
        <v>1498</v>
      </c>
      <c r="L482" t="s">
        <v>1499</v>
      </c>
    </row>
    <row r="483" spans="1:12" x14ac:dyDescent="0.3">
      <c r="A483" t="s">
        <v>1432</v>
      </c>
      <c r="B483" s="1">
        <v>45210</v>
      </c>
      <c r="C483" s="2">
        <v>0.68958333333333333</v>
      </c>
      <c r="D483" t="s">
        <v>1086</v>
      </c>
      <c r="E483">
        <v>16</v>
      </c>
      <c r="F483" t="s">
        <v>807</v>
      </c>
      <c r="G483" t="s">
        <v>1086</v>
      </c>
      <c r="H483" t="s">
        <v>127</v>
      </c>
      <c r="I483">
        <v>-4.869434</v>
      </c>
      <c r="J483">
        <v>22.326522000000001</v>
      </c>
      <c r="K483" t="s">
        <v>1495</v>
      </c>
      <c r="L483" t="s">
        <v>1496</v>
      </c>
    </row>
    <row r="484" spans="1:12" x14ac:dyDescent="0.3">
      <c r="A484" t="s">
        <v>1432</v>
      </c>
      <c r="B484" s="1">
        <v>45222</v>
      </c>
      <c r="C484" s="2">
        <v>0.94374999999999998</v>
      </c>
      <c r="D484" t="s">
        <v>1449</v>
      </c>
      <c r="E484">
        <v>114</v>
      </c>
      <c r="F484" t="s">
        <v>807</v>
      </c>
      <c r="G484" t="s">
        <v>1449</v>
      </c>
      <c r="H484" t="s">
        <v>18</v>
      </c>
      <c r="I484">
        <v>-9.6407190000000007</v>
      </c>
      <c r="J484">
        <v>21.336704999999998</v>
      </c>
      <c r="K484" t="s">
        <v>1498</v>
      </c>
      <c r="L484" t="s">
        <v>1501</v>
      </c>
    </row>
    <row r="485" spans="1:12" x14ac:dyDescent="0.3">
      <c r="A485" t="s">
        <v>1432</v>
      </c>
      <c r="B485" s="1">
        <v>45211</v>
      </c>
      <c r="C485" s="2">
        <v>0.90486111111111112</v>
      </c>
      <c r="D485" t="s">
        <v>1016</v>
      </c>
      <c r="E485">
        <v>45</v>
      </c>
      <c r="F485" t="s">
        <v>812</v>
      </c>
      <c r="G485" t="s">
        <v>1016</v>
      </c>
      <c r="H485" t="s">
        <v>31</v>
      </c>
      <c r="I485">
        <v>-12.342053999999999</v>
      </c>
      <c r="J485">
        <v>18.756862000000002</v>
      </c>
      <c r="K485" t="s">
        <v>1500</v>
      </c>
      <c r="L485" t="s">
        <v>1496</v>
      </c>
    </row>
    <row r="486" spans="1:12" x14ac:dyDescent="0.3">
      <c r="A486" t="s">
        <v>1453</v>
      </c>
      <c r="B486" s="1">
        <v>45203</v>
      </c>
      <c r="C486" s="2">
        <v>0.60347222222222219</v>
      </c>
      <c r="D486" t="s">
        <v>1454</v>
      </c>
      <c r="E486">
        <v>106</v>
      </c>
      <c r="F486" t="s">
        <v>810</v>
      </c>
      <c r="G486" t="s">
        <v>1454</v>
      </c>
      <c r="H486" t="s">
        <v>24</v>
      </c>
      <c r="I486">
        <v>-5.1507670000000001</v>
      </c>
      <c r="J486">
        <v>28.075324999999999</v>
      </c>
      <c r="K486" t="s">
        <v>1495</v>
      </c>
      <c r="L486" t="s">
        <v>1499</v>
      </c>
    </row>
    <row r="487" spans="1:12" x14ac:dyDescent="0.3">
      <c r="A487" t="s">
        <v>1453</v>
      </c>
      <c r="B487" s="1">
        <v>45221</v>
      </c>
      <c r="C487" s="2">
        <v>0.77222222222222225</v>
      </c>
      <c r="D487" t="s">
        <v>984</v>
      </c>
      <c r="E487">
        <v>107</v>
      </c>
      <c r="F487" t="s">
        <v>807</v>
      </c>
      <c r="G487" t="s">
        <v>984</v>
      </c>
      <c r="H487" t="s">
        <v>33</v>
      </c>
      <c r="I487">
        <v>-4.4451280000000004</v>
      </c>
      <c r="J487">
        <v>16.536944999999999</v>
      </c>
      <c r="K487" t="s">
        <v>1498</v>
      </c>
      <c r="L487" t="s">
        <v>1496</v>
      </c>
    </row>
    <row r="488" spans="1:12" x14ac:dyDescent="0.3">
      <c r="A488" t="s">
        <v>1453</v>
      </c>
      <c r="B488" s="1">
        <v>45204</v>
      </c>
      <c r="C488" s="2">
        <v>0.625</v>
      </c>
      <c r="D488" t="s">
        <v>1455</v>
      </c>
      <c r="E488">
        <v>94</v>
      </c>
      <c r="F488" t="s">
        <v>812</v>
      </c>
      <c r="G488" t="s">
        <v>1455</v>
      </c>
      <c r="H488" t="s">
        <v>26</v>
      </c>
      <c r="I488">
        <v>-1.6893210000000001</v>
      </c>
      <c r="J488">
        <v>30.446543999999999</v>
      </c>
      <c r="K488" t="s">
        <v>1498</v>
      </c>
      <c r="L488" t="s">
        <v>1499</v>
      </c>
    </row>
    <row r="489" spans="1:12" x14ac:dyDescent="0.3">
      <c r="A489" t="s">
        <v>1453</v>
      </c>
      <c r="B489" s="1">
        <v>45216</v>
      </c>
      <c r="C489" s="2">
        <v>0.9604166666666667</v>
      </c>
      <c r="D489" t="s">
        <v>1456</v>
      </c>
      <c r="E489">
        <v>41</v>
      </c>
      <c r="F489" t="s">
        <v>810</v>
      </c>
      <c r="G489" t="s">
        <v>1456</v>
      </c>
      <c r="H489" t="s">
        <v>44</v>
      </c>
      <c r="I489">
        <v>-7.5641280000000002</v>
      </c>
      <c r="J489">
        <v>18.129529999999999</v>
      </c>
      <c r="K489" t="s">
        <v>1500</v>
      </c>
      <c r="L489" t="s">
        <v>1499</v>
      </c>
    </row>
    <row r="490" spans="1:12" x14ac:dyDescent="0.3">
      <c r="A490" t="s">
        <v>1453</v>
      </c>
      <c r="B490" s="1">
        <v>45217</v>
      </c>
      <c r="C490" s="2">
        <v>0.57847222222222228</v>
      </c>
      <c r="D490" t="s">
        <v>1457</v>
      </c>
      <c r="E490">
        <v>93</v>
      </c>
      <c r="F490" t="s">
        <v>810</v>
      </c>
      <c r="G490" t="s">
        <v>1457</v>
      </c>
      <c r="H490" t="s">
        <v>33</v>
      </c>
      <c r="I490">
        <v>-10.735106</v>
      </c>
      <c r="J490">
        <v>27.868673999999999</v>
      </c>
      <c r="K490" t="s">
        <v>1500</v>
      </c>
      <c r="L490" t="s">
        <v>1496</v>
      </c>
    </row>
    <row r="491" spans="1:12" x14ac:dyDescent="0.3">
      <c r="A491" t="s">
        <v>1453</v>
      </c>
      <c r="B491" s="1">
        <v>45226</v>
      </c>
      <c r="C491" s="2">
        <v>0.17083333333333334</v>
      </c>
      <c r="D491" t="s">
        <v>857</v>
      </c>
      <c r="E491">
        <v>54</v>
      </c>
      <c r="F491" t="s">
        <v>807</v>
      </c>
      <c r="G491" t="s">
        <v>857</v>
      </c>
      <c r="H491" t="s">
        <v>13</v>
      </c>
      <c r="I491">
        <v>-5.1030600000000002</v>
      </c>
      <c r="J491">
        <v>22.849231</v>
      </c>
      <c r="K491" t="s">
        <v>1495</v>
      </c>
      <c r="L491" t="s">
        <v>1501</v>
      </c>
    </row>
    <row r="492" spans="1:12" x14ac:dyDescent="0.3">
      <c r="A492" t="s">
        <v>1453</v>
      </c>
      <c r="B492" s="1">
        <v>45212</v>
      </c>
      <c r="C492" s="2">
        <v>0.90138888888888891</v>
      </c>
      <c r="D492" t="s">
        <v>871</v>
      </c>
      <c r="E492">
        <v>58</v>
      </c>
      <c r="F492" t="s">
        <v>807</v>
      </c>
      <c r="G492" t="s">
        <v>871</v>
      </c>
      <c r="H492" t="s">
        <v>40</v>
      </c>
      <c r="I492">
        <v>-10.963041</v>
      </c>
      <c r="J492">
        <v>12.269857</v>
      </c>
      <c r="K492" t="s">
        <v>1498</v>
      </c>
      <c r="L492" t="s">
        <v>1499</v>
      </c>
    </row>
    <row r="493" spans="1:12" x14ac:dyDescent="0.3">
      <c r="A493" t="s">
        <v>1453</v>
      </c>
      <c r="B493" s="1">
        <v>45219</v>
      </c>
      <c r="C493" s="2">
        <v>0.43888888888888888</v>
      </c>
      <c r="D493" t="s">
        <v>1459</v>
      </c>
      <c r="E493">
        <v>105</v>
      </c>
      <c r="F493" t="s">
        <v>810</v>
      </c>
      <c r="G493" t="s">
        <v>1459</v>
      </c>
      <c r="H493" t="s">
        <v>31</v>
      </c>
      <c r="I493">
        <v>-0.54908599999999996</v>
      </c>
      <c r="J493">
        <v>14.816867</v>
      </c>
      <c r="K493" t="s">
        <v>1495</v>
      </c>
      <c r="L493" t="s">
        <v>1501</v>
      </c>
    </row>
    <row r="494" spans="1:12" x14ac:dyDescent="0.3">
      <c r="A494" t="s">
        <v>1453</v>
      </c>
      <c r="B494" s="1">
        <v>45230</v>
      </c>
      <c r="C494" s="2">
        <v>0.42916666666666664</v>
      </c>
      <c r="D494" t="s">
        <v>1199</v>
      </c>
      <c r="E494">
        <v>11</v>
      </c>
      <c r="F494" t="s">
        <v>812</v>
      </c>
      <c r="G494" t="s">
        <v>1199</v>
      </c>
      <c r="H494" t="s">
        <v>26</v>
      </c>
      <c r="I494">
        <v>-2.8532869999999999</v>
      </c>
      <c r="J494">
        <v>22.117896000000002</v>
      </c>
      <c r="K494" t="s">
        <v>1495</v>
      </c>
      <c r="L494" t="s">
        <v>1499</v>
      </c>
    </row>
    <row r="495" spans="1:12" x14ac:dyDescent="0.3">
      <c r="A495" t="s">
        <v>1453</v>
      </c>
      <c r="B495" s="1">
        <v>45214</v>
      </c>
      <c r="C495" s="2">
        <v>0.17222222222222222</v>
      </c>
      <c r="D495" t="s">
        <v>976</v>
      </c>
      <c r="E495">
        <v>6</v>
      </c>
      <c r="F495" t="s">
        <v>807</v>
      </c>
      <c r="G495" t="s">
        <v>976</v>
      </c>
      <c r="H495" t="s">
        <v>26</v>
      </c>
      <c r="I495">
        <v>-3.6945459999999999</v>
      </c>
      <c r="J495">
        <v>16.809108999999999</v>
      </c>
      <c r="K495" t="s">
        <v>1495</v>
      </c>
      <c r="L495" t="s">
        <v>1501</v>
      </c>
    </row>
    <row r="496" spans="1:12" x14ac:dyDescent="0.3">
      <c r="A496" t="s">
        <v>1453</v>
      </c>
      <c r="B496" s="1">
        <v>45227</v>
      </c>
      <c r="C496" s="2">
        <v>0.44791666666666669</v>
      </c>
      <c r="D496" t="s">
        <v>1231</v>
      </c>
      <c r="E496">
        <v>84</v>
      </c>
      <c r="F496" t="s">
        <v>810</v>
      </c>
      <c r="G496" t="s">
        <v>1231</v>
      </c>
      <c r="H496" t="s">
        <v>21</v>
      </c>
      <c r="I496">
        <v>2.4414509999999998</v>
      </c>
      <c r="J496">
        <v>30.167489</v>
      </c>
      <c r="K496" t="s">
        <v>1495</v>
      </c>
      <c r="L496" t="s">
        <v>1508</v>
      </c>
    </row>
    <row r="497" spans="1:12" x14ac:dyDescent="0.3">
      <c r="A497" t="s">
        <v>1453</v>
      </c>
      <c r="B497" s="1">
        <v>45223</v>
      </c>
      <c r="C497" s="2">
        <v>0.73611111111111116</v>
      </c>
      <c r="D497" t="s">
        <v>1023</v>
      </c>
      <c r="E497">
        <v>116</v>
      </c>
      <c r="F497" t="s">
        <v>810</v>
      </c>
      <c r="G497" t="s">
        <v>1023</v>
      </c>
      <c r="H497" t="s">
        <v>24</v>
      </c>
      <c r="I497">
        <v>0.16841400000000001</v>
      </c>
      <c r="J497">
        <v>30.029876999999999</v>
      </c>
      <c r="K497" t="s">
        <v>1495</v>
      </c>
      <c r="L497" t="s">
        <v>1499</v>
      </c>
    </row>
    <row r="498" spans="1:12" x14ac:dyDescent="0.3">
      <c r="A498" t="s">
        <v>1453</v>
      </c>
      <c r="B498" s="1">
        <v>45221</v>
      </c>
      <c r="C498" s="2">
        <v>0.19791666666666666</v>
      </c>
      <c r="D498" t="s">
        <v>1069</v>
      </c>
      <c r="E498">
        <v>61</v>
      </c>
      <c r="F498" t="s">
        <v>812</v>
      </c>
      <c r="G498" t="s">
        <v>1069</v>
      </c>
      <c r="H498" t="s">
        <v>40</v>
      </c>
      <c r="I498">
        <v>-7.5129409999999996</v>
      </c>
      <c r="J498">
        <v>18.701522000000001</v>
      </c>
      <c r="K498" t="s">
        <v>1498</v>
      </c>
      <c r="L498" t="s">
        <v>1508</v>
      </c>
    </row>
    <row r="499" spans="1:12" x14ac:dyDescent="0.3">
      <c r="A499" t="s">
        <v>1453</v>
      </c>
      <c r="B499" s="1">
        <v>45224</v>
      </c>
      <c r="C499" s="2">
        <v>0.4826388888888889</v>
      </c>
      <c r="D499" t="s">
        <v>824</v>
      </c>
      <c r="E499">
        <v>95</v>
      </c>
      <c r="F499" t="s">
        <v>810</v>
      </c>
      <c r="G499" t="s">
        <v>824</v>
      </c>
      <c r="H499" t="s">
        <v>67</v>
      </c>
      <c r="I499">
        <v>-2.2371569999999998</v>
      </c>
      <c r="J499">
        <v>25.926188</v>
      </c>
      <c r="K499" t="s">
        <v>1500</v>
      </c>
      <c r="L499" t="s">
        <v>1508</v>
      </c>
    </row>
    <row r="500" spans="1:12" x14ac:dyDescent="0.3">
      <c r="A500" t="s">
        <v>1453</v>
      </c>
      <c r="B500" s="1">
        <v>45215</v>
      </c>
      <c r="C500" s="2">
        <v>0.77500000000000002</v>
      </c>
      <c r="D500" t="s">
        <v>1169</v>
      </c>
      <c r="E500">
        <v>95</v>
      </c>
      <c r="F500" t="s">
        <v>810</v>
      </c>
      <c r="G500" t="s">
        <v>1169</v>
      </c>
      <c r="H500" t="s">
        <v>73</v>
      </c>
      <c r="I500">
        <v>-0.85624699999999998</v>
      </c>
      <c r="J500">
        <v>28.624870000000001</v>
      </c>
      <c r="K500" t="s">
        <v>1500</v>
      </c>
      <c r="L500" t="s">
        <v>1496</v>
      </c>
    </row>
    <row r="501" spans="1:12" x14ac:dyDescent="0.3">
      <c r="A501" t="s">
        <v>1453</v>
      </c>
      <c r="B501" s="1">
        <v>45213</v>
      </c>
      <c r="C501" s="2">
        <v>0.90763888888888888</v>
      </c>
      <c r="D501" t="s">
        <v>1426</v>
      </c>
      <c r="E501">
        <v>52</v>
      </c>
      <c r="F501" t="s">
        <v>807</v>
      </c>
      <c r="G501" t="s">
        <v>1426</v>
      </c>
      <c r="H501" t="s">
        <v>131</v>
      </c>
      <c r="I501">
        <v>-10.298385</v>
      </c>
      <c r="J501">
        <v>29.698117</v>
      </c>
      <c r="K501" t="s">
        <v>1495</v>
      </c>
      <c r="L501" t="s">
        <v>1508</v>
      </c>
    </row>
    <row r="502" spans="1:12" x14ac:dyDescent="0.3">
      <c r="A502" t="s">
        <v>1453</v>
      </c>
      <c r="B502" s="1">
        <v>45228</v>
      </c>
      <c r="C502" s="2">
        <v>0.57708333333333328</v>
      </c>
      <c r="D502" t="s">
        <v>956</v>
      </c>
      <c r="E502">
        <v>80</v>
      </c>
      <c r="F502" t="s">
        <v>812</v>
      </c>
      <c r="G502" t="s">
        <v>956</v>
      </c>
      <c r="H502" t="s">
        <v>127</v>
      </c>
      <c r="I502">
        <v>-1.8045979999999999</v>
      </c>
      <c r="J502">
        <v>12.511096999999999</v>
      </c>
      <c r="K502" t="s">
        <v>1500</v>
      </c>
      <c r="L502" t="s">
        <v>1499</v>
      </c>
    </row>
    <row r="503" spans="1:12" x14ac:dyDescent="0.3">
      <c r="A503" t="s">
        <v>1453</v>
      </c>
      <c r="B503" s="1">
        <v>45200</v>
      </c>
      <c r="C503" s="2">
        <v>0.67083333333333328</v>
      </c>
      <c r="D503" t="s">
        <v>1467</v>
      </c>
      <c r="E503">
        <v>74</v>
      </c>
      <c r="F503" t="s">
        <v>812</v>
      </c>
      <c r="G503" t="s">
        <v>1467</v>
      </c>
      <c r="H503" t="s">
        <v>10</v>
      </c>
      <c r="I503">
        <v>-4.6426759999999998</v>
      </c>
      <c r="J503">
        <v>22.124254000000001</v>
      </c>
      <c r="K503" t="s">
        <v>1498</v>
      </c>
      <c r="L503" t="s">
        <v>1501</v>
      </c>
    </row>
    <row r="504" spans="1:12" x14ac:dyDescent="0.3">
      <c r="A504" t="s">
        <v>1453</v>
      </c>
      <c r="B504" s="1">
        <v>45200</v>
      </c>
      <c r="C504" s="2">
        <v>0.50624999999999998</v>
      </c>
      <c r="D504" t="s">
        <v>1301</v>
      </c>
      <c r="E504">
        <v>99</v>
      </c>
      <c r="F504" t="s">
        <v>807</v>
      </c>
      <c r="G504" t="s">
        <v>1301</v>
      </c>
      <c r="H504" t="s">
        <v>24</v>
      </c>
      <c r="I504">
        <v>-10.945031</v>
      </c>
      <c r="J504">
        <v>27.922274000000002</v>
      </c>
      <c r="K504" t="s">
        <v>1498</v>
      </c>
      <c r="L504" t="s">
        <v>1496</v>
      </c>
    </row>
    <row r="505" spans="1:12" x14ac:dyDescent="0.3">
      <c r="A505" t="s">
        <v>1453</v>
      </c>
      <c r="B505" s="1">
        <v>45201</v>
      </c>
      <c r="C505" s="2">
        <v>0.87708333333333333</v>
      </c>
      <c r="D505" t="s">
        <v>975</v>
      </c>
      <c r="E505">
        <v>82</v>
      </c>
      <c r="F505" t="s">
        <v>812</v>
      </c>
      <c r="G505" t="s">
        <v>975</v>
      </c>
      <c r="H505" t="s">
        <v>131</v>
      </c>
      <c r="I505">
        <v>-12.336202</v>
      </c>
      <c r="J505">
        <v>13.693683999999999</v>
      </c>
      <c r="K505" t="s">
        <v>1495</v>
      </c>
      <c r="L505" t="s">
        <v>1499</v>
      </c>
    </row>
    <row r="506" spans="1:12" x14ac:dyDescent="0.3">
      <c r="A506" t="s">
        <v>1453</v>
      </c>
      <c r="B506" s="1">
        <v>45225</v>
      </c>
      <c r="C506" s="2">
        <v>0.22083333333333333</v>
      </c>
      <c r="D506" t="s">
        <v>1469</v>
      </c>
      <c r="E506">
        <v>104</v>
      </c>
      <c r="F506" t="s">
        <v>810</v>
      </c>
      <c r="G506" t="s">
        <v>1469</v>
      </c>
      <c r="H506" t="s">
        <v>33</v>
      </c>
      <c r="I506">
        <v>-8.0800809999999998</v>
      </c>
      <c r="J506">
        <v>30.147970999999998</v>
      </c>
      <c r="K506" t="s">
        <v>1495</v>
      </c>
      <c r="L506" t="s">
        <v>1499</v>
      </c>
    </row>
    <row r="507" spans="1:12" x14ac:dyDescent="0.3">
      <c r="A507" t="s">
        <v>1453</v>
      </c>
      <c r="B507" s="1">
        <v>45211</v>
      </c>
      <c r="C507" s="2">
        <v>0.58750000000000002</v>
      </c>
      <c r="D507" t="s">
        <v>1472</v>
      </c>
      <c r="E507">
        <v>27</v>
      </c>
      <c r="F507" t="s">
        <v>812</v>
      </c>
      <c r="G507" t="s">
        <v>1472</v>
      </c>
      <c r="H507" t="s">
        <v>60</v>
      </c>
      <c r="I507">
        <v>-7.8215969999999997</v>
      </c>
      <c r="J507">
        <v>26.797349000000001</v>
      </c>
      <c r="K507" t="s">
        <v>1500</v>
      </c>
      <c r="L507" t="s">
        <v>1496</v>
      </c>
    </row>
    <row r="508" spans="1:12" x14ac:dyDescent="0.3">
      <c r="A508" t="s">
        <v>1453</v>
      </c>
      <c r="B508" s="1">
        <v>45220</v>
      </c>
      <c r="C508" s="2">
        <v>0.72499999999999998</v>
      </c>
      <c r="D508" t="s">
        <v>927</v>
      </c>
      <c r="E508">
        <v>28</v>
      </c>
      <c r="F508" t="s">
        <v>812</v>
      </c>
      <c r="G508" t="s">
        <v>927</v>
      </c>
      <c r="H508" t="s">
        <v>37</v>
      </c>
      <c r="I508">
        <v>-9.002459</v>
      </c>
      <c r="J508">
        <v>25.182109000000001</v>
      </c>
      <c r="K508" t="s">
        <v>1495</v>
      </c>
      <c r="L508" t="s">
        <v>1499</v>
      </c>
    </row>
    <row r="509" spans="1:12" x14ac:dyDescent="0.3">
      <c r="A509" t="s">
        <v>1453</v>
      </c>
      <c r="B509" s="1">
        <v>45207</v>
      </c>
      <c r="C509" s="2">
        <v>0.70138888888888884</v>
      </c>
      <c r="D509" t="s">
        <v>1475</v>
      </c>
      <c r="E509">
        <v>27</v>
      </c>
      <c r="F509" t="s">
        <v>812</v>
      </c>
      <c r="G509" t="s">
        <v>1475</v>
      </c>
      <c r="H509" t="s">
        <v>35</v>
      </c>
      <c r="I509">
        <v>-10.764815</v>
      </c>
      <c r="J509">
        <v>14.602039</v>
      </c>
      <c r="K509" t="s">
        <v>1498</v>
      </c>
      <c r="L509" t="s">
        <v>1508</v>
      </c>
    </row>
    <row r="510" spans="1:12" x14ac:dyDescent="0.3">
      <c r="A510" t="s">
        <v>1476</v>
      </c>
      <c r="B510" s="1">
        <v>45223</v>
      </c>
      <c r="C510" s="2">
        <v>0.57013888888888886</v>
      </c>
      <c r="D510" t="s">
        <v>992</v>
      </c>
      <c r="E510">
        <v>10</v>
      </c>
      <c r="F510" t="s">
        <v>810</v>
      </c>
      <c r="G510" t="s">
        <v>992</v>
      </c>
      <c r="H510" t="s">
        <v>44</v>
      </c>
      <c r="I510">
        <v>-9.3652280000000001</v>
      </c>
      <c r="J510">
        <v>18.674116000000001</v>
      </c>
      <c r="K510" t="s">
        <v>1498</v>
      </c>
      <c r="L510" t="s">
        <v>1499</v>
      </c>
    </row>
    <row r="511" spans="1:12" x14ac:dyDescent="0.3">
      <c r="A511" t="s">
        <v>1476</v>
      </c>
      <c r="B511" s="1">
        <v>45226</v>
      </c>
      <c r="C511" s="2">
        <v>0.11597222222222223</v>
      </c>
      <c r="D511" t="s">
        <v>1129</v>
      </c>
      <c r="E511">
        <v>5</v>
      </c>
      <c r="F511" t="s">
        <v>812</v>
      </c>
      <c r="G511" t="s">
        <v>1129</v>
      </c>
      <c r="H511" t="s">
        <v>57</v>
      </c>
      <c r="I511">
        <v>2.486888</v>
      </c>
      <c r="J511">
        <v>23.798074</v>
      </c>
      <c r="K511" t="s">
        <v>1495</v>
      </c>
      <c r="L511" t="s">
        <v>1501</v>
      </c>
    </row>
    <row r="512" spans="1:12" x14ac:dyDescent="0.3">
      <c r="A512" t="s">
        <v>1476</v>
      </c>
      <c r="B512" s="1">
        <v>45221</v>
      </c>
      <c r="C512" s="2">
        <v>0.1673611111111111</v>
      </c>
      <c r="D512" t="s">
        <v>922</v>
      </c>
      <c r="E512">
        <v>78</v>
      </c>
      <c r="F512" t="s">
        <v>810</v>
      </c>
      <c r="G512" t="s">
        <v>922</v>
      </c>
      <c r="H512" t="s">
        <v>51</v>
      </c>
      <c r="I512">
        <v>2.4741019999999998</v>
      </c>
      <c r="J512">
        <v>29.297391000000001</v>
      </c>
      <c r="K512" t="s">
        <v>1498</v>
      </c>
      <c r="L512" t="s">
        <v>1496</v>
      </c>
    </row>
    <row r="513" spans="1:12" x14ac:dyDescent="0.3">
      <c r="A513" t="s">
        <v>1476</v>
      </c>
      <c r="B513" s="1">
        <v>45201</v>
      </c>
      <c r="C513" s="2">
        <v>8.611111111111111E-2</v>
      </c>
      <c r="D513" t="s">
        <v>1002</v>
      </c>
      <c r="E513">
        <v>55</v>
      </c>
      <c r="F513" t="s">
        <v>807</v>
      </c>
      <c r="G513" t="s">
        <v>1002</v>
      </c>
      <c r="H513" t="s">
        <v>131</v>
      </c>
      <c r="I513">
        <v>-1.8555980000000001</v>
      </c>
      <c r="J513">
        <v>30.421918000000002</v>
      </c>
      <c r="K513" t="s">
        <v>1500</v>
      </c>
      <c r="L513" t="s">
        <v>1501</v>
      </c>
    </row>
    <row r="514" spans="1:12" x14ac:dyDescent="0.3">
      <c r="A514" t="s">
        <v>1476</v>
      </c>
      <c r="B514" s="1">
        <v>45218</v>
      </c>
      <c r="C514" s="2">
        <v>0.33194444444444443</v>
      </c>
      <c r="D514" t="s">
        <v>1002</v>
      </c>
      <c r="E514">
        <v>15</v>
      </c>
      <c r="F514" t="s">
        <v>812</v>
      </c>
      <c r="G514" t="s">
        <v>1002</v>
      </c>
      <c r="H514" t="s">
        <v>131</v>
      </c>
      <c r="I514">
        <v>-1.8555980000000001</v>
      </c>
      <c r="J514">
        <v>30.421918000000002</v>
      </c>
      <c r="K514" t="s">
        <v>1500</v>
      </c>
      <c r="L514" t="s">
        <v>1501</v>
      </c>
    </row>
    <row r="515" spans="1:12" x14ac:dyDescent="0.3">
      <c r="A515" t="s">
        <v>1476</v>
      </c>
      <c r="B515" s="1">
        <v>45208</v>
      </c>
      <c r="C515" s="2">
        <v>0.55833333333333335</v>
      </c>
      <c r="D515" t="s">
        <v>1469</v>
      </c>
      <c r="E515">
        <v>44</v>
      </c>
      <c r="F515" t="s">
        <v>812</v>
      </c>
      <c r="G515" t="s">
        <v>1469</v>
      </c>
      <c r="H515" t="s">
        <v>33</v>
      </c>
      <c r="I515">
        <v>-8.0800809999999998</v>
      </c>
      <c r="J515">
        <v>30.147970999999998</v>
      </c>
      <c r="K515" t="s">
        <v>1495</v>
      </c>
      <c r="L515" t="s">
        <v>1499</v>
      </c>
    </row>
    <row r="516" spans="1:12" x14ac:dyDescent="0.3">
      <c r="A516" t="s">
        <v>1476</v>
      </c>
      <c r="B516" s="1">
        <v>45214</v>
      </c>
      <c r="C516" s="2">
        <v>0.85069444444444442</v>
      </c>
      <c r="D516" t="s">
        <v>1165</v>
      </c>
      <c r="E516">
        <v>31</v>
      </c>
      <c r="F516" t="s">
        <v>812</v>
      </c>
      <c r="G516" t="s">
        <v>1165</v>
      </c>
      <c r="H516" t="s">
        <v>57</v>
      </c>
      <c r="I516">
        <v>-5.4073029999999997</v>
      </c>
      <c r="J516">
        <v>29.762294000000001</v>
      </c>
      <c r="K516" t="s">
        <v>1500</v>
      </c>
      <c r="L516" t="s">
        <v>1496</v>
      </c>
    </row>
    <row r="517" spans="1:12" x14ac:dyDescent="0.3">
      <c r="A517" t="s">
        <v>1476</v>
      </c>
      <c r="B517" s="1">
        <v>45223</v>
      </c>
      <c r="C517" s="2">
        <v>0.7944444444444444</v>
      </c>
      <c r="D517" t="s">
        <v>1479</v>
      </c>
      <c r="E517">
        <v>97</v>
      </c>
      <c r="F517" t="s">
        <v>807</v>
      </c>
      <c r="G517" t="s">
        <v>1479</v>
      </c>
      <c r="H517" t="s">
        <v>127</v>
      </c>
      <c r="I517">
        <v>1.0134879999999999</v>
      </c>
      <c r="J517">
        <v>20.363515</v>
      </c>
      <c r="K517" t="s">
        <v>1498</v>
      </c>
      <c r="L517" t="s">
        <v>1508</v>
      </c>
    </row>
    <row r="518" spans="1:12" x14ac:dyDescent="0.3">
      <c r="A518" t="s">
        <v>1476</v>
      </c>
      <c r="B518" s="1">
        <v>45216</v>
      </c>
      <c r="C518" s="2">
        <v>0.13750000000000001</v>
      </c>
      <c r="D518" t="s">
        <v>1482</v>
      </c>
      <c r="E518">
        <v>120</v>
      </c>
      <c r="F518" t="s">
        <v>810</v>
      </c>
      <c r="G518" t="s">
        <v>1482</v>
      </c>
      <c r="H518" t="s">
        <v>16</v>
      </c>
      <c r="I518">
        <v>-7.2267089999999996</v>
      </c>
      <c r="J518">
        <v>28.421362999999999</v>
      </c>
      <c r="K518" t="s">
        <v>1495</v>
      </c>
      <c r="L518" t="s">
        <v>1496</v>
      </c>
    </row>
    <row r="519" spans="1:12" x14ac:dyDescent="0.3">
      <c r="A519" t="s">
        <v>1476</v>
      </c>
      <c r="B519" s="1">
        <v>45225</v>
      </c>
      <c r="C519" s="2">
        <v>0.8881944444444444</v>
      </c>
      <c r="D519" t="s">
        <v>1483</v>
      </c>
      <c r="E519">
        <v>87</v>
      </c>
      <c r="F519" t="s">
        <v>812</v>
      </c>
      <c r="G519" t="s">
        <v>1483</v>
      </c>
      <c r="H519" t="s">
        <v>18</v>
      </c>
      <c r="I519">
        <v>-5.8145569999999998</v>
      </c>
      <c r="J519">
        <v>21.942052</v>
      </c>
      <c r="K519" t="s">
        <v>1495</v>
      </c>
      <c r="L519" t="s">
        <v>1499</v>
      </c>
    </row>
    <row r="520" spans="1:12" x14ac:dyDescent="0.3">
      <c r="A520" t="s">
        <v>1476</v>
      </c>
      <c r="B520" s="1">
        <v>45219</v>
      </c>
      <c r="C520" s="2">
        <v>9.583333333333334E-2</v>
      </c>
      <c r="D520" t="s">
        <v>976</v>
      </c>
      <c r="E520">
        <v>113</v>
      </c>
      <c r="F520" t="s">
        <v>812</v>
      </c>
      <c r="G520" t="s">
        <v>976</v>
      </c>
      <c r="H520" t="s">
        <v>26</v>
      </c>
      <c r="I520">
        <v>-3.6945459999999999</v>
      </c>
      <c r="J520">
        <v>16.809108999999999</v>
      </c>
      <c r="K520" t="s">
        <v>1495</v>
      </c>
      <c r="L520" t="s">
        <v>1501</v>
      </c>
    </row>
    <row r="521" spans="1:12" x14ac:dyDescent="0.3">
      <c r="A521" t="s">
        <v>1476</v>
      </c>
      <c r="B521" s="1">
        <v>45212</v>
      </c>
      <c r="C521" s="2">
        <v>0.87569444444444444</v>
      </c>
      <c r="D521" t="s">
        <v>1485</v>
      </c>
      <c r="E521">
        <v>23</v>
      </c>
      <c r="F521" t="s">
        <v>807</v>
      </c>
      <c r="G521" t="s">
        <v>1485</v>
      </c>
      <c r="H521" t="s">
        <v>51</v>
      </c>
      <c r="I521">
        <v>1.2691650000000001</v>
      </c>
      <c r="J521">
        <v>18.789956</v>
      </c>
      <c r="K521" t="s">
        <v>1500</v>
      </c>
      <c r="L521" t="s">
        <v>1508</v>
      </c>
    </row>
    <row r="522" spans="1:12" x14ac:dyDescent="0.3">
      <c r="A522" t="s">
        <v>1476</v>
      </c>
      <c r="B522" s="1">
        <v>45212</v>
      </c>
      <c r="C522" s="2">
        <v>0.72083333333333333</v>
      </c>
      <c r="D522" t="s">
        <v>1486</v>
      </c>
      <c r="E522">
        <v>33</v>
      </c>
      <c r="F522" t="s">
        <v>812</v>
      </c>
      <c r="G522" t="s">
        <v>1486</v>
      </c>
      <c r="H522" t="s">
        <v>13</v>
      </c>
      <c r="I522">
        <v>-5.7957599999999996</v>
      </c>
      <c r="J522">
        <v>14.078258</v>
      </c>
      <c r="K522" t="s">
        <v>1495</v>
      </c>
      <c r="L522" t="s">
        <v>1496</v>
      </c>
    </row>
    <row r="523" spans="1:12" x14ac:dyDescent="0.3">
      <c r="A523" t="s">
        <v>1476</v>
      </c>
      <c r="B523" s="1">
        <v>45230</v>
      </c>
      <c r="C523" s="2">
        <v>0.83958333333333335</v>
      </c>
      <c r="D523" t="s">
        <v>1196</v>
      </c>
      <c r="E523">
        <v>83</v>
      </c>
      <c r="F523" t="s">
        <v>812</v>
      </c>
      <c r="G523" t="s">
        <v>1196</v>
      </c>
      <c r="H523" t="s">
        <v>60</v>
      </c>
      <c r="I523">
        <v>-0.79459900000000006</v>
      </c>
      <c r="J523">
        <v>26.775570999999999</v>
      </c>
      <c r="K523" t="s">
        <v>1495</v>
      </c>
      <c r="L523" t="s">
        <v>1499</v>
      </c>
    </row>
    <row r="524" spans="1:12" x14ac:dyDescent="0.3">
      <c r="A524" t="s">
        <v>1476</v>
      </c>
      <c r="B524" s="1">
        <v>45209</v>
      </c>
      <c r="C524" s="2">
        <v>0.91388888888888886</v>
      </c>
      <c r="D524" t="s">
        <v>1131</v>
      </c>
      <c r="E524">
        <v>111</v>
      </c>
      <c r="F524" t="s">
        <v>812</v>
      </c>
      <c r="G524" t="s">
        <v>1131</v>
      </c>
      <c r="H524" t="s">
        <v>26</v>
      </c>
      <c r="I524">
        <v>-6.4197189999999997</v>
      </c>
      <c r="J524">
        <v>22.287264</v>
      </c>
      <c r="K524" t="s">
        <v>1500</v>
      </c>
      <c r="L524" t="s">
        <v>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4167-B395-4FAF-8CC9-4433370EBD1F}">
  <dimension ref="A3:M136"/>
  <sheetViews>
    <sheetView tabSelected="1" topLeftCell="H1" workbookViewId="0">
      <selection activeCell="L9" sqref="L9"/>
    </sheetView>
  </sheetViews>
  <sheetFormatPr baseColWidth="10" defaultRowHeight="14.4" x14ac:dyDescent="0.3"/>
  <cols>
    <col min="1" max="1" width="19.88671875" bestFit="1" customWidth="1"/>
    <col min="2" max="2" width="22.77734375" bestFit="1" customWidth="1"/>
    <col min="3" max="3" width="28.88671875" bestFit="1" customWidth="1"/>
    <col min="4" max="4" width="23.33203125" bestFit="1" customWidth="1"/>
    <col min="5" max="5" width="22.77734375" bestFit="1" customWidth="1"/>
    <col min="6" max="6" width="28.88671875" bestFit="1" customWidth="1"/>
    <col min="7" max="7" width="23.33203125" bestFit="1" customWidth="1"/>
    <col min="8" max="8" width="22.77734375" bestFit="1" customWidth="1"/>
    <col min="9" max="9" width="28.88671875" bestFit="1" customWidth="1"/>
    <col min="10" max="10" width="23.33203125" bestFit="1" customWidth="1"/>
    <col min="11" max="11" width="27.109375" bestFit="1" customWidth="1"/>
    <col min="12" max="12" width="33.21875" bestFit="1" customWidth="1"/>
    <col min="13" max="13" width="27.6640625" bestFit="1" customWidth="1"/>
    <col min="14" max="389" width="8.109375" bestFit="1" customWidth="1"/>
    <col min="390" max="390" width="11.21875" bestFit="1" customWidth="1"/>
    <col min="391" max="397" width="8.109375" bestFit="1" customWidth="1"/>
    <col min="398" max="398" width="7.21875" bestFit="1" customWidth="1"/>
    <col min="399" max="399" width="11.21875" bestFit="1" customWidth="1"/>
    <col min="400" max="400" width="12.33203125" bestFit="1" customWidth="1"/>
    <col min="401" max="401" width="9.77734375" bestFit="1" customWidth="1"/>
    <col min="402" max="402" width="12.33203125" bestFit="1" customWidth="1"/>
    <col min="403" max="403" width="9.77734375" bestFit="1" customWidth="1"/>
    <col min="404" max="404" width="12.33203125" bestFit="1" customWidth="1"/>
    <col min="405" max="405" width="9.77734375" bestFit="1" customWidth="1"/>
    <col min="406" max="406" width="12.33203125" bestFit="1" customWidth="1"/>
    <col min="407" max="407" width="9.77734375" bestFit="1" customWidth="1"/>
    <col min="408" max="408" width="5.5546875" bestFit="1" customWidth="1"/>
    <col min="409" max="409" width="12.33203125" bestFit="1" customWidth="1"/>
    <col min="410" max="410" width="9.77734375" bestFit="1" customWidth="1"/>
    <col min="411" max="411" width="12.33203125" bestFit="1" customWidth="1"/>
    <col min="412" max="412" width="9.77734375" bestFit="1" customWidth="1"/>
    <col min="413" max="414" width="5.5546875" bestFit="1" customWidth="1"/>
    <col min="415" max="415" width="12.33203125" bestFit="1" customWidth="1"/>
    <col min="416" max="416" width="9.77734375" bestFit="1" customWidth="1"/>
    <col min="417" max="417" width="5.5546875" bestFit="1" customWidth="1"/>
    <col min="418" max="418" width="12.33203125" bestFit="1" customWidth="1"/>
    <col min="419" max="419" width="9.77734375" bestFit="1" customWidth="1"/>
    <col min="420" max="420" width="5.5546875" bestFit="1" customWidth="1"/>
    <col min="421" max="421" width="12.33203125" bestFit="1" customWidth="1"/>
    <col min="422" max="422" width="9.77734375" bestFit="1" customWidth="1"/>
    <col min="423" max="423" width="12.33203125" bestFit="1" customWidth="1"/>
    <col min="424" max="424" width="9.77734375" bestFit="1" customWidth="1"/>
    <col min="425" max="425" width="5.5546875" bestFit="1" customWidth="1"/>
    <col min="426" max="426" width="12.33203125" bestFit="1" customWidth="1"/>
    <col min="427" max="427" width="9.77734375" bestFit="1" customWidth="1"/>
    <col min="428" max="428" width="5.5546875" bestFit="1" customWidth="1"/>
    <col min="429" max="429" width="12.33203125" bestFit="1" customWidth="1"/>
    <col min="430" max="430" width="9.77734375" bestFit="1" customWidth="1"/>
    <col min="431" max="431" width="5.5546875" bestFit="1" customWidth="1"/>
    <col min="432" max="432" width="12.33203125" bestFit="1" customWidth="1"/>
    <col min="433" max="433" width="9.77734375" bestFit="1" customWidth="1"/>
    <col min="434" max="434" width="12.33203125" bestFit="1" customWidth="1"/>
    <col min="435" max="435" width="9.77734375" bestFit="1" customWidth="1"/>
    <col min="436" max="436" width="5.5546875" bestFit="1" customWidth="1"/>
    <col min="437" max="437" width="12.33203125" bestFit="1" customWidth="1"/>
    <col min="438" max="438" width="9.77734375" bestFit="1" customWidth="1"/>
    <col min="439" max="439" width="12.33203125" bestFit="1" customWidth="1"/>
    <col min="440" max="440" width="9.77734375" bestFit="1" customWidth="1"/>
    <col min="441" max="441" width="12.33203125" bestFit="1" customWidth="1"/>
    <col min="442" max="442" width="9.77734375" bestFit="1" customWidth="1"/>
    <col min="443" max="443" width="5.5546875" bestFit="1" customWidth="1"/>
    <col min="444" max="444" width="12.33203125" bestFit="1" customWidth="1"/>
    <col min="445" max="445" width="9.77734375" bestFit="1" customWidth="1"/>
    <col min="446" max="446" width="5.5546875" bestFit="1" customWidth="1"/>
    <col min="447" max="447" width="12.33203125" bestFit="1" customWidth="1"/>
    <col min="448" max="448" width="9.77734375" bestFit="1" customWidth="1"/>
    <col min="449" max="449" width="12.33203125" bestFit="1" customWidth="1"/>
    <col min="450" max="450" width="9.77734375" bestFit="1" customWidth="1"/>
    <col min="451" max="451" width="12.33203125" bestFit="1" customWidth="1"/>
    <col min="452" max="452" width="9.77734375" bestFit="1" customWidth="1"/>
    <col min="453" max="453" width="5.5546875" bestFit="1" customWidth="1"/>
    <col min="454" max="454" width="12.33203125" bestFit="1" customWidth="1"/>
    <col min="455" max="455" width="9.77734375" bestFit="1" customWidth="1"/>
    <col min="456" max="456" width="12.33203125" bestFit="1" customWidth="1"/>
    <col min="457" max="457" width="9.77734375" bestFit="1" customWidth="1"/>
    <col min="458" max="458" width="12.33203125" bestFit="1" customWidth="1"/>
    <col min="459" max="459" width="9.77734375" bestFit="1" customWidth="1"/>
    <col min="460" max="460" width="12.33203125" bestFit="1" customWidth="1"/>
    <col min="461" max="461" width="9.77734375" bestFit="1" customWidth="1"/>
    <col min="462" max="462" width="12.33203125" bestFit="1" customWidth="1"/>
    <col min="463" max="463" width="9.77734375" bestFit="1" customWidth="1"/>
    <col min="464" max="464" width="12.33203125" bestFit="1" customWidth="1"/>
    <col min="465" max="465" width="9.77734375" bestFit="1" customWidth="1"/>
    <col min="466" max="466" width="12.33203125" bestFit="1" customWidth="1"/>
    <col min="467" max="467" width="9.77734375" bestFit="1" customWidth="1"/>
    <col min="468" max="468" width="5.5546875" bestFit="1" customWidth="1"/>
    <col min="469" max="469" width="12.33203125" bestFit="1" customWidth="1"/>
    <col min="470" max="470" width="9.77734375" bestFit="1" customWidth="1"/>
    <col min="471" max="471" width="12.33203125" bestFit="1" customWidth="1"/>
    <col min="472" max="472" width="9.77734375" bestFit="1" customWidth="1"/>
    <col min="473" max="473" width="12.33203125" bestFit="1" customWidth="1"/>
    <col min="474" max="474" width="9.77734375" bestFit="1" customWidth="1"/>
    <col min="475" max="475" width="12.33203125" bestFit="1" customWidth="1"/>
    <col min="476" max="476" width="9.77734375" bestFit="1" customWidth="1"/>
    <col min="477" max="477" width="5.5546875" bestFit="1" customWidth="1"/>
    <col min="478" max="478" width="12.33203125" bestFit="1" customWidth="1"/>
    <col min="479" max="479" width="9.77734375" bestFit="1" customWidth="1"/>
    <col min="480" max="481" width="5.5546875" bestFit="1" customWidth="1"/>
    <col min="482" max="482" width="12.33203125" bestFit="1" customWidth="1"/>
    <col min="483" max="483" width="9.77734375" bestFit="1" customWidth="1"/>
    <col min="484" max="484" width="12.33203125" bestFit="1" customWidth="1"/>
    <col min="485" max="485" width="7.21875" bestFit="1" customWidth="1"/>
    <col min="486" max="486" width="9.77734375" bestFit="1" customWidth="1"/>
    <col min="487" max="487" width="12.33203125" bestFit="1" customWidth="1"/>
    <col min="488" max="488" width="9.77734375" bestFit="1" customWidth="1"/>
    <col min="489" max="489" width="12.33203125" bestFit="1" customWidth="1"/>
    <col min="490" max="490" width="9.77734375" bestFit="1" customWidth="1"/>
    <col min="491" max="491" width="5.5546875" bestFit="1" customWidth="1"/>
    <col min="492" max="492" width="12.33203125" bestFit="1" customWidth="1"/>
    <col min="493" max="493" width="9.77734375" bestFit="1" customWidth="1"/>
    <col min="494" max="494" width="5.5546875" bestFit="1" customWidth="1"/>
    <col min="495" max="495" width="12.33203125" bestFit="1" customWidth="1"/>
    <col min="496" max="496" width="9.77734375" bestFit="1" customWidth="1"/>
    <col min="497" max="497" width="5.5546875" bestFit="1" customWidth="1"/>
    <col min="498" max="498" width="12.33203125" bestFit="1" customWidth="1"/>
    <col min="499" max="499" width="9.77734375" bestFit="1" customWidth="1"/>
    <col min="500" max="500" width="12.33203125" bestFit="1" customWidth="1"/>
    <col min="501" max="501" width="9.77734375" bestFit="1" customWidth="1"/>
    <col min="502" max="502" width="5.5546875" bestFit="1" customWidth="1"/>
    <col min="503" max="503" width="12.33203125" bestFit="1" customWidth="1"/>
    <col min="504" max="504" width="9.77734375" bestFit="1" customWidth="1"/>
    <col min="505" max="505" width="12.33203125" bestFit="1" customWidth="1"/>
    <col min="506" max="506" width="9.77734375" bestFit="1" customWidth="1"/>
    <col min="507" max="507" width="12.33203125" bestFit="1" customWidth="1"/>
    <col min="508" max="508" width="9.77734375" bestFit="1" customWidth="1"/>
    <col min="509" max="509" width="12.33203125" bestFit="1" customWidth="1"/>
    <col min="510" max="510" width="9.77734375" bestFit="1" customWidth="1"/>
    <col min="511" max="511" width="5.5546875" bestFit="1" customWidth="1"/>
    <col min="512" max="512" width="12.33203125" bestFit="1" customWidth="1"/>
    <col min="513" max="513" width="9.77734375" bestFit="1" customWidth="1"/>
    <col min="514" max="514" width="12.33203125" bestFit="1" customWidth="1"/>
    <col min="515" max="515" width="9.77734375" bestFit="1" customWidth="1"/>
    <col min="516" max="516" width="12.33203125" bestFit="1" customWidth="1"/>
    <col min="517" max="517" width="9.77734375" bestFit="1" customWidth="1"/>
    <col min="518" max="518" width="5.5546875" bestFit="1" customWidth="1"/>
    <col min="519" max="519" width="12.33203125" bestFit="1" customWidth="1"/>
    <col min="520" max="520" width="9.77734375" bestFit="1" customWidth="1"/>
    <col min="521" max="521" width="12.33203125" bestFit="1" customWidth="1"/>
    <col min="522" max="522" width="9.77734375" bestFit="1" customWidth="1"/>
    <col min="523" max="523" width="5.5546875" bestFit="1" customWidth="1"/>
    <col min="524" max="524" width="12.33203125" bestFit="1" customWidth="1"/>
    <col min="525" max="525" width="9.77734375" bestFit="1" customWidth="1"/>
    <col min="526" max="526" width="12.33203125" bestFit="1" customWidth="1"/>
    <col min="527" max="527" width="9.77734375" bestFit="1" customWidth="1"/>
    <col min="528" max="528" width="5.5546875" bestFit="1" customWidth="1"/>
    <col min="529" max="529" width="12.33203125" bestFit="1" customWidth="1"/>
    <col min="530" max="530" width="9.77734375" bestFit="1" customWidth="1"/>
    <col min="531" max="531" width="5.5546875" bestFit="1" customWidth="1"/>
    <col min="532" max="532" width="12.33203125" bestFit="1" customWidth="1"/>
    <col min="533" max="533" width="9.77734375" bestFit="1" customWidth="1"/>
    <col min="534" max="534" width="12.33203125" bestFit="1" customWidth="1"/>
    <col min="535" max="535" width="9.77734375" bestFit="1" customWidth="1"/>
    <col min="536" max="536" width="5.5546875" bestFit="1" customWidth="1"/>
    <col min="537" max="537" width="12.33203125" bestFit="1" customWidth="1"/>
    <col min="538" max="538" width="9.77734375" bestFit="1" customWidth="1"/>
    <col min="539" max="539" width="12.33203125" bestFit="1" customWidth="1"/>
    <col min="540" max="540" width="9.77734375" bestFit="1" customWidth="1"/>
    <col min="541" max="541" width="12.33203125" bestFit="1" customWidth="1"/>
    <col min="542" max="542" width="9.77734375" bestFit="1" customWidth="1"/>
    <col min="543" max="543" width="5.5546875" bestFit="1" customWidth="1"/>
    <col min="544" max="544" width="12.33203125" bestFit="1" customWidth="1"/>
    <col min="545" max="545" width="9.77734375" bestFit="1" customWidth="1"/>
    <col min="546" max="546" width="12.33203125" bestFit="1" customWidth="1"/>
    <col min="547" max="547" width="9.77734375" bestFit="1" customWidth="1"/>
    <col min="548" max="548" width="12.33203125" bestFit="1" customWidth="1"/>
    <col min="549" max="549" width="9.77734375" bestFit="1" customWidth="1"/>
    <col min="550" max="550" width="5.5546875" bestFit="1" customWidth="1"/>
    <col min="551" max="551" width="12.33203125" bestFit="1" customWidth="1"/>
    <col min="552" max="552" width="9.77734375" bestFit="1" customWidth="1"/>
    <col min="553" max="553" width="12.33203125" bestFit="1" customWidth="1"/>
    <col min="554" max="554" width="9.77734375" bestFit="1" customWidth="1"/>
    <col min="555" max="555" width="12.33203125" bestFit="1" customWidth="1"/>
    <col min="556" max="556" width="9.77734375" bestFit="1" customWidth="1"/>
    <col min="557" max="557" width="12.33203125" bestFit="1" customWidth="1"/>
    <col min="558" max="558" width="9.77734375" bestFit="1" customWidth="1"/>
    <col min="559" max="559" width="12.33203125" bestFit="1" customWidth="1"/>
    <col min="560" max="560" width="9.77734375" bestFit="1" customWidth="1"/>
    <col min="561" max="561" width="12.33203125" bestFit="1" customWidth="1"/>
    <col min="562" max="562" width="9.77734375" bestFit="1" customWidth="1"/>
    <col min="563" max="563" width="12.33203125" bestFit="1" customWidth="1"/>
    <col min="564" max="564" width="9.77734375" bestFit="1" customWidth="1"/>
    <col min="565" max="565" width="12.33203125" bestFit="1" customWidth="1"/>
    <col min="566" max="566" width="9.77734375" bestFit="1" customWidth="1"/>
    <col min="567" max="568" width="5.5546875" bestFit="1" customWidth="1"/>
    <col min="569" max="569" width="12.33203125" bestFit="1" customWidth="1"/>
    <col min="570" max="570" width="9.77734375" bestFit="1" customWidth="1"/>
    <col min="571" max="571" width="12.33203125" bestFit="1" customWidth="1"/>
    <col min="572" max="572" width="9.77734375" bestFit="1" customWidth="1"/>
    <col min="573" max="573" width="12.33203125" bestFit="1" customWidth="1"/>
    <col min="574" max="574" width="9.77734375" bestFit="1" customWidth="1"/>
    <col min="575" max="575" width="12.33203125" bestFit="1" customWidth="1"/>
    <col min="576" max="576" width="9.77734375" bestFit="1" customWidth="1"/>
    <col min="577" max="577" width="5.5546875" bestFit="1" customWidth="1"/>
    <col min="578" max="578" width="12.33203125" bestFit="1" customWidth="1"/>
    <col min="579" max="579" width="9.77734375" bestFit="1" customWidth="1"/>
    <col min="580" max="580" width="5.5546875" bestFit="1" customWidth="1"/>
    <col min="581" max="581" width="12.33203125" bestFit="1" customWidth="1"/>
    <col min="582" max="582" width="9.77734375" bestFit="1" customWidth="1"/>
    <col min="583" max="583" width="5.5546875" bestFit="1" customWidth="1"/>
    <col min="584" max="584" width="12.33203125" bestFit="1" customWidth="1"/>
    <col min="585" max="585" width="9.77734375" bestFit="1" customWidth="1"/>
    <col min="586" max="586" width="12.33203125" bestFit="1" customWidth="1"/>
    <col min="587" max="587" width="9.77734375" bestFit="1" customWidth="1"/>
    <col min="588" max="588" width="12.33203125" bestFit="1" customWidth="1"/>
    <col min="589" max="589" width="9.77734375" bestFit="1" customWidth="1"/>
    <col min="590" max="590" width="12.33203125" bestFit="1" customWidth="1"/>
    <col min="591" max="591" width="9.77734375" bestFit="1" customWidth="1"/>
    <col min="592" max="592" width="12.33203125" bestFit="1" customWidth="1"/>
    <col min="593" max="593" width="9.77734375" bestFit="1" customWidth="1"/>
    <col min="594" max="594" width="12.33203125" bestFit="1" customWidth="1"/>
    <col min="595" max="595" width="9.77734375" bestFit="1" customWidth="1"/>
    <col min="596" max="596" width="5.5546875" bestFit="1" customWidth="1"/>
    <col min="597" max="597" width="12.33203125" bestFit="1" customWidth="1"/>
    <col min="598" max="598" width="7.21875" bestFit="1" customWidth="1"/>
    <col min="599" max="599" width="9.77734375" bestFit="1" customWidth="1"/>
    <col min="600" max="600" width="5.5546875" bestFit="1" customWidth="1"/>
    <col min="601" max="601" width="12.33203125" bestFit="1" customWidth="1"/>
    <col min="602" max="602" width="9.77734375" bestFit="1" customWidth="1"/>
    <col min="603" max="603" width="5.5546875" bestFit="1" customWidth="1"/>
    <col min="604" max="604" width="12.33203125" bestFit="1" customWidth="1"/>
    <col min="605" max="605" width="9.77734375" bestFit="1" customWidth="1"/>
    <col min="606" max="606" width="12.33203125" bestFit="1" customWidth="1"/>
    <col min="607" max="607" width="9.77734375" bestFit="1" customWidth="1"/>
    <col min="608" max="608" width="5.5546875" bestFit="1" customWidth="1"/>
    <col min="609" max="609" width="12.33203125" bestFit="1" customWidth="1"/>
    <col min="610" max="610" width="9.77734375" bestFit="1" customWidth="1"/>
    <col min="611" max="611" width="5.5546875" bestFit="1" customWidth="1"/>
    <col min="612" max="612" width="12.33203125" bestFit="1" customWidth="1"/>
    <col min="613" max="613" width="9.77734375" bestFit="1" customWidth="1"/>
    <col min="614" max="614" width="5.5546875" bestFit="1" customWidth="1"/>
    <col min="615" max="615" width="12.33203125" bestFit="1" customWidth="1"/>
    <col min="616" max="616" width="9.77734375" bestFit="1" customWidth="1"/>
    <col min="617" max="617" width="5.5546875" bestFit="1" customWidth="1"/>
    <col min="618" max="618" width="12.33203125" bestFit="1" customWidth="1"/>
    <col min="619" max="619" width="9.77734375" bestFit="1" customWidth="1"/>
    <col min="620" max="620" width="12.33203125" bestFit="1" customWidth="1"/>
    <col min="621" max="621" width="9.77734375" bestFit="1" customWidth="1"/>
    <col min="622" max="622" width="5.5546875" bestFit="1" customWidth="1"/>
    <col min="623" max="623" width="12.33203125" bestFit="1" customWidth="1"/>
    <col min="624" max="624" width="9.77734375" bestFit="1" customWidth="1"/>
    <col min="625" max="625" width="12.33203125" bestFit="1" customWidth="1"/>
    <col min="626" max="626" width="9.77734375" bestFit="1" customWidth="1"/>
    <col min="627" max="627" width="12.33203125" bestFit="1" customWidth="1"/>
    <col min="628" max="628" width="9.77734375" bestFit="1" customWidth="1"/>
    <col min="629" max="629" width="12.33203125" bestFit="1" customWidth="1"/>
    <col min="630" max="630" width="9.77734375" bestFit="1" customWidth="1"/>
    <col min="631" max="631" width="12.33203125" bestFit="1" customWidth="1"/>
    <col min="632" max="632" width="9.77734375" bestFit="1" customWidth="1"/>
    <col min="633" max="633" width="5.5546875" bestFit="1" customWidth="1"/>
    <col min="634" max="634" width="12.33203125" bestFit="1" customWidth="1"/>
    <col min="635" max="635" width="9.77734375" bestFit="1" customWidth="1"/>
    <col min="636" max="636" width="12.33203125" bestFit="1" customWidth="1"/>
    <col min="637" max="637" width="9.77734375" bestFit="1" customWidth="1"/>
    <col min="638" max="638" width="12.33203125" bestFit="1" customWidth="1"/>
    <col min="639" max="639" width="9.77734375" bestFit="1" customWidth="1"/>
    <col min="640" max="640" width="12.33203125" bestFit="1" customWidth="1"/>
    <col min="641" max="641" width="9.77734375" bestFit="1" customWidth="1"/>
    <col min="642" max="642" width="12.33203125" bestFit="1" customWidth="1"/>
    <col min="643" max="643" width="9.77734375" bestFit="1" customWidth="1"/>
    <col min="644" max="644" width="5.5546875" bestFit="1" customWidth="1"/>
    <col min="645" max="645" width="12.33203125" bestFit="1" customWidth="1"/>
    <col min="646" max="646" width="9.77734375" bestFit="1" customWidth="1"/>
    <col min="647" max="647" width="12.33203125" bestFit="1" customWidth="1"/>
    <col min="648" max="648" width="9.77734375" bestFit="1" customWidth="1"/>
    <col min="649" max="649" width="12.33203125" bestFit="1" customWidth="1"/>
    <col min="650" max="650" width="9.77734375" bestFit="1" customWidth="1"/>
    <col min="651" max="651" width="12.33203125" bestFit="1" customWidth="1"/>
    <col min="652" max="652" width="9.77734375" bestFit="1" customWidth="1"/>
    <col min="653" max="653" width="12.33203125" bestFit="1" customWidth="1"/>
    <col min="654" max="654" width="9.77734375" bestFit="1" customWidth="1"/>
    <col min="655" max="655" width="12.33203125" bestFit="1" customWidth="1"/>
    <col min="656" max="656" width="9.77734375" bestFit="1" customWidth="1"/>
    <col min="657" max="658" width="5.5546875" bestFit="1" customWidth="1"/>
    <col min="659" max="659" width="12.33203125" bestFit="1" customWidth="1"/>
    <col min="660" max="660" width="9.77734375" bestFit="1" customWidth="1"/>
    <col min="661" max="661" width="5.5546875" bestFit="1" customWidth="1"/>
    <col min="662" max="662" width="12.33203125" bestFit="1" customWidth="1"/>
    <col min="663" max="663" width="9.77734375" bestFit="1" customWidth="1"/>
    <col min="664" max="664" width="5.5546875" bestFit="1" customWidth="1"/>
    <col min="665" max="665" width="12.33203125" bestFit="1" customWidth="1"/>
    <col min="666" max="666" width="9.77734375" bestFit="1" customWidth="1"/>
    <col min="667" max="667" width="12.33203125" bestFit="1" customWidth="1"/>
    <col min="668" max="668" width="9.77734375" bestFit="1" customWidth="1"/>
    <col min="669" max="669" width="12.33203125" bestFit="1" customWidth="1"/>
    <col min="670" max="670" width="9.77734375" bestFit="1" customWidth="1"/>
    <col min="671" max="671" width="5.5546875" bestFit="1" customWidth="1"/>
    <col min="672" max="672" width="12.33203125" bestFit="1" customWidth="1"/>
    <col min="673" max="673" width="9.77734375" bestFit="1" customWidth="1"/>
    <col min="674" max="674" width="12.33203125" bestFit="1" customWidth="1"/>
    <col min="675" max="675" width="9.77734375" bestFit="1" customWidth="1"/>
    <col min="676" max="676" width="12.33203125" bestFit="1" customWidth="1"/>
    <col min="677" max="677" width="9.77734375" bestFit="1" customWidth="1"/>
    <col min="678" max="678" width="12.33203125" bestFit="1" customWidth="1"/>
    <col min="679" max="679" width="9.77734375" bestFit="1" customWidth="1"/>
    <col min="680" max="680" width="12.33203125" bestFit="1" customWidth="1"/>
    <col min="681" max="681" width="9.77734375" bestFit="1" customWidth="1"/>
    <col min="682" max="682" width="5.5546875" bestFit="1" customWidth="1"/>
    <col min="683" max="683" width="12.33203125" bestFit="1" customWidth="1"/>
    <col min="684" max="684" width="9.77734375" bestFit="1" customWidth="1"/>
    <col min="685" max="685" width="12.33203125" bestFit="1" customWidth="1"/>
    <col min="686" max="686" width="9.77734375" bestFit="1" customWidth="1"/>
    <col min="687" max="687" width="5.5546875" bestFit="1" customWidth="1"/>
    <col min="688" max="688" width="12.33203125" bestFit="1" customWidth="1"/>
    <col min="689" max="689" width="9.77734375" bestFit="1" customWidth="1"/>
    <col min="690" max="690" width="5.5546875" bestFit="1" customWidth="1"/>
    <col min="691" max="691" width="12.33203125" bestFit="1" customWidth="1"/>
    <col min="692" max="692" width="9.77734375" bestFit="1" customWidth="1"/>
    <col min="693" max="693" width="12.33203125" bestFit="1" customWidth="1"/>
    <col min="694" max="694" width="9.77734375" bestFit="1" customWidth="1"/>
    <col min="695" max="695" width="12.33203125" bestFit="1" customWidth="1"/>
    <col min="696" max="696" width="9.77734375" bestFit="1" customWidth="1"/>
    <col min="697" max="697" width="12.33203125" bestFit="1" customWidth="1"/>
    <col min="698" max="698" width="9.77734375" bestFit="1" customWidth="1"/>
    <col min="699" max="699" width="12.33203125" bestFit="1" customWidth="1"/>
    <col min="700" max="700" width="9.77734375" bestFit="1" customWidth="1"/>
    <col min="701" max="701" width="12.33203125" bestFit="1" customWidth="1"/>
    <col min="702" max="702" width="9.77734375" bestFit="1" customWidth="1"/>
    <col min="703" max="703" width="12.33203125" bestFit="1" customWidth="1"/>
    <col min="704" max="704" width="9.77734375" bestFit="1" customWidth="1"/>
    <col min="705" max="705" width="5.5546875" bestFit="1" customWidth="1"/>
    <col min="706" max="706" width="12.33203125" bestFit="1" customWidth="1"/>
    <col min="707" max="707" width="9.77734375" bestFit="1" customWidth="1"/>
    <col min="708" max="708" width="5.5546875" bestFit="1" customWidth="1"/>
    <col min="709" max="709" width="12.33203125" bestFit="1" customWidth="1"/>
    <col min="710" max="710" width="9.77734375" bestFit="1" customWidth="1"/>
    <col min="711" max="711" width="5.5546875" bestFit="1" customWidth="1"/>
    <col min="712" max="712" width="12.33203125" bestFit="1" customWidth="1"/>
    <col min="713" max="713" width="9.77734375" bestFit="1" customWidth="1"/>
    <col min="714" max="714" width="5.5546875" bestFit="1" customWidth="1"/>
    <col min="715" max="715" width="12.33203125" bestFit="1" customWidth="1"/>
    <col min="716" max="716" width="7.21875" bestFit="1" customWidth="1"/>
    <col min="717" max="717" width="9.77734375" bestFit="1" customWidth="1"/>
    <col min="718" max="718" width="5.5546875" bestFit="1" customWidth="1"/>
    <col min="719" max="719" width="12.33203125" bestFit="1" customWidth="1"/>
    <col min="720" max="720" width="9.77734375" bestFit="1" customWidth="1"/>
    <col min="721" max="721" width="12.33203125" bestFit="1" customWidth="1"/>
    <col min="722" max="722" width="9.77734375" bestFit="1" customWidth="1"/>
    <col min="723" max="723" width="12.33203125" bestFit="1" customWidth="1"/>
    <col min="724" max="724" width="9.77734375" bestFit="1" customWidth="1"/>
    <col min="725" max="725" width="12.33203125" bestFit="1" customWidth="1"/>
    <col min="726" max="726" width="9.77734375" bestFit="1" customWidth="1"/>
    <col min="727" max="727" width="12.33203125" bestFit="1" customWidth="1"/>
    <col min="728" max="728" width="9.77734375" bestFit="1" customWidth="1"/>
    <col min="729" max="730" width="5.5546875" bestFit="1" customWidth="1"/>
    <col min="731" max="731" width="12.33203125" bestFit="1" customWidth="1"/>
    <col min="732" max="732" width="9.77734375" bestFit="1" customWidth="1"/>
    <col min="733" max="733" width="5.5546875" bestFit="1" customWidth="1"/>
    <col min="734" max="734" width="12.33203125" bestFit="1" customWidth="1"/>
    <col min="735" max="735" width="9.77734375" bestFit="1" customWidth="1"/>
    <col min="736" max="736" width="12.33203125" bestFit="1" customWidth="1"/>
    <col min="737" max="737" width="9.77734375" bestFit="1" customWidth="1"/>
    <col min="738" max="738" width="12.33203125" bestFit="1" customWidth="1"/>
    <col min="739" max="739" width="9.77734375" bestFit="1" customWidth="1"/>
    <col min="740" max="740" width="12.33203125" bestFit="1" customWidth="1"/>
    <col min="741" max="741" width="9.77734375" bestFit="1" customWidth="1"/>
    <col min="742" max="742" width="12.33203125" bestFit="1" customWidth="1"/>
    <col min="743" max="743" width="9.77734375" bestFit="1" customWidth="1"/>
    <col min="744" max="744" width="5.5546875" bestFit="1" customWidth="1"/>
    <col min="745" max="745" width="12.33203125" bestFit="1" customWidth="1"/>
    <col min="746" max="746" width="9.77734375" bestFit="1" customWidth="1"/>
    <col min="747" max="747" width="5.5546875" bestFit="1" customWidth="1"/>
    <col min="748" max="748" width="12.33203125" bestFit="1" customWidth="1"/>
    <col min="749" max="749" width="9.77734375" bestFit="1" customWidth="1"/>
    <col min="750" max="750" width="5.5546875" bestFit="1" customWidth="1"/>
    <col min="751" max="751" width="12.33203125" bestFit="1" customWidth="1"/>
    <col min="752" max="752" width="9.77734375" bestFit="1" customWidth="1"/>
    <col min="753" max="753" width="12.33203125" bestFit="1" customWidth="1"/>
    <col min="754" max="754" width="9.77734375" bestFit="1" customWidth="1"/>
    <col min="755" max="755" width="5.5546875" bestFit="1" customWidth="1"/>
    <col min="756" max="756" width="12.33203125" bestFit="1" customWidth="1"/>
    <col min="757" max="757" width="9.77734375" bestFit="1" customWidth="1"/>
    <col min="758" max="758" width="12.33203125" bestFit="1" customWidth="1"/>
    <col min="759" max="759" width="9.77734375" bestFit="1" customWidth="1"/>
    <col min="760" max="760" width="5.5546875" bestFit="1" customWidth="1"/>
    <col min="761" max="761" width="12.33203125" bestFit="1" customWidth="1"/>
    <col min="762" max="762" width="9.77734375" bestFit="1" customWidth="1"/>
    <col min="763" max="763" width="12.33203125" bestFit="1" customWidth="1"/>
    <col min="764" max="764" width="9.77734375" bestFit="1" customWidth="1"/>
    <col min="765" max="765" width="5.5546875" bestFit="1" customWidth="1"/>
    <col min="766" max="766" width="12.33203125" bestFit="1" customWidth="1"/>
    <col min="767" max="767" width="9.77734375" bestFit="1" customWidth="1"/>
    <col min="768" max="768" width="5.5546875" bestFit="1" customWidth="1"/>
    <col min="769" max="769" width="12.33203125" bestFit="1" customWidth="1"/>
    <col min="770" max="770" width="9.77734375" bestFit="1" customWidth="1"/>
    <col min="771" max="771" width="5.5546875" bestFit="1" customWidth="1"/>
    <col min="772" max="772" width="12.33203125" bestFit="1" customWidth="1"/>
    <col min="773" max="773" width="9.77734375" bestFit="1" customWidth="1"/>
    <col min="774" max="774" width="12.33203125" bestFit="1" customWidth="1"/>
    <col min="775" max="775" width="9.77734375" bestFit="1" customWidth="1"/>
    <col min="776" max="776" width="5.5546875" bestFit="1" customWidth="1"/>
    <col min="777" max="777" width="12.33203125" bestFit="1" customWidth="1"/>
    <col min="778" max="778" width="9.77734375" bestFit="1" customWidth="1"/>
    <col min="779" max="779" width="12.33203125" bestFit="1" customWidth="1"/>
    <col min="780" max="780" width="9.77734375" bestFit="1" customWidth="1"/>
    <col min="781" max="781" width="12.33203125" bestFit="1" customWidth="1"/>
    <col min="782" max="782" width="9.77734375" bestFit="1" customWidth="1"/>
    <col min="783" max="783" width="5.5546875" bestFit="1" customWidth="1"/>
    <col min="784" max="784" width="12.33203125" bestFit="1" customWidth="1"/>
    <col min="785" max="785" width="9.77734375" bestFit="1" customWidth="1"/>
    <col min="786" max="786" width="12.33203125" bestFit="1" customWidth="1"/>
    <col min="787" max="787" width="9.77734375" bestFit="1" customWidth="1"/>
    <col min="788" max="788" width="12.33203125" bestFit="1" customWidth="1"/>
    <col min="789" max="789" width="9.77734375" bestFit="1" customWidth="1"/>
    <col min="790" max="790" width="12.33203125" bestFit="1" customWidth="1"/>
    <col min="791" max="791" width="9.77734375" bestFit="1" customWidth="1"/>
    <col min="792" max="792" width="5.5546875" bestFit="1" customWidth="1"/>
    <col min="793" max="793" width="12.33203125" bestFit="1" customWidth="1"/>
    <col min="794" max="794" width="9.77734375" bestFit="1" customWidth="1"/>
    <col min="795" max="795" width="5.5546875" bestFit="1" customWidth="1"/>
    <col min="796" max="796" width="12.33203125" bestFit="1" customWidth="1"/>
    <col min="797" max="797" width="9.77734375" bestFit="1" customWidth="1"/>
    <col min="798" max="798" width="5.5546875" bestFit="1" customWidth="1"/>
    <col min="799" max="799" width="12.33203125" bestFit="1" customWidth="1"/>
    <col min="800" max="800" width="9.77734375" bestFit="1" customWidth="1"/>
    <col min="801" max="801" width="12.33203125" bestFit="1" customWidth="1"/>
    <col min="802" max="802" width="9.77734375" bestFit="1" customWidth="1"/>
    <col min="803" max="803" width="5.5546875" bestFit="1" customWidth="1"/>
    <col min="804" max="804" width="12.33203125" bestFit="1" customWidth="1"/>
    <col min="805" max="805" width="9.77734375" bestFit="1" customWidth="1"/>
    <col min="806" max="806" width="12.33203125" bestFit="1" customWidth="1"/>
    <col min="807" max="807" width="9.77734375" bestFit="1" customWidth="1"/>
    <col min="808" max="808" width="5.5546875" bestFit="1" customWidth="1"/>
    <col min="809" max="809" width="12.33203125" bestFit="1" customWidth="1"/>
    <col min="810" max="810" width="9.77734375" bestFit="1" customWidth="1"/>
    <col min="811" max="811" width="12.33203125" bestFit="1" customWidth="1"/>
    <col min="812" max="812" width="9.77734375" bestFit="1" customWidth="1"/>
    <col min="813" max="813" width="5.5546875" bestFit="1" customWidth="1"/>
    <col min="814" max="814" width="12.33203125" bestFit="1" customWidth="1"/>
    <col min="815" max="815" width="9.77734375" bestFit="1" customWidth="1"/>
    <col min="816" max="816" width="12.33203125" bestFit="1" customWidth="1"/>
    <col min="817" max="817" width="9.77734375" bestFit="1" customWidth="1"/>
    <col min="818" max="818" width="5.5546875" bestFit="1" customWidth="1"/>
    <col min="819" max="819" width="12.33203125" bestFit="1" customWidth="1"/>
    <col min="820" max="820" width="7.21875" bestFit="1" customWidth="1"/>
    <col min="821" max="821" width="9.77734375" bestFit="1" customWidth="1"/>
    <col min="822" max="822" width="12.33203125" bestFit="1" customWidth="1"/>
    <col min="823" max="823" width="9.77734375" bestFit="1" customWidth="1"/>
    <col min="824" max="824" width="5.5546875" bestFit="1" customWidth="1"/>
    <col min="825" max="825" width="12.33203125" bestFit="1" customWidth="1"/>
    <col min="826" max="826" width="9.77734375" bestFit="1" customWidth="1"/>
    <col min="827" max="827" width="5.5546875" bestFit="1" customWidth="1"/>
    <col min="828" max="828" width="12.33203125" bestFit="1" customWidth="1"/>
    <col min="829" max="829" width="9.77734375" bestFit="1" customWidth="1"/>
    <col min="830" max="830" width="12.33203125" bestFit="1" customWidth="1"/>
    <col min="831" max="831" width="9.77734375" bestFit="1" customWidth="1"/>
    <col min="832" max="832" width="5.5546875" bestFit="1" customWidth="1"/>
    <col min="833" max="833" width="12.33203125" bestFit="1" customWidth="1"/>
    <col min="834" max="834" width="9.77734375" bestFit="1" customWidth="1"/>
    <col min="835" max="835" width="12.33203125" bestFit="1" customWidth="1"/>
    <col min="836" max="836" width="9.77734375" bestFit="1" customWidth="1"/>
    <col min="837" max="837" width="12.33203125" bestFit="1" customWidth="1"/>
    <col min="838" max="838" width="9.77734375" bestFit="1" customWidth="1"/>
    <col min="839" max="839" width="5.5546875" bestFit="1" customWidth="1"/>
    <col min="840" max="840" width="12.33203125" bestFit="1" customWidth="1"/>
    <col min="841" max="841" width="9.77734375" bestFit="1" customWidth="1"/>
    <col min="842" max="842" width="5.5546875" bestFit="1" customWidth="1"/>
    <col min="843" max="843" width="12.33203125" bestFit="1" customWidth="1"/>
    <col min="844" max="844" width="9.77734375" bestFit="1" customWidth="1"/>
    <col min="845" max="845" width="12.33203125" bestFit="1" customWidth="1"/>
    <col min="846" max="846" width="9.77734375" bestFit="1" customWidth="1"/>
    <col min="847" max="847" width="12.33203125" bestFit="1" customWidth="1"/>
    <col min="848" max="848" width="9.77734375" bestFit="1" customWidth="1"/>
    <col min="849" max="849" width="12.33203125" bestFit="1" customWidth="1"/>
    <col min="850" max="850" width="9.77734375" bestFit="1" customWidth="1"/>
    <col min="851" max="851" width="12.33203125" bestFit="1" customWidth="1"/>
    <col min="852" max="852" width="9.77734375" bestFit="1" customWidth="1"/>
    <col min="853" max="853" width="12.33203125" bestFit="1" customWidth="1"/>
    <col min="854" max="854" width="9.77734375" bestFit="1" customWidth="1"/>
    <col min="855" max="855" width="12.33203125" bestFit="1" customWidth="1"/>
    <col min="856" max="856" width="9.77734375" bestFit="1" customWidth="1"/>
    <col min="857" max="857" width="5.5546875" bestFit="1" customWidth="1"/>
    <col min="858" max="858" width="12.33203125" bestFit="1" customWidth="1"/>
    <col min="859" max="859" width="9.77734375" bestFit="1" customWidth="1"/>
    <col min="860" max="860" width="5.5546875" bestFit="1" customWidth="1"/>
    <col min="861" max="861" width="12.33203125" bestFit="1" customWidth="1"/>
    <col min="862" max="862" width="9.77734375" bestFit="1" customWidth="1"/>
    <col min="863" max="863" width="5.5546875" bestFit="1" customWidth="1"/>
    <col min="864" max="864" width="12.33203125" bestFit="1" customWidth="1"/>
    <col min="865" max="865" width="9.77734375" bestFit="1" customWidth="1"/>
    <col min="866" max="866" width="12.33203125" bestFit="1" customWidth="1"/>
    <col min="867" max="867" width="9.77734375" bestFit="1" customWidth="1"/>
    <col min="868" max="868" width="5.5546875" bestFit="1" customWidth="1"/>
    <col min="869" max="869" width="12.33203125" bestFit="1" customWidth="1"/>
    <col min="870" max="870" width="9.77734375" bestFit="1" customWidth="1"/>
    <col min="871" max="871" width="5.5546875" bestFit="1" customWidth="1"/>
    <col min="872" max="872" width="12.33203125" bestFit="1" customWidth="1"/>
    <col min="873" max="873" width="9.77734375" bestFit="1" customWidth="1"/>
    <col min="874" max="874" width="12.33203125" bestFit="1" customWidth="1"/>
    <col min="875" max="875" width="9.77734375" bestFit="1" customWidth="1"/>
    <col min="876" max="876" width="5.5546875" bestFit="1" customWidth="1"/>
    <col min="877" max="877" width="12.33203125" bestFit="1" customWidth="1"/>
    <col min="878" max="878" width="9.77734375" bestFit="1" customWidth="1"/>
    <col min="879" max="879" width="5.5546875" bestFit="1" customWidth="1"/>
    <col min="880" max="880" width="12.33203125" bestFit="1" customWidth="1"/>
    <col min="881" max="881" width="9.77734375" bestFit="1" customWidth="1"/>
    <col min="882" max="882" width="12.33203125" bestFit="1" customWidth="1"/>
    <col min="883" max="883" width="9.77734375" bestFit="1" customWidth="1"/>
    <col min="884" max="884" width="12.33203125" bestFit="1" customWidth="1"/>
    <col min="885" max="885" width="9.77734375" bestFit="1" customWidth="1"/>
    <col min="886" max="886" width="5.5546875" bestFit="1" customWidth="1"/>
    <col min="887" max="887" width="12.33203125" bestFit="1" customWidth="1"/>
    <col min="888" max="888" width="9.77734375" bestFit="1" customWidth="1"/>
    <col min="889" max="889" width="5.5546875" bestFit="1" customWidth="1"/>
    <col min="890" max="890" width="12.33203125" bestFit="1" customWidth="1"/>
    <col min="891" max="891" width="9.77734375" bestFit="1" customWidth="1"/>
    <col min="892" max="892" width="5.5546875" bestFit="1" customWidth="1"/>
    <col min="893" max="893" width="12.33203125" bestFit="1" customWidth="1"/>
    <col min="894" max="894" width="9.77734375" bestFit="1" customWidth="1"/>
    <col min="895" max="895" width="12.33203125" bestFit="1" customWidth="1"/>
    <col min="896" max="896" width="9.77734375" bestFit="1" customWidth="1"/>
    <col min="897" max="897" width="5.5546875" bestFit="1" customWidth="1"/>
    <col min="898" max="898" width="12.33203125" bestFit="1" customWidth="1"/>
    <col min="899" max="899" width="9.77734375" bestFit="1" customWidth="1"/>
    <col min="900" max="900" width="12.33203125" bestFit="1" customWidth="1"/>
    <col min="901" max="901" width="9.77734375" bestFit="1" customWidth="1"/>
    <col min="902" max="902" width="5.5546875" bestFit="1" customWidth="1"/>
    <col min="903" max="903" width="12.33203125" bestFit="1" customWidth="1"/>
    <col min="904" max="904" width="9.77734375" bestFit="1" customWidth="1"/>
    <col min="905" max="905" width="5.5546875" bestFit="1" customWidth="1"/>
    <col min="906" max="906" width="12.33203125" bestFit="1" customWidth="1"/>
    <col min="907" max="907" width="9.77734375" bestFit="1" customWidth="1"/>
    <col min="908" max="908" width="12.33203125" bestFit="1" customWidth="1"/>
    <col min="909" max="909" width="9.77734375" bestFit="1" customWidth="1"/>
    <col min="910" max="910" width="5.5546875" bestFit="1" customWidth="1"/>
    <col min="911" max="911" width="12.33203125" bestFit="1" customWidth="1"/>
    <col min="912" max="912" width="9.77734375" bestFit="1" customWidth="1"/>
    <col min="913" max="913" width="5.5546875" bestFit="1" customWidth="1"/>
    <col min="914" max="914" width="12.33203125" bestFit="1" customWidth="1"/>
    <col min="915" max="915" width="9.77734375" bestFit="1" customWidth="1"/>
    <col min="916" max="916" width="12.33203125" bestFit="1" customWidth="1"/>
    <col min="917" max="917" width="9.77734375" bestFit="1" customWidth="1"/>
    <col min="918" max="918" width="5.5546875" bestFit="1" customWidth="1"/>
    <col min="919" max="919" width="12.33203125" bestFit="1" customWidth="1"/>
    <col min="920" max="920" width="9.77734375" bestFit="1" customWidth="1"/>
    <col min="921" max="922" width="5.5546875" bestFit="1" customWidth="1"/>
    <col min="923" max="923" width="12.33203125" bestFit="1" customWidth="1"/>
    <col min="924" max="924" width="9.77734375" bestFit="1" customWidth="1"/>
    <col min="925" max="925" width="5.5546875" bestFit="1" customWidth="1"/>
    <col min="926" max="926" width="12.33203125" bestFit="1" customWidth="1"/>
    <col min="927" max="927" width="9.77734375" bestFit="1" customWidth="1"/>
    <col min="928" max="928" width="12.33203125" bestFit="1" customWidth="1"/>
    <col min="929" max="929" width="7.21875" bestFit="1" customWidth="1"/>
    <col min="930" max="930" width="9.77734375" bestFit="1" customWidth="1"/>
    <col min="931" max="931" width="12.33203125" bestFit="1" customWidth="1"/>
    <col min="932" max="932" width="9.77734375" bestFit="1" customWidth="1"/>
    <col min="933" max="933" width="12.33203125" bestFit="1" customWidth="1"/>
    <col min="934" max="934" width="9.77734375" bestFit="1" customWidth="1"/>
    <col min="935" max="935" width="5.5546875" bestFit="1" customWidth="1"/>
    <col min="936" max="936" width="12.33203125" bestFit="1" customWidth="1"/>
    <col min="937" max="937" width="9.77734375" bestFit="1" customWidth="1"/>
    <col min="938" max="938" width="5.5546875" bestFit="1" customWidth="1"/>
    <col min="939" max="939" width="12.33203125" bestFit="1" customWidth="1"/>
    <col min="940" max="940" width="9.77734375" bestFit="1" customWidth="1"/>
    <col min="941" max="941" width="5.5546875" bestFit="1" customWidth="1"/>
    <col min="942" max="942" width="12.33203125" bestFit="1" customWidth="1"/>
    <col min="943" max="943" width="9.77734375" bestFit="1" customWidth="1"/>
    <col min="944" max="944" width="12.33203125" bestFit="1" customWidth="1"/>
    <col min="945" max="945" width="9.77734375" bestFit="1" customWidth="1"/>
    <col min="946" max="946" width="5.5546875" bestFit="1" customWidth="1"/>
    <col min="947" max="947" width="12.33203125" bestFit="1" customWidth="1"/>
    <col min="948" max="948" width="9.77734375" bestFit="1" customWidth="1"/>
    <col min="949" max="949" width="5.5546875" bestFit="1" customWidth="1"/>
    <col min="950" max="950" width="12.33203125" bestFit="1" customWidth="1"/>
    <col min="951" max="951" width="9.77734375" bestFit="1" customWidth="1"/>
    <col min="952" max="952" width="12.33203125" bestFit="1" customWidth="1"/>
    <col min="953" max="953" width="9.77734375" bestFit="1" customWidth="1"/>
    <col min="954" max="954" width="12.33203125" bestFit="1" customWidth="1"/>
    <col min="955" max="955" width="9.77734375" bestFit="1" customWidth="1"/>
    <col min="956" max="956" width="12.33203125" bestFit="1" customWidth="1"/>
    <col min="957" max="957" width="9.77734375" bestFit="1" customWidth="1"/>
    <col min="958" max="958" width="5.5546875" bestFit="1" customWidth="1"/>
    <col min="959" max="959" width="12.33203125" bestFit="1" customWidth="1"/>
    <col min="960" max="960" width="9.77734375" bestFit="1" customWidth="1"/>
    <col min="961" max="961" width="12.33203125" bestFit="1" customWidth="1"/>
    <col min="962" max="962" width="9.77734375" bestFit="1" customWidth="1"/>
    <col min="963" max="963" width="12.33203125" bestFit="1" customWidth="1"/>
    <col min="964" max="964" width="9.77734375" bestFit="1" customWidth="1"/>
    <col min="965" max="965" width="12.33203125" bestFit="1" customWidth="1"/>
    <col min="966" max="966" width="9.77734375" bestFit="1" customWidth="1"/>
    <col min="967" max="967" width="12.33203125" bestFit="1" customWidth="1"/>
    <col min="968" max="968" width="7.21875" bestFit="1" customWidth="1"/>
    <col min="969" max="969" width="11.21875" bestFit="1" customWidth="1"/>
    <col min="970" max="970" width="7.5546875" bestFit="1" customWidth="1"/>
    <col min="971" max="971" width="16.77734375" bestFit="1" customWidth="1"/>
    <col min="972" max="972" width="7.5546875" bestFit="1" customWidth="1"/>
    <col min="973" max="973" width="12.33203125" bestFit="1" customWidth="1"/>
    <col min="974" max="974" width="16.77734375" bestFit="1" customWidth="1"/>
    <col min="975" max="975" width="7.5546875" bestFit="1" customWidth="1"/>
    <col min="976" max="976" width="12.33203125" bestFit="1" customWidth="1"/>
    <col min="977" max="977" width="16.77734375" bestFit="1" customWidth="1"/>
    <col min="978" max="978" width="7.5546875" bestFit="1" customWidth="1"/>
    <col min="979" max="979" width="12.33203125" bestFit="1" customWidth="1"/>
    <col min="980" max="980" width="10.21875" bestFit="1" customWidth="1"/>
    <col min="981" max="981" width="7.5546875" bestFit="1" customWidth="1"/>
    <col min="982" max="982" width="12.33203125" bestFit="1" customWidth="1"/>
    <col min="983" max="983" width="16.77734375" bestFit="1" customWidth="1"/>
    <col min="984" max="984" width="7.5546875" bestFit="1" customWidth="1"/>
    <col min="985" max="985" width="9.5546875" bestFit="1" customWidth="1"/>
    <col min="986" max="986" width="7.5546875" bestFit="1" customWidth="1"/>
    <col min="987" max="987" width="12.33203125" bestFit="1" customWidth="1"/>
    <col min="988" max="988" width="11" bestFit="1" customWidth="1"/>
    <col min="989" max="989" width="7.5546875" bestFit="1" customWidth="1"/>
    <col min="990" max="990" width="11" bestFit="1" customWidth="1"/>
    <col min="991" max="991" width="9.5546875" bestFit="1" customWidth="1"/>
    <col min="992" max="992" width="7.5546875" bestFit="1" customWidth="1"/>
    <col min="993" max="993" width="12.33203125" bestFit="1" customWidth="1"/>
    <col min="994" max="994" width="10.21875" bestFit="1" customWidth="1"/>
    <col min="995" max="995" width="7.5546875" bestFit="1" customWidth="1"/>
    <col min="996" max="996" width="11" bestFit="1" customWidth="1"/>
    <col min="997" max="997" width="7.5546875" bestFit="1" customWidth="1"/>
    <col min="998" max="998" width="12.33203125" bestFit="1" customWidth="1"/>
    <col min="999" max="999" width="9.77734375" bestFit="1" customWidth="1"/>
    <col min="1000" max="1000" width="7.5546875" bestFit="1" customWidth="1"/>
    <col min="1001" max="1001" width="12.33203125" bestFit="1" customWidth="1"/>
    <col min="1002" max="1002" width="10.21875" bestFit="1" customWidth="1"/>
    <col min="1003" max="1003" width="7.5546875" bestFit="1" customWidth="1"/>
    <col min="1004" max="1004" width="12.33203125" bestFit="1" customWidth="1"/>
    <col min="1005" max="1005" width="16.77734375" bestFit="1" customWidth="1"/>
    <col min="1006" max="1006" width="7.5546875" bestFit="1" customWidth="1"/>
    <col min="1007" max="1007" width="12.33203125" bestFit="1" customWidth="1"/>
    <col min="1008" max="1008" width="10.21875" bestFit="1" customWidth="1"/>
    <col min="1009" max="1009" width="9.5546875" bestFit="1" customWidth="1"/>
    <col min="1010" max="1010" width="7.5546875" bestFit="1" customWidth="1"/>
    <col min="1011" max="1011" width="12.33203125" bestFit="1" customWidth="1"/>
    <col min="1012" max="1012" width="9.77734375" bestFit="1" customWidth="1"/>
    <col min="1013" max="1013" width="7.5546875" bestFit="1" customWidth="1"/>
    <col min="1014" max="1014" width="12.33203125" bestFit="1" customWidth="1"/>
    <col min="1015" max="1015" width="9.77734375" bestFit="1" customWidth="1"/>
    <col min="1016" max="1016" width="7.5546875" bestFit="1" customWidth="1"/>
    <col min="1017" max="1017" width="9.5546875" bestFit="1" customWidth="1"/>
    <col min="1018" max="1018" width="7.5546875" bestFit="1" customWidth="1"/>
    <col min="1019" max="1019" width="12.33203125" bestFit="1" customWidth="1"/>
    <col min="1020" max="1020" width="7.21875" bestFit="1" customWidth="1"/>
    <col min="1021" max="1021" width="10.21875" bestFit="1" customWidth="1"/>
    <col min="1022" max="1022" width="7.5546875" bestFit="1" customWidth="1"/>
    <col min="1023" max="1023" width="10.21875" bestFit="1" customWidth="1"/>
    <col min="1024" max="1024" width="9.5546875" bestFit="1" customWidth="1"/>
    <col min="1025" max="1025" width="7.5546875" bestFit="1" customWidth="1"/>
    <col min="1026" max="1026" width="12.33203125" bestFit="1" customWidth="1"/>
    <col min="1027" max="1027" width="16.77734375" bestFit="1" customWidth="1"/>
    <col min="1028" max="1028" width="9.5546875" bestFit="1" customWidth="1"/>
    <col min="1029" max="1029" width="7.5546875" bestFit="1" customWidth="1"/>
    <col min="1030" max="1030" width="10.21875" bestFit="1" customWidth="1"/>
    <col min="1031" max="1031" width="7.5546875" bestFit="1" customWidth="1"/>
    <col min="1032" max="1032" width="12.33203125" bestFit="1" customWidth="1"/>
    <col min="1033" max="1033" width="10.21875" bestFit="1" customWidth="1"/>
    <col min="1034" max="1034" width="11" bestFit="1" customWidth="1"/>
    <col min="1035" max="1035" width="16.77734375" bestFit="1" customWidth="1"/>
    <col min="1036" max="1036" width="9.5546875" bestFit="1" customWidth="1"/>
    <col min="1037" max="1037" width="7.5546875" bestFit="1" customWidth="1"/>
    <col min="1038" max="1038" width="12.33203125" bestFit="1" customWidth="1"/>
    <col min="1039" max="1039" width="9.77734375" bestFit="1" customWidth="1"/>
    <col min="1040" max="1040" width="7.5546875" bestFit="1" customWidth="1"/>
    <col min="1041" max="1041" width="10.21875" bestFit="1" customWidth="1"/>
    <col min="1042" max="1042" width="7.5546875" bestFit="1" customWidth="1"/>
    <col min="1043" max="1043" width="12.33203125" bestFit="1" customWidth="1"/>
    <col min="1044" max="1044" width="10.21875" bestFit="1" customWidth="1"/>
    <col min="1045" max="1045" width="7.5546875" bestFit="1" customWidth="1"/>
    <col min="1046" max="1046" width="10.21875" bestFit="1" customWidth="1"/>
    <col min="1047" max="1047" width="7.5546875" bestFit="1" customWidth="1"/>
    <col min="1048" max="1048" width="12.33203125" bestFit="1" customWidth="1"/>
    <col min="1049" max="1049" width="10.21875" bestFit="1" customWidth="1"/>
    <col min="1050" max="1050" width="7.5546875" bestFit="1" customWidth="1"/>
    <col min="1051" max="1051" width="10.21875" bestFit="1" customWidth="1"/>
    <col min="1052" max="1052" width="7.5546875" bestFit="1" customWidth="1"/>
    <col min="1053" max="1053" width="12.33203125" bestFit="1" customWidth="1"/>
    <col min="1054" max="1054" width="16.77734375" bestFit="1" customWidth="1"/>
    <col min="1055" max="1055" width="7.5546875" bestFit="1" customWidth="1"/>
    <col min="1056" max="1056" width="11" bestFit="1" customWidth="1"/>
    <col min="1057" max="1057" width="7.5546875" bestFit="1" customWidth="1"/>
    <col min="1058" max="1058" width="12.33203125" bestFit="1" customWidth="1"/>
    <col min="1059" max="1059" width="10.21875" bestFit="1" customWidth="1"/>
    <col min="1060" max="1060" width="7.5546875" bestFit="1" customWidth="1"/>
    <col min="1061" max="1061" width="12.33203125" bestFit="1" customWidth="1"/>
    <col min="1062" max="1062" width="10.21875" bestFit="1" customWidth="1"/>
    <col min="1063" max="1063" width="7.5546875" bestFit="1" customWidth="1"/>
    <col min="1064" max="1064" width="9.5546875" bestFit="1" customWidth="1"/>
    <col min="1065" max="1065" width="7.5546875" bestFit="1" customWidth="1"/>
    <col min="1066" max="1066" width="12.33203125" bestFit="1" customWidth="1"/>
    <col min="1067" max="1067" width="16.77734375" bestFit="1" customWidth="1"/>
    <col min="1068" max="1068" width="7.5546875" bestFit="1" customWidth="1"/>
    <col min="1069" max="1069" width="12.33203125" bestFit="1" customWidth="1"/>
    <col min="1070" max="1070" width="16.77734375" bestFit="1" customWidth="1"/>
    <col min="1071" max="1071" width="7.5546875" bestFit="1" customWidth="1"/>
    <col min="1072" max="1072" width="12.33203125" bestFit="1" customWidth="1"/>
    <col min="1073" max="1073" width="9.77734375" bestFit="1" customWidth="1"/>
    <col min="1074" max="1074" width="7.5546875" bestFit="1" customWidth="1"/>
    <col min="1075" max="1075" width="12.33203125" bestFit="1" customWidth="1"/>
    <col min="1076" max="1076" width="10.21875" bestFit="1" customWidth="1"/>
    <col min="1077" max="1077" width="16.77734375" bestFit="1" customWidth="1"/>
    <col min="1078" max="1078" width="9.5546875" bestFit="1" customWidth="1"/>
    <col min="1079" max="1079" width="7.5546875" bestFit="1" customWidth="1"/>
    <col min="1080" max="1080" width="12.33203125" bestFit="1" customWidth="1"/>
    <col min="1081" max="1081" width="10.21875" bestFit="1" customWidth="1"/>
    <col min="1082" max="1082" width="11" bestFit="1" customWidth="1"/>
    <col min="1083" max="1083" width="9.5546875" bestFit="1" customWidth="1"/>
    <col min="1084" max="1084" width="7.5546875" bestFit="1" customWidth="1"/>
    <col min="1085" max="1085" width="16.77734375" bestFit="1" customWidth="1"/>
    <col min="1086" max="1086" width="7.5546875" bestFit="1" customWidth="1"/>
    <col min="1087" max="1087" width="12.33203125" bestFit="1" customWidth="1"/>
    <col min="1088" max="1088" width="9.77734375" bestFit="1" customWidth="1"/>
    <col min="1089" max="1089" width="7.5546875" bestFit="1" customWidth="1"/>
    <col min="1090" max="1090" width="12.33203125" bestFit="1" customWidth="1"/>
    <col min="1091" max="1091" width="16.77734375" bestFit="1" customWidth="1"/>
    <col min="1092" max="1092" width="7.5546875" bestFit="1" customWidth="1"/>
    <col min="1093" max="1093" width="12.33203125" bestFit="1" customWidth="1"/>
    <col min="1094" max="1094" width="16.77734375" bestFit="1" customWidth="1"/>
    <col min="1095" max="1095" width="9.5546875" bestFit="1" customWidth="1"/>
    <col min="1096" max="1096" width="7.5546875" bestFit="1" customWidth="1"/>
    <col min="1097" max="1097" width="12.33203125" bestFit="1" customWidth="1"/>
    <col min="1098" max="1098" width="11" bestFit="1" customWidth="1"/>
    <col min="1099" max="1099" width="7.5546875" bestFit="1" customWidth="1"/>
    <col min="1100" max="1100" width="12.33203125" bestFit="1" customWidth="1"/>
    <col min="1101" max="1101" width="10.21875" bestFit="1" customWidth="1"/>
    <col min="1102" max="1102" width="7.5546875" bestFit="1" customWidth="1"/>
    <col min="1103" max="1103" width="9.5546875" bestFit="1" customWidth="1"/>
    <col min="1104" max="1104" width="7.5546875" bestFit="1" customWidth="1"/>
    <col min="1105" max="1105" width="12.33203125" bestFit="1" customWidth="1"/>
    <col min="1106" max="1106" width="9.77734375" bestFit="1" customWidth="1"/>
    <col min="1107" max="1107" width="7.5546875" bestFit="1" customWidth="1"/>
    <col min="1108" max="1108" width="12.33203125" bestFit="1" customWidth="1"/>
    <col min="1109" max="1109" width="11" bestFit="1" customWidth="1"/>
    <col min="1110" max="1110" width="7.5546875" bestFit="1" customWidth="1"/>
    <col min="1111" max="1111" width="12.33203125" bestFit="1" customWidth="1"/>
    <col min="1112" max="1112" width="9.77734375" bestFit="1" customWidth="1"/>
    <col min="1113" max="1113" width="7.5546875" bestFit="1" customWidth="1"/>
    <col min="1114" max="1114" width="12.33203125" bestFit="1" customWidth="1"/>
    <col min="1115" max="1115" width="11" bestFit="1" customWidth="1"/>
    <col min="1116" max="1116" width="7.5546875" bestFit="1" customWidth="1"/>
    <col min="1117" max="1117" width="12.33203125" bestFit="1" customWidth="1"/>
    <col min="1118" max="1118" width="11" bestFit="1" customWidth="1"/>
    <col min="1119" max="1119" width="7.5546875" bestFit="1" customWidth="1"/>
    <col min="1120" max="1120" width="12.33203125" bestFit="1" customWidth="1"/>
    <col min="1121" max="1121" width="16.77734375" bestFit="1" customWidth="1"/>
    <col min="1122" max="1122" width="9.5546875" bestFit="1" customWidth="1"/>
    <col min="1123" max="1123" width="7.5546875" bestFit="1" customWidth="1"/>
    <col min="1124" max="1124" width="10.21875" bestFit="1" customWidth="1"/>
    <col min="1125" max="1125" width="11" bestFit="1" customWidth="1"/>
    <col min="1126" max="1126" width="7.5546875" bestFit="1" customWidth="1"/>
    <col min="1127" max="1127" width="10.21875" bestFit="1" customWidth="1"/>
    <col min="1128" max="1128" width="7.5546875" bestFit="1" customWidth="1"/>
    <col min="1129" max="1129" width="12.33203125" bestFit="1" customWidth="1"/>
    <col min="1130" max="1130" width="10.21875" bestFit="1" customWidth="1"/>
    <col min="1131" max="1131" width="9.5546875" bestFit="1" customWidth="1"/>
    <col min="1132" max="1132" width="7.5546875" bestFit="1" customWidth="1"/>
    <col min="1133" max="1133" width="9.5546875" bestFit="1" customWidth="1"/>
    <col min="1134" max="1134" width="7.5546875" bestFit="1" customWidth="1"/>
    <col min="1135" max="1135" width="12.33203125" bestFit="1" customWidth="1"/>
    <col min="1136" max="1136" width="16.77734375" bestFit="1" customWidth="1"/>
    <col min="1137" max="1137" width="7.5546875" bestFit="1" customWidth="1"/>
    <col min="1138" max="1138" width="11" bestFit="1" customWidth="1"/>
    <col min="1139" max="1139" width="9.5546875" bestFit="1" customWidth="1"/>
    <col min="1140" max="1140" width="7.5546875" bestFit="1" customWidth="1"/>
    <col min="1141" max="1141" width="12.33203125" bestFit="1" customWidth="1"/>
    <col min="1142" max="1142" width="10.21875" bestFit="1" customWidth="1"/>
    <col min="1143" max="1143" width="7.5546875" bestFit="1" customWidth="1"/>
    <col min="1144" max="1144" width="12.33203125" bestFit="1" customWidth="1"/>
    <col min="1145" max="1145" width="9.77734375" bestFit="1" customWidth="1"/>
    <col min="1146" max="1146" width="7.5546875" bestFit="1" customWidth="1"/>
    <col min="1147" max="1147" width="12.33203125" bestFit="1" customWidth="1"/>
    <col min="1148" max="1148" width="11" bestFit="1" customWidth="1"/>
    <col min="1149" max="1149" width="7.5546875" bestFit="1" customWidth="1"/>
    <col min="1150" max="1150" width="10.21875" bestFit="1" customWidth="1"/>
    <col min="1151" max="1151" width="11" bestFit="1" customWidth="1"/>
    <col min="1152" max="1152" width="7.5546875" bestFit="1" customWidth="1"/>
    <col min="1153" max="1153" width="12.33203125" bestFit="1" customWidth="1"/>
    <col min="1154" max="1154" width="11" bestFit="1" customWidth="1"/>
    <col min="1155" max="1155" width="16.77734375" bestFit="1" customWidth="1"/>
    <col min="1156" max="1156" width="7.5546875" bestFit="1" customWidth="1"/>
    <col min="1157" max="1157" width="12.33203125" bestFit="1" customWidth="1"/>
    <col min="1158" max="1158" width="11" bestFit="1" customWidth="1"/>
    <col min="1159" max="1159" width="9.5546875" bestFit="1" customWidth="1"/>
    <col min="1160" max="1160" width="7.5546875" bestFit="1" customWidth="1"/>
    <col min="1161" max="1161" width="12.33203125" bestFit="1" customWidth="1"/>
    <col min="1162" max="1162" width="11" bestFit="1" customWidth="1"/>
    <col min="1163" max="1163" width="7.5546875" bestFit="1" customWidth="1"/>
    <col min="1164" max="1164" width="12.33203125" bestFit="1" customWidth="1"/>
    <col min="1165" max="1165" width="9.77734375" bestFit="1" customWidth="1"/>
    <col min="1166" max="1166" width="7.5546875" bestFit="1" customWidth="1"/>
    <col min="1167" max="1167" width="12.33203125" bestFit="1" customWidth="1"/>
    <col min="1168" max="1168" width="16.77734375" bestFit="1" customWidth="1"/>
    <col min="1169" max="1169" width="7.5546875" bestFit="1" customWidth="1"/>
    <col min="1170" max="1170" width="11" bestFit="1" customWidth="1"/>
    <col min="1171" max="1171" width="7.5546875" bestFit="1" customWidth="1"/>
    <col min="1172" max="1172" width="12.33203125" bestFit="1" customWidth="1"/>
    <col min="1173" max="1173" width="9.77734375" bestFit="1" customWidth="1"/>
    <col min="1174" max="1174" width="7.5546875" bestFit="1" customWidth="1"/>
    <col min="1175" max="1175" width="12.33203125" bestFit="1" customWidth="1"/>
    <col min="1176" max="1176" width="11" bestFit="1" customWidth="1"/>
    <col min="1177" max="1177" width="16.77734375" bestFit="1" customWidth="1"/>
    <col min="1178" max="1178" width="9.5546875" bestFit="1" customWidth="1"/>
    <col min="1179" max="1179" width="7.5546875" bestFit="1" customWidth="1"/>
    <col min="1180" max="1180" width="10.21875" bestFit="1" customWidth="1"/>
    <col min="1181" max="1181" width="7.5546875" bestFit="1" customWidth="1"/>
    <col min="1182" max="1182" width="12.33203125" bestFit="1" customWidth="1"/>
    <col min="1183" max="1183" width="9.77734375" bestFit="1" customWidth="1"/>
    <col min="1184" max="1184" width="7.5546875" bestFit="1" customWidth="1"/>
    <col min="1185" max="1185" width="11" bestFit="1" customWidth="1"/>
    <col min="1186" max="1186" width="7.5546875" bestFit="1" customWidth="1"/>
    <col min="1187" max="1187" width="12.33203125" bestFit="1" customWidth="1"/>
    <col min="1188" max="1188" width="10.21875" bestFit="1" customWidth="1"/>
    <col min="1189" max="1189" width="7.5546875" bestFit="1" customWidth="1"/>
    <col min="1190" max="1190" width="12.33203125" bestFit="1" customWidth="1"/>
    <col min="1191" max="1191" width="16.77734375" bestFit="1" customWidth="1"/>
    <col min="1192" max="1192" width="7.5546875" bestFit="1" customWidth="1"/>
    <col min="1193" max="1193" width="12.33203125" bestFit="1" customWidth="1"/>
    <col min="1194" max="1194" width="16.77734375" bestFit="1" customWidth="1"/>
    <col min="1195" max="1195" width="9.5546875" bestFit="1" customWidth="1"/>
    <col min="1196" max="1196" width="7.5546875" bestFit="1" customWidth="1"/>
    <col min="1197" max="1197" width="12.33203125" bestFit="1" customWidth="1"/>
    <col min="1198" max="1198" width="9.77734375" bestFit="1" customWidth="1"/>
    <col min="1199" max="1199" width="7.5546875" bestFit="1" customWidth="1"/>
    <col min="1200" max="1200" width="12.33203125" bestFit="1" customWidth="1"/>
    <col min="1201" max="1201" width="16.77734375" bestFit="1" customWidth="1"/>
    <col min="1202" max="1202" width="7.5546875" bestFit="1" customWidth="1"/>
    <col min="1203" max="1203" width="12.33203125" bestFit="1" customWidth="1"/>
    <col min="1204" max="1204" width="10.21875" bestFit="1" customWidth="1"/>
    <col min="1205" max="1205" width="7.5546875" bestFit="1" customWidth="1"/>
    <col min="1206" max="1206" width="12.33203125" bestFit="1" customWidth="1"/>
    <col min="1207" max="1207" width="11" bestFit="1" customWidth="1"/>
    <col min="1208" max="1208" width="7.5546875" bestFit="1" customWidth="1"/>
    <col min="1209" max="1209" width="16.77734375" bestFit="1" customWidth="1"/>
    <col min="1210" max="1210" width="7.5546875" bestFit="1" customWidth="1"/>
    <col min="1211" max="1211" width="12.33203125" bestFit="1" customWidth="1"/>
    <col min="1212" max="1212" width="10.21875" bestFit="1" customWidth="1"/>
    <col min="1213" max="1213" width="7.5546875" bestFit="1" customWidth="1"/>
    <col min="1214" max="1214" width="11" bestFit="1" customWidth="1"/>
    <col min="1215" max="1215" width="16.77734375" bestFit="1" customWidth="1"/>
    <col min="1216" max="1216" width="7.5546875" bestFit="1" customWidth="1"/>
    <col min="1217" max="1217" width="12.33203125" bestFit="1" customWidth="1"/>
    <col min="1218" max="1218" width="11" bestFit="1" customWidth="1"/>
    <col min="1219" max="1219" width="7.5546875" bestFit="1" customWidth="1"/>
    <col min="1220" max="1220" width="9.5546875" bestFit="1" customWidth="1"/>
    <col min="1221" max="1221" width="7.5546875" bestFit="1" customWidth="1"/>
    <col min="1222" max="1222" width="12.33203125" bestFit="1" customWidth="1"/>
    <col min="1223" max="1223" width="16.77734375" bestFit="1" customWidth="1"/>
    <col min="1224" max="1224" width="7.5546875" bestFit="1" customWidth="1"/>
    <col min="1225" max="1225" width="11" bestFit="1" customWidth="1"/>
    <col min="1226" max="1226" width="7.5546875" bestFit="1" customWidth="1"/>
    <col min="1227" max="1227" width="12.33203125" bestFit="1" customWidth="1"/>
    <col min="1228" max="1228" width="7.21875" bestFit="1" customWidth="1"/>
    <col min="1229" max="1229" width="9.77734375" bestFit="1" customWidth="1"/>
    <col min="1230" max="1230" width="7.5546875" bestFit="1" customWidth="1"/>
    <col min="1231" max="1231" width="16.77734375" bestFit="1" customWidth="1"/>
    <col min="1232" max="1232" width="7.5546875" bestFit="1" customWidth="1"/>
    <col min="1233" max="1233" width="12.33203125" bestFit="1" customWidth="1"/>
    <col min="1234" max="1234" width="10.21875" bestFit="1" customWidth="1"/>
    <col min="1235" max="1235" width="7.5546875" bestFit="1" customWidth="1"/>
    <col min="1236" max="1236" width="12.33203125" bestFit="1" customWidth="1"/>
    <col min="1237" max="1237" width="10.21875" bestFit="1" customWidth="1"/>
    <col min="1238" max="1238" width="7.5546875" bestFit="1" customWidth="1"/>
    <col min="1239" max="1239" width="12.33203125" bestFit="1" customWidth="1"/>
    <col min="1240" max="1240" width="11" bestFit="1" customWidth="1"/>
    <col min="1241" max="1241" width="7.5546875" bestFit="1" customWidth="1"/>
    <col min="1242" max="1242" width="12.33203125" bestFit="1" customWidth="1"/>
    <col min="1243" max="1243" width="16.77734375" bestFit="1" customWidth="1"/>
    <col min="1244" max="1244" width="7.5546875" bestFit="1" customWidth="1"/>
    <col min="1245" max="1245" width="12.33203125" bestFit="1" customWidth="1"/>
    <col min="1246" max="1246" width="9.77734375" bestFit="1" customWidth="1"/>
    <col min="1247" max="1247" width="7.5546875" bestFit="1" customWidth="1"/>
    <col min="1248" max="1248" width="10.21875" bestFit="1" customWidth="1"/>
    <col min="1249" max="1249" width="7.5546875" bestFit="1" customWidth="1"/>
    <col min="1250" max="1250" width="11" bestFit="1" customWidth="1"/>
    <col min="1251" max="1251" width="16.77734375" bestFit="1" customWidth="1"/>
    <col min="1252" max="1252" width="7.5546875" bestFit="1" customWidth="1"/>
    <col min="1253" max="1253" width="12.33203125" bestFit="1" customWidth="1"/>
    <col min="1254" max="1254" width="10.21875" bestFit="1" customWidth="1"/>
    <col min="1255" max="1255" width="7.5546875" bestFit="1" customWidth="1"/>
    <col min="1256" max="1256" width="9.5546875" bestFit="1" customWidth="1"/>
    <col min="1257" max="1257" width="7.5546875" bestFit="1" customWidth="1"/>
    <col min="1258" max="1258" width="12.33203125" bestFit="1" customWidth="1"/>
    <col min="1259" max="1259" width="16.77734375" bestFit="1" customWidth="1"/>
    <col min="1260" max="1260" width="9.5546875" bestFit="1" customWidth="1"/>
    <col min="1261" max="1261" width="7.5546875" bestFit="1" customWidth="1"/>
    <col min="1262" max="1262" width="12.33203125" bestFit="1" customWidth="1"/>
    <col min="1263" max="1263" width="9.77734375" bestFit="1" customWidth="1"/>
    <col min="1264" max="1264" width="7.5546875" bestFit="1" customWidth="1"/>
    <col min="1265" max="1265" width="12.33203125" bestFit="1" customWidth="1"/>
    <col min="1266" max="1266" width="9.77734375" bestFit="1" customWidth="1"/>
    <col min="1267" max="1267" width="7.5546875" bestFit="1" customWidth="1"/>
    <col min="1268" max="1268" width="12.33203125" bestFit="1" customWidth="1"/>
    <col min="1269" max="1269" width="11" bestFit="1" customWidth="1"/>
    <col min="1270" max="1270" width="7.5546875" bestFit="1" customWidth="1"/>
    <col min="1271" max="1271" width="12.33203125" bestFit="1" customWidth="1"/>
    <col min="1272" max="1272" width="16.77734375" bestFit="1" customWidth="1"/>
    <col min="1273" max="1273" width="9.5546875" bestFit="1" customWidth="1"/>
    <col min="1274" max="1274" width="7.5546875" bestFit="1" customWidth="1"/>
    <col min="1275" max="1275" width="11" bestFit="1" customWidth="1"/>
    <col min="1276" max="1276" width="7.5546875" bestFit="1" customWidth="1"/>
    <col min="1277" max="1277" width="12.33203125" bestFit="1" customWidth="1"/>
    <col min="1278" max="1278" width="10.21875" bestFit="1" customWidth="1"/>
    <col min="1279" max="1279" width="7.5546875" bestFit="1" customWidth="1"/>
    <col min="1280" max="1280" width="10.21875" bestFit="1" customWidth="1"/>
    <col min="1281" max="1281" width="7.5546875" bestFit="1" customWidth="1"/>
    <col min="1282" max="1282" width="12.33203125" bestFit="1" customWidth="1"/>
    <col min="1283" max="1283" width="10.21875" bestFit="1" customWidth="1"/>
    <col min="1284" max="1284" width="7.5546875" bestFit="1" customWidth="1"/>
    <col min="1285" max="1285" width="11" bestFit="1" customWidth="1"/>
    <col min="1286" max="1286" width="7.5546875" bestFit="1" customWidth="1"/>
    <col min="1287" max="1287" width="12.33203125" bestFit="1" customWidth="1"/>
    <col min="1288" max="1288" width="11" bestFit="1" customWidth="1"/>
    <col min="1289" max="1289" width="9.5546875" bestFit="1" customWidth="1"/>
    <col min="1290" max="1290" width="7.5546875" bestFit="1" customWidth="1"/>
    <col min="1291" max="1291" width="12.33203125" bestFit="1" customWidth="1"/>
    <col min="1292" max="1292" width="10.21875" bestFit="1" customWidth="1"/>
    <col min="1293" max="1293" width="7.5546875" bestFit="1" customWidth="1"/>
    <col min="1294" max="1294" width="11" bestFit="1" customWidth="1"/>
    <col min="1295" max="1295" width="16.77734375" bestFit="1" customWidth="1"/>
    <col min="1296" max="1296" width="7.5546875" bestFit="1" customWidth="1"/>
    <col min="1297" max="1297" width="12.33203125" bestFit="1" customWidth="1"/>
    <col min="1298" max="1298" width="16.77734375" bestFit="1" customWidth="1"/>
    <col min="1299" max="1299" width="7.5546875" bestFit="1" customWidth="1"/>
    <col min="1300" max="1300" width="12.33203125" bestFit="1" customWidth="1"/>
    <col min="1301" max="1301" width="9.77734375" bestFit="1" customWidth="1"/>
    <col min="1302" max="1302" width="7.5546875" bestFit="1" customWidth="1"/>
    <col min="1303" max="1303" width="11" bestFit="1" customWidth="1"/>
    <col min="1304" max="1304" width="7.5546875" bestFit="1" customWidth="1"/>
    <col min="1305" max="1305" width="12.33203125" bestFit="1" customWidth="1"/>
    <col min="1306" max="1306" width="16.77734375" bestFit="1" customWidth="1"/>
    <col min="1307" max="1307" width="7.5546875" bestFit="1" customWidth="1"/>
    <col min="1308" max="1308" width="12.33203125" bestFit="1" customWidth="1"/>
    <col min="1309" max="1309" width="16.77734375" bestFit="1" customWidth="1"/>
    <col min="1310" max="1310" width="7.5546875" bestFit="1" customWidth="1"/>
    <col min="1311" max="1311" width="11" bestFit="1" customWidth="1"/>
    <col min="1312" max="1312" width="7.5546875" bestFit="1" customWidth="1"/>
    <col min="1313" max="1313" width="12.33203125" bestFit="1" customWidth="1"/>
    <col min="1314" max="1314" width="10.21875" bestFit="1" customWidth="1"/>
    <col min="1315" max="1315" width="7.5546875" bestFit="1" customWidth="1"/>
    <col min="1316" max="1316" width="10.21875" bestFit="1" customWidth="1"/>
    <col min="1317" max="1317" width="7.5546875" bestFit="1" customWidth="1"/>
    <col min="1318" max="1318" width="12.33203125" bestFit="1" customWidth="1"/>
    <col min="1319" max="1319" width="9.77734375" bestFit="1" customWidth="1"/>
    <col min="1320" max="1320" width="7.5546875" bestFit="1" customWidth="1"/>
    <col min="1321" max="1321" width="9.5546875" bestFit="1" customWidth="1"/>
    <col min="1322" max="1322" width="7.5546875" bestFit="1" customWidth="1"/>
    <col min="1323" max="1323" width="12.33203125" bestFit="1" customWidth="1"/>
    <col min="1324" max="1324" width="10.21875" bestFit="1" customWidth="1"/>
    <col min="1325" max="1325" width="11" bestFit="1" customWidth="1"/>
    <col min="1326" max="1326" width="7.5546875" bestFit="1" customWidth="1"/>
    <col min="1327" max="1327" width="12.33203125" bestFit="1" customWidth="1"/>
    <col min="1328" max="1328" width="16.77734375" bestFit="1" customWidth="1"/>
    <col min="1329" max="1329" width="9.5546875" bestFit="1" customWidth="1"/>
    <col min="1330" max="1330" width="7.5546875" bestFit="1" customWidth="1"/>
    <col min="1331" max="1331" width="16.77734375" bestFit="1" customWidth="1"/>
    <col min="1332" max="1332" width="7.5546875" bestFit="1" customWidth="1"/>
    <col min="1333" max="1333" width="12.33203125" bestFit="1" customWidth="1"/>
    <col min="1334" max="1334" width="10.21875" bestFit="1" customWidth="1"/>
    <col min="1335" max="1335" width="11" bestFit="1" customWidth="1"/>
    <col min="1336" max="1336" width="7.5546875" bestFit="1" customWidth="1"/>
    <col min="1337" max="1337" width="12.33203125" bestFit="1" customWidth="1"/>
    <col min="1338" max="1338" width="16.77734375" bestFit="1" customWidth="1"/>
    <col min="1339" max="1339" width="7.5546875" bestFit="1" customWidth="1"/>
    <col min="1340" max="1340" width="12.33203125" bestFit="1" customWidth="1"/>
    <col min="1341" max="1341" width="9.77734375" bestFit="1" customWidth="1"/>
    <col min="1342" max="1342" width="7.5546875" bestFit="1" customWidth="1"/>
    <col min="1343" max="1343" width="16.77734375" bestFit="1" customWidth="1"/>
    <col min="1344" max="1344" width="7.5546875" bestFit="1" customWidth="1"/>
    <col min="1345" max="1345" width="12.33203125" bestFit="1" customWidth="1"/>
    <col min="1346" max="1346" width="10.21875" bestFit="1" customWidth="1"/>
    <col min="1347" max="1347" width="7.5546875" bestFit="1" customWidth="1"/>
    <col min="1348" max="1348" width="12.33203125" bestFit="1" customWidth="1"/>
    <col min="1349" max="1349" width="10.21875" bestFit="1" customWidth="1"/>
    <col min="1350" max="1350" width="16.77734375" bestFit="1" customWidth="1"/>
    <col min="1351" max="1351" width="7.5546875" bestFit="1" customWidth="1"/>
    <col min="1352" max="1352" width="12.33203125" bestFit="1" customWidth="1"/>
    <col min="1353" max="1353" width="11" bestFit="1" customWidth="1"/>
    <col min="1354" max="1354" width="7.5546875" bestFit="1" customWidth="1"/>
    <col min="1355" max="1355" width="12.33203125" bestFit="1" customWidth="1"/>
    <col min="1356" max="1356" width="16.77734375" bestFit="1" customWidth="1"/>
    <col min="1357" max="1357" width="7.5546875" bestFit="1" customWidth="1"/>
    <col min="1358" max="1358" width="10.21875" bestFit="1" customWidth="1"/>
    <col min="1359" max="1359" width="7.5546875" bestFit="1" customWidth="1"/>
    <col min="1360" max="1360" width="12.33203125" bestFit="1" customWidth="1"/>
    <col min="1361" max="1361" width="11" bestFit="1" customWidth="1"/>
    <col min="1362" max="1362" width="7.5546875" bestFit="1" customWidth="1"/>
    <col min="1363" max="1363" width="9.5546875" bestFit="1" customWidth="1"/>
    <col min="1364" max="1364" width="7.5546875" bestFit="1" customWidth="1"/>
    <col min="1365" max="1365" width="12.33203125" bestFit="1" customWidth="1"/>
    <col min="1366" max="1366" width="10.21875" bestFit="1" customWidth="1"/>
    <col min="1367" max="1367" width="7.5546875" bestFit="1" customWidth="1"/>
    <col min="1368" max="1368" width="11" bestFit="1" customWidth="1"/>
    <col min="1369" max="1369" width="7.5546875" bestFit="1" customWidth="1"/>
    <col min="1370" max="1370" width="12.33203125" bestFit="1" customWidth="1"/>
    <col min="1371" max="1371" width="10.21875" bestFit="1" customWidth="1"/>
    <col min="1372" max="1372" width="11" bestFit="1" customWidth="1"/>
    <col min="1373" max="1373" width="7.5546875" bestFit="1" customWidth="1"/>
    <col min="1374" max="1374" width="12.33203125" bestFit="1" customWidth="1"/>
    <col min="1375" max="1375" width="10.21875" bestFit="1" customWidth="1"/>
    <col min="1376" max="1376" width="7.5546875" bestFit="1" customWidth="1"/>
    <col min="1377" max="1377" width="11" bestFit="1" customWidth="1"/>
    <col min="1378" max="1378" width="7.5546875" bestFit="1" customWidth="1"/>
    <col min="1379" max="1379" width="12.33203125" bestFit="1" customWidth="1"/>
    <col min="1380" max="1380" width="11" bestFit="1" customWidth="1"/>
    <col min="1381" max="1381" width="7.5546875" bestFit="1" customWidth="1"/>
    <col min="1382" max="1382" width="12.33203125" bestFit="1" customWidth="1"/>
    <col min="1383" max="1383" width="10.21875" bestFit="1" customWidth="1"/>
    <col min="1384" max="1384" width="7.5546875" bestFit="1" customWidth="1"/>
    <col min="1385" max="1385" width="16.77734375" bestFit="1" customWidth="1"/>
    <col min="1386" max="1386" width="7.5546875" bestFit="1" customWidth="1"/>
    <col min="1387" max="1387" width="12.33203125" bestFit="1" customWidth="1"/>
    <col min="1388" max="1388" width="10.21875" bestFit="1" customWidth="1"/>
    <col min="1389" max="1389" width="7.5546875" bestFit="1" customWidth="1"/>
    <col min="1390" max="1390" width="12.33203125" bestFit="1" customWidth="1"/>
    <col min="1391" max="1391" width="11" bestFit="1" customWidth="1"/>
    <col min="1392" max="1392" width="16.77734375" bestFit="1" customWidth="1"/>
    <col min="1393" max="1393" width="7.5546875" bestFit="1" customWidth="1"/>
    <col min="1394" max="1394" width="10.21875" bestFit="1" customWidth="1"/>
    <col min="1395" max="1395" width="7.5546875" bestFit="1" customWidth="1"/>
    <col min="1396" max="1396" width="12.33203125" bestFit="1" customWidth="1"/>
    <col min="1397" max="1397" width="16.77734375" bestFit="1" customWidth="1"/>
    <col min="1398" max="1398" width="7.5546875" bestFit="1" customWidth="1"/>
    <col min="1399" max="1399" width="12.33203125" bestFit="1" customWidth="1"/>
    <col min="1400" max="1400" width="11" bestFit="1" customWidth="1"/>
    <col min="1401" max="1401" width="7.5546875" bestFit="1" customWidth="1"/>
    <col min="1402" max="1402" width="11" bestFit="1" customWidth="1"/>
    <col min="1403" max="1403" width="7.5546875" bestFit="1" customWidth="1"/>
    <col min="1404" max="1404" width="12.33203125" bestFit="1" customWidth="1"/>
    <col min="1405" max="1405" width="7.21875" bestFit="1" customWidth="1"/>
    <col min="1406" max="1406" width="16.77734375" bestFit="1" customWidth="1"/>
    <col min="1407" max="1407" width="9.5546875" bestFit="1" customWidth="1"/>
    <col min="1408" max="1408" width="7.5546875" bestFit="1" customWidth="1"/>
    <col min="1409" max="1409" width="12.33203125" bestFit="1" customWidth="1"/>
    <col min="1410" max="1410" width="11" bestFit="1" customWidth="1"/>
    <col min="1411" max="1411" width="7.5546875" bestFit="1" customWidth="1"/>
    <col min="1412" max="1412" width="9.5546875" bestFit="1" customWidth="1"/>
    <col min="1413" max="1413" width="7.5546875" bestFit="1" customWidth="1"/>
    <col min="1414" max="1414" width="12.33203125" bestFit="1" customWidth="1"/>
    <col min="1415" max="1415" width="10.21875" bestFit="1" customWidth="1"/>
    <col min="1416" max="1416" width="7.5546875" bestFit="1" customWidth="1"/>
    <col min="1417" max="1417" width="9.5546875" bestFit="1" customWidth="1"/>
    <col min="1418" max="1418" width="7.5546875" bestFit="1" customWidth="1"/>
    <col min="1419" max="1419" width="12.33203125" bestFit="1" customWidth="1"/>
    <col min="1420" max="1420" width="9.77734375" bestFit="1" customWidth="1"/>
    <col min="1421" max="1421" width="7.5546875" bestFit="1" customWidth="1"/>
    <col min="1422" max="1422" width="12.33203125" bestFit="1" customWidth="1"/>
    <col min="1423" max="1423" width="10.21875" bestFit="1" customWidth="1"/>
    <col min="1424" max="1424" width="16.77734375" bestFit="1" customWidth="1"/>
    <col min="1425" max="1425" width="7.5546875" bestFit="1" customWidth="1"/>
    <col min="1426" max="1426" width="16.77734375" bestFit="1" customWidth="1"/>
    <col min="1427" max="1427" width="7.5546875" bestFit="1" customWidth="1"/>
    <col min="1428" max="1428" width="12.33203125" bestFit="1" customWidth="1"/>
    <col min="1429" max="1429" width="10.21875" bestFit="1" customWidth="1"/>
    <col min="1430" max="1430" width="7.5546875" bestFit="1" customWidth="1"/>
    <col min="1431" max="1431" width="12.33203125" bestFit="1" customWidth="1"/>
    <col min="1432" max="1432" width="11" bestFit="1" customWidth="1"/>
    <col min="1433" max="1433" width="7.5546875" bestFit="1" customWidth="1"/>
    <col min="1434" max="1434" width="12.33203125" bestFit="1" customWidth="1"/>
    <col min="1435" max="1435" width="16.77734375" bestFit="1" customWidth="1"/>
    <col min="1436" max="1436" width="7.5546875" bestFit="1" customWidth="1"/>
    <col min="1437" max="1437" width="9.5546875" bestFit="1" customWidth="1"/>
    <col min="1438" max="1438" width="7.5546875" bestFit="1" customWidth="1"/>
    <col min="1439" max="1439" width="12.33203125" bestFit="1" customWidth="1"/>
    <col min="1440" max="1440" width="9.77734375" bestFit="1" customWidth="1"/>
    <col min="1441" max="1441" width="7.5546875" bestFit="1" customWidth="1"/>
    <col min="1442" max="1442" width="11" bestFit="1" customWidth="1"/>
    <col min="1443" max="1443" width="7.5546875" bestFit="1" customWidth="1"/>
    <col min="1444" max="1444" width="12.33203125" bestFit="1" customWidth="1"/>
    <col min="1445" max="1445" width="16.77734375" bestFit="1" customWidth="1"/>
    <col min="1446" max="1446" width="7.5546875" bestFit="1" customWidth="1"/>
    <col min="1447" max="1447" width="12.33203125" bestFit="1" customWidth="1"/>
    <col min="1448" max="1448" width="11" bestFit="1" customWidth="1"/>
    <col min="1449" max="1449" width="7.5546875" bestFit="1" customWidth="1"/>
    <col min="1450" max="1450" width="12.33203125" bestFit="1" customWidth="1"/>
    <col min="1451" max="1451" width="10.21875" bestFit="1" customWidth="1"/>
    <col min="1452" max="1452" width="11" bestFit="1" customWidth="1"/>
    <col min="1453" max="1453" width="7.5546875" bestFit="1" customWidth="1"/>
    <col min="1454" max="1454" width="12.33203125" bestFit="1" customWidth="1"/>
    <col min="1455" max="1455" width="10.21875" bestFit="1" customWidth="1"/>
    <col min="1456" max="1456" width="7.5546875" bestFit="1" customWidth="1"/>
    <col min="1457" max="1457" width="12.33203125" bestFit="1" customWidth="1"/>
    <col min="1458" max="1458" width="11" bestFit="1" customWidth="1"/>
    <col min="1459" max="1459" width="7.5546875" bestFit="1" customWidth="1"/>
    <col min="1460" max="1460" width="12.33203125" bestFit="1" customWidth="1"/>
    <col min="1461" max="1461" width="10.21875" bestFit="1" customWidth="1"/>
    <col min="1462" max="1462" width="7.5546875" bestFit="1" customWidth="1"/>
    <col min="1463" max="1463" width="12.33203125" bestFit="1" customWidth="1"/>
    <col min="1464" max="1464" width="9.77734375" bestFit="1" customWidth="1"/>
    <col min="1465" max="1465" width="7.5546875" bestFit="1" customWidth="1"/>
    <col min="1466" max="1466" width="10.21875" bestFit="1" customWidth="1"/>
    <col min="1467" max="1467" width="9.5546875" bestFit="1" customWidth="1"/>
    <col min="1468" max="1468" width="7.5546875" bestFit="1" customWidth="1"/>
    <col min="1469" max="1469" width="12.33203125" bestFit="1" customWidth="1"/>
    <col min="1470" max="1470" width="16.77734375" bestFit="1" customWidth="1"/>
    <col min="1471" max="1471" width="7.5546875" bestFit="1" customWidth="1"/>
    <col min="1472" max="1472" width="9.5546875" bestFit="1" customWidth="1"/>
    <col min="1473" max="1473" width="7.5546875" bestFit="1" customWidth="1"/>
    <col min="1474" max="1474" width="12.33203125" bestFit="1" customWidth="1"/>
    <col min="1475" max="1475" width="11" bestFit="1" customWidth="1"/>
    <col min="1476" max="1476" width="7.5546875" bestFit="1" customWidth="1"/>
    <col min="1477" max="1477" width="16.77734375" bestFit="1" customWidth="1"/>
    <col min="1478" max="1478" width="7.5546875" bestFit="1" customWidth="1"/>
    <col min="1479" max="1479" width="12.33203125" bestFit="1" customWidth="1"/>
    <col min="1480" max="1480" width="9.77734375" bestFit="1" customWidth="1"/>
    <col min="1481" max="1481" width="7.5546875" bestFit="1" customWidth="1"/>
    <col min="1482" max="1482" width="12.33203125" bestFit="1" customWidth="1"/>
    <col min="1483" max="1483" width="10.21875" bestFit="1" customWidth="1"/>
    <col min="1484" max="1484" width="7.5546875" bestFit="1" customWidth="1"/>
    <col min="1485" max="1485" width="11" bestFit="1" customWidth="1"/>
    <col min="1486" max="1486" width="7.5546875" bestFit="1" customWidth="1"/>
    <col min="1487" max="1487" width="12.33203125" bestFit="1" customWidth="1"/>
    <col min="1488" max="1488" width="16.77734375" bestFit="1" customWidth="1"/>
    <col min="1489" max="1489" width="9.5546875" bestFit="1" customWidth="1"/>
    <col min="1490" max="1490" width="7.5546875" bestFit="1" customWidth="1"/>
    <col min="1491" max="1491" width="10.21875" bestFit="1" customWidth="1"/>
    <col min="1492" max="1492" width="9.5546875" bestFit="1" customWidth="1"/>
    <col min="1493" max="1493" width="7.5546875" bestFit="1" customWidth="1"/>
    <col min="1494" max="1494" width="12.33203125" bestFit="1" customWidth="1"/>
    <col min="1495" max="1495" width="10.21875" bestFit="1" customWidth="1"/>
    <col min="1496" max="1496" width="7.5546875" bestFit="1" customWidth="1"/>
    <col min="1497" max="1497" width="12.33203125" bestFit="1" customWidth="1"/>
    <col min="1498" max="1498" width="9.77734375" bestFit="1" customWidth="1"/>
    <col min="1499" max="1499" width="7.5546875" bestFit="1" customWidth="1"/>
    <col min="1500" max="1500" width="9.5546875" bestFit="1" customWidth="1"/>
    <col min="1501" max="1501" width="7.5546875" bestFit="1" customWidth="1"/>
    <col min="1502" max="1502" width="12.33203125" bestFit="1" customWidth="1"/>
    <col min="1503" max="1503" width="10.21875" bestFit="1" customWidth="1"/>
    <col min="1504" max="1504" width="7.5546875" bestFit="1" customWidth="1"/>
    <col min="1505" max="1505" width="11" bestFit="1" customWidth="1"/>
    <col min="1506" max="1506" width="9.5546875" bestFit="1" customWidth="1"/>
    <col min="1507" max="1507" width="7.5546875" bestFit="1" customWidth="1"/>
    <col min="1508" max="1508" width="12.33203125" bestFit="1" customWidth="1"/>
    <col min="1509" max="1509" width="11" bestFit="1" customWidth="1"/>
    <col min="1510" max="1510" width="9.5546875" bestFit="1" customWidth="1"/>
    <col min="1511" max="1511" width="7.5546875" bestFit="1" customWidth="1"/>
    <col min="1512" max="1512" width="12.33203125" bestFit="1" customWidth="1"/>
    <col min="1513" max="1513" width="16.77734375" bestFit="1" customWidth="1"/>
    <col min="1514" max="1514" width="7.5546875" bestFit="1" customWidth="1"/>
    <col min="1515" max="1515" width="12.33203125" bestFit="1" customWidth="1"/>
    <col min="1516" max="1516" width="11" bestFit="1" customWidth="1"/>
    <col min="1517" max="1517" width="7.5546875" bestFit="1" customWidth="1"/>
    <col min="1518" max="1518" width="10.21875" bestFit="1" customWidth="1"/>
    <col min="1519" max="1519" width="9.5546875" bestFit="1" customWidth="1"/>
    <col min="1520" max="1520" width="7.5546875" bestFit="1" customWidth="1"/>
    <col min="1521" max="1521" width="12.33203125" bestFit="1" customWidth="1"/>
    <col min="1522" max="1522" width="11" bestFit="1" customWidth="1"/>
    <col min="1523" max="1523" width="16.77734375" bestFit="1" customWidth="1"/>
    <col min="1524" max="1524" width="7.5546875" bestFit="1" customWidth="1"/>
    <col min="1525" max="1525" width="11" bestFit="1" customWidth="1"/>
    <col min="1526" max="1526" width="16.77734375" bestFit="1" customWidth="1"/>
    <col min="1527" max="1527" width="7.5546875" bestFit="1" customWidth="1"/>
    <col min="1528" max="1528" width="12.33203125" bestFit="1" customWidth="1"/>
    <col min="1529" max="1529" width="9.77734375" bestFit="1" customWidth="1"/>
    <col min="1530" max="1530" width="7.5546875" bestFit="1" customWidth="1"/>
    <col min="1531" max="1531" width="16.77734375" bestFit="1" customWidth="1"/>
    <col min="1532" max="1532" width="7.5546875" bestFit="1" customWidth="1"/>
    <col min="1533" max="1533" width="12.33203125" bestFit="1" customWidth="1"/>
    <col min="1534" max="1534" width="9.77734375" bestFit="1" customWidth="1"/>
    <col min="1535" max="1535" width="7.5546875" bestFit="1" customWidth="1"/>
    <col min="1536" max="1536" width="12.33203125" bestFit="1" customWidth="1"/>
    <col min="1537" max="1537" width="10.21875" bestFit="1" customWidth="1"/>
    <col min="1538" max="1538" width="16.77734375" bestFit="1" customWidth="1"/>
    <col min="1539" max="1539" width="7.5546875" bestFit="1" customWidth="1"/>
    <col min="1540" max="1540" width="10.21875" bestFit="1" customWidth="1"/>
    <col min="1541" max="1541" width="11" bestFit="1" customWidth="1"/>
    <col min="1542" max="1542" width="7.5546875" bestFit="1" customWidth="1"/>
    <col min="1543" max="1543" width="12.33203125" bestFit="1" customWidth="1"/>
    <col min="1544" max="1544" width="10.21875" bestFit="1" customWidth="1"/>
    <col min="1545" max="1545" width="7.5546875" bestFit="1" customWidth="1"/>
    <col min="1546" max="1546" width="12.33203125" bestFit="1" customWidth="1"/>
    <col min="1547" max="1547" width="10.21875" bestFit="1" customWidth="1"/>
    <col min="1548" max="1548" width="7.5546875" bestFit="1" customWidth="1"/>
    <col min="1549" max="1549" width="9.5546875" bestFit="1" customWidth="1"/>
    <col min="1550" max="1550" width="7.5546875" bestFit="1" customWidth="1"/>
    <col min="1551" max="1551" width="12.33203125" bestFit="1" customWidth="1"/>
    <col min="1552" max="1552" width="9.77734375" bestFit="1" customWidth="1"/>
    <col min="1553" max="1553" width="7.5546875" bestFit="1" customWidth="1"/>
    <col min="1554" max="1554" width="10.21875" bestFit="1" customWidth="1"/>
    <col min="1555" max="1555" width="7.5546875" bestFit="1" customWidth="1"/>
    <col min="1556" max="1556" width="12.33203125" bestFit="1" customWidth="1"/>
    <col min="1557" max="1557" width="9.77734375" bestFit="1" customWidth="1"/>
    <col min="1558" max="1558" width="7.5546875" bestFit="1" customWidth="1"/>
    <col min="1559" max="1559" width="12.33203125" bestFit="1" customWidth="1"/>
    <col min="1560" max="1560" width="10.21875" bestFit="1" customWidth="1"/>
    <col min="1561" max="1561" width="11" bestFit="1" customWidth="1"/>
    <col min="1562" max="1562" width="16.77734375" bestFit="1" customWidth="1"/>
    <col min="1563" max="1563" width="7.5546875" bestFit="1" customWidth="1"/>
    <col min="1564" max="1564" width="16.77734375" bestFit="1" customWidth="1"/>
    <col min="1565" max="1565" width="7.5546875" bestFit="1" customWidth="1"/>
    <col min="1566" max="1566" width="12.33203125" bestFit="1" customWidth="1"/>
    <col min="1567" max="1567" width="10.21875" bestFit="1" customWidth="1"/>
    <col min="1568" max="1568" width="7.5546875" bestFit="1" customWidth="1"/>
    <col min="1569" max="1569" width="16.77734375" bestFit="1" customWidth="1"/>
    <col min="1570" max="1570" width="7.5546875" bestFit="1" customWidth="1"/>
    <col min="1571" max="1571" width="12.33203125" bestFit="1" customWidth="1"/>
    <col min="1572" max="1572" width="10.21875" bestFit="1" customWidth="1"/>
    <col min="1573" max="1573" width="7.5546875" bestFit="1" customWidth="1"/>
    <col min="1574" max="1574" width="12.33203125" bestFit="1" customWidth="1"/>
    <col min="1575" max="1575" width="9.77734375" bestFit="1" customWidth="1"/>
    <col min="1576" max="1576" width="7.5546875" bestFit="1" customWidth="1"/>
    <col min="1577" max="1577" width="16.77734375" bestFit="1" customWidth="1"/>
    <col min="1578" max="1578" width="7.5546875" bestFit="1" customWidth="1"/>
    <col min="1579" max="1579" width="12.33203125" bestFit="1" customWidth="1"/>
    <col min="1580" max="1580" width="10.21875" bestFit="1" customWidth="1"/>
    <col min="1581" max="1581" width="7.5546875" bestFit="1" customWidth="1"/>
    <col min="1582" max="1582" width="10.21875" bestFit="1" customWidth="1"/>
    <col min="1583" max="1583" width="9.5546875" bestFit="1" customWidth="1"/>
    <col min="1584" max="1584" width="7.5546875" bestFit="1" customWidth="1"/>
    <col min="1585" max="1585" width="9.5546875" bestFit="1" customWidth="1"/>
    <col min="1586" max="1586" width="7.5546875" bestFit="1" customWidth="1"/>
    <col min="1587" max="1587" width="12.33203125" bestFit="1" customWidth="1"/>
    <col min="1588" max="1588" width="10.21875" bestFit="1" customWidth="1"/>
    <col min="1589" max="1589" width="11" bestFit="1" customWidth="1"/>
    <col min="1590" max="1590" width="7.5546875" bestFit="1" customWidth="1"/>
    <col min="1591" max="1591" width="11" bestFit="1" customWidth="1"/>
    <col min="1592" max="1592" width="7.5546875" bestFit="1" customWidth="1"/>
    <col min="1593" max="1593" width="12.33203125" bestFit="1" customWidth="1"/>
    <col min="1594" max="1594" width="16.77734375" bestFit="1" customWidth="1"/>
    <col min="1595" max="1595" width="7.5546875" bestFit="1" customWidth="1"/>
    <col min="1596" max="1596" width="12.33203125" bestFit="1" customWidth="1"/>
    <col min="1597" max="1597" width="7.21875" bestFit="1" customWidth="1"/>
    <col min="1598" max="1598" width="9.77734375" bestFit="1" customWidth="1"/>
    <col min="1599" max="1599" width="7.5546875" bestFit="1" customWidth="1"/>
    <col min="1600" max="1600" width="12.33203125" bestFit="1" customWidth="1"/>
    <col min="1601" max="1601" width="9.77734375" bestFit="1" customWidth="1"/>
    <col min="1602" max="1602" width="7.5546875" bestFit="1" customWidth="1"/>
    <col min="1603" max="1603" width="12.33203125" bestFit="1" customWidth="1"/>
    <col min="1604" max="1604" width="10.21875" bestFit="1" customWidth="1"/>
    <col min="1605" max="1605" width="7.5546875" bestFit="1" customWidth="1"/>
    <col min="1606" max="1606" width="11" bestFit="1" customWidth="1"/>
    <col min="1607" max="1607" width="16.77734375" bestFit="1" customWidth="1"/>
    <col min="1608" max="1608" width="9.5546875" bestFit="1" customWidth="1"/>
    <col min="1609" max="1609" width="7.5546875" bestFit="1" customWidth="1"/>
    <col min="1610" max="1610" width="12.33203125" bestFit="1" customWidth="1"/>
    <col min="1611" max="1611" width="11" bestFit="1" customWidth="1"/>
    <col min="1612" max="1612" width="7.5546875" bestFit="1" customWidth="1"/>
    <col min="1613" max="1613" width="11" bestFit="1" customWidth="1"/>
    <col min="1614" max="1614" width="7.5546875" bestFit="1" customWidth="1"/>
    <col min="1615" max="1615" width="12.33203125" bestFit="1" customWidth="1"/>
    <col min="1616" max="1616" width="10.21875" bestFit="1" customWidth="1"/>
    <col min="1617" max="1617" width="7.5546875" bestFit="1" customWidth="1"/>
    <col min="1618" max="1618" width="10.21875" bestFit="1" customWidth="1"/>
    <col min="1619" max="1619" width="7.5546875" bestFit="1" customWidth="1"/>
    <col min="1620" max="1620" width="12.33203125" bestFit="1" customWidth="1"/>
    <col min="1621" max="1621" width="16.77734375" bestFit="1" customWidth="1"/>
    <col min="1622" max="1622" width="7.5546875" bestFit="1" customWidth="1"/>
    <col min="1623" max="1623" width="12.33203125" bestFit="1" customWidth="1"/>
    <col min="1624" max="1624" width="9.77734375" bestFit="1" customWidth="1"/>
    <col min="1625" max="1625" width="7.5546875" bestFit="1" customWidth="1"/>
    <col min="1626" max="1626" width="16.77734375" bestFit="1" customWidth="1"/>
    <col min="1627" max="1627" width="7.5546875" bestFit="1" customWidth="1"/>
    <col min="1628" max="1628" width="12.33203125" bestFit="1" customWidth="1"/>
    <col min="1629" max="1629" width="10.21875" bestFit="1" customWidth="1"/>
    <col min="1630" max="1630" width="7.5546875" bestFit="1" customWidth="1"/>
    <col min="1631" max="1631" width="11" bestFit="1" customWidth="1"/>
    <col min="1632" max="1632" width="9.5546875" bestFit="1" customWidth="1"/>
    <col min="1633" max="1633" width="7.5546875" bestFit="1" customWidth="1"/>
    <col min="1634" max="1634" width="12.33203125" bestFit="1" customWidth="1"/>
    <col min="1635" max="1635" width="16.77734375" bestFit="1" customWidth="1"/>
    <col min="1636" max="1636" width="7.5546875" bestFit="1" customWidth="1"/>
    <col min="1637" max="1637" width="12.33203125" bestFit="1" customWidth="1"/>
    <col min="1638" max="1638" width="11" bestFit="1" customWidth="1"/>
    <col min="1639" max="1639" width="7.5546875" bestFit="1" customWidth="1"/>
    <col min="1640" max="1640" width="12.33203125" bestFit="1" customWidth="1"/>
    <col min="1641" max="1641" width="10.21875" bestFit="1" customWidth="1"/>
    <col min="1642" max="1642" width="7.5546875" bestFit="1" customWidth="1"/>
    <col min="1643" max="1643" width="12.33203125" bestFit="1" customWidth="1"/>
    <col min="1644" max="1644" width="11" bestFit="1" customWidth="1"/>
    <col min="1645" max="1645" width="7.5546875" bestFit="1" customWidth="1"/>
    <col min="1646" max="1646" width="10.21875" bestFit="1" customWidth="1"/>
    <col min="1647" max="1647" width="9.5546875" bestFit="1" customWidth="1"/>
    <col min="1648" max="1648" width="7.5546875" bestFit="1" customWidth="1"/>
    <col min="1649" max="1649" width="12.33203125" bestFit="1" customWidth="1"/>
    <col min="1650" max="1650" width="11" bestFit="1" customWidth="1"/>
    <col min="1651" max="1651" width="7.5546875" bestFit="1" customWidth="1"/>
    <col min="1652" max="1652" width="12.33203125" bestFit="1" customWidth="1"/>
    <col min="1653" max="1653" width="9.77734375" bestFit="1" customWidth="1"/>
    <col min="1654" max="1654" width="7.5546875" bestFit="1" customWidth="1"/>
    <col min="1655" max="1655" width="12.33203125" bestFit="1" customWidth="1"/>
    <col min="1656" max="1656" width="11" bestFit="1" customWidth="1"/>
    <col min="1657" max="1657" width="7.5546875" bestFit="1" customWidth="1"/>
    <col min="1658" max="1658" width="12.33203125" bestFit="1" customWidth="1"/>
    <col min="1659" max="1659" width="16.77734375" bestFit="1" customWidth="1"/>
    <col min="1660" max="1660" width="7.5546875" bestFit="1" customWidth="1"/>
    <col min="1661" max="1661" width="12.33203125" bestFit="1" customWidth="1"/>
    <col min="1662" max="1662" width="7.21875" bestFit="1" customWidth="1"/>
    <col min="1663" max="1663" width="11.21875" bestFit="1" customWidth="1"/>
    <col min="1664" max="1664" width="25.44140625" bestFit="1" customWidth="1"/>
    <col min="1665" max="1665" width="31.6640625" bestFit="1" customWidth="1"/>
    <col min="1666" max="1666" width="30.33203125" bestFit="1" customWidth="1"/>
    <col min="1667" max="1667" width="36.5546875" bestFit="1" customWidth="1"/>
    <col min="1668" max="1668" width="25.109375" bestFit="1" customWidth="1"/>
    <col min="1669" max="1669" width="31.21875" bestFit="1" customWidth="1"/>
    <col min="1670" max="1670" width="31.5546875" bestFit="1" customWidth="1"/>
    <col min="1671" max="1671" width="37.6640625" bestFit="1" customWidth="1"/>
    <col min="1672" max="1672" width="22.77734375" bestFit="1" customWidth="1"/>
    <col min="1673" max="1673" width="28.88671875" bestFit="1" customWidth="1"/>
    <col min="1674" max="1674" width="25.44140625" bestFit="1" customWidth="1"/>
    <col min="1675" max="1675" width="31.6640625" bestFit="1" customWidth="1"/>
    <col min="1676" max="1676" width="30.33203125" bestFit="1" customWidth="1"/>
    <col min="1677" max="1677" width="36.5546875" bestFit="1" customWidth="1"/>
    <col min="1678" max="1678" width="25.109375" bestFit="1" customWidth="1"/>
    <col min="1679" max="1679" width="31.21875" bestFit="1" customWidth="1"/>
    <col min="1680" max="1680" width="31.5546875" bestFit="1" customWidth="1"/>
    <col min="1681" max="1681" width="37.6640625" bestFit="1" customWidth="1"/>
    <col min="1682" max="1682" width="22.77734375" bestFit="1" customWidth="1"/>
    <col min="1683" max="1683" width="28.88671875" bestFit="1" customWidth="1"/>
    <col min="1684" max="1684" width="25.44140625" bestFit="1" customWidth="1"/>
    <col min="1685" max="1685" width="31.6640625" bestFit="1" customWidth="1"/>
    <col min="1686" max="1686" width="30.33203125" bestFit="1" customWidth="1"/>
    <col min="1687" max="1687" width="36.5546875" bestFit="1" customWidth="1"/>
    <col min="1688" max="1688" width="25.109375" bestFit="1" customWidth="1"/>
    <col min="1689" max="1689" width="31.21875" bestFit="1" customWidth="1"/>
    <col min="1690" max="1690" width="31.5546875" bestFit="1" customWidth="1"/>
    <col min="1691" max="1691" width="37.6640625" bestFit="1" customWidth="1"/>
    <col min="1692" max="1692" width="22.77734375" bestFit="1" customWidth="1"/>
    <col min="1693" max="1693" width="28.88671875" bestFit="1" customWidth="1"/>
    <col min="1694" max="1694" width="25.44140625" bestFit="1" customWidth="1"/>
    <col min="1695" max="1695" width="31.6640625" bestFit="1" customWidth="1"/>
    <col min="1696" max="1696" width="30.33203125" bestFit="1" customWidth="1"/>
    <col min="1697" max="1697" width="36.5546875" bestFit="1" customWidth="1"/>
    <col min="1698" max="1698" width="25.109375" bestFit="1" customWidth="1"/>
    <col min="1699" max="1699" width="31.21875" bestFit="1" customWidth="1"/>
    <col min="1700" max="1700" width="31.5546875" bestFit="1" customWidth="1"/>
    <col min="1701" max="1701" width="37.6640625" bestFit="1" customWidth="1"/>
    <col min="1702" max="1702" width="22.77734375" bestFit="1" customWidth="1"/>
    <col min="1703" max="1703" width="28.88671875" bestFit="1" customWidth="1"/>
    <col min="1704" max="1704" width="25.44140625" bestFit="1" customWidth="1"/>
    <col min="1705" max="1705" width="31.6640625" bestFit="1" customWidth="1"/>
    <col min="1706" max="1706" width="30.33203125" bestFit="1" customWidth="1"/>
    <col min="1707" max="1707" width="36.5546875" bestFit="1" customWidth="1"/>
    <col min="1708" max="1708" width="25.109375" bestFit="1" customWidth="1"/>
    <col min="1709" max="1709" width="31.21875" bestFit="1" customWidth="1"/>
    <col min="1710" max="1710" width="31.5546875" bestFit="1" customWidth="1"/>
    <col min="1711" max="1711" width="37.6640625" bestFit="1" customWidth="1"/>
    <col min="1712" max="1712" width="22.77734375" bestFit="1" customWidth="1"/>
    <col min="1713" max="1713" width="28.88671875" bestFit="1" customWidth="1"/>
    <col min="1714" max="1714" width="25.44140625" bestFit="1" customWidth="1"/>
    <col min="1715" max="1715" width="31.6640625" bestFit="1" customWidth="1"/>
    <col min="1716" max="1716" width="30.33203125" bestFit="1" customWidth="1"/>
    <col min="1717" max="1717" width="36.5546875" bestFit="1" customWidth="1"/>
    <col min="1718" max="1718" width="25.109375" bestFit="1" customWidth="1"/>
    <col min="1719" max="1719" width="31.21875" bestFit="1" customWidth="1"/>
    <col min="1720" max="1720" width="31.5546875" bestFit="1" customWidth="1"/>
    <col min="1721" max="1721" width="37.6640625" bestFit="1" customWidth="1"/>
    <col min="1722" max="1722" width="22.77734375" bestFit="1" customWidth="1"/>
    <col min="1723" max="1723" width="28.88671875" bestFit="1" customWidth="1"/>
    <col min="1724" max="1724" width="25.44140625" bestFit="1" customWidth="1"/>
    <col min="1725" max="1725" width="31.6640625" bestFit="1" customWidth="1"/>
    <col min="1726" max="1726" width="30.33203125" bestFit="1" customWidth="1"/>
    <col min="1727" max="1727" width="36.5546875" bestFit="1" customWidth="1"/>
    <col min="1728" max="1728" width="25.109375" bestFit="1" customWidth="1"/>
    <col min="1729" max="1729" width="31.21875" bestFit="1" customWidth="1"/>
    <col min="1730" max="1730" width="31.5546875" bestFit="1" customWidth="1"/>
    <col min="1731" max="1731" width="37.6640625" bestFit="1" customWidth="1"/>
    <col min="1732" max="1732" width="22.77734375" bestFit="1" customWidth="1"/>
    <col min="1733" max="1733" width="28.88671875" bestFit="1" customWidth="1"/>
    <col min="1734" max="1734" width="25.44140625" bestFit="1" customWidth="1"/>
    <col min="1735" max="1735" width="31.6640625" bestFit="1" customWidth="1"/>
    <col min="1736" max="1736" width="30.33203125" bestFit="1" customWidth="1"/>
    <col min="1737" max="1737" width="36.5546875" bestFit="1" customWidth="1"/>
    <col min="1738" max="1738" width="25.109375" bestFit="1" customWidth="1"/>
    <col min="1739" max="1739" width="31.21875" bestFit="1" customWidth="1"/>
    <col min="1740" max="1740" width="31.5546875" bestFit="1" customWidth="1"/>
    <col min="1741" max="1741" width="37.6640625" bestFit="1" customWidth="1"/>
    <col min="1742" max="1742" width="22.77734375" bestFit="1" customWidth="1"/>
    <col min="1743" max="1743" width="28.88671875" bestFit="1" customWidth="1"/>
    <col min="1744" max="1744" width="25.44140625" bestFit="1" customWidth="1"/>
    <col min="1745" max="1745" width="31.6640625" bestFit="1" customWidth="1"/>
    <col min="1746" max="1746" width="30.33203125" bestFit="1" customWidth="1"/>
    <col min="1747" max="1747" width="36.5546875" bestFit="1" customWidth="1"/>
    <col min="1748" max="1748" width="25.109375" bestFit="1" customWidth="1"/>
    <col min="1749" max="1749" width="31.21875" bestFit="1" customWidth="1"/>
    <col min="1750" max="1750" width="31.5546875" bestFit="1" customWidth="1"/>
    <col min="1751" max="1751" width="37.6640625" bestFit="1" customWidth="1"/>
    <col min="1752" max="1752" width="22.77734375" bestFit="1" customWidth="1"/>
    <col min="1753" max="1753" width="28.88671875" bestFit="1" customWidth="1"/>
    <col min="1754" max="1754" width="25.44140625" bestFit="1" customWidth="1"/>
    <col min="1755" max="1755" width="31.6640625" bestFit="1" customWidth="1"/>
    <col min="1756" max="1756" width="30.33203125" bestFit="1" customWidth="1"/>
    <col min="1757" max="1757" width="36.5546875" bestFit="1" customWidth="1"/>
    <col min="1758" max="1758" width="25.109375" bestFit="1" customWidth="1"/>
    <col min="1759" max="1759" width="31.21875" bestFit="1" customWidth="1"/>
    <col min="1760" max="1760" width="31.5546875" bestFit="1" customWidth="1"/>
    <col min="1761" max="1761" width="37.6640625" bestFit="1" customWidth="1"/>
    <col min="1762" max="1762" width="22.77734375" bestFit="1" customWidth="1"/>
    <col min="1763" max="1763" width="28.88671875" bestFit="1" customWidth="1"/>
    <col min="1764" max="1764" width="25.44140625" bestFit="1" customWidth="1"/>
    <col min="1765" max="1765" width="31.6640625" bestFit="1" customWidth="1"/>
    <col min="1766" max="1766" width="30.33203125" bestFit="1" customWidth="1"/>
    <col min="1767" max="1767" width="36.5546875" bestFit="1" customWidth="1"/>
    <col min="1768" max="1768" width="25.109375" bestFit="1" customWidth="1"/>
    <col min="1769" max="1769" width="31.21875" bestFit="1" customWidth="1"/>
    <col min="1770" max="1770" width="31.5546875" bestFit="1" customWidth="1"/>
    <col min="1771" max="1771" width="37.6640625" bestFit="1" customWidth="1"/>
    <col min="1772" max="1772" width="22.77734375" bestFit="1" customWidth="1"/>
    <col min="1773" max="1773" width="28.88671875" bestFit="1" customWidth="1"/>
    <col min="1774" max="1774" width="25.44140625" bestFit="1" customWidth="1"/>
    <col min="1775" max="1775" width="31.6640625" bestFit="1" customWidth="1"/>
    <col min="1776" max="1776" width="30.33203125" bestFit="1" customWidth="1"/>
    <col min="1777" max="1777" width="36.5546875" bestFit="1" customWidth="1"/>
    <col min="1778" max="1778" width="25.109375" bestFit="1" customWidth="1"/>
    <col min="1779" max="1779" width="31.21875" bestFit="1" customWidth="1"/>
    <col min="1780" max="1780" width="31.5546875" bestFit="1" customWidth="1"/>
    <col min="1781" max="1781" width="37.6640625" bestFit="1" customWidth="1"/>
    <col min="1782" max="1782" width="22.77734375" bestFit="1" customWidth="1"/>
    <col min="1783" max="1783" width="28.88671875" bestFit="1" customWidth="1"/>
    <col min="1784" max="1784" width="25.44140625" bestFit="1" customWidth="1"/>
    <col min="1785" max="1785" width="31.6640625" bestFit="1" customWidth="1"/>
    <col min="1786" max="1786" width="30.33203125" bestFit="1" customWidth="1"/>
    <col min="1787" max="1787" width="36.5546875" bestFit="1" customWidth="1"/>
    <col min="1788" max="1788" width="25.109375" bestFit="1" customWidth="1"/>
    <col min="1789" max="1789" width="31.21875" bestFit="1" customWidth="1"/>
    <col min="1790" max="1790" width="31.5546875" bestFit="1" customWidth="1"/>
    <col min="1791" max="1791" width="37.6640625" bestFit="1" customWidth="1"/>
    <col min="1792" max="1792" width="22.77734375" bestFit="1" customWidth="1"/>
    <col min="1793" max="1793" width="28.88671875" bestFit="1" customWidth="1"/>
    <col min="1794" max="1794" width="25.44140625" bestFit="1" customWidth="1"/>
    <col min="1795" max="1795" width="31.6640625" bestFit="1" customWidth="1"/>
    <col min="1796" max="1796" width="30.33203125" bestFit="1" customWidth="1"/>
    <col min="1797" max="1797" width="36.5546875" bestFit="1" customWidth="1"/>
    <col min="1798" max="1798" width="25.109375" bestFit="1" customWidth="1"/>
    <col min="1799" max="1799" width="31.21875" bestFit="1" customWidth="1"/>
    <col min="1800" max="1800" width="31.5546875" bestFit="1" customWidth="1"/>
    <col min="1801" max="1801" width="37.6640625" bestFit="1" customWidth="1"/>
    <col min="1802" max="1802" width="22.77734375" bestFit="1" customWidth="1"/>
    <col min="1803" max="1803" width="28.88671875" bestFit="1" customWidth="1"/>
    <col min="1804" max="1804" width="25.44140625" bestFit="1" customWidth="1"/>
    <col min="1805" max="1805" width="31.6640625" bestFit="1" customWidth="1"/>
    <col min="1806" max="1806" width="30.33203125" bestFit="1" customWidth="1"/>
    <col min="1807" max="1807" width="36.5546875" bestFit="1" customWidth="1"/>
    <col min="1808" max="1808" width="25.109375" bestFit="1" customWidth="1"/>
    <col min="1809" max="1809" width="31.21875" bestFit="1" customWidth="1"/>
    <col min="1810" max="1810" width="31.5546875" bestFit="1" customWidth="1"/>
    <col min="1811" max="1811" width="37.6640625" bestFit="1" customWidth="1"/>
    <col min="1812" max="1812" width="22.77734375" bestFit="1" customWidth="1"/>
    <col min="1813" max="1813" width="28.88671875" bestFit="1" customWidth="1"/>
    <col min="1814" max="1814" width="25.44140625" bestFit="1" customWidth="1"/>
    <col min="1815" max="1815" width="31.6640625" bestFit="1" customWidth="1"/>
    <col min="1816" max="1816" width="30.33203125" bestFit="1" customWidth="1"/>
    <col min="1817" max="1817" width="36.5546875" bestFit="1" customWidth="1"/>
    <col min="1818" max="1818" width="25.109375" bestFit="1" customWidth="1"/>
    <col min="1819" max="1819" width="31.21875" bestFit="1" customWidth="1"/>
    <col min="1820" max="1820" width="31.5546875" bestFit="1" customWidth="1"/>
    <col min="1821" max="1821" width="37.6640625" bestFit="1" customWidth="1"/>
    <col min="1822" max="1822" width="22.77734375" bestFit="1" customWidth="1"/>
    <col min="1823" max="1823" width="28.88671875" bestFit="1" customWidth="1"/>
    <col min="1824" max="1824" width="25.44140625" bestFit="1" customWidth="1"/>
    <col min="1825" max="1825" width="31.6640625" bestFit="1" customWidth="1"/>
    <col min="1826" max="1826" width="30.33203125" bestFit="1" customWidth="1"/>
    <col min="1827" max="1827" width="36.5546875" bestFit="1" customWidth="1"/>
    <col min="1828" max="1828" width="25.109375" bestFit="1" customWidth="1"/>
    <col min="1829" max="1829" width="31.21875" bestFit="1" customWidth="1"/>
    <col min="1830" max="1830" width="31.5546875" bestFit="1" customWidth="1"/>
    <col min="1831" max="1831" width="37.6640625" bestFit="1" customWidth="1"/>
    <col min="1832" max="1832" width="22.77734375" bestFit="1" customWidth="1"/>
    <col min="1833" max="1833" width="28.88671875" bestFit="1" customWidth="1"/>
    <col min="1834" max="1834" width="25.44140625" bestFit="1" customWidth="1"/>
    <col min="1835" max="1835" width="31.6640625" bestFit="1" customWidth="1"/>
    <col min="1836" max="1836" width="30.33203125" bestFit="1" customWidth="1"/>
    <col min="1837" max="1837" width="36.5546875" bestFit="1" customWidth="1"/>
    <col min="1838" max="1838" width="25.109375" bestFit="1" customWidth="1"/>
    <col min="1839" max="1839" width="31.21875" bestFit="1" customWidth="1"/>
    <col min="1840" max="1840" width="31.5546875" bestFit="1" customWidth="1"/>
    <col min="1841" max="1841" width="37.6640625" bestFit="1" customWidth="1"/>
    <col min="1842" max="1842" width="22.77734375" bestFit="1" customWidth="1"/>
    <col min="1843" max="1843" width="28.88671875" bestFit="1" customWidth="1"/>
    <col min="1844" max="1844" width="25.44140625" bestFit="1" customWidth="1"/>
    <col min="1845" max="1845" width="31.6640625" bestFit="1" customWidth="1"/>
    <col min="1846" max="1846" width="30.33203125" bestFit="1" customWidth="1"/>
    <col min="1847" max="1847" width="36.5546875" bestFit="1" customWidth="1"/>
    <col min="1848" max="1848" width="25.109375" bestFit="1" customWidth="1"/>
    <col min="1849" max="1849" width="31.21875" bestFit="1" customWidth="1"/>
    <col min="1850" max="1850" width="31.5546875" bestFit="1" customWidth="1"/>
    <col min="1851" max="1851" width="37.6640625" bestFit="1" customWidth="1"/>
    <col min="1852" max="1852" width="22.77734375" bestFit="1" customWidth="1"/>
    <col min="1853" max="1853" width="28.88671875" bestFit="1" customWidth="1"/>
    <col min="1854" max="1854" width="25.44140625" bestFit="1" customWidth="1"/>
    <col min="1855" max="1855" width="31.6640625" bestFit="1" customWidth="1"/>
    <col min="1856" max="1856" width="30.33203125" bestFit="1" customWidth="1"/>
    <col min="1857" max="1857" width="36.5546875" bestFit="1" customWidth="1"/>
    <col min="1858" max="1858" width="25.109375" bestFit="1" customWidth="1"/>
    <col min="1859" max="1859" width="31.21875" bestFit="1" customWidth="1"/>
    <col min="1860" max="1860" width="31.5546875" bestFit="1" customWidth="1"/>
    <col min="1861" max="1861" width="37.6640625" bestFit="1" customWidth="1"/>
    <col min="1862" max="1862" width="22.77734375" bestFit="1" customWidth="1"/>
    <col min="1863" max="1863" width="28.88671875" bestFit="1" customWidth="1"/>
    <col min="1864" max="1864" width="25.44140625" bestFit="1" customWidth="1"/>
    <col min="1865" max="1865" width="31.6640625" bestFit="1" customWidth="1"/>
    <col min="1866" max="1866" width="30.33203125" bestFit="1" customWidth="1"/>
    <col min="1867" max="1867" width="36.5546875" bestFit="1" customWidth="1"/>
    <col min="1868" max="1868" width="25.109375" bestFit="1" customWidth="1"/>
    <col min="1869" max="1869" width="31.21875" bestFit="1" customWidth="1"/>
    <col min="1870" max="1870" width="31.5546875" bestFit="1" customWidth="1"/>
    <col min="1871" max="1871" width="37.6640625" bestFit="1" customWidth="1"/>
    <col min="1872" max="1872" width="22.77734375" bestFit="1" customWidth="1"/>
    <col min="1873" max="1873" width="28.88671875" bestFit="1" customWidth="1"/>
    <col min="1874" max="1874" width="25.44140625" bestFit="1" customWidth="1"/>
    <col min="1875" max="1875" width="31.6640625" bestFit="1" customWidth="1"/>
    <col min="1876" max="1876" width="30.33203125" bestFit="1" customWidth="1"/>
    <col min="1877" max="1877" width="36.5546875" bestFit="1" customWidth="1"/>
    <col min="1878" max="1878" width="25.109375" bestFit="1" customWidth="1"/>
    <col min="1879" max="1879" width="31.21875" bestFit="1" customWidth="1"/>
    <col min="1880" max="1880" width="31.5546875" bestFit="1" customWidth="1"/>
    <col min="1881" max="1881" width="37.6640625" bestFit="1" customWidth="1"/>
    <col min="1882" max="1882" width="22.77734375" bestFit="1" customWidth="1"/>
    <col min="1883" max="1883" width="28.88671875" bestFit="1" customWidth="1"/>
    <col min="1884" max="1884" width="25.44140625" bestFit="1" customWidth="1"/>
    <col min="1885" max="1885" width="31.6640625" bestFit="1" customWidth="1"/>
    <col min="1886" max="1886" width="30.33203125" bestFit="1" customWidth="1"/>
    <col min="1887" max="1887" width="36.5546875" bestFit="1" customWidth="1"/>
    <col min="1888" max="1888" width="25.109375" bestFit="1" customWidth="1"/>
    <col min="1889" max="1889" width="31.21875" bestFit="1" customWidth="1"/>
    <col min="1890" max="1890" width="31.5546875" bestFit="1" customWidth="1"/>
    <col min="1891" max="1891" width="37.6640625" bestFit="1" customWidth="1"/>
    <col min="1892" max="1892" width="22.77734375" bestFit="1" customWidth="1"/>
    <col min="1893" max="1893" width="28.88671875" bestFit="1" customWidth="1"/>
    <col min="1894" max="1894" width="25.44140625" bestFit="1" customWidth="1"/>
    <col min="1895" max="1895" width="31.6640625" bestFit="1" customWidth="1"/>
    <col min="1896" max="1896" width="30.33203125" bestFit="1" customWidth="1"/>
    <col min="1897" max="1897" width="36.5546875" bestFit="1" customWidth="1"/>
    <col min="1898" max="1898" width="25.109375" bestFit="1" customWidth="1"/>
    <col min="1899" max="1899" width="31.21875" bestFit="1" customWidth="1"/>
    <col min="1900" max="1900" width="31.5546875" bestFit="1" customWidth="1"/>
    <col min="1901" max="1901" width="37.6640625" bestFit="1" customWidth="1"/>
    <col min="1902" max="1902" width="22.77734375" bestFit="1" customWidth="1"/>
    <col min="1903" max="1903" width="28.88671875" bestFit="1" customWidth="1"/>
    <col min="1904" max="1904" width="25.44140625" bestFit="1" customWidth="1"/>
    <col min="1905" max="1905" width="31.6640625" bestFit="1" customWidth="1"/>
    <col min="1906" max="1906" width="30.33203125" bestFit="1" customWidth="1"/>
    <col min="1907" max="1907" width="36.5546875" bestFit="1" customWidth="1"/>
    <col min="1908" max="1908" width="25.109375" bestFit="1" customWidth="1"/>
    <col min="1909" max="1909" width="31.21875" bestFit="1" customWidth="1"/>
    <col min="1910" max="1910" width="31.5546875" bestFit="1" customWidth="1"/>
    <col min="1911" max="1911" width="37.6640625" bestFit="1" customWidth="1"/>
    <col min="1912" max="1912" width="22.77734375" bestFit="1" customWidth="1"/>
    <col min="1913" max="1913" width="28.88671875" bestFit="1" customWidth="1"/>
    <col min="1914" max="1914" width="25.44140625" bestFit="1" customWidth="1"/>
    <col min="1915" max="1915" width="31.6640625" bestFit="1" customWidth="1"/>
    <col min="1916" max="1916" width="30.33203125" bestFit="1" customWidth="1"/>
    <col min="1917" max="1917" width="36.5546875" bestFit="1" customWidth="1"/>
    <col min="1918" max="1918" width="25.109375" bestFit="1" customWidth="1"/>
    <col min="1919" max="1919" width="31.21875" bestFit="1" customWidth="1"/>
    <col min="1920" max="1920" width="31.5546875" bestFit="1" customWidth="1"/>
    <col min="1921" max="1921" width="37.6640625" bestFit="1" customWidth="1"/>
    <col min="1922" max="1922" width="22.77734375" bestFit="1" customWidth="1"/>
    <col min="1923" max="1923" width="28.88671875" bestFit="1" customWidth="1"/>
    <col min="1924" max="1924" width="25.44140625" bestFit="1" customWidth="1"/>
    <col min="1925" max="1925" width="31.6640625" bestFit="1" customWidth="1"/>
    <col min="1926" max="1926" width="30.33203125" bestFit="1" customWidth="1"/>
    <col min="1927" max="1927" width="36.5546875" bestFit="1" customWidth="1"/>
    <col min="1928" max="1928" width="25.109375" bestFit="1" customWidth="1"/>
    <col min="1929" max="1929" width="31.21875" bestFit="1" customWidth="1"/>
    <col min="1930" max="1930" width="31.5546875" bestFit="1" customWidth="1"/>
    <col min="1931" max="1931" width="37.6640625" bestFit="1" customWidth="1"/>
    <col min="1932" max="1932" width="22.77734375" bestFit="1" customWidth="1"/>
    <col min="1933" max="1933" width="28.88671875" bestFit="1" customWidth="1"/>
    <col min="1934" max="1934" width="25.44140625" bestFit="1" customWidth="1"/>
    <col min="1935" max="1935" width="31.6640625" bestFit="1" customWidth="1"/>
    <col min="1936" max="1936" width="30.33203125" bestFit="1" customWidth="1"/>
    <col min="1937" max="1937" width="36.5546875" bestFit="1" customWidth="1"/>
    <col min="1938" max="1938" width="25.109375" bestFit="1" customWidth="1"/>
    <col min="1939" max="1939" width="31.21875" bestFit="1" customWidth="1"/>
    <col min="1940" max="1940" width="31.5546875" bestFit="1" customWidth="1"/>
    <col min="1941" max="1941" width="37.6640625" bestFit="1" customWidth="1"/>
    <col min="1942" max="1942" width="22.77734375" bestFit="1" customWidth="1"/>
    <col min="1943" max="1943" width="28.88671875" bestFit="1" customWidth="1"/>
    <col min="1944" max="1944" width="25.44140625" bestFit="1" customWidth="1"/>
    <col min="1945" max="1945" width="31.6640625" bestFit="1" customWidth="1"/>
    <col min="1946" max="1946" width="30.33203125" bestFit="1" customWidth="1"/>
    <col min="1947" max="1947" width="36.5546875" bestFit="1" customWidth="1"/>
    <col min="1948" max="1948" width="25.109375" bestFit="1" customWidth="1"/>
    <col min="1949" max="1949" width="31.21875" bestFit="1" customWidth="1"/>
    <col min="1950" max="1950" width="31.5546875" bestFit="1" customWidth="1"/>
    <col min="1951" max="1951" width="37.6640625" bestFit="1" customWidth="1"/>
    <col min="1952" max="1952" width="22.77734375" bestFit="1" customWidth="1"/>
    <col min="1953" max="1953" width="28.88671875" bestFit="1" customWidth="1"/>
    <col min="1954" max="1954" width="25.44140625" bestFit="1" customWidth="1"/>
    <col min="1955" max="1955" width="31.6640625" bestFit="1" customWidth="1"/>
    <col min="1956" max="1956" width="30.33203125" bestFit="1" customWidth="1"/>
    <col min="1957" max="1957" width="36.5546875" bestFit="1" customWidth="1"/>
    <col min="1958" max="1958" width="25.109375" bestFit="1" customWidth="1"/>
    <col min="1959" max="1959" width="31.21875" bestFit="1" customWidth="1"/>
    <col min="1960" max="1960" width="31.5546875" bestFit="1" customWidth="1"/>
    <col min="1961" max="1961" width="37.6640625" bestFit="1" customWidth="1"/>
    <col min="1962" max="1962" width="22.77734375" bestFit="1" customWidth="1"/>
    <col min="1963" max="1963" width="28.88671875" bestFit="1" customWidth="1"/>
    <col min="1964" max="1964" width="25.44140625" bestFit="1" customWidth="1"/>
    <col min="1965" max="1965" width="31.6640625" bestFit="1" customWidth="1"/>
    <col min="1966" max="1966" width="30.33203125" bestFit="1" customWidth="1"/>
    <col min="1967" max="1967" width="36.5546875" bestFit="1" customWidth="1"/>
    <col min="1968" max="1968" width="25.109375" bestFit="1" customWidth="1"/>
    <col min="1969" max="1969" width="31.21875" bestFit="1" customWidth="1"/>
    <col min="1970" max="1970" width="31.5546875" bestFit="1" customWidth="1"/>
    <col min="1971" max="1971" width="37.6640625" bestFit="1" customWidth="1"/>
    <col min="1972" max="1972" width="22.77734375" bestFit="1" customWidth="1"/>
    <col min="1973" max="1973" width="28.88671875" bestFit="1" customWidth="1"/>
    <col min="1974" max="1974" width="25.44140625" bestFit="1" customWidth="1"/>
    <col min="1975" max="1975" width="31.6640625" bestFit="1" customWidth="1"/>
    <col min="1976" max="1976" width="30.33203125" bestFit="1" customWidth="1"/>
    <col min="1977" max="1977" width="36.5546875" bestFit="1" customWidth="1"/>
    <col min="1978" max="1978" width="25.109375" bestFit="1" customWidth="1"/>
    <col min="1979" max="1979" width="31.21875" bestFit="1" customWidth="1"/>
    <col min="1980" max="1980" width="31.5546875" bestFit="1" customWidth="1"/>
    <col min="1981" max="1981" width="37.6640625" bestFit="1" customWidth="1"/>
    <col min="1982" max="1982" width="22.77734375" bestFit="1" customWidth="1"/>
    <col min="1983" max="1983" width="28.88671875" bestFit="1" customWidth="1"/>
    <col min="1984" max="1984" width="25.44140625" bestFit="1" customWidth="1"/>
    <col min="1985" max="1985" width="31.6640625" bestFit="1" customWidth="1"/>
    <col min="1986" max="1986" width="30.33203125" bestFit="1" customWidth="1"/>
    <col min="1987" max="1987" width="36.5546875" bestFit="1" customWidth="1"/>
    <col min="1988" max="1988" width="25.109375" bestFit="1" customWidth="1"/>
    <col min="1989" max="1989" width="31.21875" bestFit="1" customWidth="1"/>
    <col min="1990" max="1990" width="31.5546875" bestFit="1" customWidth="1"/>
    <col min="1991" max="1991" width="37.6640625" bestFit="1" customWidth="1"/>
    <col min="1992" max="1992" width="22.77734375" bestFit="1" customWidth="1"/>
    <col min="1993" max="1993" width="28.88671875" bestFit="1" customWidth="1"/>
    <col min="1994" max="1994" width="25.44140625" bestFit="1" customWidth="1"/>
    <col min="1995" max="1995" width="31.6640625" bestFit="1" customWidth="1"/>
    <col min="1996" max="1996" width="30.33203125" bestFit="1" customWidth="1"/>
    <col min="1997" max="1997" width="36.5546875" bestFit="1" customWidth="1"/>
    <col min="1998" max="1998" width="25.109375" bestFit="1" customWidth="1"/>
    <col min="1999" max="1999" width="31.21875" bestFit="1" customWidth="1"/>
    <col min="2000" max="2000" width="31.5546875" bestFit="1" customWidth="1"/>
    <col min="2001" max="2001" width="37.6640625" bestFit="1" customWidth="1"/>
    <col min="2002" max="2002" width="22.77734375" bestFit="1" customWidth="1"/>
    <col min="2003" max="2003" width="28.88671875" bestFit="1" customWidth="1"/>
    <col min="2004" max="2004" width="25.44140625" bestFit="1" customWidth="1"/>
    <col min="2005" max="2005" width="31.6640625" bestFit="1" customWidth="1"/>
    <col min="2006" max="2006" width="30.33203125" bestFit="1" customWidth="1"/>
    <col min="2007" max="2007" width="36.5546875" bestFit="1" customWidth="1"/>
    <col min="2008" max="2008" width="25.109375" bestFit="1" customWidth="1"/>
    <col min="2009" max="2009" width="31.21875" bestFit="1" customWidth="1"/>
    <col min="2010" max="2010" width="31.5546875" bestFit="1" customWidth="1"/>
    <col min="2011" max="2011" width="37.6640625" bestFit="1" customWidth="1"/>
    <col min="2012" max="2012" width="22.77734375" bestFit="1" customWidth="1"/>
    <col min="2013" max="2013" width="28.88671875" bestFit="1" customWidth="1"/>
    <col min="2014" max="2014" width="25.44140625" bestFit="1" customWidth="1"/>
    <col min="2015" max="2015" width="31.6640625" bestFit="1" customWidth="1"/>
    <col min="2016" max="2016" width="30.33203125" bestFit="1" customWidth="1"/>
    <col min="2017" max="2017" width="36.5546875" bestFit="1" customWidth="1"/>
    <col min="2018" max="2018" width="25.109375" bestFit="1" customWidth="1"/>
    <col min="2019" max="2019" width="31.21875" bestFit="1" customWidth="1"/>
    <col min="2020" max="2020" width="31.5546875" bestFit="1" customWidth="1"/>
    <col min="2021" max="2021" width="37.6640625" bestFit="1" customWidth="1"/>
    <col min="2022" max="2022" width="22.77734375" bestFit="1" customWidth="1"/>
    <col min="2023" max="2023" width="28.88671875" bestFit="1" customWidth="1"/>
    <col min="2024" max="2024" width="25.44140625" bestFit="1" customWidth="1"/>
    <col min="2025" max="2025" width="31.6640625" bestFit="1" customWidth="1"/>
    <col min="2026" max="2026" width="30.33203125" bestFit="1" customWidth="1"/>
    <col min="2027" max="2027" width="36.5546875" bestFit="1" customWidth="1"/>
    <col min="2028" max="2028" width="25.109375" bestFit="1" customWidth="1"/>
    <col min="2029" max="2029" width="31.21875" bestFit="1" customWidth="1"/>
    <col min="2030" max="2030" width="31.5546875" bestFit="1" customWidth="1"/>
    <col min="2031" max="2031" width="37.6640625" bestFit="1" customWidth="1"/>
    <col min="2032" max="2032" width="22.77734375" bestFit="1" customWidth="1"/>
    <col min="2033" max="2033" width="28.88671875" bestFit="1" customWidth="1"/>
    <col min="2034" max="2034" width="25.44140625" bestFit="1" customWidth="1"/>
    <col min="2035" max="2035" width="31.6640625" bestFit="1" customWidth="1"/>
    <col min="2036" max="2036" width="30.33203125" bestFit="1" customWidth="1"/>
    <col min="2037" max="2037" width="36.5546875" bestFit="1" customWidth="1"/>
    <col min="2038" max="2038" width="25.109375" bestFit="1" customWidth="1"/>
    <col min="2039" max="2039" width="31.21875" bestFit="1" customWidth="1"/>
    <col min="2040" max="2040" width="31.5546875" bestFit="1" customWidth="1"/>
    <col min="2041" max="2041" width="37.6640625" bestFit="1" customWidth="1"/>
    <col min="2042" max="2042" width="22.77734375" bestFit="1" customWidth="1"/>
    <col min="2043" max="2043" width="28.88671875" bestFit="1" customWidth="1"/>
    <col min="2044" max="2044" width="25.44140625" bestFit="1" customWidth="1"/>
    <col min="2045" max="2045" width="31.6640625" bestFit="1" customWidth="1"/>
    <col min="2046" max="2046" width="30.33203125" bestFit="1" customWidth="1"/>
    <col min="2047" max="2047" width="36.5546875" bestFit="1" customWidth="1"/>
    <col min="2048" max="2048" width="25.109375" bestFit="1" customWidth="1"/>
    <col min="2049" max="2049" width="31.21875" bestFit="1" customWidth="1"/>
    <col min="2050" max="2050" width="31.5546875" bestFit="1" customWidth="1"/>
    <col min="2051" max="2051" width="37.6640625" bestFit="1" customWidth="1"/>
    <col min="2052" max="2052" width="22.77734375" bestFit="1" customWidth="1"/>
    <col min="2053" max="2053" width="28.88671875" bestFit="1" customWidth="1"/>
    <col min="2054" max="2054" width="25.44140625" bestFit="1" customWidth="1"/>
    <col min="2055" max="2055" width="31.6640625" bestFit="1" customWidth="1"/>
    <col min="2056" max="2056" width="30.33203125" bestFit="1" customWidth="1"/>
    <col min="2057" max="2057" width="36.5546875" bestFit="1" customWidth="1"/>
    <col min="2058" max="2058" width="25.109375" bestFit="1" customWidth="1"/>
    <col min="2059" max="2059" width="31.21875" bestFit="1" customWidth="1"/>
    <col min="2060" max="2060" width="31.5546875" bestFit="1" customWidth="1"/>
    <col min="2061" max="2061" width="37.6640625" bestFit="1" customWidth="1"/>
    <col min="2062" max="2062" width="22.77734375" bestFit="1" customWidth="1"/>
    <col min="2063" max="2063" width="28.88671875" bestFit="1" customWidth="1"/>
    <col min="2064" max="2064" width="25.44140625" bestFit="1" customWidth="1"/>
    <col min="2065" max="2065" width="31.6640625" bestFit="1" customWidth="1"/>
    <col min="2066" max="2066" width="30.33203125" bestFit="1" customWidth="1"/>
    <col min="2067" max="2067" width="36.5546875" bestFit="1" customWidth="1"/>
    <col min="2068" max="2068" width="25.109375" bestFit="1" customWidth="1"/>
    <col min="2069" max="2069" width="31.21875" bestFit="1" customWidth="1"/>
    <col min="2070" max="2070" width="31.5546875" bestFit="1" customWidth="1"/>
    <col min="2071" max="2071" width="37.6640625" bestFit="1" customWidth="1"/>
    <col min="2072" max="2072" width="22.77734375" bestFit="1" customWidth="1"/>
    <col min="2073" max="2073" width="28.88671875" bestFit="1" customWidth="1"/>
    <col min="2074" max="2074" width="25.44140625" bestFit="1" customWidth="1"/>
    <col min="2075" max="2075" width="31.6640625" bestFit="1" customWidth="1"/>
    <col min="2076" max="2076" width="30.33203125" bestFit="1" customWidth="1"/>
    <col min="2077" max="2077" width="36.5546875" bestFit="1" customWidth="1"/>
    <col min="2078" max="2078" width="25.109375" bestFit="1" customWidth="1"/>
    <col min="2079" max="2079" width="31.21875" bestFit="1" customWidth="1"/>
    <col min="2080" max="2080" width="31.5546875" bestFit="1" customWidth="1"/>
    <col min="2081" max="2081" width="37.6640625" bestFit="1" customWidth="1"/>
    <col min="2082" max="2082" width="22.77734375" bestFit="1" customWidth="1"/>
    <col min="2083" max="2083" width="28.88671875" bestFit="1" customWidth="1"/>
    <col min="2084" max="2084" width="25.44140625" bestFit="1" customWidth="1"/>
    <col min="2085" max="2085" width="31.6640625" bestFit="1" customWidth="1"/>
    <col min="2086" max="2086" width="30.33203125" bestFit="1" customWidth="1"/>
    <col min="2087" max="2087" width="36.5546875" bestFit="1" customWidth="1"/>
    <col min="2088" max="2088" width="25.109375" bestFit="1" customWidth="1"/>
    <col min="2089" max="2089" width="31.21875" bestFit="1" customWidth="1"/>
    <col min="2090" max="2090" width="31.5546875" bestFit="1" customWidth="1"/>
    <col min="2091" max="2091" width="37.6640625" bestFit="1" customWidth="1"/>
    <col min="2092" max="2092" width="22.77734375" bestFit="1" customWidth="1"/>
    <col min="2093" max="2093" width="28.88671875" bestFit="1" customWidth="1"/>
    <col min="2094" max="2094" width="25.44140625" bestFit="1" customWidth="1"/>
    <col min="2095" max="2095" width="31.6640625" bestFit="1" customWidth="1"/>
    <col min="2096" max="2096" width="30.33203125" bestFit="1" customWidth="1"/>
    <col min="2097" max="2097" width="36.5546875" bestFit="1" customWidth="1"/>
    <col min="2098" max="2098" width="25.109375" bestFit="1" customWidth="1"/>
    <col min="2099" max="2099" width="31.21875" bestFit="1" customWidth="1"/>
    <col min="2100" max="2100" width="31.5546875" bestFit="1" customWidth="1"/>
    <col min="2101" max="2101" width="37.6640625" bestFit="1" customWidth="1"/>
    <col min="2102" max="2102" width="22.77734375" bestFit="1" customWidth="1"/>
    <col min="2103" max="2103" width="28.88671875" bestFit="1" customWidth="1"/>
    <col min="2104" max="2104" width="25.44140625" bestFit="1" customWidth="1"/>
    <col min="2105" max="2105" width="31.6640625" bestFit="1" customWidth="1"/>
    <col min="2106" max="2106" width="30.33203125" bestFit="1" customWidth="1"/>
    <col min="2107" max="2107" width="36.5546875" bestFit="1" customWidth="1"/>
    <col min="2108" max="2108" width="25.109375" bestFit="1" customWidth="1"/>
    <col min="2109" max="2109" width="31.21875" bestFit="1" customWidth="1"/>
    <col min="2110" max="2110" width="31.5546875" bestFit="1" customWidth="1"/>
    <col min="2111" max="2111" width="37.6640625" bestFit="1" customWidth="1"/>
    <col min="2112" max="2112" width="22.77734375" bestFit="1" customWidth="1"/>
    <col min="2113" max="2113" width="28.88671875" bestFit="1" customWidth="1"/>
    <col min="2114" max="2114" width="25.44140625" bestFit="1" customWidth="1"/>
    <col min="2115" max="2115" width="31.6640625" bestFit="1" customWidth="1"/>
    <col min="2116" max="2116" width="30.33203125" bestFit="1" customWidth="1"/>
    <col min="2117" max="2117" width="36.5546875" bestFit="1" customWidth="1"/>
    <col min="2118" max="2118" width="25.109375" bestFit="1" customWidth="1"/>
    <col min="2119" max="2119" width="31.21875" bestFit="1" customWidth="1"/>
    <col min="2120" max="2120" width="31.5546875" bestFit="1" customWidth="1"/>
    <col min="2121" max="2121" width="37.6640625" bestFit="1" customWidth="1"/>
    <col min="2122" max="2122" width="22.77734375" bestFit="1" customWidth="1"/>
    <col min="2123" max="2123" width="28.88671875" bestFit="1" customWidth="1"/>
    <col min="2124" max="2124" width="25.44140625" bestFit="1" customWidth="1"/>
    <col min="2125" max="2125" width="31.6640625" bestFit="1" customWidth="1"/>
    <col min="2126" max="2126" width="30.33203125" bestFit="1" customWidth="1"/>
    <col min="2127" max="2127" width="36.5546875" bestFit="1" customWidth="1"/>
    <col min="2128" max="2128" width="25.109375" bestFit="1" customWidth="1"/>
    <col min="2129" max="2129" width="31.21875" bestFit="1" customWidth="1"/>
    <col min="2130" max="2130" width="31.5546875" bestFit="1" customWidth="1"/>
    <col min="2131" max="2131" width="37.6640625" bestFit="1" customWidth="1"/>
    <col min="2132" max="2132" width="22.77734375" bestFit="1" customWidth="1"/>
    <col min="2133" max="2133" width="28.88671875" bestFit="1" customWidth="1"/>
    <col min="2134" max="2134" width="25.44140625" bestFit="1" customWidth="1"/>
    <col min="2135" max="2135" width="31.6640625" bestFit="1" customWidth="1"/>
    <col min="2136" max="2136" width="30.33203125" bestFit="1" customWidth="1"/>
    <col min="2137" max="2137" width="36.5546875" bestFit="1" customWidth="1"/>
    <col min="2138" max="2138" width="25.109375" bestFit="1" customWidth="1"/>
    <col min="2139" max="2139" width="31.21875" bestFit="1" customWidth="1"/>
    <col min="2140" max="2140" width="31.5546875" bestFit="1" customWidth="1"/>
    <col min="2141" max="2141" width="37.6640625" bestFit="1" customWidth="1"/>
    <col min="2142" max="2142" width="22.77734375" bestFit="1" customWidth="1"/>
    <col min="2143" max="2143" width="28.88671875" bestFit="1" customWidth="1"/>
    <col min="2144" max="2144" width="25.44140625" bestFit="1" customWidth="1"/>
    <col min="2145" max="2145" width="31.6640625" bestFit="1" customWidth="1"/>
    <col min="2146" max="2146" width="30.33203125" bestFit="1" customWidth="1"/>
    <col min="2147" max="2147" width="36.5546875" bestFit="1" customWidth="1"/>
    <col min="2148" max="2148" width="25.109375" bestFit="1" customWidth="1"/>
    <col min="2149" max="2149" width="31.21875" bestFit="1" customWidth="1"/>
    <col min="2150" max="2150" width="31.5546875" bestFit="1" customWidth="1"/>
    <col min="2151" max="2151" width="37.6640625" bestFit="1" customWidth="1"/>
    <col min="2152" max="2152" width="22.77734375" bestFit="1" customWidth="1"/>
    <col min="2153" max="2153" width="28.88671875" bestFit="1" customWidth="1"/>
    <col min="2154" max="2154" width="25.44140625" bestFit="1" customWidth="1"/>
    <col min="2155" max="2155" width="31.6640625" bestFit="1" customWidth="1"/>
    <col min="2156" max="2156" width="30.33203125" bestFit="1" customWidth="1"/>
    <col min="2157" max="2157" width="36.5546875" bestFit="1" customWidth="1"/>
    <col min="2158" max="2158" width="25.109375" bestFit="1" customWidth="1"/>
    <col min="2159" max="2159" width="31.21875" bestFit="1" customWidth="1"/>
    <col min="2160" max="2160" width="31.5546875" bestFit="1" customWidth="1"/>
    <col min="2161" max="2161" width="37.6640625" bestFit="1" customWidth="1"/>
    <col min="2162" max="2162" width="22.77734375" bestFit="1" customWidth="1"/>
    <col min="2163" max="2163" width="28.88671875" bestFit="1" customWidth="1"/>
    <col min="2164" max="2164" width="25.44140625" bestFit="1" customWidth="1"/>
    <col min="2165" max="2165" width="31.6640625" bestFit="1" customWidth="1"/>
    <col min="2166" max="2166" width="30.33203125" bestFit="1" customWidth="1"/>
    <col min="2167" max="2167" width="36.5546875" bestFit="1" customWidth="1"/>
    <col min="2168" max="2168" width="25.109375" bestFit="1" customWidth="1"/>
    <col min="2169" max="2169" width="31.21875" bestFit="1" customWidth="1"/>
    <col min="2170" max="2170" width="31.5546875" bestFit="1" customWidth="1"/>
    <col min="2171" max="2171" width="37.6640625" bestFit="1" customWidth="1"/>
    <col min="2172" max="2172" width="22.77734375" bestFit="1" customWidth="1"/>
    <col min="2173" max="2173" width="28.88671875" bestFit="1" customWidth="1"/>
    <col min="2174" max="2174" width="25.44140625" bestFit="1" customWidth="1"/>
    <col min="2175" max="2175" width="31.6640625" bestFit="1" customWidth="1"/>
    <col min="2176" max="2176" width="30.33203125" bestFit="1" customWidth="1"/>
    <col min="2177" max="2177" width="36.5546875" bestFit="1" customWidth="1"/>
    <col min="2178" max="2178" width="25.109375" bestFit="1" customWidth="1"/>
    <col min="2179" max="2179" width="31.21875" bestFit="1" customWidth="1"/>
    <col min="2180" max="2180" width="31.5546875" bestFit="1" customWidth="1"/>
    <col min="2181" max="2181" width="37.6640625" bestFit="1" customWidth="1"/>
    <col min="2182" max="2182" width="22.77734375" bestFit="1" customWidth="1"/>
    <col min="2183" max="2183" width="28.88671875" bestFit="1" customWidth="1"/>
    <col min="2184" max="2184" width="25.44140625" bestFit="1" customWidth="1"/>
    <col min="2185" max="2185" width="31.6640625" bestFit="1" customWidth="1"/>
    <col min="2186" max="2186" width="30.33203125" bestFit="1" customWidth="1"/>
    <col min="2187" max="2187" width="36.5546875" bestFit="1" customWidth="1"/>
    <col min="2188" max="2188" width="25.109375" bestFit="1" customWidth="1"/>
    <col min="2189" max="2189" width="31.21875" bestFit="1" customWidth="1"/>
    <col min="2190" max="2190" width="31.5546875" bestFit="1" customWidth="1"/>
    <col min="2191" max="2191" width="37.6640625" bestFit="1" customWidth="1"/>
    <col min="2192" max="2192" width="22.77734375" bestFit="1" customWidth="1"/>
    <col min="2193" max="2193" width="28.88671875" bestFit="1" customWidth="1"/>
    <col min="2194" max="2194" width="25.44140625" bestFit="1" customWidth="1"/>
    <col min="2195" max="2195" width="31.6640625" bestFit="1" customWidth="1"/>
    <col min="2196" max="2196" width="30.33203125" bestFit="1" customWidth="1"/>
    <col min="2197" max="2197" width="36.5546875" bestFit="1" customWidth="1"/>
    <col min="2198" max="2198" width="25.109375" bestFit="1" customWidth="1"/>
    <col min="2199" max="2199" width="31.21875" bestFit="1" customWidth="1"/>
    <col min="2200" max="2200" width="31.5546875" bestFit="1" customWidth="1"/>
    <col min="2201" max="2201" width="37.6640625" bestFit="1" customWidth="1"/>
    <col min="2202" max="2202" width="22.77734375" bestFit="1" customWidth="1"/>
    <col min="2203" max="2203" width="28.88671875" bestFit="1" customWidth="1"/>
    <col min="2204" max="2204" width="25.44140625" bestFit="1" customWidth="1"/>
    <col min="2205" max="2205" width="31.6640625" bestFit="1" customWidth="1"/>
    <col min="2206" max="2206" width="30.33203125" bestFit="1" customWidth="1"/>
    <col min="2207" max="2207" width="36.5546875" bestFit="1" customWidth="1"/>
    <col min="2208" max="2208" width="25.109375" bestFit="1" customWidth="1"/>
    <col min="2209" max="2209" width="31.21875" bestFit="1" customWidth="1"/>
    <col min="2210" max="2210" width="31.5546875" bestFit="1" customWidth="1"/>
    <col min="2211" max="2211" width="37.6640625" bestFit="1" customWidth="1"/>
    <col min="2212" max="2212" width="22.77734375" bestFit="1" customWidth="1"/>
    <col min="2213" max="2213" width="28.88671875" bestFit="1" customWidth="1"/>
    <col min="2214" max="2214" width="25.44140625" bestFit="1" customWidth="1"/>
    <col min="2215" max="2215" width="31.6640625" bestFit="1" customWidth="1"/>
    <col min="2216" max="2216" width="30.33203125" bestFit="1" customWidth="1"/>
    <col min="2217" max="2217" width="36.5546875" bestFit="1" customWidth="1"/>
    <col min="2218" max="2218" width="25.109375" bestFit="1" customWidth="1"/>
    <col min="2219" max="2219" width="31.21875" bestFit="1" customWidth="1"/>
    <col min="2220" max="2220" width="31.5546875" bestFit="1" customWidth="1"/>
    <col min="2221" max="2221" width="37.6640625" bestFit="1" customWidth="1"/>
    <col min="2222" max="2222" width="22.77734375" bestFit="1" customWidth="1"/>
    <col min="2223" max="2223" width="28.88671875" bestFit="1" customWidth="1"/>
    <col min="2224" max="2224" width="25.44140625" bestFit="1" customWidth="1"/>
    <col min="2225" max="2225" width="31.6640625" bestFit="1" customWidth="1"/>
    <col min="2226" max="2226" width="30.33203125" bestFit="1" customWidth="1"/>
    <col min="2227" max="2227" width="36.5546875" bestFit="1" customWidth="1"/>
    <col min="2228" max="2228" width="25.109375" bestFit="1" customWidth="1"/>
    <col min="2229" max="2229" width="31.21875" bestFit="1" customWidth="1"/>
    <col min="2230" max="2230" width="31.5546875" bestFit="1" customWidth="1"/>
    <col min="2231" max="2231" width="37.6640625" bestFit="1" customWidth="1"/>
    <col min="2232" max="2232" width="22.77734375" bestFit="1" customWidth="1"/>
    <col min="2233" max="2233" width="28.88671875" bestFit="1" customWidth="1"/>
    <col min="2234" max="2234" width="25.44140625" bestFit="1" customWidth="1"/>
    <col min="2235" max="2235" width="31.6640625" bestFit="1" customWidth="1"/>
    <col min="2236" max="2236" width="30.33203125" bestFit="1" customWidth="1"/>
    <col min="2237" max="2237" width="36.5546875" bestFit="1" customWidth="1"/>
    <col min="2238" max="2238" width="25.109375" bestFit="1" customWidth="1"/>
    <col min="2239" max="2239" width="31.21875" bestFit="1" customWidth="1"/>
    <col min="2240" max="2240" width="31.5546875" bestFit="1" customWidth="1"/>
    <col min="2241" max="2241" width="37.6640625" bestFit="1" customWidth="1"/>
    <col min="2242" max="2242" width="22.77734375" bestFit="1" customWidth="1"/>
    <col min="2243" max="2243" width="28.88671875" bestFit="1" customWidth="1"/>
    <col min="2244" max="2244" width="25.44140625" bestFit="1" customWidth="1"/>
    <col min="2245" max="2245" width="31.6640625" bestFit="1" customWidth="1"/>
    <col min="2246" max="2246" width="30.33203125" bestFit="1" customWidth="1"/>
    <col min="2247" max="2247" width="36.5546875" bestFit="1" customWidth="1"/>
    <col min="2248" max="2248" width="25.109375" bestFit="1" customWidth="1"/>
    <col min="2249" max="2249" width="31.21875" bestFit="1" customWidth="1"/>
    <col min="2250" max="2250" width="31.5546875" bestFit="1" customWidth="1"/>
    <col min="2251" max="2251" width="37.6640625" bestFit="1" customWidth="1"/>
    <col min="2252" max="2252" width="22.77734375" bestFit="1" customWidth="1"/>
    <col min="2253" max="2253" width="28.88671875" bestFit="1" customWidth="1"/>
    <col min="2254" max="2254" width="25.44140625" bestFit="1" customWidth="1"/>
    <col min="2255" max="2255" width="31.6640625" bestFit="1" customWidth="1"/>
    <col min="2256" max="2256" width="30.33203125" bestFit="1" customWidth="1"/>
    <col min="2257" max="2257" width="36.5546875" bestFit="1" customWidth="1"/>
    <col min="2258" max="2258" width="25.109375" bestFit="1" customWidth="1"/>
    <col min="2259" max="2259" width="31.21875" bestFit="1" customWidth="1"/>
    <col min="2260" max="2260" width="31.5546875" bestFit="1" customWidth="1"/>
    <col min="2261" max="2261" width="37.6640625" bestFit="1" customWidth="1"/>
    <col min="2262" max="2262" width="22.77734375" bestFit="1" customWidth="1"/>
    <col min="2263" max="2263" width="28.88671875" bestFit="1" customWidth="1"/>
    <col min="2264" max="2264" width="25.44140625" bestFit="1" customWidth="1"/>
    <col min="2265" max="2265" width="31.6640625" bestFit="1" customWidth="1"/>
    <col min="2266" max="2266" width="30.33203125" bestFit="1" customWidth="1"/>
    <col min="2267" max="2267" width="36.5546875" bestFit="1" customWidth="1"/>
    <col min="2268" max="2268" width="25.109375" bestFit="1" customWidth="1"/>
    <col min="2269" max="2269" width="31.21875" bestFit="1" customWidth="1"/>
    <col min="2270" max="2270" width="31.5546875" bestFit="1" customWidth="1"/>
    <col min="2271" max="2271" width="37.6640625" bestFit="1" customWidth="1"/>
    <col min="2272" max="2272" width="22.77734375" bestFit="1" customWidth="1"/>
    <col min="2273" max="2273" width="28.88671875" bestFit="1" customWidth="1"/>
    <col min="2274" max="2274" width="25.44140625" bestFit="1" customWidth="1"/>
    <col min="2275" max="2275" width="31.6640625" bestFit="1" customWidth="1"/>
    <col min="2276" max="2276" width="30.33203125" bestFit="1" customWidth="1"/>
    <col min="2277" max="2277" width="36.5546875" bestFit="1" customWidth="1"/>
    <col min="2278" max="2278" width="25.109375" bestFit="1" customWidth="1"/>
    <col min="2279" max="2279" width="31.21875" bestFit="1" customWidth="1"/>
    <col min="2280" max="2280" width="31.5546875" bestFit="1" customWidth="1"/>
    <col min="2281" max="2281" width="37.6640625" bestFit="1" customWidth="1"/>
    <col min="2282" max="2282" width="22.77734375" bestFit="1" customWidth="1"/>
    <col min="2283" max="2283" width="28.88671875" bestFit="1" customWidth="1"/>
    <col min="2284" max="2284" width="25.44140625" bestFit="1" customWidth="1"/>
    <col min="2285" max="2285" width="31.6640625" bestFit="1" customWidth="1"/>
    <col min="2286" max="2286" width="30.33203125" bestFit="1" customWidth="1"/>
    <col min="2287" max="2287" width="36.5546875" bestFit="1" customWidth="1"/>
    <col min="2288" max="2288" width="25.109375" bestFit="1" customWidth="1"/>
    <col min="2289" max="2289" width="31.21875" bestFit="1" customWidth="1"/>
    <col min="2290" max="2290" width="31.5546875" bestFit="1" customWidth="1"/>
    <col min="2291" max="2291" width="37.6640625" bestFit="1" customWidth="1"/>
    <col min="2292" max="2292" width="22.77734375" bestFit="1" customWidth="1"/>
    <col min="2293" max="2293" width="28.88671875" bestFit="1" customWidth="1"/>
    <col min="2294" max="2294" width="25.44140625" bestFit="1" customWidth="1"/>
    <col min="2295" max="2295" width="31.6640625" bestFit="1" customWidth="1"/>
    <col min="2296" max="2296" width="30.33203125" bestFit="1" customWidth="1"/>
    <col min="2297" max="2297" width="36.5546875" bestFit="1" customWidth="1"/>
    <col min="2298" max="2298" width="25.109375" bestFit="1" customWidth="1"/>
    <col min="2299" max="2299" width="31.21875" bestFit="1" customWidth="1"/>
    <col min="2300" max="2300" width="31.5546875" bestFit="1" customWidth="1"/>
    <col min="2301" max="2301" width="37.6640625" bestFit="1" customWidth="1"/>
    <col min="2302" max="2302" width="22.77734375" bestFit="1" customWidth="1"/>
    <col min="2303" max="2303" width="28.88671875" bestFit="1" customWidth="1"/>
    <col min="2304" max="2304" width="25.44140625" bestFit="1" customWidth="1"/>
    <col min="2305" max="2305" width="31.6640625" bestFit="1" customWidth="1"/>
    <col min="2306" max="2306" width="30.33203125" bestFit="1" customWidth="1"/>
    <col min="2307" max="2307" width="36.5546875" bestFit="1" customWidth="1"/>
    <col min="2308" max="2308" width="25.109375" bestFit="1" customWidth="1"/>
    <col min="2309" max="2309" width="31.21875" bestFit="1" customWidth="1"/>
    <col min="2310" max="2310" width="31.5546875" bestFit="1" customWidth="1"/>
    <col min="2311" max="2311" width="37.6640625" bestFit="1" customWidth="1"/>
    <col min="2312" max="2312" width="22.77734375" bestFit="1" customWidth="1"/>
    <col min="2313" max="2313" width="28.88671875" bestFit="1" customWidth="1"/>
    <col min="2314" max="2314" width="25.44140625" bestFit="1" customWidth="1"/>
    <col min="2315" max="2315" width="31.6640625" bestFit="1" customWidth="1"/>
    <col min="2316" max="2316" width="30.33203125" bestFit="1" customWidth="1"/>
    <col min="2317" max="2317" width="36.5546875" bestFit="1" customWidth="1"/>
    <col min="2318" max="2318" width="25.109375" bestFit="1" customWidth="1"/>
    <col min="2319" max="2319" width="31.21875" bestFit="1" customWidth="1"/>
    <col min="2320" max="2320" width="31.5546875" bestFit="1" customWidth="1"/>
    <col min="2321" max="2321" width="37.6640625" bestFit="1" customWidth="1"/>
    <col min="2322" max="2322" width="22.77734375" bestFit="1" customWidth="1"/>
    <col min="2323" max="2323" width="28.88671875" bestFit="1" customWidth="1"/>
    <col min="2324" max="2324" width="25.44140625" bestFit="1" customWidth="1"/>
    <col min="2325" max="2325" width="31.6640625" bestFit="1" customWidth="1"/>
    <col min="2326" max="2326" width="30.33203125" bestFit="1" customWidth="1"/>
    <col min="2327" max="2327" width="36.5546875" bestFit="1" customWidth="1"/>
    <col min="2328" max="2328" width="25.109375" bestFit="1" customWidth="1"/>
    <col min="2329" max="2329" width="31.21875" bestFit="1" customWidth="1"/>
    <col min="2330" max="2330" width="31.5546875" bestFit="1" customWidth="1"/>
    <col min="2331" max="2331" width="37.6640625" bestFit="1" customWidth="1"/>
    <col min="2332" max="2332" width="22.77734375" bestFit="1" customWidth="1"/>
    <col min="2333" max="2333" width="28.88671875" bestFit="1" customWidth="1"/>
    <col min="2334" max="2334" width="25.44140625" bestFit="1" customWidth="1"/>
    <col min="2335" max="2335" width="31.6640625" bestFit="1" customWidth="1"/>
    <col min="2336" max="2336" width="30.33203125" bestFit="1" customWidth="1"/>
    <col min="2337" max="2337" width="36.5546875" bestFit="1" customWidth="1"/>
    <col min="2338" max="2338" width="25.109375" bestFit="1" customWidth="1"/>
    <col min="2339" max="2339" width="31.21875" bestFit="1" customWidth="1"/>
    <col min="2340" max="2340" width="31.5546875" bestFit="1" customWidth="1"/>
    <col min="2341" max="2341" width="37.6640625" bestFit="1" customWidth="1"/>
    <col min="2342" max="2342" width="22.77734375" bestFit="1" customWidth="1"/>
    <col min="2343" max="2343" width="28.88671875" bestFit="1" customWidth="1"/>
    <col min="2344" max="2344" width="25.44140625" bestFit="1" customWidth="1"/>
    <col min="2345" max="2345" width="31.6640625" bestFit="1" customWidth="1"/>
    <col min="2346" max="2346" width="30.33203125" bestFit="1" customWidth="1"/>
    <col min="2347" max="2347" width="36.5546875" bestFit="1" customWidth="1"/>
    <col min="2348" max="2348" width="25.109375" bestFit="1" customWidth="1"/>
    <col min="2349" max="2349" width="31.21875" bestFit="1" customWidth="1"/>
    <col min="2350" max="2350" width="31.5546875" bestFit="1" customWidth="1"/>
    <col min="2351" max="2351" width="37.6640625" bestFit="1" customWidth="1"/>
    <col min="2352" max="2352" width="22.77734375" bestFit="1" customWidth="1"/>
    <col min="2353" max="2353" width="28.88671875" bestFit="1" customWidth="1"/>
    <col min="2354" max="2354" width="25.44140625" bestFit="1" customWidth="1"/>
    <col min="2355" max="2355" width="31.6640625" bestFit="1" customWidth="1"/>
    <col min="2356" max="2356" width="30.33203125" bestFit="1" customWidth="1"/>
    <col min="2357" max="2357" width="36.5546875" bestFit="1" customWidth="1"/>
    <col min="2358" max="2358" width="25.109375" bestFit="1" customWidth="1"/>
    <col min="2359" max="2359" width="31.21875" bestFit="1" customWidth="1"/>
    <col min="2360" max="2360" width="31.5546875" bestFit="1" customWidth="1"/>
    <col min="2361" max="2361" width="37.6640625" bestFit="1" customWidth="1"/>
    <col min="2362" max="2362" width="22.77734375" bestFit="1" customWidth="1"/>
    <col min="2363" max="2363" width="28.88671875" bestFit="1" customWidth="1"/>
    <col min="2364" max="2364" width="25.44140625" bestFit="1" customWidth="1"/>
    <col min="2365" max="2365" width="31.6640625" bestFit="1" customWidth="1"/>
    <col min="2366" max="2366" width="30.33203125" bestFit="1" customWidth="1"/>
    <col min="2367" max="2367" width="36.5546875" bestFit="1" customWidth="1"/>
    <col min="2368" max="2368" width="25.109375" bestFit="1" customWidth="1"/>
    <col min="2369" max="2369" width="31.21875" bestFit="1" customWidth="1"/>
    <col min="2370" max="2370" width="31.5546875" bestFit="1" customWidth="1"/>
    <col min="2371" max="2371" width="37.6640625" bestFit="1" customWidth="1"/>
    <col min="2372" max="2372" width="22.77734375" bestFit="1" customWidth="1"/>
    <col min="2373" max="2373" width="28.88671875" bestFit="1" customWidth="1"/>
    <col min="2374" max="2374" width="25.44140625" bestFit="1" customWidth="1"/>
    <col min="2375" max="2375" width="31.6640625" bestFit="1" customWidth="1"/>
    <col min="2376" max="2376" width="30.33203125" bestFit="1" customWidth="1"/>
    <col min="2377" max="2377" width="36.5546875" bestFit="1" customWidth="1"/>
    <col min="2378" max="2378" width="25.109375" bestFit="1" customWidth="1"/>
    <col min="2379" max="2379" width="31.21875" bestFit="1" customWidth="1"/>
    <col min="2380" max="2380" width="31.5546875" bestFit="1" customWidth="1"/>
    <col min="2381" max="2381" width="37.6640625" bestFit="1" customWidth="1"/>
    <col min="2382" max="2382" width="22.77734375" bestFit="1" customWidth="1"/>
    <col min="2383" max="2383" width="28.88671875" bestFit="1" customWidth="1"/>
    <col min="2384" max="2384" width="25.44140625" bestFit="1" customWidth="1"/>
    <col min="2385" max="2385" width="31.6640625" bestFit="1" customWidth="1"/>
    <col min="2386" max="2386" width="30.33203125" bestFit="1" customWidth="1"/>
    <col min="2387" max="2387" width="36.5546875" bestFit="1" customWidth="1"/>
    <col min="2388" max="2388" width="25.109375" bestFit="1" customWidth="1"/>
    <col min="2389" max="2389" width="31.21875" bestFit="1" customWidth="1"/>
    <col min="2390" max="2390" width="31.5546875" bestFit="1" customWidth="1"/>
    <col min="2391" max="2391" width="37.6640625" bestFit="1" customWidth="1"/>
    <col min="2392" max="2392" width="22.77734375" bestFit="1" customWidth="1"/>
    <col min="2393" max="2393" width="28.88671875" bestFit="1" customWidth="1"/>
    <col min="2394" max="2394" width="25.44140625" bestFit="1" customWidth="1"/>
    <col min="2395" max="2395" width="31.6640625" bestFit="1" customWidth="1"/>
    <col min="2396" max="2396" width="30.33203125" bestFit="1" customWidth="1"/>
    <col min="2397" max="2397" width="36.5546875" bestFit="1" customWidth="1"/>
    <col min="2398" max="2398" width="25.109375" bestFit="1" customWidth="1"/>
    <col min="2399" max="2399" width="31.21875" bestFit="1" customWidth="1"/>
    <col min="2400" max="2400" width="31.5546875" bestFit="1" customWidth="1"/>
    <col min="2401" max="2401" width="37.6640625" bestFit="1" customWidth="1"/>
    <col min="2402" max="2402" width="22.77734375" bestFit="1" customWidth="1"/>
    <col min="2403" max="2403" width="28.88671875" bestFit="1" customWidth="1"/>
    <col min="2404" max="2404" width="25.44140625" bestFit="1" customWidth="1"/>
    <col min="2405" max="2405" width="31.6640625" bestFit="1" customWidth="1"/>
    <col min="2406" max="2406" width="30.33203125" bestFit="1" customWidth="1"/>
    <col min="2407" max="2407" width="36.5546875" bestFit="1" customWidth="1"/>
    <col min="2408" max="2408" width="25.109375" bestFit="1" customWidth="1"/>
    <col min="2409" max="2409" width="31.21875" bestFit="1" customWidth="1"/>
    <col min="2410" max="2410" width="31.5546875" bestFit="1" customWidth="1"/>
    <col min="2411" max="2411" width="37.6640625" bestFit="1" customWidth="1"/>
    <col min="2412" max="2412" width="22.77734375" bestFit="1" customWidth="1"/>
    <col min="2413" max="2413" width="28.88671875" bestFit="1" customWidth="1"/>
    <col min="2414" max="2414" width="25.44140625" bestFit="1" customWidth="1"/>
    <col min="2415" max="2415" width="31.6640625" bestFit="1" customWidth="1"/>
    <col min="2416" max="2416" width="30.33203125" bestFit="1" customWidth="1"/>
    <col min="2417" max="2417" width="36.5546875" bestFit="1" customWidth="1"/>
    <col min="2418" max="2418" width="25.109375" bestFit="1" customWidth="1"/>
    <col min="2419" max="2419" width="31.21875" bestFit="1" customWidth="1"/>
    <col min="2420" max="2420" width="31.5546875" bestFit="1" customWidth="1"/>
    <col min="2421" max="2421" width="37.6640625" bestFit="1" customWidth="1"/>
    <col min="2422" max="2422" width="22.77734375" bestFit="1" customWidth="1"/>
    <col min="2423" max="2423" width="28.88671875" bestFit="1" customWidth="1"/>
    <col min="2424" max="2424" width="25.44140625" bestFit="1" customWidth="1"/>
    <col min="2425" max="2425" width="31.6640625" bestFit="1" customWidth="1"/>
    <col min="2426" max="2426" width="30.33203125" bestFit="1" customWidth="1"/>
    <col min="2427" max="2427" width="36.5546875" bestFit="1" customWidth="1"/>
    <col min="2428" max="2428" width="25.109375" bestFit="1" customWidth="1"/>
    <col min="2429" max="2429" width="31.21875" bestFit="1" customWidth="1"/>
    <col min="2430" max="2430" width="31.5546875" bestFit="1" customWidth="1"/>
    <col min="2431" max="2431" width="37.6640625" bestFit="1" customWidth="1"/>
    <col min="2432" max="2432" width="22.77734375" bestFit="1" customWidth="1"/>
    <col min="2433" max="2433" width="28.88671875" bestFit="1" customWidth="1"/>
    <col min="2434" max="2434" width="25.44140625" bestFit="1" customWidth="1"/>
    <col min="2435" max="2435" width="31.6640625" bestFit="1" customWidth="1"/>
    <col min="2436" max="2436" width="30.33203125" bestFit="1" customWidth="1"/>
    <col min="2437" max="2437" width="36.5546875" bestFit="1" customWidth="1"/>
    <col min="2438" max="2438" width="25.109375" bestFit="1" customWidth="1"/>
    <col min="2439" max="2439" width="31.21875" bestFit="1" customWidth="1"/>
    <col min="2440" max="2440" width="31.5546875" bestFit="1" customWidth="1"/>
    <col min="2441" max="2441" width="37.6640625" bestFit="1" customWidth="1"/>
    <col min="2442" max="2442" width="22.77734375" bestFit="1" customWidth="1"/>
    <col min="2443" max="2443" width="28.88671875" bestFit="1" customWidth="1"/>
    <col min="2444" max="2444" width="25.44140625" bestFit="1" customWidth="1"/>
    <col min="2445" max="2445" width="31.6640625" bestFit="1" customWidth="1"/>
    <col min="2446" max="2446" width="30.33203125" bestFit="1" customWidth="1"/>
    <col min="2447" max="2447" width="36.5546875" bestFit="1" customWidth="1"/>
    <col min="2448" max="2448" width="25.109375" bestFit="1" customWidth="1"/>
    <col min="2449" max="2449" width="31.21875" bestFit="1" customWidth="1"/>
    <col min="2450" max="2450" width="31.5546875" bestFit="1" customWidth="1"/>
    <col min="2451" max="2451" width="37.6640625" bestFit="1" customWidth="1"/>
    <col min="2452" max="2452" width="22.77734375" bestFit="1" customWidth="1"/>
    <col min="2453" max="2453" width="28.88671875" bestFit="1" customWidth="1"/>
    <col min="2454" max="2454" width="25.44140625" bestFit="1" customWidth="1"/>
    <col min="2455" max="2455" width="31.6640625" bestFit="1" customWidth="1"/>
    <col min="2456" max="2456" width="30.33203125" bestFit="1" customWidth="1"/>
    <col min="2457" max="2457" width="36.5546875" bestFit="1" customWidth="1"/>
    <col min="2458" max="2458" width="25.109375" bestFit="1" customWidth="1"/>
    <col min="2459" max="2459" width="31.21875" bestFit="1" customWidth="1"/>
    <col min="2460" max="2460" width="31.5546875" bestFit="1" customWidth="1"/>
    <col min="2461" max="2461" width="37.6640625" bestFit="1" customWidth="1"/>
    <col min="2462" max="2462" width="22.77734375" bestFit="1" customWidth="1"/>
    <col min="2463" max="2463" width="28.88671875" bestFit="1" customWidth="1"/>
    <col min="2464" max="2464" width="25.44140625" bestFit="1" customWidth="1"/>
    <col min="2465" max="2465" width="31.6640625" bestFit="1" customWidth="1"/>
    <col min="2466" max="2466" width="30.33203125" bestFit="1" customWidth="1"/>
    <col min="2467" max="2467" width="36.5546875" bestFit="1" customWidth="1"/>
    <col min="2468" max="2468" width="25.109375" bestFit="1" customWidth="1"/>
    <col min="2469" max="2469" width="31.21875" bestFit="1" customWidth="1"/>
    <col min="2470" max="2470" width="31.5546875" bestFit="1" customWidth="1"/>
    <col min="2471" max="2471" width="37.6640625" bestFit="1" customWidth="1"/>
    <col min="2472" max="2472" width="22.77734375" bestFit="1" customWidth="1"/>
    <col min="2473" max="2473" width="28.88671875" bestFit="1" customWidth="1"/>
    <col min="2474" max="2474" width="25.44140625" bestFit="1" customWidth="1"/>
    <col min="2475" max="2475" width="31.6640625" bestFit="1" customWidth="1"/>
    <col min="2476" max="2476" width="30.33203125" bestFit="1" customWidth="1"/>
    <col min="2477" max="2477" width="36.5546875" bestFit="1" customWidth="1"/>
    <col min="2478" max="2478" width="25.109375" bestFit="1" customWidth="1"/>
    <col min="2479" max="2479" width="31.21875" bestFit="1" customWidth="1"/>
    <col min="2480" max="2480" width="31.5546875" bestFit="1" customWidth="1"/>
    <col min="2481" max="2481" width="37.6640625" bestFit="1" customWidth="1"/>
    <col min="2482" max="2482" width="22.77734375" bestFit="1" customWidth="1"/>
    <col min="2483" max="2483" width="28.88671875" bestFit="1" customWidth="1"/>
    <col min="2484" max="2484" width="25.44140625" bestFit="1" customWidth="1"/>
    <col min="2485" max="2485" width="31.6640625" bestFit="1" customWidth="1"/>
    <col min="2486" max="2486" width="30.33203125" bestFit="1" customWidth="1"/>
    <col min="2487" max="2487" width="36.5546875" bestFit="1" customWidth="1"/>
    <col min="2488" max="2488" width="25.109375" bestFit="1" customWidth="1"/>
    <col min="2489" max="2489" width="31.21875" bestFit="1" customWidth="1"/>
    <col min="2490" max="2490" width="31.5546875" bestFit="1" customWidth="1"/>
    <col min="2491" max="2491" width="37.6640625" bestFit="1" customWidth="1"/>
    <col min="2492" max="2492" width="22.77734375" bestFit="1" customWidth="1"/>
    <col min="2493" max="2493" width="28.88671875" bestFit="1" customWidth="1"/>
    <col min="2494" max="2494" width="25.44140625" bestFit="1" customWidth="1"/>
    <col min="2495" max="2495" width="31.6640625" bestFit="1" customWidth="1"/>
    <col min="2496" max="2496" width="30.33203125" bestFit="1" customWidth="1"/>
    <col min="2497" max="2497" width="36.5546875" bestFit="1" customWidth="1"/>
    <col min="2498" max="2498" width="25.109375" bestFit="1" customWidth="1"/>
    <col min="2499" max="2499" width="31.21875" bestFit="1" customWidth="1"/>
    <col min="2500" max="2500" width="31.5546875" bestFit="1" customWidth="1"/>
    <col min="2501" max="2501" width="37.6640625" bestFit="1" customWidth="1"/>
    <col min="2502" max="2502" width="22.77734375" bestFit="1" customWidth="1"/>
    <col min="2503" max="2503" width="28.88671875" bestFit="1" customWidth="1"/>
    <col min="2504" max="2504" width="25.44140625" bestFit="1" customWidth="1"/>
    <col min="2505" max="2505" width="31.6640625" bestFit="1" customWidth="1"/>
    <col min="2506" max="2506" width="30.33203125" bestFit="1" customWidth="1"/>
    <col min="2507" max="2507" width="36.5546875" bestFit="1" customWidth="1"/>
    <col min="2508" max="2508" width="25.109375" bestFit="1" customWidth="1"/>
    <col min="2509" max="2509" width="31.21875" bestFit="1" customWidth="1"/>
    <col min="2510" max="2510" width="31.5546875" bestFit="1" customWidth="1"/>
    <col min="2511" max="2511" width="37.6640625" bestFit="1" customWidth="1"/>
    <col min="2512" max="2512" width="22.77734375" bestFit="1" customWidth="1"/>
    <col min="2513" max="2513" width="28.88671875" bestFit="1" customWidth="1"/>
    <col min="2514" max="2514" width="25.44140625" bestFit="1" customWidth="1"/>
    <col min="2515" max="2515" width="31.6640625" bestFit="1" customWidth="1"/>
    <col min="2516" max="2516" width="30.33203125" bestFit="1" customWidth="1"/>
    <col min="2517" max="2517" width="36.5546875" bestFit="1" customWidth="1"/>
    <col min="2518" max="2518" width="25.109375" bestFit="1" customWidth="1"/>
    <col min="2519" max="2519" width="31.21875" bestFit="1" customWidth="1"/>
    <col min="2520" max="2520" width="31.5546875" bestFit="1" customWidth="1"/>
    <col min="2521" max="2521" width="37.6640625" bestFit="1" customWidth="1"/>
    <col min="2522" max="2522" width="22.77734375" bestFit="1" customWidth="1"/>
    <col min="2523" max="2523" width="28.88671875" bestFit="1" customWidth="1"/>
    <col min="2524" max="2524" width="25.44140625" bestFit="1" customWidth="1"/>
    <col min="2525" max="2525" width="31.6640625" bestFit="1" customWidth="1"/>
    <col min="2526" max="2526" width="30.33203125" bestFit="1" customWidth="1"/>
    <col min="2527" max="2527" width="36.5546875" bestFit="1" customWidth="1"/>
    <col min="2528" max="2528" width="25.109375" bestFit="1" customWidth="1"/>
    <col min="2529" max="2529" width="31.21875" bestFit="1" customWidth="1"/>
    <col min="2530" max="2530" width="31.5546875" bestFit="1" customWidth="1"/>
    <col min="2531" max="2531" width="37.6640625" bestFit="1" customWidth="1"/>
    <col min="2532" max="2532" width="22.77734375" bestFit="1" customWidth="1"/>
    <col min="2533" max="2533" width="28.88671875" bestFit="1" customWidth="1"/>
    <col min="2534" max="2534" width="25.44140625" bestFit="1" customWidth="1"/>
    <col min="2535" max="2535" width="31.6640625" bestFit="1" customWidth="1"/>
    <col min="2536" max="2536" width="30.33203125" bestFit="1" customWidth="1"/>
    <col min="2537" max="2537" width="36.5546875" bestFit="1" customWidth="1"/>
    <col min="2538" max="2538" width="25.109375" bestFit="1" customWidth="1"/>
    <col min="2539" max="2539" width="31.21875" bestFit="1" customWidth="1"/>
    <col min="2540" max="2540" width="31.5546875" bestFit="1" customWidth="1"/>
    <col min="2541" max="2541" width="37.6640625" bestFit="1" customWidth="1"/>
    <col min="2542" max="2542" width="22.77734375" bestFit="1" customWidth="1"/>
    <col min="2543" max="2543" width="28.88671875" bestFit="1" customWidth="1"/>
    <col min="2544" max="2544" width="25.44140625" bestFit="1" customWidth="1"/>
    <col min="2545" max="2545" width="31.6640625" bestFit="1" customWidth="1"/>
    <col min="2546" max="2546" width="30.33203125" bestFit="1" customWidth="1"/>
    <col min="2547" max="2547" width="36.5546875" bestFit="1" customWidth="1"/>
    <col min="2548" max="2548" width="25.109375" bestFit="1" customWidth="1"/>
    <col min="2549" max="2549" width="31.21875" bestFit="1" customWidth="1"/>
    <col min="2550" max="2550" width="31.5546875" bestFit="1" customWidth="1"/>
    <col min="2551" max="2551" width="37.6640625" bestFit="1" customWidth="1"/>
    <col min="2552" max="2552" width="22.77734375" bestFit="1" customWidth="1"/>
    <col min="2553" max="2553" width="28.88671875" bestFit="1" customWidth="1"/>
    <col min="2554" max="2554" width="25.44140625" bestFit="1" customWidth="1"/>
    <col min="2555" max="2555" width="31.6640625" bestFit="1" customWidth="1"/>
    <col min="2556" max="2556" width="30.33203125" bestFit="1" customWidth="1"/>
    <col min="2557" max="2557" width="36.5546875" bestFit="1" customWidth="1"/>
    <col min="2558" max="2558" width="25.109375" bestFit="1" customWidth="1"/>
    <col min="2559" max="2559" width="31.21875" bestFit="1" customWidth="1"/>
    <col min="2560" max="2560" width="31.5546875" bestFit="1" customWidth="1"/>
    <col min="2561" max="2561" width="37.6640625" bestFit="1" customWidth="1"/>
    <col min="2562" max="2562" width="22.77734375" bestFit="1" customWidth="1"/>
    <col min="2563" max="2563" width="28.88671875" bestFit="1" customWidth="1"/>
    <col min="2564" max="2564" width="25.44140625" bestFit="1" customWidth="1"/>
    <col min="2565" max="2565" width="31.6640625" bestFit="1" customWidth="1"/>
    <col min="2566" max="2566" width="30.33203125" bestFit="1" customWidth="1"/>
    <col min="2567" max="2567" width="36.5546875" bestFit="1" customWidth="1"/>
    <col min="2568" max="2568" width="25.109375" bestFit="1" customWidth="1"/>
    <col min="2569" max="2569" width="31.21875" bestFit="1" customWidth="1"/>
    <col min="2570" max="2570" width="31.5546875" bestFit="1" customWidth="1"/>
    <col min="2571" max="2571" width="37.6640625" bestFit="1" customWidth="1"/>
    <col min="2572" max="2572" width="22.77734375" bestFit="1" customWidth="1"/>
    <col min="2573" max="2573" width="28.88671875" bestFit="1" customWidth="1"/>
    <col min="2574" max="2574" width="25.44140625" bestFit="1" customWidth="1"/>
    <col min="2575" max="2575" width="31.6640625" bestFit="1" customWidth="1"/>
    <col min="2576" max="2576" width="30.33203125" bestFit="1" customWidth="1"/>
    <col min="2577" max="2577" width="36.5546875" bestFit="1" customWidth="1"/>
    <col min="2578" max="2578" width="25.109375" bestFit="1" customWidth="1"/>
    <col min="2579" max="2579" width="31.21875" bestFit="1" customWidth="1"/>
    <col min="2580" max="2580" width="31.5546875" bestFit="1" customWidth="1"/>
    <col min="2581" max="2581" width="37.6640625" bestFit="1" customWidth="1"/>
    <col min="2582" max="2582" width="22.77734375" bestFit="1" customWidth="1"/>
    <col min="2583" max="2583" width="28.88671875" bestFit="1" customWidth="1"/>
    <col min="2584" max="2584" width="25.44140625" bestFit="1" customWidth="1"/>
    <col min="2585" max="2585" width="31.6640625" bestFit="1" customWidth="1"/>
    <col min="2586" max="2586" width="30.33203125" bestFit="1" customWidth="1"/>
    <col min="2587" max="2587" width="36.5546875" bestFit="1" customWidth="1"/>
    <col min="2588" max="2588" width="25.109375" bestFit="1" customWidth="1"/>
    <col min="2589" max="2589" width="31.21875" bestFit="1" customWidth="1"/>
    <col min="2590" max="2590" width="31.5546875" bestFit="1" customWidth="1"/>
    <col min="2591" max="2591" width="37.6640625" bestFit="1" customWidth="1"/>
    <col min="2592" max="2592" width="22.77734375" bestFit="1" customWidth="1"/>
    <col min="2593" max="2593" width="28.88671875" bestFit="1" customWidth="1"/>
    <col min="2594" max="2594" width="25.44140625" bestFit="1" customWidth="1"/>
    <col min="2595" max="2595" width="31.6640625" bestFit="1" customWidth="1"/>
    <col min="2596" max="2596" width="30.33203125" bestFit="1" customWidth="1"/>
    <col min="2597" max="2597" width="36.5546875" bestFit="1" customWidth="1"/>
    <col min="2598" max="2598" width="25.109375" bestFit="1" customWidth="1"/>
    <col min="2599" max="2599" width="31.21875" bestFit="1" customWidth="1"/>
    <col min="2600" max="2600" width="31.5546875" bestFit="1" customWidth="1"/>
    <col min="2601" max="2601" width="37.6640625" bestFit="1" customWidth="1"/>
    <col min="2602" max="2602" width="22.77734375" bestFit="1" customWidth="1"/>
    <col min="2603" max="2603" width="28.88671875" bestFit="1" customWidth="1"/>
    <col min="2604" max="2604" width="25.44140625" bestFit="1" customWidth="1"/>
    <col min="2605" max="2605" width="31.6640625" bestFit="1" customWidth="1"/>
    <col min="2606" max="2606" width="30.33203125" bestFit="1" customWidth="1"/>
    <col min="2607" max="2607" width="36.5546875" bestFit="1" customWidth="1"/>
    <col min="2608" max="2608" width="25.109375" bestFit="1" customWidth="1"/>
    <col min="2609" max="2609" width="31.21875" bestFit="1" customWidth="1"/>
    <col min="2610" max="2610" width="31.5546875" bestFit="1" customWidth="1"/>
    <col min="2611" max="2611" width="37.6640625" bestFit="1" customWidth="1"/>
    <col min="2612" max="2612" width="22.77734375" bestFit="1" customWidth="1"/>
    <col min="2613" max="2613" width="28.88671875" bestFit="1" customWidth="1"/>
    <col min="2614" max="2614" width="25.44140625" bestFit="1" customWidth="1"/>
    <col min="2615" max="2615" width="31.6640625" bestFit="1" customWidth="1"/>
    <col min="2616" max="2616" width="30.33203125" bestFit="1" customWidth="1"/>
    <col min="2617" max="2617" width="36.5546875" bestFit="1" customWidth="1"/>
    <col min="2618" max="2618" width="25.109375" bestFit="1" customWidth="1"/>
    <col min="2619" max="2619" width="31.21875" bestFit="1" customWidth="1"/>
    <col min="2620" max="2620" width="31.5546875" bestFit="1" customWidth="1"/>
    <col min="2621" max="2621" width="37.6640625" bestFit="1" customWidth="1"/>
    <col min="2622" max="2622" width="22.77734375" bestFit="1" customWidth="1"/>
    <col min="2623" max="2623" width="28.88671875" bestFit="1" customWidth="1"/>
    <col min="2624" max="2624" width="25.44140625" bestFit="1" customWidth="1"/>
    <col min="2625" max="2625" width="31.6640625" bestFit="1" customWidth="1"/>
    <col min="2626" max="2626" width="30.33203125" bestFit="1" customWidth="1"/>
    <col min="2627" max="2627" width="36.5546875" bestFit="1" customWidth="1"/>
    <col min="2628" max="2628" width="25.109375" bestFit="1" customWidth="1"/>
    <col min="2629" max="2629" width="31.21875" bestFit="1" customWidth="1"/>
    <col min="2630" max="2630" width="31.5546875" bestFit="1" customWidth="1"/>
    <col min="2631" max="2631" width="37.6640625" bestFit="1" customWidth="1"/>
    <col min="2632" max="2632" width="22.77734375" bestFit="1" customWidth="1"/>
    <col min="2633" max="2633" width="28.88671875" bestFit="1" customWidth="1"/>
    <col min="2634" max="2634" width="25.44140625" bestFit="1" customWidth="1"/>
    <col min="2635" max="2635" width="31.6640625" bestFit="1" customWidth="1"/>
    <col min="2636" max="2636" width="30.33203125" bestFit="1" customWidth="1"/>
    <col min="2637" max="2637" width="36.5546875" bestFit="1" customWidth="1"/>
    <col min="2638" max="2638" width="25.109375" bestFit="1" customWidth="1"/>
    <col min="2639" max="2639" width="31.21875" bestFit="1" customWidth="1"/>
    <col min="2640" max="2640" width="31.5546875" bestFit="1" customWidth="1"/>
    <col min="2641" max="2641" width="37.6640625" bestFit="1" customWidth="1"/>
    <col min="2642" max="2642" width="22.77734375" bestFit="1" customWidth="1"/>
    <col min="2643" max="2643" width="28.88671875" bestFit="1" customWidth="1"/>
    <col min="2644" max="2644" width="25.44140625" bestFit="1" customWidth="1"/>
    <col min="2645" max="2645" width="31.6640625" bestFit="1" customWidth="1"/>
    <col min="2646" max="2646" width="30.33203125" bestFit="1" customWidth="1"/>
    <col min="2647" max="2647" width="36.5546875" bestFit="1" customWidth="1"/>
    <col min="2648" max="2648" width="25.109375" bestFit="1" customWidth="1"/>
    <col min="2649" max="2649" width="31.21875" bestFit="1" customWidth="1"/>
    <col min="2650" max="2650" width="31.5546875" bestFit="1" customWidth="1"/>
    <col min="2651" max="2651" width="37.6640625" bestFit="1" customWidth="1"/>
    <col min="2652" max="2652" width="22.77734375" bestFit="1" customWidth="1"/>
    <col min="2653" max="2653" width="28.88671875" bestFit="1" customWidth="1"/>
    <col min="2654" max="2654" width="25.44140625" bestFit="1" customWidth="1"/>
    <col min="2655" max="2655" width="31.6640625" bestFit="1" customWidth="1"/>
    <col min="2656" max="2656" width="30.33203125" bestFit="1" customWidth="1"/>
    <col min="2657" max="2657" width="36.5546875" bestFit="1" customWidth="1"/>
    <col min="2658" max="2658" width="25.109375" bestFit="1" customWidth="1"/>
    <col min="2659" max="2659" width="31.21875" bestFit="1" customWidth="1"/>
    <col min="2660" max="2660" width="31.5546875" bestFit="1" customWidth="1"/>
    <col min="2661" max="2661" width="37.6640625" bestFit="1" customWidth="1"/>
    <col min="2662" max="2662" width="22.77734375" bestFit="1" customWidth="1"/>
    <col min="2663" max="2663" width="28.88671875" bestFit="1" customWidth="1"/>
    <col min="2664" max="2664" width="25.44140625" bestFit="1" customWidth="1"/>
    <col min="2665" max="2665" width="31.6640625" bestFit="1" customWidth="1"/>
    <col min="2666" max="2666" width="30.33203125" bestFit="1" customWidth="1"/>
    <col min="2667" max="2667" width="36.5546875" bestFit="1" customWidth="1"/>
    <col min="2668" max="2668" width="25.109375" bestFit="1" customWidth="1"/>
    <col min="2669" max="2669" width="31.21875" bestFit="1" customWidth="1"/>
    <col min="2670" max="2670" width="31.5546875" bestFit="1" customWidth="1"/>
    <col min="2671" max="2671" width="37.6640625" bestFit="1" customWidth="1"/>
    <col min="2672" max="2672" width="22.77734375" bestFit="1" customWidth="1"/>
    <col min="2673" max="2673" width="28.88671875" bestFit="1" customWidth="1"/>
    <col min="2674" max="2674" width="25.44140625" bestFit="1" customWidth="1"/>
    <col min="2675" max="2675" width="31.6640625" bestFit="1" customWidth="1"/>
    <col min="2676" max="2676" width="30.33203125" bestFit="1" customWidth="1"/>
    <col min="2677" max="2677" width="36.5546875" bestFit="1" customWidth="1"/>
    <col min="2678" max="2678" width="25.109375" bestFit="1" customWidth="1"/>
    <col min="2679" max="2679" width="31.21875" bestFit="1" customWidth="1"/>
    <col min="2680" max="2680" width="31.5546875" bestFit="1" customWidth="1"/>
    <col min="2681" max="2681" width="37.6640625" bestFit="1" customWidth="1"/>
    <col min="2682" max="2682" width="22.77734375" bestFit="1" customWidth="1"/>
    <col min="2683" max="2683" width="28.88671875" bestFit="1" customWidth="1"/>
    <col min="2684" max="2684" width="25.44140625" bestFit="1" customWidth="1"/>
    <col min="2685" max="2685" width="31.6640625" bestFit="1" customWidth="1"/>
    <col min="2686" max="2686" width="30.33203125" bestFit="1" customWidth="1"/>
    <col min="2687" max="2687" width="36.5546875" bestFit="1" customWidth="1"/>
    <col min="2688" max="2688" width="25.109375" bestFit="1" customWidth="1"/>
    <col min="2689" max="2689" width="31.21875" bestFit="1" customWidth="1"/>
    <col min="2690" max="2690" width="31.5546875" bestFit="1" customWidth="1"/>
    <col min="2691" max="2691" width="37.6640625" bestFit="1" customWidth="1"/>
    <col min="2692" max="2692" width="22.77734375" bestFit="1" customWidth="1"/>
    <col min="2693" max="2693" width="28.88671875" bestFit="1" customWidth="1"/>
    <col min="2694" max="2694" width="25.44140625" bestFit="1" customWidth="1"/>
    <col min="2695" max="2695" width="31.6640625" bestFit="1" customWidth="1"/>
    <col min="2696" max="2696" width="30.33203125" bestFit="1" customWidth="1"/>
    <col min="2697" max="2697" width="36.5546875" bestFit="1" customWidth="1"/>
    <col min="2698" max="2698" width="25.109375" bestFit="1" customWidth="1"/>
    <col min="2699" max="2699" width="31.21875" bestFit="1" customWidth="1"/>
    <col min="2700" max="2700" width="31.5546875" bestFit="1" customWidth="1"/>
    <col min="2701" max="2701" width="37.6640625" bestFit="1" customWidth="1"/>
    <col min="2702" max="2702" width="22.77734375" bestFit="1" customWidth="1"/>
    <col min="2703" max="2703" width="28.88671875" bestFit="1" customWidth="1"/>
    <col min="2704" max="2704" width="25.44140625" bestFit="1" customWidth="1"/>
    <col min="2705" max="2705" width="31.6640625" bestFit="1" customWidth="1"/>
    <col min="2706" max="2706" width="30.33203125" bestFit="1" customWidth="1"/>
    <col min="2707" max="2707" width="36.5546875" bestFit="1" customWidth="1"/>
    <col min="2708" max="2708" width="25.109375" bestFit="1" customWidth="1"/>
    <col min="2709" max="2709" width="31.21875" bestFit="1" customWidth="1"/>
    <col min="2710" max="2710" width="31.5546875" bestFit="1" customWidth="1"/>
    <col min="2711" max="2711" width="37.6640625" bestFit="1" customWidth="1"/>
    <col min="2712" max="2712" width="22.77734375" bestFit="1" customWidth="1"/>
    <col min="2713" max="2713" width="28.88671875" bestFit="1" customWidth="1"/>
    <col min="2714" max="2714" width="25.44140625" bestFit="1" customWidth="1"/>
    <col min="2715" max="2715" width="31.6640625" bestFit="1" customWidth="1"/>
    <col min="2716" max="2716" width="30.33203125" bestFit="1" customWidth="1"/>
    <col min="2717" max="2717" width="36.5546875" bestFit="1" customWidth="1"/>
    <col min="2718" max="2718" width="25.109375" bestFit="1" customWidth="1"/>
    <col min="2719" max="2719" width="31.21875" bestFit="1" customWidth="1"/>
    <col min="2720" max="2720" width="31.5546875" bestFit="1" customWidth="1"/>
    <col min="2721" max="2721" width="37.6640625" bestFit="1" customWidth="1"/>
    <col min="2722" max="2722" width="22.77734375" bestFit="1" customWidth="1"/>
    <col min="2723" max="2723" width="28.88671875" bestFit="1" customWidth="1"/>
    <col min="2724" max="2724" width="25.44140625" bestFit="1" customWidth="1"/>
    <col min="2725" max="2725" width="31.6640625" bestFit="1" customWidth="1"/>
    <col min="2726" max="2726" width="30.33203125" bestFit="1" customWidth="1"/>
    <col min="2727" max="2727" width="36.5546875" bestFit="1" customWidth="1"/>
    <col min="2728" max="2728" width="25.109375" bestFit="1" customWidth="1"/>
    <col min="2729" max="2729" width="31.21875" bestFit="1" customWidth="1"/>
    <col min="2730" max="2730" width="31.5546875" bestFit="1" customWidth="1"/>
    <col min="2731" max="2731" width="37.6640625" bestFit="1" customWidth="1"/>
    <col min="2732" max="2732" width="22.77734375" bestFit="1" customWidth="1"/>
    <col min="2733" max="2733" width="28.88671875" bestFit="1" customWidth="1"/>
    <col min="2734" max="2734" width="25.44140625" bestFit="1" customWidth="1"/>
    <col min="2735" max="2735" width="31.6640625" bestFit="1" customWidth="1"/>
    <col min="2736" max="2736" width="30.33203125" bestFit="1" customWidth="1"/>
    <col min="2737" max="2737" width="36.5546875" bestFit="1" customWidth="1"/>
    <col min="2738" max="2738" width="25.109375" bestFit="1" customWidth="1"/>
    <col min="2739" max="2739" width="31.21875" bestFit="1" customWidth="1"/>
    <col min="2740" max="2740" width="31.5546875" bestFit="1" customWidth="1"/>
    <col min="2741" max="2741" width="37.6640625" bestFit="1" customWidth="1"/>
    <col min="2742" max="2742" width="22.77734375" bestFit="1" customWidth="1"/>
    <col min="2743" max="2743" width="28.88671875" bestFit="1" customWidth="1"/>
    <col min="2744" max="2744" width="25.44140625" bestFit="1" customWidth="1"/>
    <col min="2745" max="2745" width="31.6640625" bestFit="1" customWidth="1"/>
    <col min="2746" max="2746" width="30.33203125" bestFit="1" customWidth="1"/>
    <col min="2747" max="2747" width="36.5546875" bestFit="1" customWidth="1"/>
    <col min="2748" max="2748" width="25.109375" bestFit="1" customWidth="1"/>
    <col min="2749" max="2749" width="31.21875" bestFit="1" customWidth="1"/>
    <col min="2750" max="2750" width="31.5546875" bestFit="1" customWidth="1"/>
    <col min="2751" max="2751" width="37.6640625" bestFit="1" customWidth="1"/>
    <col min="2752" max="2752" width="22.77734375" bestFit="1" customWidth="1"/>
    <col min="2753" max="2753" width="28.88671875" bestFit="1" customWidth="1"/>
    <col min="2754" max="2754" width="25.44140625" bestFit="1" customWidth="1"/>
    <col min="2755" max="2755" width="31.6640625" bestFit="1" customWidth="1"/>
    <col min="2756" max="2756" width="30.33203125" bestFit="1" customWidth="1"/>
    <col min="2757" max="2757" width="36.5546875" bestFit="1" customWidth="1"/>
    <col min="2758" max="2758" width="25.109375" bestFit="1" customWidth="1"/>
    <col min="2759" max="2759" width="31.21875" bestFit="1" customWidth="1"/>
    <col min="2760" max="2760" width="31.5546875" bestFit="1" customWidth="1"/>
    <col min="2761" max="2761" width="37.6640625" bestFit="1" customWidth="1"/>
    <col min="2762" max="2762" width="22.77734375" bestFit="1" customWidth="1"/>
    <col min="2763" max="2763" width="28.88671875" bestFit="1" customWidth="1"/>
    <col min="2764" max="2764" width="25.44140625" bestFit="1" customWidth="1"/>
    <col min="2765" max="2765" width="31.6640625" bestFit="1" customWidth="1"/>
    <col min="2766" max="2766" width="30.33203125" bestFit="1" customWidth="1"/>
    <col min="2767" max="2767" width="36.5546875" bestFit="1" customWidth="1"/>
    <col min="2768" max="2768" width="25.109375" bestFit="1" customWidth="1"/>
    <col min="2769" max="2769" width="31.21875" bestFit="1" customWidth="1"/>
    <col min="2770" max="2770" width="31.5546875" bestFit="1" customWidth="1"/>
    <col min="2771" max="2771" width="37.6640625" bestFit="1" customWidth="1"/>
    <col min="2772" max="2772" width="22.77734375" bestFit="1" customWidth="1"/>
    <col min="2773" max="2773" width="28.88671875" bestFit="1" customWidth="1"/>
    <col min="2774" max="2774" width="25.44140625" bestFit="1" customWidth="1"/>
    <col min="2775" max="2775" width="31.6640625" bestFit="1" customWidth="1"/>
    <col min="2776" max="2776" width="30.33203125" bestFit="1" customWidth="1"/>
    <col min="2777" max="2777" width="36.5546875" bestFit="1" customWidth="1"/>
    <col min="2778" max="2778" width="25.109375" bestFit="1" customWidth="1"/>
    <col min="2779" max="2779" width="31.21875" bestFit="1" customWidth="1"/>
    <col min="2780" max="2780" width="31.5546875" bestFit="1" customWidth="1"/>
    <col min="2781" max="2781" width="37.6640625" bestFit="1" customWidth="1"/>
    <col min="2782" max="2782" width="22.77734375" bestFit="1" customWidth="1"/>
    <col min="2783" max="2783" width="28.88671875" bestFit="1" customWidth="1"/>
    <col min="2784" max="2784" width="25.44140625" bestFit="1" customWidth="1"/>
    <col min="2785" max="2785" width="31.6640625" bestFit="1" customWidth="1"/>
    <col min="2786" max="2786" width="30.33203125" bestFit="1" customWidth="1"/>
    <col min="2787" max="2787" width="36.5546875" bestFit="1" customWidth="1"/>
    <col min="2788" max="2788" width="25.109375" bestFit="1" customWidth="1"/>
    <col min="2789" max="2789" width="31.21875" bestFit="1" customWidth="1"/>
    <col min="2790" max="2790" width="31.5546875" bestFit="1" customWidth="1"/>
    <col min="2791" max="2791" width="37.6640625" bestFit="1" customWidth="1"/>
    <col min="2792" max="2792" width="22.77734375" bestFit="1" customWidth="1"/>
    <col min="2793" max="2793" width="28.88671875" bestFit="1" customWidth="1"/>
    <col min="2794" max="2794" width="25.44140625" bestFit="1" customWidth="1"/>
    <col min="2795" max="2795" width="31.6640625" bestFit="1" customWidth="1"/>
    <col min="2796" max="2796" width="30.33203125" bestFit="1" customWidth="1"/>
    <col min="2797" max="2797" width="36.5546875" bestFit="1" customWidth="1"/>
    <col min="2798" max="2798" width="25.109375" bestFit="1" customWidth="1"/>
    <col min="2799" max="2799" width="31.21875" bestFit="1" customWidth="1"/>
    <col min="2800" max="2800" width="31.5546875" bestFit="1" customWidth="1"/>
    <col min="2801" max="2801" width="37.6640625" bestFit="1" customWidth="1"/>
    <col min="2802" max="2802" width="22.77734375" bestFit="1" customWidth="1"/>
    <col min="2803" max="2803" width="28.88671875" bestFit="1" customWidth="1"/>
    <col min="2804" max="2804" width="25.44140625" bestFit="1" customWidth="1"/>
    <col min="2805" max="2805" width="31.6640625" bestFit="1" customWidth="1"/>
    <col min="2806" max="2806" width="30.33203125" bestFit="1" customWidth="1"/>
    <col min="2807" max="2807" width="36.5546875" bestFit="1" customWidth="1"/>
    <col min="2808" max="2808" width="25.109375" bestFit="1" customWidth="1"/>
    <col min="2809" max="2809" width="31.21875" bestFit="1" customWidth="1"/>
    <col min="2810" max="2810" width="31.5546875" bestFit="1" customWidth="1"/>
    <col min="2811" max="2811" width="37.6640625" bestFit="1" customWidth="1"/>
    <col min="2812" max="2812" width="22.77734375" bestFit="1" customWidth="1"/>
    <col min="2813" max="2813" width="28.88671875" bestFit="1" customWidth="1"/>
    <col min="2814" max="2814" width="25.44140625" bestFit="1" customWidth="1"/>
    <col min="2815" max="2815" width="31.6640625" bestFit="1" customWidth="1"/>
    <col min="2816" max="2816" width="30.33203125" bestFit="1" customWidth="1"/>
    <col min="2817" max="2817" width="36.5546875" bestFit="1" customWidth="1"/>
    <col min="2818" max="2818" width="25.109375" bestFit="1" customWidth="1"/>
    <col min="2819" max="2819" width="31.21875" bestFit="1" customWidth="1"/>
    <col min="2820" max="2820" width="31.5546875" bestFit="1" customWidth="1"/>
    <col min="2821" max="2821" width="37.6640625" bestFit="1" customWidth="1"/>
    <col min="2822" max="2822" width="22.77734375" bestFit="1" customWidth="1"/>
    <col min="2823" max="2823" width="28.88671875" bestFit="1" customWidth="1"/>
    <col min="2824" max="2824" width="25.44140625" bestFit="1" customWidth="1"/>
    <col min="2825" max="2825" width="31.6640625" bestFit="1" customWidth="1"/>
    <col min="2826" max="2826" width="30.33203125" bestFit="1" customWidth="1"/>
    <col min="2827" max="2827" width="36.5546875" bestFit="1" customWidth="1"/>
    <col min="2828" max="2828" width="25.109375" bestFit="1" customWidth="1"/>
    <col min="2829" max="2829" width="31.21875" bestFit="1" customWidth="1"/>
    <col min="2830" max="2830" width="31.5546875" bestFit="1" customWidth="1"/>
    <col min="2831" max="2831" width="37.6640625" bestFit="1" customWidth="1"/>
    <col min="2832" max="2832" width="22.77734375" bestFit="1" customWidth="1"/>
    <col min="2833" max="2833" width="28.88671875" bestFit="1" customWidth="1"/>
    <col min="2834" max="2834" width="25.44140625" bestFit="1" customWidth="1"/>
    <col min="2835" max="2835" width="31.6640625" bestFit="1" customWidth="1"/>
    <col min="2836" max="2836" width="30.33203125" bestFit="1" customWidth="1"/>
    <col min="2837" max="2837" width="36.5546875" bestFit="1" customWidth="1"/>
    <col min="2838" max="2838" width="25.109375" bestFit="1" customWidth="1"/>
    <col min="2839" max="2839" width="31.21875" bestFit="1" customWidth="1"/>
    <col min="2840" max="2840" width="31.5546875" bestFit="1" customWidth="1"/>
    <col min="2841" max="2841" width="37.6640625" bestFit="1" customWidth="1"/>
    <col min="2842" max="2842" width="22.77734375" bestFit="1" customWidth="1"/>
    <col min="2843" max="2843" width="28.88671875" bestFit="1" customWidth="1"/>
    <col min="2844" max="2844" width="25.44140625" bestFit="1" customWidth="1"/>
    <col min="2845" max="2845" width="31.6640625" bestFit="1" customWidth="1"/>
    <col min="2846" max="2846" width="30.33203125" bestFit="1" customWidth="1"/>
    <col min="2847" max="2847" width="36.5546875" bestFit="1" customWidth="1"/>
    <col min="2848" max="2848" width="25.109375" bestFit="1" customWidth="1"/>
    <col min="2849" max="2849" width="31.21875" bestFit="1" customWidth="1"/>
    <col min="2850" max="2850" width="31.5546875" bestFit="1" customWidth="1"/>
    <col min="2851" max="2851" width="37.6640625" bestFit="1" customWidth="1"/>
    <col min="2852" max="2852" width="22.77734375" bestFit="1" customWidth="1"/>
    <col min="2853" max="2853" width="28.88671875" bestFit="1" customWidth="1"/>
    <col min="2854" max="2854" width="25.44140625" bestFit="1" customWidth="1"/>
    <col min="2855" max="2855" width="31.6640625" bestFit="1" customWidth="1"/>
    <col min="2856" max="2856" width="30.33203125" bestFit="1" customWidth="1"/>
    <col min="2857" max="2857" width="36.5546875" bestFit="1" customWidth="1"/>
    <col min="2858" max="2858" width="25.109375" bestFit="1" customWidth="1"/>
    <col min="2859" max="2859" width="31.21875" bestFit="1" customWidth="1"/>
    <col min="2860" max="2860" width="31.5546875" bestFit="1" customWidth="1"/>
    <col min="2861" max="2861" width="37.6640625" bestFit="1" customWidth="1"/>
    <col min="2862" max="2862" width="22.77734375" bestFit="1" customWidth="1"/>
    <col min="2863" max="2863" width="28.88671875" bestFit="1" customWidth="1"/>
    <col min="2864" max="2864" width="25.44140625" bestFit="1" customWidth="1"/>
    <col min="2865" max="2865" width="31.6640625" bestFit="1" customWidth="1"/>
    <col min="2866" max="2866" width="30.33203125" bestFit="1" customWidth="1"/>
    <col min="2867" max="2867" width="36.5546875" bestFit="1" customWidth="1"/>
    <col min="2868" max="2868" width="25.109375" bestFit="1" customWidth="1"/>
    <col min="2869" max="2869" width="31.21875" bestFit="1" customWidth="1"/>
    <col min="2870" max="2870" width="31.5546875" bestFit="1" customWidth="1"/>
    <col min="2871" max="2871" width="37.6640625" bestFit="1" customWidth="1"/>
    <col min="2872" max="2872" width="22.77734375" bestFit="1" customWidth="1"/>
    <col min="2873" max="2873" width="28.88671875" bestFit="1" customWidth="1"/>
    <col min="2874" max="2874" width="25.44140625" bestFit="1" customWidth="1"/>
    <col min="2875" max="2875" width="31.6640625" bestFit="1" customWidth="1"/>
    <col min="2876" max="2876" width="30.33203125" bestFit="1" customWidth="1"/>
    <col min="2877" max="2877" width="36.5546875" bestFit="1" customWidth="1"/>
    <col min="2878" max="2878" width="25.109375" bestFit="1" customWidth="1"/>
    <col min="2879" max="2879" width="31.21875" bestFit="1" customWidth="1"/>
    <col min="2880" max="2880" width="31.5546875" bestFit="1" customWidth="1"/>
    <col min="2881" max="2881" width="37.6640625" bestFit="1" customWidth="1"/>
    <col min="2882" max="2882" width="22.77734375" bestFit="1" customWidth="1"/>
    <col min="2883" max="2883" width="28.88671875" bestFit="1" customWidth="1"/>
    <col min="2884" max="2884" width="25.44140625" bestFit="1" customWidth="1"/>
    <col min="2885" max="2885" width="31.6640625" bestFit="1" customWidth="1"/>
    <col min="2886" max="2886" width="30.33203125" bestFit="1" customWidth="1"/>
    <col min="2887" max="2887" width="36.5546875" bestFit="1" customWidth="1"/>
    <col min="2888" max="2888" width="25.109375" bestFit="1" customWidth="1"/>
    <col min="2889" max="2889" width="31.21875" bestFit="1" customWidth="1"/>
    <col min="2890" max="2890" width="31.5546875" bestFit="1" customWidth="1"/>
    <col min="2891" max="2891" width="37.6640625" bestFit="1" customWidth="1"/>
    <col min="2892" max="2892" width="22.77734375" bestFit="1" customWidth="1"/>
    <col min="2893" max="2893" width="28.88671875" bestFit="1" customWidth="1"/>
    <col min="2894" max="2894" width="25.44140625" bestFit="1" customWidth="1"/>
    <col min="2895" max="2895" width="31.6640625" bestFit="1" customWidth="1"/>
    <col min="2896" max="2896" width="30.33203125" bestFit="1" customWidth="1"/>
    <col min="2897" max="2897" width="36.5546875" bestFit="1" customWidth="1"/>
    <col min="2898" max="2898" width="25.109375" bestFit="1" customWidth="1"/>
    <col min="2899" max="2899" width="31.21875" bestFit="1" customWidth="1"/>
    <col min="2900" max="2900" width="31.5546875" bestFit="1" customWidth="1"/>
    <col min="2901" max="2901" width="37.6640625" bestFit="1" customWidth="1"/>
    <col min="2902" max="2902" width="22.77734375" bestFit="1" customWidth="1"/>
    <col min="2903" max="2903" width="28.88671875" bestFit="1" customWidth="1"/>
    <col min="2904" max="2904" width="25.44140625" bestFit="1" customWidth="1"/>
    <col min="2905" max="2905" width="31.6640625" bestFit="1" customWidth="1"/>
    <col min="2906" max="2906" width="30.33203125" bestFit="1" customWidth="1"/>
    <col min="2907" max="2907" width="36.5546875" bestFit="1" customWidth="1"/>
    <col min="2908" max="2908" width="25.109375" bestFit="1" customWidth="1"/>
    <col min="2909" max="2909" width="31.21875" bestFit="1" customWidth="1"/>
    <col min="2910" max="2910" width="31.5546875" bestFit="1" customWidth="1"/>
    <col min="2911" max="2911" width="37.6640625" bestFit="1" customWidth="1"/>
    <col min="2912" max="2912" width="22.77734375" bestFit="1" customWidth="1"/>
    <col min="2913" max="2913" width="28.88671875" bestFit="1" customWidth="1"/>
    <col min="2914" max="2914" width="25.44140625" bestFit="1" customWidth="1"/>
    <col min="2915" max="2915" width="31.6640625" bestFit="1" customWidth="1"/>
    <col min="2916" max="2916" width="30.33203125" bestFit="1" customWidth="1"/>
    <col min="2917" max="2917" width="36.5546875" bestFit="1" customWidth="1"/>
    <col min="2918" max="2918" width="25.109375" bestFit="1" customWidth="1"/>
    <col min="2919" max="2919" width="31.21875" bestFit="1" customWidth="1"/>
    <col min="2920" max="2920" width="31.5546875" bestFit="1" customWidth="1"/>
    <col min="2921" max="2921" width="37.6640625" bestFit="1" customWidth="1"/>
    <col min="2922" max="2922" width="22.77734375" bestFit="1" customWidth="1"/>
    <col min="2923" max="2923" width="28.88671875" bestFit="1" customWidth="1"/>
    <col min="2924" max="2924" width="25.44140625" bestFit="1" customWidth="1"/>
    <col min="2925" max="2925" width="31.6640625" bestFit="1" customWidth="1"/>
    <col min="2926" max="2926" width="30.33203125" bestFit="1" customWidth="1"/>
    <col min="2927" max="2927" width="36.5546875" bestFit="1" customWidth="1"/>
    <col min="2928" max="2928" width="25.109375" bestFit="1" customWidth="1"/>
    <col min="2929" max="2929" width="31.21875" bestFit="1" customWidth="1"/>
    <col min="2930" max="2930" width="31.5546875" bestFit="1" customWidth="1"/>
    <col min="2931" max="2931" width="37.6640625" bestFit="1" customWidth="1"/>
    <col min="2932" max="2932" width="22.77734375" bestFit="1" customWidth="1"/>
    <col min="2933" max="2933" width="28.88671875" bestFit="1" customWidth="1"/>
    <col min="2934" max="2934" width="25.44140625" bestFit="1" customWidth="1"/>
    <col min="2935" max="2935" width="31.6640625" bestFit="1" customWidth="1"/>
    <col min="2936" max="2936" width="30.33203125" bestFit="1" customWidth="1"/>
    <col min="2937" max="2937" width="36.5546875" bestFit="1" customWidth="1"/>
    <col min="2938" max="2938" width="25.109375" bestFit="1" customWidth="1"/>
    <col min="2939" max="2939" width="31.21875" bestFit="1" customWidth="1"/>
    <col min="2940" max="2940" width="31.5546875" bestFit="1" customWidth="1"/>
    <col min="2941" max="2941" width="37.6640625" bestFit="1" customWidth="1"/>
    <col min="2942" max="2942" width="22.77734375" bestFit="1" customWidth="1"/>
    <col min="2943" max="2943" width="28.88671875" bestFit="1" customWidth="1"/>
    <col min="2944" max="2944" width="25.44140625" bestFit="1" customWidth="1"/>
    <col min="2945" max="2945" width="31.6640625" bestFit="1" customWidth="1"/>
    <col min="2946" max="2946" width="30.33203125" bestFit="1" customWidth="1"/>
    <col min="2947" max="2947" width="36.5546875" bestFit="1" customWidth="1"/>
    <col min="2948" max="2948" width="25.109375" bestFit="1" customWidth="1"/>
    <col min="2949" max="2949" width="31.21875" bestFit="1" customWidth="1"/>
    <col min="2950" max="2950" width="31.5546875" bestFit="1" customWidth="1"/>
    <col min="2951" max="2951" width="37.6640625" bestFit="1" customWidth="1"/>
    <col min="2952" max="2952" width="22.77734375" bestFit="1" customWidth="1"/>
    <col min="2953" max="2953" width="28.88671875" bestFit="1" customWidth="1"/>
    <col min="2954" max="2954" width="25.44140625" bestFit="1" customWidth="1"/>
    <col min="2955" max="2955" width="31.6640625" bestFit="1" customWidth="1"/>
    <col min="2956" max="2956" width="30.33203125" bestFit="1" customWidth="1"/>
    <col min="2957" max="2957" width="36.5546875" bestFit="1" customWidth="1"/>
    <col min="2958" max="2958" width="25.109375" bestFit="1" customWidth="1"/>
    <col min="2959" max="2959" width="31.21875" bestFit="1" customWidth="1"/>
    <col min="2960" max="2960" width="31.5546875" bestFit="1" customWidth="1"/>
    <col min="2961" max="2961" width="37.6640625" bestFit="1" customWidth="1"/>
    <col min="2962" max="2962" width="22.77734375" bestFit="1" customWidth="1"/>
    <col min="2963" max="2963" width="28.88671875" bestFit="1" customWidth="1"/>
    <col min="2964" max="2964" width="25.44140625" bestFit="1" customWidth="1"/>
    <col min="2965" max="2965" width="31.6640625" bestFit="1" customWidth="1"/>
    <col min="2966" max="2966" width="30.33203125" bestFit="1" customWidth="1"/>
    <col min="2967" max="2967" width="36.5546875" bestFit="1" customWidth="1"/>
    <col min="2968" max="2968" width="25.109375" bestFit="1" customWidth="1"/>
    <col min="2969" max="2969" width="31.21875" bestFit="1" customWidth="1"/>
    <col min="2970" max="2970" width="31.5546875" bestFit="1" customWidth="1"/>
    <col min="2971" max="2971" width="37.6640625" bestFit="1" customWidth="1"/>
    <col min="2972" max="2972" width="22.77734375" bestFit="1" customWidth="1"/>
    <col min="2973" max="2973" width="28.88671875" bestFit="1" customWidth="1"/>
    <col min="2974" max="2974" width="25.44140625" bestFit="1" customWidth="1"/>
    <col min="2975" max="2975" width="31.6640625" bestFit="1" customWidth="1"/>
    <col min="2976" max="2976" width="30.33203125" bestFit="1" customWidth="1"/>
    <col min="2977" max="2977" width="36.5546875" bestFit="1" customWidth="1"/>
    <col min="2978" max="2978" width="25.109375" bestFit="1" customWidth="1"/>
    <col min="2979" max="2979" width="31.21875" bestFit="1" customWidth="1"/>
    <col min="2980" max="2980" width="31.5546875" bestFit="1" customWidth="1"/>
    <col min="2981" max="2981" width="37.6640625" bestFit="1" customWidth="1"/>
    <col min="2982" max="2982" width="22.77734375" bestFit="1" customWidth="1"/>
    <col min="2983" max="2983" width="28.88671875" bestFit="1" customWidth="1"/>
    <col min="2984" max="2984" width="25.44140625" bestFit="1" customWidth="1"/>
    <col min="2985" max="2985" width="31.6640625" bestFit="1" customWidth="1"/>
    <col min="2986" max="2986" width="30.33203125" bestFit="1" customWidth="1"/>
    <col min="2987" max="2987" width="36.5546875" bestFit="1" customWidth="1"/>
    <col min="2988" max="2988" width="25.109375" bestFit="1" customWidth="1"/>
    <col min="2989" max="2989" width="31.21875" bestFit="1" customWidth="1"/>
    <col min="2990" max="2990" width="31.5546875" bestFit="1" customWidth="1"/>
    <col min="2991" max="2991" width="37.6640625" bestFit="1" customWidth="1"/>
    <col min="2992" max="2992" width="22.77734375" bestFit="1" customWidth="1"/>
    <col min="2993" max="2993" width="28.88671875" bestFit="1" customWidth="1"/>
    <col min="2994" max="2994" width="25.44140625" bestFit="1" customWidth="1"/>
    <col min="2995" max="2995" width="31.6640625" bestFit="1" customWidth="1"/>
    <col min="2996" max="2996" width="30.33203125" bestFit="1" customWidth="1"/>
    <col min="2997" max="2997" width="36.5546875" bestFit="1" customWidth="1"/>
    <col min="2998" max="2998" width="25.109375" bestFit="1" customWidth="1"/>
    <col min="2999" max="2999" width="31.21875" bestFit="1" customWidth="1"/>
    <col min="3000" max="3000" width="31.5546875" bestFit="1" customWidth="1"/>
    <col min="3001" max="3001" width="37.6640625" bestFit="1" customWidth="1"/>
    <col min="3002" max="3002" width="22.77734375" bestFit="1" customWidth="1"/>
    <col min="3003" max="3003" width="28.88671875" bestFit="1" customWidth="1"/>
    <col min="3004" max="3004" width="25.44140625" bestFit="1" customWidth="1"/>
    <col min="3005" max="3005" width="31.6640625" bestFit="1" customWidth="1"/>
    <col min="3006" max="3006" width="30.33203125" bestFit="1" customWidth="1"/>
    <col min="3007" max="3007" width="36.5546875" bestFit="1" customWidth="1"/>
    <col min="3008" max="3008" width="25.109375" bestFit="1" customWidth="1"/>
    <col min="3009" max="3009" width="31.21875" bestFit="1" customWidth="1"/>
    <col min="3010" max="3010" width="31.5546875" bestFit="1" customWidth="1"/>
    <col min="3011" max="3011" width="37.6640625" bestFit="1" customWidth="1"/>
    <col min="3012" max="3012" width="22.77734375" bestFit="1" customWidth="1"/>
    <col min="3013" max="3013" width="28.88671875" bestFit="1" customWidth="1"/>
    <col min="3014" max="3014" width="25.44140625" bestFit="1" customWidth="1"/>
    <col min="3015" max="3015" width="31.6640625" bestFit="1" customWidth="1"/>
    <col min="3016" max="3016" width="30.33203125" bestFit="1" customWidth="1"/>
    <col min="3017" max="3017" width="36.5546875" bestFit="1" customWidth="1"/>
    <col min="3018" max="3018" width="25.109375" bestFit="1" customWidth="1"/>
    <col min="3019" max="3019" width="31.21875" bestFit="1" customWidth="1"/>
    <col min="3020" max="3020" width="31.5546875" bestFit="1" customWidth="1"/>
    <col min="3021" max="3021" width="37.6640625" bestFit="1" customWidth="1"/>
    <col min="3022" max="3022" width="22.77734375" bestFit="1" customWidth="1"/>
    <col min="3023" max="3023" width="28.88671875" bestFit="1" customWidth="1"/>
    <col min="3024" max="3024" width="25.44140625" bestFit="1" customWidth="1"/>
    <col min="3025" max="3025" width="31.6640625" bestFit="1" customWidth="1"/>
    <col min="3026" max="3026" width="30.33203125" bestFit="1" customWidth="1"/>
    <col min="3027" max="3027" width="36.5546875" bestFit="1" customWidth="1"/>
    <col min="3028" max="3028" width="25.109375" bestFit="1" customWidth="1"/>
    <col min="3029" max="3029" width="31.21875" bestFit="1" customWidth="1"/>
    <col min="3030" max="3030" width="31.5546875" bestFit="1" customWidth="1"/>
    <col min="3031" max="3031" width="37.6640625" bestFit="1" customWidth="1"/>
    <col min="3032" max="3032" width="22.77734375" bestFit="1" customWidth="1"/>
    <col min="3033" max="3033" width="28.88671875" bestFit="1" customWidth="1"/>
    <col min="3034" max="3034" width="25.44140625" bestFit="1" customWidth="1"/>
    <col min="3035" max="3035" width="31.6640625" bestFit="1" customWidth="1"/>
    <col min="3036" max="3036" width="30.33203125" bestFit="1" customWidth="1"/>
    <col min="3037" max="3037" width="36.5546875" bestFit="1" customWidth="1"/>
    <col min="3038" max="3038" width="25.109375" bestFit="1" customWidth="1"/>
    <col min="3039" max="3039" width="31.21875" bestFit="1" customWidth="1"/>
    <col min="3040" max="3040" width="31.5546875" bestFit="1" customWidth="1"/>
    <col min="3041" max="3041" width="37.6640625" bestFit="1" customWidth="1"/>
    <col min="3042" max="3042" width="22.77734375" bestFit="1" customWidth="1"/>
    <col min="3043" max="3043" width="28.88671875" bestFit="1" customWidth="1"/>
    <col min="3044" max="3044" width="25.44140625" bestFit="1" customWidth="1"/>
    <col min="3045" max="3045" width="31.6640625" bestFit="1" customWidth="1"/>
    <col min="3046" max="3046" width="30.33203125" bestFit="1" customWidth="1"/>
    <col min="3047" max="3047" width="36.5546875" bestFit="1" customWidth="1"/>
    <col min="3048" max="3048" width="25.109375" bestFit="1" customWidth="1"/>
    <col min="3049" max="3049" width="31.21875" bestFit="1" customWidth="1"/>
    <col min="3050" max="3050" width="31.5546875" bestFit="1" customWidth="1"/>
    <col min="3051" max="3051" width="37.6640625" bestFit="1" customWidth="1"/>
    <col min="3052" max="3052" width="22.77734375" bestFit="1" customWidth="1"/>
    <col min="3053" max="3053" width="28.88671875" bestFit="1" customWidth="1"/>
    <col min="3054" max="3054" width="25.44140625" bestFit="1" customWidth="1"/>
    <col min="3055" max="3055" width="31.6640625" bestFit="1" customWidth="1"/>
    <col min="3056" max="3056" width="30.33203125" bestFit="1" customWidth="1"/>
    <col min="3057" max="3057" width="36.5546875" bestFit="1" customWidth="1"/>
    <col min="3058" max="3058" width="25.109375" bestFit="1" customWidth="1"/>
    <col min="3059" max="3059" width="31.21875" bestFit="1" customWidth="1"/>
    <col min="3060" max="3060" width="31.5546875" bestFit="1" customWidth="1"/>
    <col min="3061" max="3061" width="37.6640625" bestFit="1" customWidth="1"/>
    <col min="3062" max="3062" width="22.77734375" bestFit="1" customWidth="1"/>
    <col min="3063" max="3063" width="28.88671875" bestFit="1" customWidth="1"/>
    <col min="3064" max="3064" width="25.44140625" bestFit="1" customWidth="1"/>
    <col min="3065" max="3065" width="31.6640625" bestFit="1" customWidth="1"/>
    <col min="3066" max="3066" width="30.33203125" bestFit="1" customWidth="1"/>
    <col min="3067" max="3067" width="36.5546875" bestFit="1" customWidth="1"/>
    <col min="3068" max="3068" width="25.109375" bestFit="1" customWidth="1"/>
    <col min="3069" max="3069" width="31.21875" bestFit="1" customWidth="1"/>
    <col min="3070" max="3070" width="31.5546875" bestFit="1" customWidth="1"/>
    <col min="3071" max="3071" width="37.6640625" bestFit="1" customWidth="1"/>
    <col min="3072" max="3072" width="22.77734375" bestFit="1" customWidth="1"/>
    <col min="3073" max="3073" width="28.88671875" bestFit="1" customWidth="1"/>
    <col min="3074" max="3074" width="25.44140625" bestFit="1" customWidth="1"/>
    <col min="3075" max="3075" width="31.6640625" bestFit="1" customWidth="1"/>
    <col min="3076" max="3076" width="30.33203125" bestFit="1" customWidth="1"/>
    <col min="3077" max="3077" width="36.5546875" bestFit="1" customWidth="1"/>
    <col min="3078" max="3078" width="25.109375" bestFit="1" customWidth="1"/>
    <col min="3079" max="3079" width="31.21875" bestFit="1" customWidth="1"/>
    <col min="3080" max="3080" width="31.5546875" bestFit="1" customWidth="1"/>
    <col min="3081" max="3081" width="37.6640625" bestFit="1" customWidth="1"/>
    <col min="3082" max="3082" width="22.77734375" bestFit="1" customWidth="1"/>
    <col min="3083" max="3083" width="28.88671875" bestFit="1" customWidth="1"/>
    <col min="3084" max="3084" width="25.44140625" bestFit="1" customWidth="1"/>
    <col min="3085" max="3085" width="31.6640625" bestFit="1" customWidth="1"/>
    <col min="3086" max="3086" width="30.33203125" bestFit="1" customWidth="1"/>
    <col min="3087" max="3087" width="36.5546875" bestFit="1" customWidth="1"/>
    <col min="3088" max="3088" width="25.109375" bestFit="1" customWidth="1"/>
    <col min="3089" max="3089" width="31.21875" bestFit="1" customWidth="1"/>
    <col min="3090" max="3090" width="31.5546875" bestFit="1" customWidth="1"/>
    <col min="3091" max="3091" width="37.6640625" bestFit="1" customWidth="1"/>
    <col min="3092" max="3092" width="22.77734375" bestFit="1" customWidth="1"/>
    <col min="3093" max="3093" width="28.88671875" bestFit="1" customWidth="1"/>
    <col min="3094" max="3094" width="25.44140625" bestFit="1" customWidth="1"/>
    <col min="3095" max="3095" width="31.6640625" bestFit="1" customWidth="1"/>
    <col min="3096" max="3096" width="30.33203125" bestFit="1" customWidth="1"/>
    <col min="3097" max="3097" width="36.5546875" bestFit="1" customWidth="1"/>
    <col min="3098" max="3098" width="25.109375" bestFit="1" customWidth="1"/>
    <col min="3099" max="3099" width="31.21875" bestFit="1" customWidth="1"/>
    <col min="3100" max="3100" width="31.5546875" bestFit="1" customWidth="1"/>
    <col min="3101" max="3101" width="37.6640625" bestFit="1" customWidth="1"/>
    <col min="3102" max="3102" width="22.77734375" bestFit="1" customWidth="1"/>
    <col min="3103" max="3103" width="28.88671875" bestFit="1" customWidth="1"/>
    <col min="3104" max="3104" width="25.44140625" bestFit="1" customWidth="1"/>
    <col min="3105" max="3105" width="31.6640625" bestFit="1" customWidth="1"/>
    <col min="3106" max="3106" width="30.33203125" bestFit="1" customWidth="1"/>
    <col min="3107" max="3107" width="36.5546875" bestFit="1" customWidth="1"/>
    <col min="3108" max="3108" width="25.109375" bestFit="1" customWidth="1"/>
    <col min="3109" max="3109" width="31.21875" bestFit="1" customWidth="1"/>
    <col min="3110" max="3110" width="31.5546875" bestFit="1" customWidth="1"/>
    <col min="3111" max="3111" width="37.6640625" bestFit="1" customWidth="1"/>
    <col min="3112" max="3112" width="22.77734375" bestFit="1" customWidth="1"/>
    <col min="3113" max="3113" width="28.88671875" bestFit="1" customWidth="1"/>
    <col min="3114" max="3114" width="25.44140625" bestFit="1" customWidth="1"/>
    <col min="3115" max="3115" width="31.6640625" bestFit="1" customWidth="1"/>
    <col min="3116" max="3116" width="30.33203125" bestFit="1" customWidth="1"/>
    <col min="3117" max="3117" width="36.5546875" bestFit="1" customWidth="1"/>
    <col min="3118" max="3118" width="25.109375" bestFit="1" customWidth="1"/>
    <col min="3119" max="3119" width="31.21875" bestFit="1" customWidth="1"/>
    <col min="3120" max="3120" width="31.5546875" bestFit="1" customWidth="1"/>
    <col min="3121" max="3121" width="37.6640625" bestFit="1" customWidth="1"/>
    <col min="3122" max="3122" width="22.77734375" bestFit="1" customWidth="1"/>
    <col min="3123" max="3123" width="28.88671875" bestFit="1" customWidth="1"/>
    <col min="3124" max="3124" width="25.44140625" bestFit="1" customWidth="1"/>
    <col min="3125" max="3125" width="31.6640625" bestFit="1" customWidth="1"/>
    <col min="3126" max="3126" width="30.33203125" bestFit="1" customWidth="1"/>
    <col min="3127" max="3127" width="36.5546875" bestFit="1" customWidth="1"/>
    <col min="3128" max="3128" width="25.109375" bestFit="1" customWidth="1"/>
    <col min="3129" max="3129" width="31.21875" bestFit="1" customWidth="1"/>
    <col min="3130" max="3130" width="31.5546875" bestFit="1" customWidth="1"/>
    <col min="3131" max="3131" width="37.6640625" bestFit="1" customWidth="1"/>
    <col min="3132" max="3132" width="22.77734375" bestFit="1" customWidth="1"/>
    <col min="3133" max="3133" width="28.88671875" bestFit="1" customWidth="1"/>
    <col min="3134" max="3134" width="25.44140625" bestFit="1" customWidth="1"/>
    <col min="3135" max="3135" width="31.6640625" bestFit="1" customWidth="1"/>
    <col min="3136" max="3136" width="30.33203125" bestFit="1" customWidth="1"/>
    <col min="3137" max="3137" width="36.5546875" bestFit="1" customWidth="1"/>
    <col min="3138" max="3138" width="25.109375" bestFit="1" customWidth="1"/>
    <col min="3139" max="3139" width="31.21875" bestFit="1" customWidth="1"/>
    <col min="3140" max="3140" width="31.5546875" bestFit="1" customWidth="1"/>
    <col min="3141" max="3141" width="37.6640625" bestFit="1" customWidth="1"/>
    <col min="3142" max="3142" width="22.77734375" bestFit="1" customWidth="1"/>
    <col min="3143" max="3143" width="28.88671875" bestFit="1" customWidth="1"/>
    <col min="3144" max="3144" width="25.44140625" bestFit="1" customWidth="1"/>
    <col min="3145" max="3145" width="31.6640625" bestFit="1" customWidth="1"/>
    <col min="3146" max="3146" width="30.33203125" bestFit="1" customWidth="1"/>
    <col min="3147" max="3147" width="36.5546875" bestFit="1" customWidth="1"/>
    <col min="3148" max="3148" width="25.109375" bestFit="1" customWidth="1"/>
    <col min="3149" max="3149" width="31.21875" bestFit="1" customWidth="1"/>
    <col min="3150" max="3150" width="31.5546875" bestFit="1" customWidth="1"/>
    <col min="3151" max="3151" width="37.6640625" bestFit="1" customWidth="1"/>
    <col min="3152" max="3152" width="22.77734375" bestFit="1" customWidth="1"/>
    <col min="3153" max="3153" width="28.88671875" bestFit="1" customWidth="1"/>
    <col min="3154" max="3154" width="25.44140625" bestFit="1" customWidth="1"/>
    <col min="3155" max="3155" width="31.6640625" bestFit="1" customWidth="1"/>
    <col min="3156" max="3156" width="30.33203125" bestFit="1" customWidth="1"/>
    <col min="3157" max="3157" width="36.5546875" bestFit="1" customWidth="1"/>
    <col min="3158" max="3158" width="25.109375" bestFit="1" customWidth="1"/>
    <col min="3159" max="3159" width="31.21875" bestFit="1" customWidth="1"/>
    <col min="3160" max="3160" width="31.5546875" bestFit="1" customWidth="1"/>
    <col min="3161" max="3161" width="37.6640625" bestFit="1" customWidth="1"/>
    <col min="3162" max="3162" width="22.77734375" bestFit="1" customWidth="1"/>
    <col min="3163" max="3163" width="28.88671875" bestFit="1" customWidth="1"/>
    <col min="3164" max="3164" width="25.44140625" bestFit="1" customWidth="1"/>
    <col min="3165" max="3165" width="31.6640625" bestFit="1" customWidth="1"/>
    <col min="3166" max="3166" width="30.33203125" bestFit="1" customWidth="1"/>
    <col min="3167" max="3167" width="36.5546875" bestFit="1" customWidth="1"/>
    <col min="3168" max="3168" width="25.109375" bestFit="1" customWidth="1"/>
    <col min="3169" max="3169" width="31.21875" bestFit="1" customWidth="1"/>
    <col min="3170" max="3170" width="31.5546875" bestFit="1" customWidth="1"/>
    <col min="3171" max="3171" width="37.6640625" bestFit="1" customWidth="1"/>
    <col min="3172" max="3172" width="22.77734375" bestFit="1" customWidth="1"/>
    <col min="3173" max="3173" width="28.88671875" bestFit="1" customWidth="1"/>
    <col min="3174" max="3174" width="25.44140625" bestFit="1" customWidth="1"/>
    <col min="3175" max="3175" width="31.6640625" bestFit="1" customWidth="1"/>
    <col min="3176" max="3176" width="30.33203125" bestFit="1" customWidth="1"/>
    <col min="3177" max="3177" width="36.5546875" bestFit="1" customWidth="1"/>
    <col min="3178" max="3178" width="25.109375" bestFit="1" customWidth="1"/>
    <col min="3179" max="3179" width="31.21875" bestFit="1" customWidth="1"/>
    <col min="3180" max="3180" width="31.5546875" bestFit="1" customWidth="1"/>
    <col min="3181" max="3181" width="37.6640625" bestFit="1" customWidth="1"/>
    <col min="3182" max="3182" width="22.77734375" bestFit="1" customWidth="1"/>
    <col min="3183" max="3183" width="28.88671875" bestFit="1" customWidth="1"/>
    <col min="3184" max="3184" width="25.44140625" bestFit="1" customWidth="1"/>
    <col min="3185" max="3185" width="31.6640625" bestFit="1" customWidth="1"/>
    <col min="3186" max="3186" width="30.33203125" bestFit="1" customWidth="1"/>
    <col min="3187" max="3187" width="36.5546875" bestFit="1" customWidth="1"/>
    <col min="3188" max="3188" width="25.109375" bestFit="1" customWidth="1"/>
    <col min="3189" max="3189" width="31.21875" bestFit="1" customWidth="1"/>
    <col min="3190" max="3190" width="31.5546875" bestFit="1" customWidth="1"/>
    <col min="3191" max="3191" width="37.6640625" bestFit="1" customWidth="1"/>
    <col min="3192" max="3192" width="22.77734375" bestFit="1" customWidth="1"/>
    <col min="3193" max="3193" width="28.88671875" bestFit="1" customWidth="1"/>
    <col min="3194" max="3194" width="25.44140625" bestFit="1" customWidth="1"/>
    <col min="3195" max="3195" width="31.6640625" bestFit="1" customWidth="1"/>
    <col min="3196" max="3196" width="30.33203125" bestFit="1" customWidth="1"/>
    <col min="3197" max="3197" width="36.5546875" bestFit="1" customWidth="1"/>
    <col min="3198" max="3198" width="25.109375" bestFit="1" customWidth="1"/>
    <col min="3199" max="3199" width="31.21875" bestFit="1" customWidth="1"/>
    <col min="3200" max="3200" width="31.5546875" bestFit="1" customWidth="1"/>
    <col min="3201" max="3201" width="37.6640625" bestFit="1" customWidth="1"/>
    <col min="3202" max="3202" width="22.77734375" bestFit="1" customWidth="1"/>
    <col min="3203" max="3203" width="28.88671875" bestFit="1" customWidth="1"/>
    <col min="3204" max="3204" width="25.44140625" bestFit="1" customWidth="1"/>
    <col min="3205" max="3205" width="31.6640625" bestFit="1" customWidth="1"/>
    <col min="3206" max="3206" width="30.33203125" bestFit="1" customWidth="1"/>
    <col min="3207" max="3207" width="36.5546875" bestFit="1" customWidth="1"/>
    <col min="3208" max="3208" width="25.109375" bestFit="1" customWidth="1"/>
    <col min="3209" max="3209" width="31.21875" bestFit="1" customWidth="1"/>
    <col min="3210" max="3210" width="31.5546875" bestFit="1" customWidth="1"/>
    <col min="3211" max="3211" width="37.6640625" bestFit="1" customWidth="1"/>
    <col min="3212" max="3212" width="22.77734375" bestFit="1" customWidth="1"/>
    <col min="3213" max="3213" width="28.88671875" bestFit="1" customWidth="1"/>
    <col min="3214" max="3214" width="25.44140625" bestFit="1" customWidth="1"/>
    <col min="3215" max="3215" width="31.6640625" bestFit="1" customWidth="1"/>
    <col min="3216" max="3216" width="30.33203125" bestFit="1" customWidth="1"/>
    <col min="3217" max="3217" width="36.5546875" bestFit="1" customWidth="1"/>
    <col min="3218" max="3218" width="25.109375" bestFit="1" customWidth="1"/>
    <col min="3219" max="3219" width="31.21875" bestFit="1" customWidth="1"/>
    <col min="3220" max="3220" width="31.5546875" bestFit="1" customWidth="1"/>
    <col min="3221" max="3221" width="37.6640625" bestFit="1" customWidth="1"/>
    <col min="3222" max="3222" width="22.77734375" bestFit="1" customWidth="1"/>
    <col min="3223" max="3223" width="28.88671875" bestFit="1" customWidth="1"/>
    <col min="3224" max="3224" width="25.44140625" bestFit="1" customWidth="1"/>
    <col min="3225" max="3225" width="31.6640625" bestFit="1" customWidth="1"/>
    <col min="3226" max="3226" width="30.33203125" bestFit="1" customWidth="1"/>
    <col min="3227" max="3227" width="36.5546875" bestFit="1" customWidth="1"/>
    <col min="3228" max="3228" width="25.109375" bestFit="1" customWidth="1"/>
    <col min="3229" max="3229" width="31.21875" bestFit="1" customWidth="1"/>
    <col min="3230" max="3230" width="31.5546875" bestFit="1" customWidth="1"/>
    <col min="3231" max="3231" width="37.6640625" bestFit="1" customWidth="1"/>
    <col min="3232" max="3232" width="22.77734375" bestFit="1" customWidth="1"/>
    <col min="3233" max="3233" width="28.88671875" bestFit="1" customWidth="1"/>
    <col min="3234" max="3234" width="25.44140625" bestFit="1" customWidth="1"/>
    <col min="3235" max="3235" width="31.6640625" bestFit="1" customWidth="1"/>
    <col min="3236" max="3236" width="30.33203125" bestFit="1" customWidth="1"/>
    <col min="3237" max="3237" width="36.5546875" bestFit="1" customWidth="1"/>
    <col min="3238" max="3238" width="25.109375" bestFit="1" customWidth="1"/>
    <col min="3239" max="3239" width="31.21875" bestFit="1" customWidth="1"/>
    <col min="3240" max="3240" width="31.5546875" bestFit="1" customWidth="1"/>
    <col min="3241" max="3241" width="37.6640625" bestFit="1" customWidth="1"/>
    <col min="3242" max="3242" width="22.77734375" bestFit="1" customWidth="1"/>
    <col min="3243" max="3243" width="28.88671875" bestFit="1" customWidth="1"/>
    <col min="3244" max="3244" width="25.44140625" bestFit="1" customWidth="1"/>
    <col min="3245" max="3245" width="31.6640625" bestFit="1" customWidth="1"/>
    <col min="3246" max="3246" width="30.33203125" bestFit="1" customWidth="1"/>
    <col min="3247" max="3247" width="36.5546875" bestFit="1" customWidth="1"/>
    <col min="3248" max="3248" width="25.109375" bestFit="1" customWidth="1"/>
    <col min="3249" max="3249" width="31.21875" bestFit="1" customWidth="1"/>
    <col min="3250" max="3250" width="31.5546875" bestFit="1" customWidth="1"/>
    <col min="3251" max="3251" width="37.6640625" bestFit="1" customWidth="1"/>
    <col min="3252" max="3252" width="22.77734375" bestFit="1" customWidth="1"/>
    <col min="3253" max="3253" width="28.88671875" bestFit="1" customWidth="1"/>
    <col min="3254" max="3254" width="25.44140625" bestFit="1" customWidth="1"/>
    <col min="3255" max="3255" width="31.6640625" bestFit="1" customWidth="1"/>
    <col min="3256" max="3256" width="30.33203125" bestFit="1" customWidth="1"/>
    <col min="3257" max="3257" width="36.5546875" bestFit="1" customWidth="1"/>
    <col min="3258" max="3258" width="25.109375" bestFit="1" customWidth="1"/>
    <col min="3259" max="3259" width="31.21875" bestFit="1" customWidth="1"/>
    <col min="3260" max="3260" width="31.5546875" bestFit="1" customWidth="1"/>
    <col min="3261" max="3261" width="37.6640625" bestFit="1" customWidth="1"/>
    <col min="3262" max="3262" width="22.77734375" bestFit="1" customWidth="1"/>
    <col min="3263" max="3263" width="28.88671875" bestFit="1" customWidth="1"/>
    <col min="3264" max="3264" width="25.44140625" bestFit="1" customWidth="1"/>
    <col min="3265" max="3265" width="31.6640625" bestFit="1" customWidth="1"/>
    <col min="3266" max="3266" width="30.33203125" bestFit="1" customWidth="1"/>
    <col min="3267" max="3267" width="36.5546875" bestFit="1" customWidth="1"/>
    <col min="3268" max="3268" width="25.109375" bestFit="1" customWidth="1"/>
    <col min="3269" max="3269" width="31.21875" bestFit="1" customWidth="1"/>
    <col min="3270" max="3270" width="31.5546875" bestFit="1" customWidth="1"/>
    <col min="3271" max="3271" width="37.6640625" bestFit="1" customWidth="1"/>
    <col min="3272" max="3272" width="22.77734375" bestFit="1" customWidth="1"/>
    <col min="3273" max="3273" width="28.88671875" bestFit="1" customWidth="1"/>
    <col min="3274" max="3274" width="25.44140625" bestFit="1" customWidth="1"/>
    <col min="3275" max="3275" width="31.6640625" bestFit="1" customWidth="1"/>
    <col min="3276" max="3276" width="30.33203125" bestFit="1" customWidth="1"/>
    <col min="3277" max="3277" width="36.5546875" bestFit="1" customWidth="1"/>
    <col min="3278" max="3278" width="25.109375" bestFit="1" customWidth="1"/>
    <col min="3279" max="3279" width="31.21875" bestFit="1" customWidth="1"/>
    <col min="3280" max="3280" width="31.5546875" bestFit="1" customWidth="1"/>
    <col min="3281" max="3281" width="37.6640625" bestFit="1" customWidth="1"/>
    <col min="3282" max="3282" width="22.77734375" bestFit="1" customWidth="1"/>
    <col min="3283" max="3283" width="28.88671875" bestFit="1" customWidth="1"/>
    <col min="3284" max="3284" width="25.44140625" bestFit="1" customWidth="1"/>
    <col min="3285" max="3285" width="31.6640625" bestFit="1" customWidth="1"/>
    <col min="3286" max="3286" width="30.33203125" bestFit="1" customWidth="1"/>
    <col min="3287" max="3287" width="36.5546875" bestFit="1" customWidth="1"/>
    <col min="3288" max="3288" width="25.109375" bestFit="1" customWidth="1"/>
    <col min="3289" max="3289" width="31.21875" bestFit="1" customWidth="1"/>
    <col min="3290" max="3290" width="31.5546875" bestFit="1" customWidth="1"/>
    <col min="3291" max="3291" width="37.6640625" bestFit="1" customWidth="1"/>
    <col min="3292" max="3292" width="22.77734375" bestFit="1" customWidth="1"/>
    <col min="3293" max="3293" width="28.88671875" bestFit="1" customWidth="1"/>
    <col min="3294" max="3294" width="25.44140625" bestFit="1" customWidth="1"/>
    <col min="3295" max="3295" width="31.6640625" bestFit="1" customWidth="1"/>
    <col min="3296" max="3296" width="30.33203125" bestFit="1" customWidth="1"/>
    <col min="3297" max="3297" width="36.5546875" bestFit="1" customWidth="1"/>
    <col min="3298" max="3298" width="25.109375" bestFit="1" customWidth="1"/>
    <col min="3299" max="3299" width="31.21875" bestFit="1" customWidth="1"/>
    <col min="3300" max="3300" width="31.5546875" bestFit="1" customWidth="1"/>
    <col min="3301" max="3301" width="37.6640625" bestFit="1" customWidth="1"/>
    <col min="3302" max="3302" width="22.77734375" bestFit="1" customWidth="1"/>
    <col min="3303" max="3303" width="28.88671875" bestFit="1" customWidth="1"/>
    <col min="3304" max="3304" width="25.44140625" bestFit="1" customWidth="1"/>
    <col min="3305" max="3305" width="31.6640625" bestFit="1" customWidth="1"/>
    <col min="3306" max="3306" width="30.33203125" bestFit="1" customWidth="1"/>
    <col min="3307" max="3307" width="36.5546875" bestFit="1" customWidth="1"/>
    <col min="3308" max="3308" width="25.109375" bestFit="1" customWidth="1"/>
    <col min="3309" max="3309" width="31.21875" bestFit="1" customWidth="1"/>
    <col min="3310" max="3310" width="31.5546875" bestFit="1" customWidth="1"/>
    <col min="3311" max="3311" width="37.6640625" bestFit="1" customWidth="1"/>
    <col min="3312" max="3312" width="22.77734375" bestFit="1" customWidth="1"/>
    <col min="3313" max="3313" width="28.88671875" bestFit="1" customWidth="1"/>
    <col min="3314" max="3314" width="25.44140625" bestFit="1" customWidth="1"/>
    <col min="3315" max="3315" width="31.6640625" bestFit="1" customWidth="1"/>
    <col min="3316" max="3316" width="30.33203125" bestFit="1" customWidth="1"/>
    <col min="3317" max="3317" width="36.5546875" bestFit="1" customWidth="1"/>
    <col min="3318" max="3318" width="25.109375" bestFit="1" customWidth="1"/>
    <col min="3319" max="3319" width="31.21875" bestFit="1" customWidth="1"/>
    <col min="3320" max="3320" width="31.5546875" bestFit="1" customWidth="1"/>
    <col min="3321" max="3321" width="37.6640625" bestFit="1" customWidth="1"/>
    <col min="3322" max="3322" width="22.77734375" bestFit="1" customWidth="1"/>
    <col min="3323" max="3323" width="28.88671875" bestFit="1" customWidth="1"/>
    <col min="3324" max="3324" width="25.44140625" bestFit="1" customWidth="1"/>
    <col min="3325" max="3325" width="31.6640625" bestFit="1" customWidth="1"/>
    <col min="3326" max="3326" width="30.33203125" bestFit="1" customWidth="1"/>
    <col min="3327" max="3327" width="36.5546875" bestFit="1" customWidth="1"/>
    <col min="3328" max="3328" width="25.109375" bestFit="1" customWidth="1"/>
    <col min="3329" max="3329" width="31.21875" bestFit="1" customWidth="1"/>
    <col min="3330" max="3330" width="31.5546875" bestFit="1" customWidth="1"/>
    <col min="3331" max="3331" width="37.6640625" bestFit="1" customWidth="1"/>
    <col min="3332" max="3332" width="22.77734375" bestFit="1" customWidth="1"/>
    <col min="3333" max="3333" width="28.88671875" bestFit="1" customWidth="1"/>
    <col min="3334" max="3334" width="25.44140625" bestFit="1" customWidth="1"/>
    <col min="3335" max="3335" width="31.6640625" bestFit="1" customWidth="1"/>
    <col min="3336" max="3336" width="30.33203125" bestFit="1" customWidth="1"/>
    <col min="3337" max="3337" width="36.5546875" bestFit="1" customWidth="1"/>
    <col min="3338" max="3338" width="25.109375" bestFit="1" customWidth="1"/>
    <col min="3339" max="3339" width="31.21875" bestFit="1" customWidth="1"/>
    <col min="3340" max="3340" width="31.5546875" bestFit="1" customWidth="1"/>
    <col min="3341" max="3341" width="37.6640625" bestFit="1" customWidth="1"/>
    <col min="3342" max="3342" width="22.77734375" bestFit="1" customWidth="1"/>
    <col min="3343" max="3343" width="28.88671875" bestFit="1" customWidth="1"/>
    <col min="3344" max="3344" width="25.44140625" bestFit="1" customWidth="1"/>
    <col min="3345" max="3345" width="31.6640625" bestFit="1" customWidth="1"/>
    <col min="3346" max="3346" width="30.33203125" bestFit="1" customWidth="1"/>
    <col min="3347" max="3347" width="36.5546875" bestFit="1" customWidth="1"/>
    <col min="3348" max="3348" width="25.109375" bestFit="1" customWidth="1"/>
    <col min="3349" max="3349" width="31.21875" bestFit="1" customWidth="1"/>
    <col min="3350" max="3350" width="31.5546875" bestFit="1" customWidth="1"/>
    <col min="3351" max="3351" width="37.6640625" bestFit="1" customWidth="1"/>
    <col min="3352" max="3352" width="22.77734375" bestFit="1" customWidth="1"/>
    <col min="3353" max="3353" width="28.88671875" bestFit="1" customWidth="1"/>
    <col min="3354" max="3354" width="25.44140625" bestFit="1" customWidth="1"/>
    <col min="3355" max="3355" width="31.6640625" bestFit="1" customWidth="1"/>
    <col min="3356" max="3356" width="30.33203125" bestFit="1" customWidth="1"/>
    <col min="3357" max="3357" width="36.5546875" bestFit="1" customWidth="1"/>
    <col min="3358" max="3358" width="25.109375" bestFit="1" customWidth="1"/>
    <col min="3359" max="3359" width="31.21875" bestFit="1" customWidth="1"/>
    <col min="3360" max="3360" width="31.5546875" bestFit="1" customWidth="1"/>
    <col min="3361" max="3361" width="37.6640625" bestFit="1" customWidth="1"/>
    <col min="3362" max="3362" width="22.77734375" bestFit="1" customWidth="1"/>
    <col min="3363" max="3363" width="28.88671875" bestFit="1" customWidth="1"/>
    <col min="3364" max="3364" width="25.44140625" bestFit="1" customWidth="1"/>
    <col min="3365" max="3365" width="31.6640625" bestFit="1" customWidth="1"/>
    <col min="3366" max="3366" width="30.33203125" bestFit="1" customWidth="1"/>
    <col min="3367" max="3367" width="36.5546875" bestFit="1" customWidth="1"/>
    <col min="3368" max="3368" width="25.109375" bestFit="1" customWidth="1"/>
    <col min="3369" max="3369" width="31.21875" bestFit="1" customWidth="1"/>
    <col min="3370" max="3370" width="31.5546875" bestFit="1" customWidth="1"/>
    <col min="3371" max="3371" width="37.6640625" bestFit="1" customWidth="1"/>
    <col min="3372" max="3372" width="22.77734375" bestFit="1" customWidth="1"/>
    <col min="3373" max="3373" width="28.88671875" bestFit="1" customWidth="1"/>
    <col min="3374" max="3374" width="25.44140625" bestFit="1" customWidth="1"/>
    <col min="3375" max="3375" width="31.6640625" bestFit="1" customWidth="1"/>
    <col min="3376" max="3376" width="30.33203125" bestFit="1" customWidth="1"/>
    <col min="3377" max="3377" width="36.5546875" bestFit="1" customWidth="1"/>
    <col min="3378" max="3378" width="25.109375" bestFit="1" customWidth="1"/>
    <col min="3379" max="3379" width="31.21875" bestFit="1" customWidth="1"/>
    <col min="3380" max="3380" width="31.5546875" bestFit="1" customWidth="1"/>
    <col min="3381" max="3381" width="37.6640625" bestFit="1" customWidth="1"/>
    <col min="3382" max="3382" width="22.77734375" bestFit="1" customWidth="1"/>
    <col min="3383" max="3383" width="28.88671875" bestFit="1" customWidth="1"/>
    <col min="3384" max="3384" width="25.44140625" bestFit="1" customWidth="1"/>
    <col min="3385" max="3385" width="31.6640625" bestFit="1" customWidth="1"/>
    <col min="3386" max="3386" width="30.33203125" bestFit="1" customWidth="1"/>
    <col min="3387" max="3387" width="36.5546875" bestFit="1" customWidth="1"/>
    <col min="3388" max="3388" width="25.109375" bestFit="1" customWidth="1"/>
    <col min="3389" max="3389" width="31.21875" bestFit="1" customWidth="1"/>
    <col min="3390" max="3390" width="31.5546875" bestFit="1" customWidth="1"/>
    <col min="3391" max="3391" width="37.6640625" bestFit="1" customWidth="1"/>
    <col min="3392" max="3392" width="22.77734375" bestFit="1" customWidth="1"/>
    <col min="3393" max="3393" width="28.88671875" bestFit="1" customWidth="1"/>
    <col min="3394" max="3394" width="25.44140625" bestFit="1" customWidth="1"/>
    <col min="3395" max="3395" width="31.6640625" bestFit="1" customWidth="1"/>
    <col min="3396" max="3396" width="30.33203125" bestFit="1" customWidth="1"/>
    <col min="3397" max="3397" width="36.5546875" bestFit="1" customWidth="1"/>
    <col min="3398" max="3398" width="25.109375" bestFit="1" customWidth="1"/>
    <col min="3399" max="3399" width="31.21875" bestFit="1" customWidth="1"/>
    <col min="3400" max="3400" width="31.5546875" bestFit="1" customWidth="1"/>
    <col min="3401" max="3401" width="37.6640625" bestFit="1" customWidth="1"/>
    <col min="3402" max="3402" width="22.77734375" bestFit="1" customWidth="1"/>
    <col min="3403" max="3403" width="28.88671875" bestFit="1" customWidth="1"/>
    <col min="3404" max="3404" width="25.44140625" bestFit="1" customWidth="1"/>
    <col min="3405" max="3405" width="31.6640625" bestFit="1" customWidth="1"/>
    <col min="3406" max="3406" width="30.33203125" bestFit="1" customWidth="1"/>
    <col min="3407" max="3407" width="36.5546875" bestFit="1" customWidth="1"/>
    <col min="3408" max="3408" width="25.109375" bestFit="1" customWidth="1"/>
    <col min="3409" max="3409" width="31.21875" bestFit="1" customWidth="1"/>
    <col min="3410" max="3410" width="31.5546875" bestFit="1" customWidth="1"/>
    <col min="3411" max="3411" width="37.6640625" bestFit="1" customWidth="1"/>
    <col min="3412" max="3412" width="22.77734375" bestFit="1" customWidth="1"/>
    <col min="3413" max="3413" width="28.88671875" bestFit="1" customWidth="1"/>
    <col min="3414" max="3414" width="25.44140625" bestFit="1" customWidth="1"/>
    <col min="3415" max="3415" width="31.6640625" bestFit="1" customWidth="1"/>
    <col min="3416" max="3416" width="30.33203125" bestFit="1" customWidth="1"/>
    <col min="3417" max="3417" width="36.5546875" bestFit="1" customWidth="1"/>
    <col min="3418" max="3418" width="25.109375" bestFit="1" customWidth="1"/>
    <col min="3419" max="3419" width="31.21875" bestFit="1" customWidth="1"/>
    <col min="3420" max="3420" width="31.5546875" bestFit="1" customWidth="1"/>
    <col min="3421" max="3421" width="37.6640625" bestFit="1" customWidth="1"/>
    <col min="3422" max="3422" width="22.77734375" bestFit="1" customWidth="1"/>
    <col min="3423" max="3423" width="28.88671875" bestFit="1" customWidth="1"/>
    <col min="3424" max="3424" width="25.44140625" bestFit="1" customWidth="1"/>
    <col min="3425" max="3425" width="31.6640625" bestFit="1" customWidth="1"/>
    <col min="3426" max="3426" width="30.33203125" bestFit="1" customWidth="1"/>
    <col min="3427" max="3427" width="36.5546875" bestFit="1" customWidth="1"/>
    <col min="3428" max="3428" width="25.109375" bestFit="1" customWidth="1"/>
    <col min="3429" max="3429" width="31.21875" bestFit="1" customWidth="1"/>
    <col min="3430" max="3430" width="31.5546875" bestFit="1" customWidth="1"/>
    <col min="3431" max="3431" width="37.6640625" bestFit="1" customWidth="1"/>
    <col min="3432" max="3432" width="22.77734375" bestFit="1" customWidth="1"/>
    <col min="3433" max="3433" width="28.88671875" bestFit="1" customWidth="1"/>
    <col min="3434" max="3434" width="25.44140625" bestFit="1" customWidth="1"/>
    <col min="3435" max="3435" width="31.6640625" bestFit="1" customWidth="1"/>
    <col min="3436" max="3436" width="30.33203125" bestFit="1" customWidth="1"/>
    <col min="3437" max="3437" width="36.5546875" bestFit="1" customWidth="1"/>
    <col min="3438" max="3438" width="25.109375" bestFit="1" customWidth="1"/>
    <col min="3439" max="3439" width="31.21875" bestFit="1" customWidth="1"/>
    <col min="3440" max="3440" width="31.5546875" bestFit="1" customWidth="1"/>
    <col min="3441" max="3441" width="37.6640625" bestFit="1" customWidth="1"/>
    <col min="3442" max="3442" width="22.77734375" bestFit="1" customWidth="1"/>
    <col min="3443" max="3443" width="28.88671875" bestFit="1" customWidth="1"/>
    <col min="3444" max="3444" width="25.44140625" bestFit="1" customWidth="1"/>
    <col min="3445" max="3445" width="31.6640625" bestFit="1" customWidth="1"/>
    <col min="3446" max="3446" width="30.33203125" bestFit="1" customWidth="1"/>
    <col min="3447" max="3447" width="36.5546875" bestFit="1" customWidth="1"/>
    <col min="3448" max="3448" width="25.109375" bestFit="1" customWidth="1"/>
    <col min="3449" max="3449" width="31.21875" bestFit="1" customWidth="1"/>
    <col min="3450" max="3450" width="31.5546875" bestFit="1" customWidth="1"/>
    <col min="3451" max="3451" width="37.6640625" bestFit="1" customWidth="1"/>
    <col min="3452" max="3452" width="22.77734375" bestFit="1" customWidth="1"/>
    <col min="3453" max="3453" width="28.88671875" bestFit="1" customWidth="1"/>
    <col min="3454" max="3454" width="25.44140625" bestFit="1" customWidth="1"/>
    <col min="3455" max="3455" width="31.6640625" bestFit="1" customWidth="1"/>
    <col min="3456" max="3456" width="30.33203125" bestFit="1" customWidth="1"/>
    <col min="3457" max="3457" width="36.5546875" bestFit="1" customWidth="1"/>
    <col min="3458" max="3458" width="25.109375" bestFit="1" customWidth="1"/>
    <col min="3459" max="3459" width="31.21875" bestFit="1" customWidth="1"/>
    <col min="3460" max="3460" width="31.5546875" bestFit="1" customWidth="1"/>
    <col min="3461" max="3461" width="37.6640625" bestFit="1" customWidth="1"/>
    <col min="3462" max="3462" width="22.77734375" bestFit="1" customWidth="1"/>
    <col min="3463" max="3463" width="28.88671875" bestFit="1" customWidth="1"/>
    <col min="3464" max="3464" width="25.44140625" bestFit="1" customWidth="1"/>
    <col min="3465" max="3465" width="31.6640625" bestFit="1" customWidth="1"/>
    <col min="3466" max="3466" width="30.33203125" bestFit="1" customWidth="1"/>
    <col min="3467" max="3467" width="36.5546875" bestFit="1" customWidth="1"/>
    <col min="3468" max="3468" width="25.109375" bestFit="1" customWidth="1"/>
    <col min="3469" max="3469" width="31.21875" bestFit="1" customWidth="1"/>
    <col min="3470" max="3470" width="31.5546875" bestFit="1" customWidth="1"/>
    <col min="3471" max="3471" width="37.6640625" bestFit="1" customWidth="1"/>
    <col min="3472" max="3472" width="22.77734375" bestFit="1" customWidth="1"/>
    <col min="3473" max="3473" width="28.88671875" bestFit="1" customWidth="1"/>
    <col min="3474" max="3474" width="25.44140625" bestFit="1" customWidth="1"/>
    <col min="3475" max="3475" width="31.6640625" bestFit="1" customWidth="1"/>
    <col min="3476" max="3476" width="30.33203125" bestFit="1" customWidth="1"/>
    <col min="3477" max="3477" width="36.5546875" bestFit="1" customWidth="1"/>
    <col min="3478" max="3478" width="25.109375" bestFit="1" customWidth="1"/>
    <col min="3479" max="3479" width="31.21875" bestFit="1" customWidth="1"/>
    <col min="3480" max="3480" width="31.5546875" bestFit="1" customWidth="1"/>
    <col min="3481" max="3481" width="37.6640625" bestFit="1" customWidth="1"/>
    <col min="3482" max="3482" width="22.77734375" bestFit="1" customWidth="1"/>
    <col min="3483" max="3483" width="28.88671875" bestFit="1" customWidth="1"/>
    <col min="3484" max="3484" width="25.44140625" bestFit="1" customWidth="1"/>
    <col min="3485" max="3485" width="31.6640625" bestFit="1" customWidth="1"/>
    <col min="3486" max="3486" width="30.33203125" bestFit="1" customWidth="1"/>
    <col min="3487" max="3487" width="36.5546875" bestFit="1" customWidth="1"/>
    <col min="3488" max="3488" width="25.109375" bestFit="1" customWidth="1"/>
    <col min="3489" max="3489" width="31.21875" bestFit="1" customWidth="1"/>
    <col min="3490" max="3490" width="31.5546875" bestFit="1" customWidth="1"/>
    <col min="3491" max="3491" width="37.6640625" bestFit="1" customWidth="1"/>
    <col min="3492" max="3492" width="22.77734375" bestFit="1" customWidth="1"/>
    <col min="3493" max="3493" width="28.88671875" bestFit="1" customWidth="1"/>
    <col min="3494" max="3494" width="25.44140625" bestFit="1" customWidth="1"/>
    <col min="3495" max="3495" width="31.6640625" bestFit="1" customWidth="1"/>
    <col min="3496" max="3496" width="30.33203125" bestFit="1" customWidth="1"/>
    <col min="3497" max="3497" width="36.5546875" bestFit="1" customWidth="1"/>
    <col min="3498" max="3498" width="25.109375" bestFit="1" customWidth="1"/>
    <col min="3499" max="3499" width="31.21875" bestFit="1" customWidth="1"/>
    <col min="3500" max="3500" width="31.5546875" bestFit="1" customWidth="1"/>
    <col min="3501" max="3501" width="37.6640625" bestFit="1" customWidth="1"/>
    <col min="3502" max="3502" width="22.77734375" bestFit="1" customWidth="1"/>
    <col min="3503" max="3503" width="28.88671875" bestFit="1" customWidth="1"/>
    <col min="3504" max="3504" width="25.44140625" bestFit="1" customWidth="1"/>
    <col min="3505" max="3505" width="31.6640625" bestFit="1" customWidth="1"/>
    <col min="3506" max="3506" width="30.33203125" bestFit="1" customWidth="1"/>
    <col min="3507" max="3507" width="36.5546875" bestFit="1" customWidth="1"/>
    <col min="3508" max="3508" width="25.109375" bestFit="1" customWidth="1"/>
    <col min="3509" max="3509" width="31.21875" bestFit="1" customWidth="1"/>
    <col min="3510" max="3510" width="31.5546875" bestFit="1" customWidth="1"/>
    <col min="3511" max="3511" width="37.6640625" bestFit="1" customWidth="1"/>
    <col min="3512" max="3512" width="22.77734375" bestFit="1" customWidth="1"/>
    <col min="3513" max="3513" width="28.88671875" bestFit="1" customWidth="1"/>
    <col min="3514" max="3514" width="25.44140625" bestFit="1" customWidth="1"/>
    <col min="3515" max="3515" width="31.6640625" bestFit="1" customWidth="1"/>
    <col min="3516" max="3516" width="30.33203125" bestFit="1" customWidth="1"/>
    <col min="3517" max="3517" width="36.5546875" bestFit="1" customWidth="1"/>
    <col min="3518" max="3518" width="25.109375" bestFit="1" customWidth="1"/>
    <col min="3519" max="3519" width="31.21875" bestFit="1" customWidth="1"/>
    <col min="3520" max="3520" width="31.5546875" bestFit="1" customWidth="1"/>
    <col min="3521" max="3521" width="37.6640625" bestFit="1" customWidth="1"/>
    <col min="3522" max="3522" width="22.77734375" bestFit="1" customWidth="1"/>
    <col min="3523" max="3523" width="28.88671875" bestFit="1" customWidth="1"/>
    <col min="3524" max="3524" width="25.44140625" bestFit="1" customWidth="1"/>
    <col min="3525" max="3525" width="31.6640625" bestFit="1" customWidth="1"/>
    <col min="3526" max="3526" width="30.33203125" bestFit="1" customWidth="1"/>
    <col min="3527" max="3527" width="36.5546875" bestFit="1" customWidth="1"/>
    <col min="3528" max="3528" width="25.109375" bestFit="1" customWidth="1"/>
    <col min="3529" max="3529" width="31.21875" bestFit="1" customWidth="1"/>
    <col min="3530" max="3530" width="31.5546875" bestFit="1" customWidth="1"/>
    <col min="3531" max="3531" width="37.6640625" bestFit="1" customWidth="1"/>
    <col min="3532" max="3532" width="22.77734375" bestFit="1" customWidth="1"/>
    <col min="3533" max="3533" width="28.88671875" bestFit="1" customWidth="1"/>
    <col min="3534" max="3534" width="25.44140625" bestFit="1" customWidth="1"/>
    <col min="3535" max="3535" width="31.6640625" bestFit="1" customWidth="1"/>
    <col min="3536" max="3536" width="30.33203125" bestFit="1" customWidth="1"/>
    <col min="3537" max="3537" width="36.5546875" bestFit="1" customWidth="1"/>
    <col min="3538" max="3538" width="25.109375" bestFit="1" customWidth="1"/>
    <col min="3539" max="3539" width="31.21875" bestFit="1" customWidth="1"/>
    <col min="3540" max="3540" width="31.5546875" bestFit="1" customWidth="1"/>
    <col min="3541" max="3541" width="37.6640625" bestFit="1" customWidth="1"/>
    <col min="3542" max="3542" width="22.77734375" bestFit="1" customWidth="1"/>
    <col min="3543" max="3543" width="28.88671875" bestFit="1" customWidth="1"/>
    <col min="3544" max="3544" width="25.44140625" bestFit="1" customWidth="1"/>
    <col min="3545" max="3545" width="31.6640625" bestFit="1" customWidth="1"/>
    <col min="3546" max="3546" width="30.33203125" bestFit="1" customWidth="1"/>
    <col min="3547" max="3547" width="36.5546875" bestFit="1" customWidth="1"/>
    <col min="3548" max="3548" width="25.109375" bestFit="1" customWidth="1"/>
    <col min="3549" max="3549" width="31.21875" bestFit="1" customWidth="1"/>
    <col min="3550" max="3550" width="31.5546875" bestFit="1" customWidth="1"/>
    <col min="3551" max="3551" width="37.6640625" bestFit="1" customWidth="1"/>
    <col min="3552" max="3552" width="22.77734375" bestFit="1" customWidth="1"/>
    <col min="3553" max="3553" width="28.88671875" bestFit="1" customWidth="1"/>
    <col min="3554" max="3554" width="25.44140625" bestFit="1" customWidth="1"/>
    <col min="3555" max="3555" width="31.6640625" bestFit="1" customWidth="1"/>
    <col min="3556" max="3556" width="30.33203125" bestFit="1" customWidth="1"/>
    <col min="3557" max="3557" width="36.5546875" bestFit="1" customWidth="1"/>
    <col min="3558" max="3558" width="25.109375" bestFit="1" customWidth="1"/>
    <col min="3559" max="3559" width="31.21875" bestFit="1" customWidth="1"/>
    <col min="3560" max="3560" width="31.5546875" bestFit="1" customWidth="1"/>
    <col min="3561" max="3561" width="37.6640625" bestFit="1" customWidth="1"/>
    <col min="3562" max="3562" width="22.77734375" bestFit="1" customWidth="1"/>
    <col min="3563" max="3563" width="28.88671875" bestFit="1" customWidth="1"/>
    <col min="3564" max="3564" width="25.44140625" bestFit="1" customWidth="1"/>
    <col min="3565" max="3565" width="31.6640625" bestFit="1" customWidth="1"/>
    <col min="3566" max="3566" width="30.33203125" bestFit="1" customWidth="1"/>
    <col min="3567" max="3567" width="36.5546875" bestFit="1" customWidth="1"/>
    <col min="3568" max="3568" width="25.109375" bestFit="1" customWidth="1"/>
    <col min="3569" max="3569" width="31.21875" bestFit="1" customWidth="1"/>
    <col min="3570" max="3570" width="31.5546875" bestFit="1" customWidth="1"/>
    <col min="3571" max="3571" width="37.6640625" bestFit="1" customWidth="1"/>
    <col min="3572" max="3572" width="22.77734375" bestFit="1" customWidth="1"/>
    <col min="3573" max="3573" width="28.88671875" bestFit="1" customWidth="1"/>
    <col min="3574" max="3574" width="25.44140625" bestFit="1" customWidth="1"/>
    <col min="3575" max="3575" width="31.6640625" bestFit="1" customWidth="1"/>
    <col min="3576" max="3576" width="30.33203125" bestFit="1" customWidth="1"/>
    <col min="3577" max="3577" width="36.5546875" bestFit="1" customWidth="1"/>
    <col min="3578" max="3578" width="25.109375" bestFit="1" customWidth="1"/>
    <col min="3579" max="3579" width="31.21875" bestFit="1" customWidth="1"/>
    <col min="3580" max="3580" width="31.5546875" bestFit="1" customWidth="1"/>
    <col min="3581" max="3581" width="37.6640625" bestFit="1" customWidth="1"/>
    <col min="3582" max="3582" width="22.77734375" bestFit="1" customWidth="1"/>
    <col min="3583" max="3583" width="28.88671875" bestFit="1" customWidth="1"/>
    <col min="3584" max="3584" width="25.44140625" bestFit="1" customWidth="1"/>
    <col min="3585" max="3585" width="31.6640625" bestFit="1" customWidth="1"/>
    <col min="3586" max="3586" width="30.33203125" bestFit="1" customWidth="1"/>
    <col min="3587" max="3587" width="36.5546875" bestFit="1" customWidth="1"/>
    <col min="3588" max="3588" width="25.109375" bestFit="1" customWidth="1"/>
    <col min="3589" max="3589" width="31.21875" bestFit="1" customWidth="1"/>
    <col min="3590" max="3590" width="31.5546875" bestFit="1" customWidth="1"/>
    <col min="3591" max="3591" width="37.6640625" bestFit="1" customWidth="1"/>
    <col min="3592" max="3592" width="22.77734375" bestFit="1" customWidth="1"/>
    <col min="3593" max="3593" width="28.88671875" bestFit="1" customWidth="1"/>
    <col min="3594" max="3594" width="25.44140625" bestFit="1" customWidth="1"/>
    <col min="3595" max="3595" width="31.6640625" bestFit="1" customWidth="1"/>
    <col min="3596" max="3596" width="30.33203125" bestFit="1" customWidth="1"/>
    <col min="3597" max="3597" width="36.5546875" bestFit="1" customWidth="1"/>
    <col min="3598" max="3598" width="25.109375" bestFit="1" customWidth="1"/>
    <col min="3599" max="3599" width="31.21875" bestFit="1" customWidth="1"/>
    <col min="3600" max="3600" width="31.5546875" bestFit="1" customWidth="1"/>
    <col min="3601" max="3601" width="37.6640625" bestFit="1" customWidth="1"/>
    <col min="3602" max="3602" width="22.77734375" bestFit="1" customWidth="1"/>
    <col min="3603" max="3603" width="28.88671875" bestFit="1" customWidth="1"/>
    <col min="3604" max="3604" width="25.44140625" bestFit="1" customWidth="1"/>
    <col min="3605" max="3605" width="31.6640625" bestFit="1" customWidth="1"/>
    <col min="3606" max="3606" width="30.33203125" bestFit="1" customWidth="1"/>
    <col min="3607" max="3607" width="36.5546875" bestFit="1" customWidth="1"/>
    <col min="3608" max="3608" width="25.109375" bestFit="1" customWidth="1"/>
    <col min="3609" max="3609" width="31.21875" bestFit="1" customWidth="1"/>
    <col min="3610" max="3610" width="31.5546875" bestFit="1" customWidth="1"/>
    <col min="3611" max="3611" width="37.6640625" bestFit="1" customWidth="1"/>
    <col min="3612" max="3612" width="22.77734375" bestFit="1" customWidth="1"/>
    <col min="3613" max="3613" width="28.88671875" bestFit="1" customWidth="1"/>
    <col min="3614" max="3614" width="25.44140625" bestFit="1" customWidth="1"/>
    <col min="3615" max="3615" width="31.6640625" bestFit="1" customWidth="1"/>
    <col min="3616" max="3616" width="30.33203125" bestFit="1" customWidth="1"/>
    <col min="3617" max="3617" width="36.5546875" bestFit="1" customWidth="1"/>
    <col min="3618" max="3618" width="25.109375" bestFit="1" customWidth="1"/>
    <col min="3619" max="3619" width="31.21875" bestFit="1" customWidth="1"/>
    <col min="3620" max="3620" width="31.5546875" bestFit="1" customWidth="1"/>
    <col min="3621" max="3621" width="37.6640625" bestFit="1" customWidth="1"/>
    <col min="3622" max="3622" width="22.77734375" bestFit="1" customWidth="1"/>
    <col min="3623" max="3623" width="28.88671875" bestFit="1" customWidth="1"/>
    <col min="3624" max="3624" width="25.44140625" bestFit="1" customWidth="1"/>
    <col min="3625" max="3625" width="31.6640625" bestFit="1" customWidth="1"/>
    <col min="3626" max="3626" width="30.33203125" bestFit="1" customWidth="1"/>
    <col min="3627" max="3627" width="36.5546875" bestFit="1" customWidth="1"/>
    <col min="3628" max="3628" width="25.109375" bestFit="1" customWidth="1"/>
    <col min="3629" max="3629" width="31.21875" bestFit="1" customWidth="1"/>
    <col min="3630" max="3630" width="31.5546875" bestFit="1" customWidth="1"/>
    <col min="3631" max="3631" width="37.6640625" bestFit="1" customWidth="1"/>
    <col min="3632" max="3632" width="22.77734375" bestFit="1" customWidth="1"/>
    <col min="3633" max="3633" width="28.88671875" bestFit="1" customWidth="1"/>
    <col min="3634" max="3634" width="25.44140625" bestFit="1" customWidth="1"/>
    <col min="3635" max="3635" width="31.6640625" bestFit="1" customWidth="1"/>
    <col min="3636" max="3636" width="30.33203125" bestFit="1" customWidth="1"/>
    <col min="3637" max="3637" width="36.5546875" bestFit="1" customWidth="1"/>
    <col min="3638" max="3638" width="25.109375" bestFit="1" customWidth="1"/>
    <col min="3639" max="3639" width="31.21875" bestFit="1" customWidth="1"/>
    <col min="3640" max="3640" width="31.5546875" bestFit="1" customWidth="1"/>
    <col min="3641" max="3641" width="37.6640625" bestFit="1" customWidth="1"/>
    <col min="3642" max="3642" width="22.77734375" bestFit="1" customWidth="1"/>
    <col min="3643" max="3643" width="28.88671875" bestFit="1" customWidth="1"/>
    <col min="3644" max="3644" width="25.44140625" bestFit="1" customWidth="1"/>
    <col min="3645" max="3645" width="31.6640625" bestFit="1" customWidth="1"/>
    <col min="3646" max="3646" width="30.33203125" bestFit="1" customWidth="1"/>
    <col min="3647" max="3647" width="36.5546875" bestFit="1" customWidth="1"/>
    <col min="3648" max="3648" width="25.109375" bestFit="1" customWidth="1"/>
    <col min="3649" max="3649" width="31.21875" bestFit="1" customWidth="1"/>
    <col min="3650" max="3650" width="31.5546875" bestFit="1" customWidth="1"/>
    <col min="3651" max="3651" width="37.6640625" bestFit="1" customWidth="1"/>
    <col min="3652" max="3652" width="22.77734375" bestFit="1" customWidth="1"/>
    <col min="3653" max="3653" width="28.88671875" bestFit="1" customWidth="1"/>
    <col min="3654" max="3654" width="25.44140625" bestFit="1" customWidth="1"/>
    <col min="3655" max="3655" width="31.6640625" bestFit="1" customWidth="1"/>
    <col min="3656" max="3656" width="30.33203125" bestFit="1" customWidth="1"/>
    <col min="3657" max="3657" width="36.5546875" bestFit="1" customWidth="1"/>
    <col min="3658" max="3658" width="25.109375" bestFit="1" customWidth="1"/>
    <col min="3659" max="3659" width="31.21875" bestFit="1" customWidth="1"/>
    <col min="3660" max="3660" width="31.5546875" bestFit="1" customWidth="1"/>
    <col min="3661" max="3661" width="37.6640625" bestFit="1" customWidth="1"/>
    <col min="3662" max="3662" width="22.77734375" bestFit="1" customWidth="1"/>
    <col min="3663" max="3663" width="28.88671875" bestFit="1" customWidth="1"/>
    <col min="3664" max="3664" width="25.44140625" bestFit="1" customWidth="1"/>
    <col min="3665" max="3665" width="31.6640625" bestFit="1" customWidth="1"/>
    <col min="3666" max="3666" width="30.33203125" bestFit="1" customWidth="1"/>
    <col min="3667" max="3667" width="36.5546875" bestFit="1" customWidth="1"/>
    <col min="3668" max="3668" width="25.109375" bestFit="1" customWidth="1"/>
    <col min="3669" max="3669" width="31.21875" bestFit="1" customWidth="1"/>
    <col min="3670" max="3670" width="31.5546875" bestFit="1" customWidth="1"/>
    <col min="3671" max="3671" width="37.6640625" bestFit="1" customWidth="1"/>
    <col min="3672" max="3672" width="22.77734375" bestFit="1" customWidth="1"/>
    <col min="3673" max="3673" width="28.88671875" bestFit="1" customWidth="1"/>
    <col min="3674" max="3674" width="25.44140625" bestFit="1" customWidth="1"/>
    <col min="3675" max="3675" width="31.6640625" bestFit="1" customWidth="1"/>
    <col min="3676" max="3676" width="30.33203125" bestFit="1" customWidth="1"/>
    <col min="3677" max="3677" width="36.5546875" bestFit="1" customWidth="1"/>
    <col min="3678" max="3678" width="25.109375" bestFit="1" customWidth="1"/>
    <col min="3679" max="3679" width="31.21875" bestFit="1" customWidth="1"/>
    <col min="3680" max="3680" width="31.5546875" bestFit="1" customWidth="1"/>
    <col min="3681" max="3681" width="37.6640625" bestFit="1" customWidth="1"/>
    <col min="3682" max="3682" width="22.77734375" bestFit="1" customWidth="1"/>
    <col min="3683" max="3683" width="28.88671875" bestFit="1" customWidth="1"/>
    <col min="3684" max="3684" width="25.44140625" bestFit="1" customWidth="1"/>
    <col min="3685" max="3685" width="31.6640625" bestFit="1" customWidth="1"/>
    <col min="3686" max="3686" width="30.33203125" bestFit="1" customWidth="1"/>
    <col min="3687" max="3687" width="36.5546875" bestFit="1" customWidth="1"/>
    <col min="3688" max="3688" width="25.109375" bestFit="1" customWidth="1"/>
    <col min="3689" max="3689" width="31.21875" bestFit="1" customWidth="1"/>
    <col min="3690" max="3690" width="31.5546875" bestFit="1" customWidth="1"/>
    <col min="3691" max="3691" width="37.6640625" bestFit="1" customWidth="1"/>
    <col min="3692" max="3692" width="22.77734375" bestFit="1" customWidth="1"/>
    <col min="3693" max="3693" width="28.88671875" bestFit="1" customWidth="1"/>
    <col min="3694" max="3694" width="25.44140625" bestFit="1" customWidth="1"/>
    <col min="3695" max="3695" width="31.6640625" bestFit="1" customWidth="1"/>
    <col min="3696" max="3696" width="30.33203125" bestFit="1" customWidth="1"/>
    <col min="3697" max="3697" width="36.5546875" bestFit="1" customWidth="1"/>
    <col min="3698" max="3698" width="25.109375" bestFit="1" customWidth="1"/>
    <col min="3699" max="3699" width="31.21875" bestFit="1" customWidth="1"/>
    <col min="3700" max="3700" width="31.5546875" bestFit="1" customWidth="1"/>
    <col min="3701" max="3701" width="37.6640625" bestFit="1" customWidth="1"/>
    <col min="3702" max="3702" width="22.77734375" bestFit="1" customWidth="1"/>
    <col min="3703" max="3703" width="28.88671875" bestFit="1" customWidth="1"/>
    <col min="3704" max="3704" width="25.44140625" bestFit="1" customWidth="1"/>
    <col min="3705" max="3705" width="31.6640625" bestFit="1" customWidth="1"/>
    <col min="3706" max="3706" width="30.33203125" bestFit="1" customWidth="1"/>
    <col min="3707" max="3707" width="36.5546875" bestFit="1" customWidth="1"/>
    <col min="3708" max="3708" width="25.109375" bestFit="1" customWidth="1"/>
    <col min="3709" max="3709" width="31.21875" bestFit="1" customWidth="1"/>
    <col min="3710" max="3710" width="31.5546875" bestFit="1" customWidth="1"/>
    <col min="3711" max="3711" width="37.6640625" bestFit="1" customWidth="1"/>
    <col min="3712" max="3712" width="22.77734375" bestFit="1" customWidth="1"/>
    <col min="3713" max="3713" width="28.88671875" bestFit="1" customWidth="1"/>
    <col min="3714" max="3714" width="25.44140625" bestFit="1" customWidth="1"/>
    <col min="3715" max="3715" width="31.6640625" bestFit="1" customWidth="1"/>
    <col min="3716" max="3716" width="30.33203125" bestFit="1" customWidth="1"/>
    <col min="3717" max="3717" width="36.5546875" bestFit="1" customWidth="1"/>
    <col min="3718" max="3718" width="25.109375" bestFit="1" customWidth="1"/>
    <col min="3719" max="3719" width="31.21875" bestFit="1" customWidth="1"/>
    <col min="3720" max="3720" width="31.5546875" bestFit="1" customWidth="1"/>
    <col min="3721" max="3721" width="37.6640625" bestFit="1" customWidth="1"/>
    <col min="3722" max="3722" width="22.77734375" bestFit="1" customWidth="1"/>
    <col min="3723" max="3723" width="28.88671875" bestFit="1" customWidth="1"/>
    <col min="3724" max="3724" width="25.44140625" bestFit="1" customWidth="1"/>
    <col min="3725" max="3725" width="31.6640625" bestFit="1" customWidth="1"/>
    <col min="3726" max="3726" width="30.33203125" bestFit="1" customWidth="1"/>
    <col min="3727" max="3727" width="36.5546875" bestFit="1" customWidth="1"/>
    <col min="3728" max="3728" width="25.109375" bestFit="1" customWidth="1"/>
    <col min="3729" max="3729" width="31.21875" bestFit="1" customWidth="1"/>
    <col min="3730" max="3730" width="31.5546875" bestFit="1" customWidth="1"/>
    <col min="3731" max="3731" width="37.6640625" bestFit="1" customWidth="1"/>
    <col min="3732" max="3732" width="22.77734375" bestFit="1" customWidth="1"/>
    <col min="3733" max="3733" width="28.88671875" bestFit="1" customWidth="1"/>
    <col min="3734" max="3734" width="25.44140625" bestFit="1" customWidth="1"/>
    <col min="3735" max="3735" width="31.6640625" bestFit="1" customWidth="1"/>
    <col min="3736" max="3736" width="30.33203125" bestFit="1" customWidth="1"/>
    <col min="3737" max="3737" width="36.5546875" bestFit="1" customWidth="1"/>
    <col min="3738" max="3738" width="25.109375" bestFit="1" customWidth="1"/>
    <col min="3739" max="3739" width="31.21875" bestFit="1" customWidth="1"/>
    <col min="3740" max="3740" width="31.5546875" bestFit="1" customWidth="1"/>
    <col min="3741" max="3741" width="37.6640625" bestFit="1" customWidth="1"/>
    <col min="3742" max="3742" width="22.77734375" bestFit="1" customWidth="1"/>
    <col min="3743" max="3743" width="28.88671875" bestFit="1" customWidth="1"/>
    <col min="3744" max="3744" width="25.44140625" bestFit="1" customWidth="1"/>
    <col min="3745" max="3745" width="31.6640625" bestFit="1" customWidth="1"/>
    <col min="3746" max="3746" width="30.33203125" bestFit="1" customWidth="1"/>
    <col min="3747" max="3747" width="36.5546875" bestFit="1" customWidth="1"/>
    <col min="3748" max="3748" width="25.109375" bestFit="1" customWidth="1"/>
    <col min="3749" max="3749" width="31.21875" bestFit="1" customWidth="1"/>
    <col min="3750" max="3750" width="31.5546875" bestFit="1" customWidth="1"/>
    <col min="3751" max="3751" width="37.6640625" bestFit="1" customWidth="1"/>
    <col min="3752" max="3752" width="22.77734375" bestFit="1" customWidth="1"/>
    <col min="3753" max="3753" width="28.88671875" bestFit="1" customWidth="1"/>
    <col min="3754" max="3754" width="25.44140625" bestFit="1" customWidth="1"/>
    <col min="3755" max="3755" width="31.6640625" bestFit="1" customWidth="1"/>
    <col min="3756" max="3756" width="30.33203125" bestFit="1" customWidth="1"/>
    <col min="3757" max="3757" width="36.5546875" bestFit="1" customWidth="1"/>
    <col min="3758" max="3758" width="25.109375" bestFit="1" customWidth="1"/>
    <col min="3759" max="3759" width="31.21875" bestFit="1" customWidth="1"/>
    <col min="3760" max="3760" width="31.5546875" bestFit="1" customWidth="1"/>
    <col min="3761" max="3761" width="37.6640625" bestFit="1" customWidth="1"/>
    <col min="3762" max="3762" width="22.77734375" bestFit="1" customWidth="1"/>
    <col min="3763" max="3763" width="28.88671875" bestFit="1" customWidth="1"/>
    <col min="3764" max="3764" width="25.44140625" bestFit="1" customWidth="1"/>
    <col min="3765" max="3765" width="31.6640625" bestFit="1" customWidth="1"/>
    <col min="3766" max="3766" width="30.33203125" bestFit="1" customWidth="1"/>
    <col min="3767" max="3767" width="36.5546875" bestFit="1" customWidth="1"/>
    <col min="3768" max="3768" width="25.109375" bestFit="1" customWidth="1"/>
    <col min="3769" max="3769" width="31.21875" bestFit="1" customWidth="1"/>
    <col min="3770" max="3770" width="31.5546875" bestFit="1" customWidth="1"/>
    <col min="3771" max="3771" width="37.6640625" bestFit="1" customWidth="1"/>
    <col min="3772" max="3772" width="22.77734375" bestFit="1" customWidth="1"/>
    <col min="3773" max="3773" width="28.88671875" bestFit="1" customWidth="1"/>
    <col min="3774" max="3774" width="25.44140625" bestFit="1" customWidth="1"/>
    <col min="3775" max="3775" width="31.6640625" bestFit="1" customWidth="1"/>
    <col min="3776" max="3776" width="30.33203125" bestFit="1" customWidth="1"/>
    <col min="3777" max="3777" width="36.5546875" bestFit="1" customWidth="1"/>
    <col min="3778" max="3778" width="25.109375" bestFit="1" customWidth="1"/>
    <col min="3779" max="3779" width="31.21875" bestFit="1" customWidth="1"/>
    <col min="3780" max="3780" width="31.5546875" bestFit="1" customWidth="1"/>
    <col min="3781" max="3781" width="37.6640625" bestFit="1" customWidth="1"/>
    <col min="3782" max="3782" width="22.77734375" bestFit="1" customWidth="1"/>
    <col min="3783" max="3783" width="28.88671875" bestFit="1" customWidth="1"/>
    <col min="3784" max="3784" width="25.44140625" bestFit="1" customWidth="1"/>
    <col min="3785" max="3785" width="31.6640625" bestFit="1" customWidth="1"/>
    <col min="3786" max="3786" width="30.33203125" bestFit="1" customWidth="1"/>
    <col min="3787" max="3787" width="36.5546875" bestFit="1" customWidth="1"/>
    <col min="3788" max="3788" width="25.109375" bestFit="1" customWidth="1"/>
    <col min="3789" max="3789" width="31.21875" bestFit="1" customWidth="1"/>
    <col min="3790" max="3790" width="31.5546875" bestFit="1" customWidth="1"/>
    <col min="3791" max="3791" width="37.6640625" bestFit="1" customWidth="1"/>
    <col min="3792" max="3792" width="22.77734375" bestFit="1" customWidth="1"/>
    <col min="3793" max="3793" width="28.88671875" bestFit="1" customWidth="1"/>
    <col min="3794" max="3794" width="25.44140625" bestFit="1" customWidth="1"/>
    <col min="3795" max="3795" width="31.6640625" bestFit="1" customWidth="1"/>
    <col min="3796" max="3796" width="30.33203125" bestFit="1" customWidth="1"/>
    <col min="3797" max="3797" width="36.5546875" bestFit="1" customWidth="1"/>
    <col min="3798" max="3798" width="25.109375" bestFit="1" customWidth="1"/>
    <col min="3799" max="3799" width="31.21875" bestFit="1" customWidth="1"/>
    <col min="3800" max="3800" width="31.5546875" bestFit="1" customWidth="1"/>
    <col min="3801" max="3801" width="37.6640625" bestFit="1" customWidth="1"/>
    <col min="3802" max="3802" width="22.77734375" bestFit="1" customWidth="1"/>
    <col min="3803" max="3803" width="28.88671875" bestFit="1" customWidth="1"/>
    <col min="3804" max="3804" width="25.44140625" bestFit="1" customWidth="1"/>
    <col min="3805" max="3805" width="31.6640625" bestFit="1" customWidth="1"/>
    <col min="3806" max="3806" width="30.33203125" bestFit="1" customWidth="1"/>
    <col min="3807" max="3807" width="36.5546875" bestFit="1" customWidth="1"/>
    <col min="3808" max="3808" width="25.109375" bestFit="1" customWidth="1"/>
    <col min="3809" max="3809" width="31.21875" bestFit="1" customWidth="1"/>
    <col min="3810" max="3810" width="31.5546875" bestFit="1" customWidth="1"/>
    <col min="3811" max="3811" width="37.6640625" bestFit="1" customWidth="1"/>
    <col min="3812" max="3812" width="22.77734375" bestFit="1" customWidth="1"/>
    <col min="3813" max="3813" width="28.88671875" bestFit="1" customWidth="1"/>
    <col min="3814" max="3814" width="25.44140625" bestFit="1" customWidth="1"/>
    <col min="3815" max="3815" width="31.6640625" bestFit="1" customWidth="1"/>
    <col min="3816" max="3816" width="30.33203125" bestFit="1" customWidth="1"/>
    <col min="3817" max="3817" width="36.5546875" bestFit="1" customWidth="1"/>
    <col min="3818" max="3818" width="25.109375" bestFit="1" customWidth="1"/>
    <col min="3819" max="3819" width="31.21875" bestFit="1" customWidth="1"/>
    <col min="3820" max="3820" width="31.5546875" bestFit="1" customWidth="1"/>
    <col min="3821" max="3821" width="37.6640625" bestFit="1" customWidth="1"/>
    <col min="3822" max="3822" width="22.77734375" bestFit="1" customWidth="1"/>
    <col min="3823" max="3823" width="28.88671875" bestFit="1" customWidth="1"/>
    <col min="3824" max="3824" width="25.44140625" bestFit="1" customWidth="1"/>
    <col min="3825" max="3825" width="31.6640625" bestFit="1" customWidth="1"/>
    <col min="3826" max="3826" width="30.33203125" bestFit="1" customWidth="1"/>
    <col min="3827" max="3827" width="36.5546875" bestFit="1" customWidth="1"/>
    <col min="3828" max="3828" width="25.109375" bestFit="1" customWidth="1"/>
    <col min="3829" max="3829" width="31.21875" bestFit="1" customWidth="1"/>
    <col min="3830" max="3830" width="31.5546875" bestFit="1" customWidth="1"/>
    <col min="3831" max="3831" width="37.6640625" bestFit="1" customWidth="1"/>
    <col min="3832" max="3832" width="22.77734375" bestFit="1" customWidth="1"/>
    <col min="3833" max="3833" width="28.88671875" bestFit="1" customWidth="1"/>
    <col min="3834" max="3834" width="25.44140625" bestFit="1" customWidth="1"/>
    <col min="3835" max="3835" width="31.6640625" bestFit="1" customWidth="1"/>
    <col min="3836" max="3836" width="30.33203125" bestFit="1" customWidth="1"/>
    <col min="3837" max="3837" width="36.5546875" bestFit="1" customWidth="1"/>
    <col min="3838" max="3838" width="25.109375" bestFit="1" customWidth="1"/>
    <col min="3839" max="3839" width="31.21875" bestFit="1" customWidth="1"/>
    <col min="3840" max="3840" width="31.5546875" bestFit="1" customWidth="1"/>
    <col min="3841" max="3841" width="37.6640625" bestFit="1" customWidth="1"/>
    <col min="3842" max="3842" width="22.77734375" bestFit="1" customWidth="1"/>
    <col min="3843" max="3843" width="28.88671875" bestFit="1" customWidth="1"/>
    <col min="3844" max="3844" width="25.44140625" bestFit="1" customWidth="1"/>
    <col min="3845" max="3845" width="31.6640625" bestFit="1" customWidth="1"/>
    <col min="3846" max="3846" width="30.33203125" bestFit="1" customWidth="1"/>
    <col min="3847" max="3847" width="36.5546875" bestFit="1" customWidth="1"/>
    <col min="3848" max="3848" width="25.109375" bestFit="1" customWidth="1"/>
    <col min="3849" max="3849" width="31.21875" bestFit="1" customWidth="1"/>
    <col min="3850" max="3850" width="31.5546875" bestFit="1" customWidth="1"/>
    <col min="3851" max="3851" width="37.6640625" bestFit="1" customWidth="1"/>
    <col min="3852" max="3852" width="22.77734375" bestFit="1" customWidth="1"/>
    <col min="3853" max="3853" width="28.88671875" bestFit="1" customWidth="1"/>
    <col min="3854" max="3854" width="25.44140625" bestFit="1" customWidth="1"/>
    <col min="3855" max="3855" width="31.6640625" bestFit="1" customWidth="1"/>
    <col min="3856" max="3856" width="30.33203125" bestFit="1" customWidth="1"/>
    <col min="3857" max="3857" width="36.5546875" bestFit="1" customWidth="1"/>
    <col min="3858" max="3858" width="25.109375" bestFit="1" customWidth="1"/>
    <col min="3859" max="3859" width="31.21875" bestFit="1" customWidth="1"/>
    <col min="3860" max="3860" width="31.5546875" bestFit="1" customWidth="1"/>
    <col min="3861" max="3861" width="37.6640625" bestFit="1" customWidth="1"/>
    <col min="3862" max="3862" width="22.77734375" bestFit="1" customWidth="1"/>
    <col min="3863" max="3863" width="28.88671875" bestFit="1" customWidth="1"/>
    <col min="3864" max="3864" width="25.44140625" bestFit="1" customWidth="1"/>
    <col min="3865" max="3865" width="31.6640625" bestFit="1" customWidth="1"/>
    <col min="3866" max="3866" width="30.33203125" bestFit="1" customWidth="1"/>
    <col min="3867" max="3867" width="36.5546875" bestFit="1" customWidth="1"/>
    <col min="3868" max="3868" width="25.109375" bestFit="1" customWidth="1"/>
    <col min="3869" max="3869" width="31.21875" bestFit="1" customWidth="1"/>
    <col min="3870" max="3870" width="31.5546875" bestFit="1" customWidth="1"/>
    <col min="3871" max="3871" width="37.6640625" bestFit="1" customWidth="1"/>
    <col min="3872" max="3872" width="22.77734375" bestFit="1" customWidth="1"/>
    <col min="3873" max="3873" width="28.88671875" bestFit="1" customWidth="1"/>
    <col min="3874" max="3874" width="25.44140625" bestFit="1" customWidth="1"/>
    <col min="3875" max="3875" width="31.6640625" bestFit="1" customWidth="1"/>
    <col min="3876" max="3876" width="30.33203125" bestFit="1" customWidth="1"/>
    <col min="3877" max="3877" width="36.5546875" bestFit="1" customWidth="1"/>
    <col min="3878" max="3878" width="25.109375" bestFit="1" customWidth="1"/>
    <col min="3879" max="3879" width="31.21875" bestFit="1" customWidth="1"/>
    <col min="3880" max="3880" width="31.5546875" bestFit="1" customWidth="1"/>
    <col min="3881" max="3881" width="37.6640625" bestFit="1" customWidth="1"/>
    <col min="3882" max="3882" width="22.77734375" bestFit="1" customWidth="1"/>
    <col min="3883" max="3883" width="28.88671875" bestFit="1" customWidth="1"/>
    <col min="3884" max="3884" width="25.44140625" bestFit="1" customWidth="1"/>
    <col min="3885" max="3885" width="31.6640625" bestFit="1" customWidth="1"/>
    <col min="3886" max="3886" width="30.33203125" bestFit="1" customWidth="1"/>
    <col min="3887" max="3887" width="36.5546875" bestFit="1" customWidth="1"/>
    <col min="3888" max="3888" width="25.109375" bestFit="1" customWidth="1"/>
    <col min="3889" max="3889" width="31.21875" bestFit="1" customWidth="1"/>
    <col min="3890" max="3890" width="31.5546875" bestFit="1" customWidth="1"/>
    <col min="3891" max="3891" width="37.6640625" bestFit="1" customWidth="1"/>
    <col min="3892" max="3892" width="22.77734375" bestFit="1" customWidth="1"/>
    <col min="3893" max="3893" width="28.88671875" bestFit="1" customWidth="1"/>
    <col min="3894" max="3894" width="25.44140625" bestFit="1" customWidth="1"/>
    <col min="3895" max="3895" width="31.6640625" bestFit="1" customWidth="1"/>
    <col min="3896" max="3896" width="30.33203125" bestFit="1" customWidth="1"/>
    <col min="3897" max="3897" width="36.5546875" bestFit="1" customWidth="1"/>
    <col min="3898" max="3898" width="25.109375" bestFit="1" customWidth="1"/>
    <col min="3899" max="3899" width="31.21875" bestFit="1" customWidth="1"/>
    <col min="3900" max="3900" width="31.5546875" bestFit="1" customWidth="1"/>
    <col min="3901" max="3901" width="37.6640625" bestFit="1" customWidth="1"/>
    <col min="3902" max="3902" width="22.77734375" bestFit="1" customWidth="1"/>
    <col min="3903" max="3903" width="28.88671875" bestFit="1" customWidth="1"/>
    <col min="3904" max="3904" width="25.44140625" bestFit="1" customWidth="1"/>
    <col min="3905" max="3905" width="31.6640625" bestFit="1" customWidth="1"/>
    <col min="3906" max="3906" width="30.33203125" bestFit="1" customWidth="1"/>
    <col min="3907" max="3907" width="36.5546875" bestFit="1" customWidth="1"/>
    <col min="3908" max="3908" width="25.109375" bestFit="1" customWidth="1"/>
    <col min="3909" max="3909" width="31.21875" bestFit="1" customWidth="1"/>
    <col min="3910" max="3910" width="31.5546875" bestFit="1" customWidth="1"/>
    <col min="3911" max="3911" width="37.6640625" bestFit="1" customWidth="1"/>
    <col min="3912" max="3912" width="22.77734375" bestFit="1" customWidth="1"/>
    <col min="3913" max="3913" width="28.88671875" bestFit="1" customWidth="1"/>
    <col min="3914" max="3914" width="25.44140625" bestFit="1" customWidth="1"/>
    <col min="3915" max="3915" width="31.6640625" bestFit="1" customWidth="1"/>
    <col min="3916" max="3916" width="30.33203125" bestFit="1" customWidth="1"/>
    <col min="3917" max="3917" width="36.5546875" bestFit="1" customWidth="1"/>
    <col min="3918" max="3918" width="25.109375" bestFit="1" customWidth="1"/>
    <col min="3919" max="3919" width="31.21875" bestFit="1" customWidth="1"/>
    <col min="3920" max="3920" width="31.5546875" bestFit="1" customWidth="1"/>
    <col min="3921" max="3921" width="37.6640625" bestFit="1" customWidth="1"/>
    <col min="3922" max="3922" width="22.77734375" bestFit="1" customWidth="1"/>
    <col min="3923" max="3923" width="28.88671875" bestFit="1" customWidth="1"/>
    <col min="3924" max="3924" width="25.44140625" bestFit="1" customWidth="1"/>
    <col min="3925" max="3925" width="31.6640625" bestFit="1" customWidth="1"/>
    <col min="3926" max="3926" width="30.33203125" bestFit="1" customWidth="1"/>
    <col min="3927" max="3927" width="36.5546875" bestFit="1" customWidth="1"/>
    <col min="3928" max="3928" width="25.109375" bestFit="1" customWidth="1"/>
    <col min="3929" max="3929" width="31.21875" bestFit="1" customWidth="1"/>
    <col min="3930" max="3930" width="31.5546875" bestFit="1" customWidth="1"/>
    <col min="3931" max="3931" width="37.6640625" bestFit="1" customWidth="1"/>
    <col min="3932" max="3932" width="22.77734375" bestFit="1" customWidth="1"/>
    <col min="3933" max="3933" width="28.88671875" bestFit="1" customWidth="1"/>
    <col min="3934" max="3934" width="25.44140625" bestFit="1" customWidth="1"/>
    <col min="3935" max="3935" width="31.6640625" bestFit="1" customWidth="1"/>
    <col min="3936" max="3936" width="30.33203125" bestFit="1" customWidth="1"/>
    <col min="3937" max="3937" width="36.5546875" bestFit="1" customWidth="1"/>
    <col min="3938" max="3938" width="25.109375" bestFit="1" customWidth="1"/>
    <col min="3939" max="3939" width="31.21875" bestFit="1" customWidth="1"/>
    <col min="3940" max="3940" width="31.5546875" bestFit="1" customWidth="1"/>
    <col min="3941" max="3941" width="37.6640625" bestFit="1" customWidth="1"/>
    <col min="3942" max="3942" width="22.77734375" bestFit="1" customWidth="1"/>
    <col min="3943" max="3943" width="28.88671875" bestFit="1" customWidth="1"/>
    <col min="3944" max="3944" width="25.44140625" bestFit="1" customWidth="1"/>
    <col min="3945" max="3945" width="31.6640625" bestFit="1" customWidth="1"/>
    <col min="3946" max="3946" width="30.33203125" bestFit="1" customWidth="1"/>
    <col min="3947" max="3947" width="36.5546875" bestFit="1" customWidth="1"/>
    <col min="3948" max="3948" width="25.109375" bestFit="1" customWidth="1"/>
    <col min="3949" max="3949" width="31.21875" bestFit="1" customWidth="1"/>
    <col min="3950" max="3950" width="31.5546875" bestFit="1" customWidth="1"/>
    <col min="3951" max="3951" width="37.6640625" bestFit="1" customWidth="1"/>
    <col min="3952" max="3952" width="22.77734375" bestFit="1" customWidth="1"/>
    <col min="3953" max="3953" width="28.88671875" bestFit="1" customWidth="1"/>
    <col min="3954" max="3954" width="25.44140625" bestFit="1" customWidth="1"/>
    <col min="3955" max="3955" width="31.6640625" bestFit="1" customWidth="1"/>
    <col min="3956" max="3956" width="30.33203125" bestFit="1" customWidth="1"/>
    <col min="3957" max="3957" width="36.5546875" bestFit="1" customWidth="1"/>
    <col min="3958" max="3958" width="25.109375" bestFit="1" customWidth="1"/>
    <col min="3959" max="3959" width="31.21875" bestFit="1" customWidth="1"/>
    <col min="3960" max="3960" width="31.5546875" bestFit="1" customWidth="1"/>
    <col min="3961" max="3961" width="37.6640625" bestFit="1" customWidth="1"/>
    <col min="3962" max="3962" width="22.77734375" bestFit="1" customWidth="1"/>
    <col min="3963" max="3963" width="28.88671875" bestFit="1" customWidth="1"/>
    <col min="3964" max="3964" width="25.44140625" bestFit="1" customWidth="1"/>
    <col min="3965" max="3965" width="31.6640625" bestFit="1" customWidth="1"/>
    <col min="3966" max="3966" width="30.33203125" bestFit="1" customWidth="1"/>
    <col min="3967" max="3967" width="36.5546875" bestFit="1" customWidth="1"/>
    <col min="3968" max="3968" width="25.109375" bestFit="1" customWidth="1"/>
    <col min="3969" max="3969" width="31.21875" bestFit="1" customWidth="1"/>
    <col min="3970" max="3970" width="31.5546875" bestFit="1" customWidth="1"/>
    <col min="3971" max="3971" width="37.6640625" bestFit="1" customWidth="1"/>
    <col min="3972" max="3972" width="22.77734375" bestFit="1" customWidth="1"/>
    <col min="3973" max="3973" width="28.88671875" bestFit="1" customWidth="1"/>
    <col min="3974" max="3974" width="25.44140625" bestFit="1" customWidth="1"/>
    <col min="3975" max="3975" width="31.6640625" bestFit="1" customWidth="1"/>
    <col min="3976" max="3976" width="30.33203125" bestFit="1" customWidth="1"/>
    <col min="3977" max="3977" width="36.5546875" bestFit="1" customWidth="1"/>
    <col min="3978" max="3978" width="25.109375" bestFit="1" customWidth="1"/>
    <col min="3979" max="3979" width="31.21875" bestFit="1" customWidth="1"/>
    <col min="3980" max="3980" width="31.5546875" bestFit="1" customWidth="1"/>
    <col min="3981" max="3981" width="37.6640625" bestFit="1" customWidth="1"/>
    <col min="3982" max="3982" width="22.77734375" bestFit="1" customWidth="1"/>
    <col min="3983" max="3983" width="28.88671875" bestFit="1" customWidth="1"/>
    <col min="3984" max="3984" width="25.44140625" bestFit="1" customWidth="1"/>
    <col min="3985" max="3985" width="31.6640625" bestFit="1" customWidth="1"/>
    <col min="3986" max="3986" width="30.33203125" bestFit="1" customWidth="1"/>
    <col min="3987" max="3987" width="36.5546875" bestFit="1" customWidth="1"/>
    <col min="3988" max="3988" width="25.109375" bestFit="1" customWidth="1"/>
    <col min="3989" max="3989" width="31.21875" bestFit="1" customWidth="1"/>
    <col min="3990" max="3990" width="31.5546875" bestFit="1" customWidth="1"/>
    <col min="3991" max="3991" width="37.6640625" bestFit="1" customWidth="1"/>
    <col min="3992" max="3992" width="22.77734375" bestFit="1" customWidth="1"/>
    <col min="3993" max="3993" width="28.88671875" bestFit="1" customWidth="1"/>
    <col min="3994" max="3994" width="25.44140625" bestFit="1" customWidth="1"/>
    <col min="3995" max="3995" width="31.6640625" bestFit="1" customWidth="1"/>
    <col min="3996" max="3996" width="30.33203125" bestFit="1" customWidth="1"/>
    <col min="3997" max="3997" width="36.5546875" bestFit="1" customWidth="1"/>
    <col min="3998" max="3998" width="25.109375" bestFit="1" customWidth="1"/>
    <col min="3999" max="3999" width="31.21875" bestFit="1" customWidth="1"/>
    <col min="4000" max="4000" width="31.5546875" bestFit="1" customWidth="1"/>
    <col min="4001" max="4001" width="37.6640625" bestFit="1" customWidth="1"/>
    <col min="4002" max="4002" width="22.77734375" bestFit="1" customWidth="1"/>
    <col min="4003" max="4003" width="28.88671875" bestFit="1" customWidth="1"/>
    <col min="4004" max="4004" width="25.44140625" bestFit="1" customWidth="1"/>
    <col min="4005" max="4005" width="31.6640625" bestFit="1" customWidth="1"/>
    <col min="4006" max="4006" width="30.33203125" bestFit="1" customWidth="1"/>
    <col min="4007" max="4007" width="36.5546875" bestFit="1" customWidth="1"/>
    <col min="4008" max="4008" width="25.109375" bestFit="1" customWidth="1"/>
    <col min="4009" max="4009" width="31.21875" bestFit="1" customWidth="1"/>
    <col min="4010" max="4010" width="31.5546875" bestFit="1" customWidth="1"/>
    <col min="4011" max="4011" width="37.6640625" bestFit="1" customWidth="1"/>
    <col min="4012" max="4012" width="22.77734375" bestFit="1" customWidth="1"/>
    <col min="4013" max="4013" width="28.88671875" bestFit="1" customWidth="1"/>
    <col min="4014" max="4014" width="25.44140625" bestFit="1" customWidth="1"/>
    <col min="4015" max="4015" width="31.6640625" bestFit="1" customWidth="1"/>
    <col min="4016" max="4016" width="30.33203125" bestFit="1" customWidth="1"/>
    <col min="4017" max="4017" width="36.5546875" bestFit="1" customWidth="1"/>
    <col min="4018" max="4018" width="25.109375" bestFit="1" customWidth="1"/>
    <col min="4019" max="4019" width="31.21875" bestFit="1" customWidth="1"/>
    <col min="4020" max="4020" width="31.5546875" bestFit="1" customWidth="1"/>
    <col min="4021" max="4021" width="37.6640625" bestFit="1" customWidth="1"/>
    <col min="4022" max="4022" width="22.77734375" bestFit="1" customWidth="1"/>
    <col min="4023" max="4023" width="28.88671875" bestFit="1" customWidth="1"/>
    <col min="4024" max="4024" width="25.44140625" bestFit="1" customWidth="1"/>
    <col min="4025" max="4025" width="31.6640625" bestFit="1" customWidth="1"/>
    <col min="4026" max="4026" width="30.33203125" bestFit="1" customWidth="1"/>
    <col min="4027" max="4027" width="36.5546875" bestFit="1" customWidth="1"/>
    <col min="4028" max="4028" width="25.109375" bestFit="1" customWidth="1"/>
    <col min="4029" max="4029" width="31.21875" bestFit="1" customWidth="1"/>
    <col min="4030" max="4030" width="31.5546875" bestFit="1" customWidth="1"/>
    <col min="4031" max="4031" width="37.6640625" bestFit="1" customWidth="1"/>
    <col min="4032" max="4032" width="22.77734375" bestFit="1" customWidth="1"/>
    <col min="4033" max="4033" width="28.88671875" bestFit="1" customWidth="1"/>
    <col min="4034" max="4034" width="25.44140625" bestFit="1" customWidth="1"/>
    <col min="4035" max="4035" width="31.6640625" bestFit="1" customWidth="1"/>
    <col min="4036" max="4036" width="30.33203125" bestFit="1" customWidth="1"/>
    <col min="4037" max="4037" width="36.5546875" bestFit="1" customWidth="1"/>
    <col min="4038" max="4038" width="25.109375" bestFit="1" customWidth="1"/>
    <col min="4039" max="4039" width="31.21875" bestFit="1" customWidth="1"/>
    <col min="4040" max="4040" width="31.5546875" bestFit="1" customWidth="1"/>
    <col min="4041" max="4041" width="37.6640625" bestFit="1" customWidth="1"/>
    <col min="4042" max="4042" width="22.77734375" bestFit="1" customWidth="1"/>
    <col min="4043" max="4043" width="28.88671875" bestFit="1" customWidth="1"/>
    <col min="4044" max="4044" width="25.44140625" bestFit="1" customWidth="1"/>
    <col min="4045" max="4045" width="31.6640625" bestFit="1" customWidth="1"/>
    <col min="4046" max="4046" width="30.33203125" bestFit="1" customWidth="1"/>
    <col min="4047" max="4047" width="36.5546875" bestFit="1" customWidth="1"/>
    <col min="4048" max="4048" width="25.109375" bestFit="1" customWidth="1"/>
    <col min="4049" max="4049" width="31.21875" bestFit="1" customWidth="1"/>
    <col min="4050" max="4050" width="31.5546875" bestFit="1" customWidth="1"/>
    <col min="4051" max="4051" width="37.6640625" bestFit="1" customWidth="1"/>
    <col min="4052" max="4052" width="22.77734375" bestFit="1" customWidth="1"/>
    <col min="4053" max="4053" width="28.88671875" bestFit="1" customWidth="1"/>
    <col min="4054" max="4054" width="25.44140625" bestFit="1" customWidth="1"/>
    <col min="4055" max="4055" width="31.6640625" bestFit="1" customWidth="1"/>
    <col min="4056" max="4056" width="30.33203125" bestFit="1" customWidth="1"/>
    <col min="4057" max="4057" width="36.5546875" bestFit="1" customWidth="1"/>
    <col min="4058" max="4058" width="25.109375" bestFit="1" customWidth="1"/>
    <col min="4059" max="4059" width="31.21875" bestFit="1" customWidth="1"/>
    <col min="4060" max="4060" width="31.5546875" bestFit="1" customWidth="1"/>
    <col min="4061" max="4061" width="37.6640625" bestFit="1" customWidth="1"/>
    <col min="4062" max="4062" width="22.77734375" bestFit="1" customWidth="1"/>
    <col min="4063" max="4063" width="28.88671875" bestFit="1" customWidth="1"/>
    <col min="4064" max="4064" width="25.44140625" bestFit="1" customWidth="1"/>
    <col min="4065" max="4065" width="31.6640625" bestFit="1" customWidth="1"/>
    <col min="4066" max="4066" width="30.33203125" bestFit="1" customWidth="1"/>
    <col min="4067" max="4067" width="36.5546875" bestFit="1" customWidth="1"/>
    <col min="4068" max="4068" width="25.109375" bestFit="1" customWidth="1"/>
    <col min="4069" max="4069" width="31.21875" bestFit="1" customWidth="1"/>
    <col min="4070" max="4070" width="31.5546875" bestFit="1" customWidth="1"/>
    <col min="4071" max="4071" width="37.6640625" bestFit="1" customWidth="1"/>
    <col min="4072" max="4072" width="22.77734375" bestFit="1" customWidth="1"/>
    <col min="4073" max="4073" width="28.88671875" bestFit="1" customWidth="1"/>
    <col min="4074" max="4074" width="25.44140625" bestFit="1" customWidth="1"/>
    <col min="4075" max="4075" width="31.6640625" bestFit="1" customWidth="1"/>
    <col min="4076" max="4076" width="30.33203125" bestFit="1" customWidth="1"/>
    <col min="4077" max="4077" width="36.5546875" bestFit="1" customWidth="1"/>
    <col min="4078" max="4078" width="25.109375" bestFit="1" customWidth="1"/>
    <col min="4079" max="4079" width="31.21875" bestFit="1" customWidth="1"/>
    <col min="4080" max="4080" width="31.5546875" bestFit="1" customWidth="1"/>
    <col min="4081" max="4081" width="37.6640625" bestFit="1" customWidth="1"/>
    <col min="4082" max="4082" width="22.77734375" bestFit="1" customWidth="1"/>
    <col min="4083" max="4083" width="28.88671875" bestFit="1" customWidth="1"/>
    <col min="4084" max="4084" width="25.44140625" bestFit="1" customWidth="1"/>
    <col min="4085" max="4085" width="31.6640625" bestFit="1" customWidth="1"/>
    <col min="4086" max="4086" width="30.33203125" bestFit="1" customWidth="1"/>
    <col min="4087" max="4087" width="36.5546875" bestFit="1" customWidth="1"/>
    <col min="4088" max="4088" width="25.109375" bestFit="1" customWidth="1"/>
    <col min="4089" max="4089" width="31.21875" bestFit="1" customWidth="1"/>
    <col min="4090" max="4090" width="31.5546875" bestFit="1" customWidth="1"/>
    <col min="4091" max="4091" width="37.6640625" bestFit="1" customWidth="1"/>
    <col min="4092" max="4092" width="22.77734375" bestFit="1" customWidth="1"/>
    <col min="4093" max="4093" width="28.88671875" bestFit="1" customWidth="1"/>
    <col min="4094" max="4094" width="25.44140625" bestFit="1" customWidth="1"/>
    <col min="4095" max="4095" width="31.6640625" bestFit="1" customWidth="1"/>
    <col min="4096" max="4096" width="30.33203125" bestFit="1" customWidth="1"/>
    <col min="4097" max="4097" width="36.5546875" bestFit="1" customWidth="1"/>
    <col min="4098" max="4098" width="25.109375" bestFit="1" customWidth="1"/>
    <col min="4099" max="4099" width="31.21875" bestFit="1" customWidth="1"/>
    <col min="4100" max="4100" width="31.5546875" bestFit="1" customWidth="1"/>
    <col min="4101" max="4101" width="37.6640625" bestFit="1" customWidth="1"/>
    <col min="4102" max="4102" width="22.77734375" bestFit="1" customWidth="1"/>
    <col min="4103" max="4103" width="28.88671875" bestFit="1" customWidth="1"/>
    <col min="4104" max="4104" width="25.44140625" bestFit="1" customWidth="1"/>
    <col min="4105" max="4105" width="31.6640625" bestFit="1" customWidth="1"/>
    <col min="4106" max="4106" width="30.33203125" bestFit="1" customWidth="1"/>
    <col min="4107" max="4107" width="36.5546875" bestFit="1" customWidth="1"/>
    <col min="4108" max="4108" width="25.109375" bestFit="1" customWidth="1"/>
    <col min="4109" max="4109" width="31.21875" bestFit="1" customWidth="1"/>
    <col min="4110" max="4110" width="31.5546875" bestFit="1" customWidth="1"/>
    <col min="4111" max="4111" width="37.6640625" bestFit="1" customWidth="1"/>
    <col min="4112" max="4112" width="22.77734375" bestFit="1" customWidth="1"/>
    <col min="4113" max="4113" width="28.88671875" bestFit="1" customWidth="1"/>
    <col min="4114" max="4114" width="25.44140625" bestFit="1" customWidth="1"/>
    <col min="4115" max="4115" width="31.6640625" bestFit="1" customWidth="1"/>
    <col min="4116" max="4116" width="30.33203125" bestFit="1" customWidth="1"/>
    <col min="4117" max="4117" width="36.5546875" bestFit="1" customWidth="1"/>
    <col min="4118" max="4118" width="25.109375" bestFit="1" customWidth="1"/>
    <col min="4119" max="4119" width="31.21875" bestFit="1" customWidth="1"/>
    <col min="4120" max="4120" width="31.5546875" bestFit="1" customWidth="1"/>
    <col min="4121" max="4121" width="37.6640625" bestFit="1" customWidth="1"/>
    <col min="4122" max="4122" width="22.77734375" bestFit="1" customWidth="1"/>
    <col min="4123" max="4123" width="28.88671875" bestFit="1" customWidth="1"/>
    <col min="4124" max="4124" width="25.44140625" bestFit="1" customWidth="1"/>
    <col min="4125" max="4125" width="31.6640625" bestFit="1" customWidth="1"/>
    <col min="4126" max="4126" width="30.33203125" bestFit="1" customWidth="1"/>
    <col min="4127" max="4127" width="36.5546875" bestFit="1" customWidth="1"/>
    <col min="4128" max="4128" width="25.109375" bestFit="1" customWidth="1"/>
    <col min="4129" max="4129" width="31.21875" bestFit="1" customWidth="1"/>
    <col min="4130" max="4130" width="31.5546875" bestFit="1" customWidth="1"/>
    <col min="4131" max="4131" width="37.6640625" bestFit="1" customWidth="1"/>
    <col min="4132" max="4132" width="22.77734375" bestFit="1" customWidth="1"/>
    <col min="4133" max="4133" width="28.88671875" bestFit="1" customWidth="1"/>
    <col min="4134" max="4134" width="25.44140625" bestFit="1" customWidth="1"/>
    <col min="4135" max="4135" width="31.6640625" bestFit="1" customWidth="1"/>
    <col min="4136" max="4136" width="30.33203125" bestFit="1" customWidth="1"/>
    <col min="4137" max="4137" width="36.5546875" bestFit="1" customWidth="1"/>
    <col min="4138" max="4138" width="25.109375" bestFit="1" customWidth="1"/>
    <col min="4139" max="4139" width="31.21875" bestFit="1" customWidth="1"/>
    <col min="4140" max="4140" width="31.5546875" bestFit="1" customWidth="1"/>
    <col min="4141" max="4141" width="37.6640625" bestFit="1" customWidth="1"/>
    <col min="4142" max="4142" width="22.77734375" bestFit="1" customWidth="1"/>
    <col min="4143" max="4143" width="28.88671875" bestFit="1" customWidth="1"/>
    <col min="4144" max="4144" width="25.44140625" bestFit="1" customWidth="1"/>
    <col min="4145" max="4145" width="31.6640625" bestFit="1" customWidth="1"/>
    <col min="4146" max="4146" width="30.33203125" bestFit="1" customWidth="1"/>
    <col min="4147" max="4147" width="36.5546875" bestFit="1" customWidth="1"/>
    <col min="4148" max="4148" width="25.109375" bestFit="1" customWidth="1"/>
    <col min="4149" max="4149" width="31.21875" bestFit="1" customWidth="1"/>
    <col min="4150" max="4150" width="31.5546875" bestFit="1" customWidth="1"/>
    <col min="4151" max="4151" width="37.6640625" bestFit="1" customWidth="1"/>
    <col min="4152" max="4152" width="22.77734375" bestFit="1" customWidth="1"/>
    <col min="4153" max="4153" width="28.88671875" bestFit="1" customWidth="1"/>
    <col min="4154" max="4154" width="25.44140625" bestFit="1" customWidth="1"/>
    <col min="4155" max="4155" width="31.6640625" bestFit="1" customWidth="1"/>
    <col min="4156" max="4156" width="30.33203125" bestFit="1" customWidth="1"/>
    <col min="4157" max="4157" width="36.5546875" bestFit="1" customWidth="1"/>
    <col min="4158" max="4158" width="25.109375" bestFit="1" customWidth="1"/>
    <col min="4159" max="4159" width="31.21875" bestFit="1" customWidth="1"/>
    <col min="4160" max="4160" width="31.5546875" bestFit="1" customWidth="1"/>
    <col min="4161" max="4161" width="37.6640625" bestFit="1" customWidth="1"/>
    <col min="4162" max="4162" width="22.77734375" bestFit="1" customWidth="1"/>
    <col min="4163" max="4163" width="28.88671875" bestFit="1" customWidth="1"/>
    <col min="4164" max="4164" width="25.44140625" bestFit="1" customWidth="1"/>
    <col min="4165" max="4165" width="31.6640625" bestFit="1" customWidth="1"/>
    <col min="4166" max="4166" width="30.33203125" bestFit="1" customWidth="1"/>
    <col min="4167" max="4167" width="36.5546875" bestFit="1" customWidth="1"/>
    <col min="4168" max="4168" width="25.109375" bestFit="1" customWidth="1"/>
    <col min="4169" max="4169" width="31.21875" bestFit="1" customWidth="1"/>
    <col min="4170" max="4170" width="31.5546875" bestFit="1" customWidth="1"/>
    <col min="4171" max="4171" width="37.6640625" bestFit="1" customWidth="1"/>
    <col min="4172" max="4172" width="22.77734375" bestFit="1" customWidth="1"/>
    <col min="4173" max="4173" width="28.88671875" bestFit="1" customWidth="1"/>
    <col min="4174" max="4174" width="25.44140625" bestFit="1" customWidth="1"/>
    <col min="4175" max="4175" width="31.6640625" bestFit="1" customWidth="1"/>
    <col min="4176" max="4176" width="30.33203125" bestFit="1" customWidth="1"/>
    <col min="4177" max="4177" width="36.5546875" bestFit="1" customWidth="1"/>
    <col min="4178" max="4178" width="25.109375" bestFit="1" customWidth="1"/>
    <col min="4179" max="4179" width="31.21875" bestFit="1" customWidth="1"/>
    <col min="4180" max="4180" width="31.5546875" bestFit="1" customWidth="1"/>
    <col min="4181" max="4181" width="37.6640625" bestFit="1" customWidth="1"/>
    <col min="4182" max="4182" width="22.77734375" bestFit="1" customWidth="1"/>
    <col min="4183" max="4183" width="28.88671875" bestFit="1" customWidth="1"/>
    <col min="4184" max="4184" width="25.44140625" bestFit="1" customWidth="1"/>
    <col min="4185" max="4185" width="31.6640625" bestFit="1" customWidth="1"/>
    <col min="4186" max="4186" width="30.33203125" bestFit="1" customWidth="1"/>
    <col min="4187" max="4187" width="36.5546875" bestFit="1" customWidth="1"/>
    <col min="4188" max="4188" width="25.109375" bestFit="1" customWidth="1"/>
    <col min="4189" max="4189" width="31.21875" bestFit="1" customWidth="1"/>
    <col min="4190" max="4190" width="31.5546875" bestFit="1" customWidth="1"/>
    <col min="4191" max="4191" width="37.6640625" bestFit="1" customWidth="1"/>
    <col min="4192" max="4192" width="22.77734375" bestFit="1" customWidth="1"/>
    <col min="4193" max="4193" width="28.88671875" bestFit="1" customWidth="1"/>
    <col min="4194" max="4194" width="25.44140625" bestFit="1" customWidth="1"/>
    <col min="4195" max="4195" width="31.6640625" bestFit="1" customWidth="1"/>
    <col min="4196" max="4196" width="30.33203125" bestFit="1" customWidth="1"/>
    <col min="4197" max="4197" width="36.5546875" bestFit="1" customWidth="1"/>
    <col min="4198" max="4198" width="25.109375" bestFit="1" customWidth="1"/>
    <col min="4199" max="4199" width="31.21875" bestFit="1" customWidth="1"/>
    <col min="4200" max="4200" width="31.5546875" bestFit="1" customWidth="1"/>
    <col min="4201" max="4201" width="37.6640625" bestFit="1" customWidth="1"/>
    <col min="4202" max="4202" width="22.77734375" bestFit="1" customWidth="1"/>
    <col min="4203" max="4203" width="28.88671875" bestFit="1" customWidth="1"/>
    <col min="4204" max="4204" width="25.44140625" bestFit="1" customWidth="1"/>
    <col min="4205" max="4205" width="31.6640625" bestFit="1" customWidth="1"/>
    <col min="4206" max="4206" width="30.33203125" bestFit="1" customWidth="1"/>
    <col min="4207" max="4207" width="36.5546875" bestFit="1" customWidth="1"/>
    <col min="4208" max="4208" width="25.109375" bestFit="1" customWidth="1"/>
    <col min="4209" max="4209" width="31.21875" bestFit="1" customWidth="1"/>
    <col min="4210" max="4210" width="31.5546875" bestFit="1" customWidth="1"/>
    <col min="4211" max="4211" width="37.6640625" bestFit="1" customWidth="1"/>
    <col min="4212" max="4212" width="22.77734375" bestFit="1" customWidth="1"/>
    <col min="4213" max="4213" width="28.88671875" bestFit="1" customWidth="1"/>
    <col min="4214" max="4214" width="25.44140625" bestFit="1" customWidth="1"/>
    <col min="4215" max="4215" width="31.6640625" bestFit="1" customWidth="1"/>
    <col min="4216" max="4216" width="30.33203125" bestFit="1" customWidth="1"/>
    <col min="4217" max="4217" width="36.5546875" bestFit="1" customWidth="1"/>
    <col min="4218" max="4218" width="25.109375" bestFit="1" customWidth="1"/>
    <col min="4219" max="4219" width="31.21875" bestFit="1" customWidth="1"/>
    <col min="4220" max="4220" width="31.5546875" bestFit="1" customWidth="1"/>
    <col min="4221" max="4221" width="37.6640625" bestFit="1" customWidth="1"/>
    <col min="4222" max="4222" width="22.77734375" bestFit="1" customWidth="1"/>
    <col min="4223" max="4223" width="28.88671875" bestFit="1" customWidth="1"/>
    <col min="4224" max="4224" width="25.44140625" bestFit="1" customWidth="1"/>
    <col min="4225" max="4225" width="31.6640625" bestFit="1" customWidth="1"/>
    <col min="4226" max="4226" width="30.33203125" bestFit="1" customWidth="1"/>
    <col min="4227" max="4227" width="36.5546875" bestFit="1" customWidth="1"/>
    <col min="4228" max="4228" width="25.109375" bestFit="1" customWidth="1"/>
    <col min="4229" max="4229" width="31.21875" bestFit="1" customWidth="1"/>
    <col min="4230" max="4230" width="31.5546875" bestFit="1" customWidth="1"/>
    <col min="4231" max="4231" width="37.6640625" bestFit="1" customWidth="1"/>
    <col min="4232" max="4232" width="22.77734375" bestFit="1" customWidth="1"/>
    <col min="4233" max="4233" width="28.88671875" bestFit="1" customWidth="1"/>
    <col min="4234" max="4234" width="25.44140625" bestFit="1" customWidth="1"/>
    <col min="4235" max="4235" width="31.6640625" bestFit="1" customWidth="1"/>
    <col min="4236" max="4236" width="30.33203125" bestFit="1" customWidth="1"/>
    <col min="4237" max="4237" width="36.5546875" bestFit="1" customWidth="1"/>
    <col min="4238" max="4238" width="25.109375" bestFit="1" customWidth="1"/>
    <col min="4239" max="4239" width="31.21875" bestFit="1" customWidth="1"/>
    <col min="4240" max="4240" width="31.5546875" bestFit="1" customWidth="1"/>
    <col min="4241" max="4241" width="37.6640625" bestFit="1" customWidth="1"/>
    <col min="4242" max="4242" width="22.77734375" bestFit="1" customWidth="1"/>
    <col min="4243" max="4243" width="28.88671875" bestFit="1" customWidth="1"/>
    <col min="4244" max="4244" width="25.44140625" bestFit="1" customWidth="1"/>
    <col min="4245" max="4245" width="31.6640625" bestFit="1" customWidth="1"/>
    <col min="4246" max="4246" width="30.33203125" bestFit="1" customWidth="1"/>
    <col min="4247" max="4247" width="36.5546875" bestFit="1" customWidth="1"/>
    <col min="4248" max="4248" width="25.109375" bestFit="1" customWidth="1"/>
    <col min="4249" max="4249" width="31.21875" bestFit="1" customWidth="1"/>
    <col min="4250" max="4250" width="31.5546875" bestFit="1" customWidth="1"/>
    <col min="4251" max="4251" width="37.6640625" bestFit="1" customWidth="1"/>
    <col min="4252" max="4252" width="22.77734375" bestFit="1" customWidth="1"/>
    <col min="4253" max="4253" width="28.88671875" bestFit="1" customWidth="1"/>
    <col min="4254" max="4254" width="25.44140625" bestFit="1" customWidth="1"/>
    <col min="4255" max="4255" width="31.6640625" bestFit="1" customWidth="1"/>
    <col min="4256" max="4256" width="30.33203125" bestFit="1" customWidth="1"/>
    <col min="4257" max="4257" width="36.5546875" bestFit="1" customWidth="1"/>
    <col min="4258" max="4258" width="25.109375" bestFit="1" customWidth="1"/>
    <col min="4259" max="4259" width="31.21875" bestFit="1" customWidth="1"/>
    <col min="4260" max="4260" width="31.5546875" bestFit="1" customWidth="1"/>
    <col min="4261" max="4261" width="37.6640625" bestFit="1" customWidth="1"/>
    <col min="4262" max="4262" width="22.77734375" bestFit="1" customWidth="1"/>
    <col min="4263" max="4263" width="28.88671875" bestFit="1" customWidth="1"/>
    <col min="4264" max="4264" width="25.44140625" bestFit="1" customWidth="1"/>
    <col min="4265" max="4265" width="31.6640625" bestFit="1" customWidth="1"/>
    <col min="4266" max="4266" width="30.33203125" bestFit="1" customWidth="1"/>
    <col min="4267" max="4267" width="36.5546875" bestFit="1" customWidth="1"/>
    <col min="4268" max="4268" width="25.109375" bestFit="1" customWidth="1"/>
    <col min="4269" max="4269" width="31.21875" bestFit="1" customWidth="1"/>
    <col min="4270" max="4270" width="31.5546875" bestFit="1" customWidth="1"/>
    <col min="4271" max="4271" width="37.6640625" bestFit="1" customWidth="1"/>
    <col min="4272" max="4272" width="22.77734375" bestFit="1" customWidth="1"/>
    <col min="4273" max="4273" width="28.88671875" bestFit="1" customWidth="1"/>
    <col min="4274" max="4274" width="25.44140625" bestFit="1" customWidth="1"/>
    <col min="4275" max="4275" width="31.6640625" bestFit="1" customWidth="1"/>
    <col min="4276" max="4276" width="30.33203125" bestFit="1" customWidth="1"/>
    <col min="4277" max="4277" width="36.5546875" bestFit="1" customWidth="1"/>
    <col min="4278" max="4278" width="25.109375" bestFit="1" customWidth="1"/>
    <col min="4279" max="4279" width="31.21875" bestFit="1" customWidth="1"/>
    <col min="4280" max="4280" width="31.5546875" bestFit="1" customWidth="1"/>
    <col min="4281" max="4281" width="37.6640625" bestFit="1" customWidth="1"/>
    <col min="4282" max="4282" width="22.77734375" bestFit="1" customWidth="1"/>
    <col min="4283" max="4283" width="28.88671875" bestFit="1" customWidth="1"/>
    <col min="4284" max="4284" width="25.44140625" bestFit="1" customWidth="1"/>
    <col min="4285" max="4285" width="31.6640625" bestFit="1" customWidth="1"/>
    <col min="4286" max="4286" width="30.33203125" bestFit="1" customWidth="1"/>
    <col min="4287" max="4287" width="36.5546875" bestFit="1" customWidth="1"/>
    <col min="4288" max="4288" width="25.109375" bestFit="1" customWidth="1"/>
    <col min="4289" max="4289" width="31.21875" bestFit="1" customWidth="1"/>
    <col min="4290" max="4290" width="31.5546875" bestFit="1" customWidth="1"/>
    <col min="4291" max="4291" width="37.6640625" bestFit="1" customWidth="1"/>
    <col min="4292" max="4292" width="22.77734375" bestFit="1" customWidth="1"/>
    <col min="4293" max="4293" width="28.88671875" bestFit="1" customWidth="1"/>
    <col min="4294" max="4294" width="25.44140625" bestFit="1" customWidth="1"/>
    <col min="4295" max="4295" width="31.6640625" bestFit="1" customWidth="1"/>
    <col min="4296" max="4296" width="30.33203125" bestFit="1" customWidth="1"/>
    <col min="4297" max="4297" width="36.5546875" bestFit="1" customWidth="1"/>
    <col min="4298" max="4298" width="25.109375" bestFit="1" customWidth="1"/>
    <col min="4299" max="4299" width="31.21875" bestFit="1" customWidth="1"/>
    <col min="4300" max="4300" width="31.5546875" bestFit="1" customWidth="1"/>
    <col min="4301" max="4301" width="37.6640625" bestFit="1" customWidth="1"/>
    <col min="4302" max="4302" width="22.77734375" bestFit="1" customWidth="1"/>
    <col min="4303" max="4303" width="28.88671875" bestFit="1" customWidth="1"/>
    <col min="4304" max="4304" width="25.44140625" bestFit="1" customWidth="1"/>
    <col min="4305" max="4305" width="31.6640625" bestFit="1" customWidth="1"/>
    <col min="4306" max="4306" width="30.33203125" bestFit="1" customWidth="1"/>
    <col min="4307" max="4307" width="36.5546875" bestFit="1" customWidth="1"/>
    <col min="4308" max="4308" width="25.109375" bestFit="1" customWidth="1"/>
    <col min="4309" max="4309" width="31.21875" bestFit="1" customWidth="1"/>
    <col min="4310" max="4310" width="31.5546875" bestFit="1" customWidth="1"/>
    <col min="4311" max="4311" width="37.6640625" bestFit="1" customWidth="1"/>
    <col min="4312" max="4312" width="22.77734375" bestFit="1" customWidth="1"/>
    <col min="4313" max="4313" width="28.88671875" bestFit="1" customWidth="1"/>
    <col min="4314" max="4314" width="25.44140625" bestFit="1" customWidth="1"/>
    <col min="4315" max="4315" width="31.6640625" bestFit="1" customWidth="1"/>
    <col min="4316" max="4316" width="30.33203125" bestFit="1" customWidth="1"/>
    <col min="4317" max="4317" width="36.5546875" bestFit="1" customWidth="1"/>
    <col min="4318" max="4318" width="25.109375" bestFit="1" customWidth="1"/>
    <col min="4319" max="4319" width="31.21875" bestFit="1" customWidth="1"/>
    <col min="4320" max="4320" width="31.5546875" bestFit="1" customWidth="1"/>
    <col min="4321" max="4321" width="37.6640625" bestFit="1" customWidth="1"/>
    <col min="4322" max="4322" width="22.77734375" bestFit="1" customWidth="1"/>
    <col min="4323" max="4323" width="28.88671875" bestFit="1" customWidth="1"/>
    <col min="4324" max="4324" width="25.44140625" bestFit="1" customWidth="1"/>
    <col min="4325" max="4325" width="31.6640625" bestFit="1" customWidth="1"/>
    <col min="4326" max="4326" width="30.33203125" bestFit="1" customWidth="1"/>
    <col min="4327" max="4327" width="36.5546875" bestFit="1" customWidth="1"/>
    <col min="4328" max="4328" width="25.109375" bestFit="1" customWidth="1"/>
    <col min="4329" max="4329" width="31.21875" bestFit="1" customWidth="1"/>
    <col min="4330" max="4330" width="31.5546875" bestFit="1" customWidth="1"/>
    <col min="4331" max="4331" width="37.6640625" bestFit="1" customWidth="1"/>
    <col min="4332" max="4332" width="22.77734375" bestFit="1" customWidth="1"/>
    <col min="4333" max="4333" width="28.88671875" bestFit="1" customWidth="1"/>
    <col min="4334" max="4334" width="25.44140625" bestFit="1" customWidth="1"/>
    <col min="4335" max="4335" width="31.6640625" bestFit="1" customWidth="1"/>
    <col min="4336" max="4336" width="30.33203125" bestFit="1" customWidth="1"/>
    <col min="4337" max="4337" width="36.5546875" bestFit="1" customWidth="1"/>
    <col min="4338" max="4338" width="25.109375" bestFit="1" customWidth="1"/>
    <col min="4339" max="4339" width="31.21875" bestFit="1" customWidth="1"/>
    <col min="4340" max="4340" width="31.5546875" bestFit="1" customWidth="1"/>
    <col min="4341" max="4341" width="37.6640625" bestFit="1" customWidth="1"/>
    <col min="4342" max="4342" width="22.77734375" bestFit="1" customWidth="1"/>
    <col min="4343" max="4343" width="28.88671875" bestFit="1" customWidth="1"/>
    <col min="4344" max="4344" width="25.44140625" bestFit="1" customWidth="1"/>
    <col min="4345" max="4345" width="31.6640625" bestFit="1" customWidth="1"/>
    <col min="4346" max="4346" width="30.33203125" bestFit="1" customWidth="1"/>
    <col min="4347" max="4347" width="36.5546875" bestFit="1" customWidth="1"/>
    <col min="4348" max="4348" width="25.109375" bestFit="1" customWidth="1"/>
    <col min="4349" max="4349" width="31.21875" bestFit="1" customWidth="1"/>
    <col min="4350" max="4350" width="31.5546875" bestFit="1" customWidth="1"/>
    <col min="4351" max="4351" width="37.6640625" bestFit="1" customWidth="1"/>
    <col min="4352" max="4352" width="22.77734375" bestFit="1" customWidth="1"/>
    <col min="4353" max="4353" width="28.88671875" bestFit="1" customWidth="1"/>
    <col min="4354" max="4354" width="25.44140625" bestFit="1" customWidth="1"/>
    <col min="4355" max="4355" width="31.6640625" bestFit="1" customWidth="1"/>
    <col min="4356" max="4356" width="30.33203125" bestFit="1" customWidth="1"/>
    <col min="4357" max="4357" width="36.5546875" bestFit="1" customWidth="1"/>
    <col min="4358" max="4358" width="25.109375" bestFit="1" customWidth="1"/>
    <col min="4359" max="4359" width="31.21875" bestFit="1" customWidth="1"/>
    <col min="4360" max="4360" width="31.5546875" bestFit="1" customWidth="1"/>
    <col min="4361" max="4361" width="37.6640625" bestFit="1" customWidth="1"/>
    <col min="4362" max="4362" width="22.77734375" bestFit="1" customWidth="1"/>
    <col min="4363" max="4363" width="28.88671875" bestFit="1" customWidth="1"/>
    <col min="4364" max="4364" width="25.44140625" bestFit="1" customWidth="1"/>
    <col min="4365" max="4365" width="31.6640625" bestFit="1" customWidth="1"/>
    <col min="4366" max="4366" width="30.33203125" bestFit="1" customWidth="1"/>
    <col min="4367" max="4367" width="36.5546875" bestFit="1" customWidth="1"/>
    <col min="4368" max="4368" width="25.109375" bestFit="1" customWidth="1"/>
    <col min="4369" max="4369" width="31.21875" bestFit="1" customWidth="1"/>
    <col min="4370" max="4370" width="31.5546875" bestFit="1" customWidth="1"/>
    <col min="4371" max="4371" width="37.6640625" bestFit="1" customWidth="1"/>
    <col min="4372" max="4372" width="22.77734375" bestFit="1" customWidth="1"/>
    <col min="4373" max="4373" width="28.88671875" bestFit="1" customWidth="1"/>
    <col min="4374" max="4374" width="25.44140625" bestFit="1" customWidth="1"/>
    <col min="4375" max="4375" width="31.6640625" bestFit="1" customWidth="1"/>
    <col min="4376" max="4376" width="30.33203125" bestFit="1" customWidth="1"/>
    <col min="4377" max="4377" width="36.5546875" bestFit="1" customWidth="1"/>
    <col min="4378" max="4378" width="25.109375" bestFit="1" customWidth="1"/>
    <col min="4379" max="4379" width="31.21875" bestFit="1" customWidth="1"/>
    <col min="4380" max="4380" width="31.5546875" bestFit="1" customWidth="1"/>
    <col min="4381" max="4381" width="37.6640625" bestFit="1" customWidth="1"/>
    <col min="4382" max="4382" width="22.77734375" bestFit="1" customWidth="1"/>
    <col min="4383" max="4383" width="28.88671875" bestFit="1" customWidth="1"/>
    <col min="4384" max="4384" width="25.44140625" bestFit="1" customWidth="1"/>
    <col min="4385" max="4385" width="31.6640625" bestFit="1" customWidth="1"/>
    <col min="4386" max="4386" width="30.33203125" bestFit="1" customWidth="1"/>
    <col min="4387" max="4387" width="36.5546875" bestFit="1" customWidth="1"/>
    <col min="4388" max="4388" width="25.109375" bestFit="1" customWidth="1"/>
    <col min="4389" max="4389" width="31.21875" bestFit="1" customWidth="1"/>
    <col min="4390" max="4390" width="31.5546875" bestFit="1" customWidth="1"/>
    <col min="4391" max="4391" width="37.6640625" bestFit="1" customWidth="1"/>
    <col min="4392" max="4392" width="22.77734375" bestFit="1" customWidth="1"/>
    <col min="4393" max="4393" width="28.88671875" bestFit="1" customWidth="1"/>
    <col min="4394" max="4394" width="25.44140625" bestFit="1" customWidth="1"/>
    <col min="4395" max="4395" width="31.6640625" bestFit="1" customWidth="1"/>
    <col min="4396" max="4396" width="30.33203125" bestFit="1" customWidth="1"/>
    <col min="4397" max="4397" width="36.5546875" bestFit="1" customWidth="1"/>
    <col min="4398" max="4398" width="25.109375" bestFit="1" customWidth="1"/>
    <col min="4399" max="4399" width="31.21875" bestFit="1" customWidth="1"/>
    <col min="4400" max="4400" width="31.5546875" bestFit="1" customWidth="1"/>
    <col min="4401" max="4401" width="37.6640625" bestFit="1" customWidth="1"/>
    <col min="4402" max="4402" width="22.77734375" bestFit="1" customWidth="1"/>
    <col min="4403" max="4403" width="28.88671875" bestFit="1" customWidth="1"/>
    <col min="4404" max="4404" width="25.44140625" bestFit="1" customWidth="1"/>
    <col min="4405" max="4405" width="31.6640625" bestFit="1" customWidth="1"/>
    <col min="4406" max="4406" width="30.33203125" bestFit="1" customWidth="1"/>
    <col min="4407" max="4407" width="36.5546875" bestFit="1" customWidth="1"/>
    <col min="4408" max="4408" width="25.109375" bestFit="1" customWidth="1"/>
    <col min="4409" max="4409" width="31.21875" bestFit="1" customWidth="1"/>
    <col min="4410" max="4410" width="31.5546875" bestFit="1" customWidth="1"/>
    <col min="4411" max="4411" width="37.6640625" bestFit="1" customWidth="1"/>
    <col min="4412" max="4412" width="22.77734375" bestFit="1" customWidth="1"/>
    <col min="4413" max="4413" width="28.88671875" bestFit="1" customWidth="1"/>
    <col min="4414" max="4414" width="25.44140625" bestFit="1" customWidth="1"/>
    <col min="4415" max="4415" width="31.6640625" bestFit="1" customWidth="1"/>
    <col min="4416" max="4416" width="30.33203125" bestFit="1" customWidth="1"/>
    <col min="4417" max="4417" width="36.5546875" bestFit="1" customWidth="1"/>
    <col min="4418" max="4418" width="25.109375" bestFit="1" customWidth="1"/>
    <col min="4419" max="4419" width="31.21875" bestFit="1" customWidth="1"/>
    <col min="4420" max="4420" width="31.5546875" bestFit="1" customWidth="1"/>
    <col min="4421" max="4421" width="37.6640625" bestFit="1" customWidth="1"/>
    <col min="4422" max="4422" width="22.77734375" bestFit="1" customWidth="1"/>
    <col min="4423" max="4423" width="28.88671875" bestFit="1" customWidth="1"/>
    <col min="4424" max="4424" width="25.44140625" bestFit="1" customWidth="1"/>
    <col min="4425" max="4425" width="31.6640625" bestFit="1" customWidth="1"/>
    <col min="4426" max="4426" width="30.33203125" bestFit="1" customWidth="1"/>
    <col min="4427" max="4427" width="36.5546875" bestFit="1" customWidth="1"/>
    <col min="4428" max="4428" width="25.109375" bestFit="1" customWidth="1"/>
    <col min="4429" max="4429" width="31.21875" bestFit="1" customWidth="1"/>
    <col min="4430" max="4430" width="31.5546875" bestFit="1" customWidth="1"/>
    <col min="4431" max="4431" width="37.6640625" bestFit="1" customWidth="1"/>
    <col min="4432" max="4432" width="22.77734375" bestFit="1" customWidth="1"/>
    <col min="4433" max="4433" width="28.88671875" bestFit="1" customWidth="1"/>
    <col min="4434" max="4434" width="25.44140625" bestFit="1" customWidth="1"/>
    <col min="4435" max="4435" width="31.6640625" bestFit="1" customWidth="1"/>
    <col min="4436" max="4436" width="30.33203125" bestFit="1" customWidth="1"/>
    <col min="4437" max="4437" width="36.5546875" bestFit="1" customWidth="1"/>
    <col min="4438" max="4438" width="25.109375" bestFit="1" customWidth="1"/>
    <col min="4439" max="4439" width="31.21875" bestFit="1" customWidth="1"/>
    <col min="4440" max="4440" width="31.5546875" bestFit="1" customWidth="1"/>
    <col min="4441" max="4441" width="37.6640625" bestFit="1" customWidth="1"/>
    <col min="4442" max="4442" width="22.77734375" bestFit="1" customWidth="1"/>
    <col min="4443" max="4443" width="28.88671875" bestFit="1" customWidth="1"/>
    <col min="4444" max="4444" width="25.44140625" bestFit="1" customWidth="1"/>
    <col min="4445" max="4445" width="31.6640625" bestFit="1" customWidth="1"/>
    <col min="4446" max="4446" width="30.33203125" bestFit="1" customWidth="1"/>
    <col min="4447" max="4447" width="36.5546875" bestFit="1" customWidth="1"/>
    <col min="4448" max="4448" width="25.109375" bestFit="1" customWidth="1"/>
    <col min="4449" max="4449" width="31.21875" bestFit="1" customWidth="1"/>
    <col min="4450" max="4450" width="31.5546875" bestFit="1" customWidth="1"/>
    <col min="4451" max="4451" width="37.6640625" bestFit="1" customWidth="1"/>
    <col min="4452" max="4452" width="22.77734375" bestFit="1" customWidth="1"/>
    <col min="4453" max="4453" width="28.88671875" bestFit="1" customWidth="1"/>
    <col min="4454" max="4454" width="25.44140625" bestFit="1" customWidth="1"/>
    <col min="4455" max="4455" width="31.6640625" bestFit="1" customWidth="1"/>
    <col min="4456" max="4456" width="30.33203125" bestFit="1" customWidth="1"/>
    <col min="4457" max="4457" width="36.5546875" bestFit="1" customWidth="1"/>
    <col min="4458" max="4458" width="25.109375" bestFit="1" customWidth="1"/>
    <col min="4459" max="4459" width="31.21875" bestFit="1" customWidth="1"/>
    <col min="4460" max="4460" width="31.5546875" bestFit="1" customWidth="1"/>
    <col min="4461" max="4461" width="37.6640625" bestFit="1" customWidth="1"/>
    <col min="4462" max="4462" width="22.77734375" bestFit="1" customWidth="1"/>
    <col min="4463" max="4463" width="28.88671875" bestFit="1" customWidth="1"/>
    <col min="4464" max="4464" width="25.44140625" bestFit="1" customWidth="1"/>
    <col min="4465" max="4465" width="31.6640625" bestFit="1" customWidth="1"/>
    <col min="4466" max="4466" width="30.33203125" bestFit="1" customWidth="1"/>
    <col min="4467" max="4467" width="36.5546875" bestFit="1" customWidth="1"/>
    <col min="4468" max="4468" width="25.109375" bestFit="1" customWidth="1"/>
    <col min="4469" max="4469" width="31.21875" bestFit="1" customWidth="1"/>
    <col min="4470" max="4470" width="31.5546875" bestFit="1" customWidth="1"/>
    <col min="4471" max="4471" width="37.6640625" bestFit="1" customWidth="1"/>
    <col min="4472" max="4472" width="22.77734375" bestFit="1" customWidth="1"/>
    <col min="4473" max="4473" width="28.88671875" bestFit="1" customWidth="1"/>
    <col min="4474" max="4474" width="25.44140625" bestFit="1" customWidth="1"/>
    <col min="4475" max="4475" width="31.6640625" bestFit="1" customWidth="1"/>
    <col min="4476" max="4476" width="30.33203125" bestFit="1" customWidth="1"/>
    <col min="4477" max="4477" width="36.5546875" bestFit="1" customWidth="1"/>
    <col min="4478" max="4478" width="25.109375" bestFit="1" customWidth="1"/>
    <col min="4479" max="4479" width="31.21875" bestFit="1" customWidth="1"/>
    <col min="4480" max="4480" width="31.5546875" bestFit="1" customWidth="1"/>
    <col min="4481" max="4481" width="37.6640625" bestFit="1" customWidth="1"/>
    <col min="4482" max="4482" width="22.77734375" bestFit="1" customWidth="1"/>
    <col min="4483" max="4483" width="28.88671875" bestFit="1" customWidth="1"/>
    <col min="4484" max="4484" width="25.44140625" bestFit="1" customWidth="1"/>
    <col min="4485" max="4485" width="31.6640625" bestFit="1" customWidth="1"/>
    <col min="4486" max="4486" width="30.33203125" bestFit="1" customWidth="1"/>
    <col min="4487" max="4487" width="36.5546875" bestFit="1" customWidth="1"/>
    <col min="4488" max="4488" width="25.109375" bestFit="1" customWidth="1"/>
    <col min="4489" max="4489" width="31.21875" bestFit="1" customWidth="1"/>
    <col min="4490" max="4490" width="31.5546875" bestFit="1" customWidth="1"/>
    <col min="4491" max="4491" width="37.6640625" bestFit="1" customWidth="1"/>
    <col min="4492" max="4492" width="22.77734375" bestFit="1" customWidth="1"/>
    <col min="4493" max="4493" width="28.88671875" bestFit="1" customWidth="1"/>
    <col min="4494" max="4494" width="25.44140625" bestFit="1" customWidth="1"/>
    <col min="4495" max="4495" width="31.6640625" bestFit="1" customWidth="1"/>
    <col min="4496" max="4496" width="30.33203125" bestFit="1" customWidth="1"/>
    <col min="4497" max="4497" width="36.5546875" bestFit="1" customWidth="1"/>
    <col min="4498" max="4498" width="25.109375" bestFit="1" customWidth="1"/>
    <col min="4499" max="4499" width="31.21875" bestFit="1" customWidth="1"/>
    <col min="4500" max="4500" width="31.5546875" bestFit="1" customWidth="1"/>
    <col min="4501" max="4501" width="37.6640625" bestFit="1" customWidth="1"/>
    <col min="4502" max="4502" width="22.77734375" bestFit="1" customWidth="1"/>
    <col min="4503" max="4503" width="28.88671875" bestFit="1" customWidth="1"/>
    <col min="4504" max="4504" width="25.44140625" bestFit="1" customWidth="1"/>
    <col min="4505" max="4505" width="31.6640625" bestFit="1" customWidth="1"/>
    <col min="4506" max="4506" width="30.33203125" bestFit="1" customWidth="1"/>
    <col min="4507" max="4507" width="36.5546875" bestFit="1" customWidth="1"/>
    <col min="4508" max="4508" width="25.109375" bestFit="1" customWidth="1"/>
    <col min="4509" max="4509" width="31.21875" bestFit="1" customWidth="1"/>
    <col min="4510" max="4510" width="31.5546875" bestFit="1" customWidth="1"/>
    <col min="4511" max="4511" width="37.6640625" bestFit="1" customWidth="1"/>
    <col min="4512" max="4512" width="22.77734375" bestFit="1" customWidth="1"/>
    <col min="4513" max="4513" width="28.88671875" bestFit="1" customWidth="1"/>
    <col min="4514" max="4514" width="25.44140625" bestFit="1" customWidth="1"/>
    <col min="4515" max="4515" width="31.6640625" bestFit="1" customWidth="1"/>
    <col min="4516" max="4516" width="30.33203125" bestFit="1" customWidth="1"/>
    <col min="4517" max="4517" width="36.5546875" bestFit="1" customWidth="1"/>
    <col min="4518" max="4518" width="25.109375" bestFit="1" customWidth="1"/>
    <col min="4519" max="4519" width="31.21875" bestFit="1" customWidth="1"/>
    <col min="4520" max="4520" width="31.5546875" bestFit="1" customWidth="1"/>
    <col min="4521" max="4521" width="37.6640625" bestFit="1" customWidth="1"/>
    <col min="4522" max="4522" width="22.77734375" bestFit="1" customWidth="1"/>
    <col min="4523" max="4523" width="28.88671875" bestFit="1" customWidth="1"/>
    <col min="4524" max="4524" width="25.44140625" bestFit="1" customWidth="1"/>
    <col min="4525" max="4525" width="31.6640625" bestFit="1" customWidth="1"/>
    <col min="4526" max="4526" width="30.33203125" bestFit="1" customWidth="1"/>
    <col min="4527" max="4527" width="36.5546875" bestFit="1" customWidth="1"/>
    <col min="4528" max="4528" width="25.109375" bestFit="1" customWidth="1"/>
    <col min="4529" max="4529" width="31.21875" bestFit="1" customWidth="1"/>
    <col min="4530" max="4530" width="31.5546875" bestFit="1" customWidth="1"/>
    <col min="4531" max="4531" width="37.6640625" bestFit="1" customWidth="1"/>
    <col min="4532" max="4532" width="22.77734375" bestFit="1" customWidth="1"/>
    <col min="4533" max="4533" width="28.88671875" bestFit="1" customWidth="1"/>
    <col min="4534" max="4534" width="25.44140625" bestFit="1" customWidth="1"/>
    <col min="4535" max="4535" width="31.6640625" bestFit="1" customWidth="1"/>
    <col min="4536" max="4536" width="30.33203125" bestFit="1" customWidth="1"/>
    <col min="4537" max="4537" width="36.5546875" bestFit="1" customWidth="1"/>
    <col min="4538" max="4538" width="25.109375" bestFit="1" customWidth="1"/>
    <col min="4539" max="4539" width="31.21875" bestFit="1" customWidth="1"/>
    <col min="4540" max="4540" width="31.5546875" bestFit="1" customWidth="1"/>
    <col min="4541" max="4541" width="37.6640625" bestFit="1" customWidth="1"/>
    <col min="4542" max="4542" width="22.77734375" bestFit="1" customWidth="1"/>
    <col min="4543" max="4543" width="28.88671875" bestFit="1" customWidth="1"/>
    <col min="4544" max="4544" width="25.44140625" bestFit="1" customWidth="1"/>
    <col min="4545" max="4545" width="31.6640625" bestFit="1" customWidth="1"/>
    <col min="4546" max="4546" width="30.33203125" bestFit="1" customWidth="1"/>
    <col min="4547" max="4547" width="36.5546875" bestFit="1" customWidth="1"/>
    <col min="4548" max="4548" width="25.109375" bestFit="1" customWidth="1"/>
    <col min="4549" max="4549" width="31.21875" bestFit="1" customWidth="1"/>
    <col min="4550" max="4550" width="31.5546875" bestFit="1" customWidth="1"/>
    <col min="4551" max="4551" width="37.6640625" bestFit="1" customWidth="1"/>
    <col min="4552" max="4552" width="22.77734375" bestFit="1" customWidth="1"/>
    <col min="4553" max="4553" width="28.88671875" bestFit="1" customWidth="1"/>
    <col min="4554" max="4554" width="25.44140625" bestFit="1" customWidth="1"/>
    <col min="4555" max="4555" width="31.6640625" bestFit="1" customWidth="1"/>
    <col min="4556" max="4556" width="30.33203125" bestFit="1" customWidth="1"/>
    <col min="4557" max="4557" width="36.5546875" bestFit="1" customWidth="1"/>
    <col min="4558" max="4558" width="25.109375" bestFit="1" customWidth="1"/>
    <col min="4559" max="4559" width="31.21875" bestFit="1" customWidth="1"/>
    <col min="4560" max="4560" width="31.5546875" bestFit="1" customWidth="1"/>
    <col min="4561" max="4561" width="37.6640625" bestFit="1" customWidth="1"/>
    <col min="4562" max="4562" width="22.77734375" bestFit="1" customWidth="1"/>
    <col min="4563" max="4563" width="28.88671875" bestFit="1" customWidth="1"/>
    <col min="4564" max="4564" width="25.44140625" bestFit="1" customWidth="1"/>
    <col min="4565" max="4565" width="31.6640625" bestFit="1" customWidth="1"/>
    <col min="4566" max="4566" width="30.33203125" bestFit="1" customWidth="1"/>
    <col min="4567" max="4567" width="36.5546875" bestFit="1" customWidth="1"/>
    <col min="4568" max="4568" width="25.109375" bestFit="1" customWidth="1"/>
    <col min="4569" max="4569" width="31.21875" bestFit="1" customWidth="1"/>
    <col min="4570" max="4570" width="31.5546875" bestFit="1" customWidth="1"/>
    <col min="4571" max="4571" width="37.6640625" bestFit="1" customWidth="1"/>
    <col min="4572" max="4572" width="22.77734375" bestFit="1" customWidth="1"/>
    <col min="4573" max="4573" width="28.88671875" bestFit="1" customWidth="1"/>
    <col min="4574" max="4574" width="25.44140625" bestFit="1" customWidth="1"/>
    <col min="4575" max="4575" width="31.6640625" bestFit="1" customWidth="1"/>
    <col min="4576" max="4576" width="30.33203125" bestFit="1" customWidth="1"/>
    <col min="4577" max="4577" width="36.5546875" bestFit="1" customWidth="1"/>
    <col min="4578" max="4578" width="25.109375" bestFit="1" customWidth="1"/>
    <col min="4579" max="4579" width="31.21875" bestFit="1" customWidth="1"/>
    <col min="4580" max="4580" width="31.5546875" bestFit="1" customWidth="1"/>
    <col min="4581" max="4581" width="37.6640625" bestFit="1" customWidth="1"/>
    <col min="4582" max="4582" width="22.77734375" bestFit="1" customWidth="1"/>
    <col min="4583" max="4583" width="28.88671875" bestFit="1" customWidth="1"/>
    <col min="4584" max="4584" width="25.44140625" bestFit="1" customWidth="1"/>
    <col min="4585" max="4585" width="31.6640625" bestFit="1" customWidth="1"/>
    <col min="4586" max="4586" width="30.33203125" bestFit="1" customWidth="1"/>
    <col min="4587" max="4587" width="36.5546875" bestFit="1" customWidth="1"/>
    <col min="4588" max="4588" width="25.109375" bestFit="1" customWidth="1"/>
    <col min="4589" max="4589" width="31.21875" bestFit="1" customWidth="1"/>
    <col min="4590" max="4590" width="31.5546875" bestFit="1" customWidth="1"/>
    <col min="4591" max="4591" width="37.6640625" bestFit="1" customWidth="1"/>
    <col min="4592" max="4592" width="22.77734375" bestFit="1" customWidth="1"/>
    <col min="4593" max="4593" width="28.88671875" bestFit="1" customWidth="1"/>
    <col min="4594" max="4594" width="25.44140625" bestFit="1" customWidth="1"/>
    <col min="4595" max="4595" width="31.6640625" bestFit="1" customWidth="1"/>
    <col min="4596" max="4596" width="30.33203125" bestFit="1" customWidth="1"/>
    <col min="4597" max="4597" width="36.5546875" bestFit="1" customWidth="1"/>
    <col min="4598" max="4598" width="25.109375" bestFit="1" customWidth="1"/>
    <col min="4599" max="4599" width="31.21875" bestFit="1" customWidth="1"/>
    <col min="4600" max="4600" width="31.5546875" bestFit="1" customWidth="1"/>
    <col min="4601" max="4601" width="37.6640625" bestFit="1" customWidth="1"/>
    <col min="4602" max="4602" width="22.77734375" bestFit="1" customWidth="1"/>
    <col min="4603" max="4603" width="28.88671875" bestFit="1" customWidth="1"/>
    <col min="4604" max="4604" width="25.44140625" bestFit="1" customWidth="1"/>
    <col min="4605" max="4605" width="31.6640625" bestFit="1" customWidth="1"/>
    <col min="4606" max="4606" width="30.33203125" bestFit="1" customWidth="1"/>
    <col min="4607" max="4607" width="36.5546875" bestFit="1" customWidth="1"/>
    <col min="4608" max="4608" width="25.109375" bestFit="1" customWidth="1"/>
    <col min="4609" max="4609" width="31.21875" bestFit="1" customWidth="1"/>
    <col min="4610" max="4610" width="31.5546875" bestFit="1" customWidth="1"/>
    <col min="4611" max="4611" width="37.6640625" bestFit="1" customWidth="1"/>
    <col min="4612" max="4612" width="22.77734375" bestFit="1" customWidth="1"/>
    <col min="4613" max="4613" width="28.88671875" bestFit="1" customWidth="1"/>
    <col min="4614" max="4614" width="25.44140625" bestFit="1" customWidth="1"/>
    <col min="4615" max="4615" width="31.6640625" bestFit="1" customWidth="1"/>
    <col min="4616" max="4616" width="30.33203125" bestFit="1" customWidth="1"/>
    <col min="4617" max="4617" width="36.5546875" bestFit="1" customWidth="1"/>
    <col min="4618" max="4618" width="25.109375" bestFit="1" customWidth="1"/>
    <col min="4619" max="4619" width="31.21875" bestFit="1" customWidth="1"/>
    <col min="4620" max="4620" width="31.5546875" bestFit="1" customWidth="1"/>
    <col min="4621" max="4621" width="37.6640625" bestFit="1" customWidth="1"/>
    <col min="4622" max="4622" width="22.77734375" bestFit="1" customWidth="1"/>
    <col min="4623" max="4623" width="28.88671875" bestFit="1" customWidth="1"/>
    <col min="4624" max="4624" width="25.44140625" bestFit="1" customWidth="1"/>
    <col min="4625" max="4625" width="31.6640625" bestFit="1" customWidth="1"/>
    <col min="4626" max="4626" width="30.33203125" bestFit="1" customWidth="1"/>
    <col min="4627" max="4627" width="36.5546875" bestFit="1" customWidth="1"/>
    <col min="4628" max="4628" width="25.109375" bestFit="1" customWidth="1"/>
    <col min="4629" max="4629" width="31.21875" bestFit="1" customWidth="1"/>
    <col min="4630" max="4630" width="31.5546875" bestFit="1" customWidth="1"/>
    <col min="4631" max="4631" width="37.6640625" bestFit="1" customWidth="1"/>
    <col min="4632" max="4632" width="22.77734375" bestFit="1" customWidth="1"/>
    <col min="4633" max="4633" width="28.88671875" bestFit="1" customWidth="1"/>
    <col min="4634" max="4634" width="25.44140625" bestFit="1" customWidth="1"/>
    <col min="4635" max="4635" width="31.6640625" bestFit="1" customWidth="1"/>
    <col min="4636" max="4636" width="30.33203125" bestFit="1" customWidth="1"/>
    <col min="4637" max="4637" width="36.5546875" bestFit="1" customWidth="1"/>
    <col min="4638" max="4638" width="25.109375" bestFit="1" customWidth="1"/>
    <col min="4639" max="4639" width="31.21875" bestFit="1" customWidth="1"/>
    <col min="4640" max="4640" width="31.5546875" bestFit="1" customWidth="1"/>
    <col min="4641" max="4641" width="37.6640625" bestFit="1" customWidth="1"/>
    <col min="4642" max="4642" width="22.77734375" bestFit="1" customWidth="1"/>
    <col min="4643" max="4643" width="28.88671875" bestFit="1" customWidth="1"/>
    <col min="4644" max="4644" width="25.44140625" bestFit="1" customWidth="1"/>
    <col min="4645" max="4645" width="31.6640625" bestFit="1" customWidth="1"/>
    <col min="4646" max="4646" width="30.33203125" bestFit="1" customWidth="1"/>
    <col min="4647" max="4647" width="36.5546875" bestFit="1" customWidth="1"/>
    <col min="4648" max="4648" width="25.109375" bestFit="1" customWidth="1"/>
    <col min="4649" max="4649" width="31.21875" bestFit="1" customWidth="1"/>
    <col min="4650" max="4650" width="31.5546875" bestFit="1" customWidth="1"/>
    <col min="4651" max="4651" width="37.6640625" bestFit="1" customWidth="1"/>
    <col min="4652" max="4652" width="22.77734375" bestFit="1" customWidth="1"/>
    <col min="4653" max="4653" width="28.88671875" bestFit="1" customWidth="1"/>
    <col min="4654" max="4654" width="25.44140625" bestFit="1" customWidth="1"/>
    <col min="4655" max="4655" width="31.6640625" bestFit="1" customWidth="1"/>
    <col min="4656" max="4656" width="30.33203125" bestFit="1" customWidth="1"/>
    <col min="4657" max="4657" width="36.5546875" bestFit="1" customWidth="1"/>
    <col min="4658" max="4658" width="25.109375" bestFit="1" customWidth="1"/>
    <col min="4659" max="4659" width="31.21875" bestFit="1" customWidth="1"/>
    <col min="4660" max="4660" width="31.5546875" bestFit="1" customWidth="1"/>
    <col min="4661" max="4661" width="37.6640625" bestFit="1" customWidth="1"/>
    <col min="4662" max="4662" width="22.77734375" bestFit="1" customWidth="1"/>
    <col min="4663" max="4663" width="28.88671875" bestFit="1" customWidth="1"/>
    <col min="4664" max="4664" width="25.44140625" bestFit="1" customWidth="1"/>
    <col min="4665" max="4665" width="31.6640625" bestFit="1" customWidth="1"/>
    <col min="4666" max="4666" width="30.33203125" bestFit="1" customWidth="1"/>
    <col min="4667" max="4667" width="36.5546875" bestFit="1" customWidth="1"/>
    <col min="4668" max="4668" width="25.109375" bestFit="1" customWidth="1"/>
    <col min="4669" max="4669" width="31.21875" bestFit="1" customWidth="1"/>
    <col min="4670" max="4670" width="31.5546875" bestFit="1" customWidth="1"/>
    <col min="4671" max="4671" width="37.6640625" bestFit="1" customWidth="1"/>
    <col min="4672" max="4672" width="22.77734375" bestFit="1" customWidth="1"/>
    <col min="4673" max="4673" width="28.88671875" bestFit="1" customWidth="1"/>
    <col min="4674" max="4674" width="25.44140625" bestFit="1" customWidth="1"/>
    <col min="4675" max="4675" width="31.6640625" bestFit="1" customWidth="1"/>
    <col min="4676" max="4676" width="30.33203125" bestFit="1" customWidth="1"/>
    <col min="4677" max="4677" width="36.5546875" bestFit="1" customWidth="1"/>
    <col min="4678" max="4678" width="25.109375" bestFit="1" customWidth="1"/>
    <col min="4679" max="4679" width="31.21875" bestFit="1" customWidth="1"/>
    <col min="4680" max="4680" width="31.5546875" bestFit="1" customWidth="1"/>
    <col min="4681" max="4681" width="37.6640625" bestFit="1" customWidth="1"/>
    <col min="4682" max="4682" width="22.77734375" bestFit="1" customWidth="1"/>
    <col min="4683" max="4683" width="28.88671875" bestFit="1" customWidth="1"/>
    <col min="4684" max="4684" width="25.44140625" bestFit="1" customWidth="1"/>
    <col min="4685" max="4685" width="31.6640625" bestFit="1" customWidth="1"/>
    <col min="4686" max="4686" width="30.33203125" bestFit="1" customWidth="1"/>
    <col min="4687" max="4687" width="36.5546875" bestFit="1" customWidth="1"/>
    <col min="4688" max="4688" width="25.109375" bestFit="1" customWidth="1"/>
    <col min="4689" max="4689" width="31.21875" bestFit="1" customWidth="1"/>
    <col min="4690" max="4690" width="31.5546875" bestFit="1" customWidth="1"/>
    <col min="4691" max="4691" width="37.6640625" bestFit="1" customWidth="1"/>
    <col min="4692" max="4692" width="22.77734375" bestFit="1" customWidth="1"/>
    <col min="4693" max="4693" width="28.88671875" bestFit="1" customWidth="1"/>
    <col min="4694" max="4694" width="25.44140625" bestFit="1" customWidth="1"/>
    <col min="4695" max="4695" width="31.6640625" bestFit="1" customWidth="1"/>
    <col min="4696" max="4696" width="30.33203125" bestFit="1" customWidth="1"/>
    <col min="4697" max="4697" width="36.5546875" bestFit="1" customWidth="1"/>
    <col min="4698" max="4698" width="25.109375" bestFit="1" customWidth="1"/>
    <col min="4699" max="4699" width="31.21875" bestFit="1" customWidth="1"/>
    <col min="4700" max="4700" width="31.5546875" bestFit="1" customWidth="1"/>
    <col min="4701" max="4701" width="37.6640625" bestFit="1" customWidth="1"/>
    <col min="4702" max="4702" width="22.77734375" bestFit="1" customWidth="1"/>
    <col min="4703" max="4703" width="28.88671875" bestFit="1" customWidth="1"/>
    <col min="4704" max="4704" width="25.44140625" bestFit="1" customWidth="1"/>
    <col min="4705" max="4705" width="31.6640625" bestFit="1" customWidth="1"/>
    <col min="4706" max="4706" width="30.33203125" bestFit="1" customWidth="1"/>
    <col min="4707" max="4707" width="36.5546875" bestFit="1" customWidth="1"/>
    <col min="4708" max="4708" width="25.109375" bestFit="1" customWidth="1"/>
    <col min="4709" max="4709" width="31.21875" bestFit="1" customWidth="1"/>
    <col min="4710" max="4710" width="31.5546875" bestFit="1" customWidth="1"/>
    <col min="4711" max="4711" width="37.6640625" bestFit="1" customWidth="1"/>
    <col min="4712" max="4712" width="22.77734375" bestFit="1" customWidth="1"/>
    <col min="4713" max="4713" width="28.88671875" bestFit="1" customWidth="1"/>
    <col min="4714" max="4714" width="25.44140625" bestFit="1" customWidth="1"/>
    <col min="4715" max="4715" width="31.6640625" bestFit="1" customWidth="1"/>
    <col min="4716" max="4716" width="30.33203125" bestFit="1" customWidth="1"/>
    <col min="4717" max="4717" width="36.5546875" bestFit="1" customWidth="1"/>
    <col min="4718" max="4718" width="25.109375" bestFit="1" customWidth="1"/>
    <col min="4719" max="4719" width="31.21875" bestFit="1" customWidth="1"/>
    <col min="4720" max="4720" width="31.5546875" bestFit="1" customWidth="1"/>
    <col min="4721" max="4721" width="37.6640625" bestFit="1" customWidth="1"/>
    <col min="4722" max="4722" width="22.77734375" bestFit="1" customWidth="1"/>
    <col min="4723" max="4723" width="28.88671875" bestFit="1" customWidth="1"/>
    <col min="4724" max="4724" width="25.44140625" bestFit="1" customWidth="1"/>
    <col min="4725" max="4725" width="31.6640625" bestFit="1" customWidth="1"/>
    <col min="4726" max="4726" width="30.33203125" bestFit="1" customWidth="1"/>
    <col min="4727" max="4727" width="36.5546875" bestFit="1" customWidth="1"/>
    <col min="4728" max="4728" width="25.109375" bestFit="1" customWidth="1"/>
    <col min="4729" max="4729" width="31.21875" bestFit="1" customWidth="1"/>
    <col min="4730" max="4730" width="31.5546875" bestFit="1" customWidth="1"/>
    <col min="4731" max="4731" width="37.6640625" bestFit="1" customWidth="1"/>
    <col min="4732" max="4732" width="22.77734375" bestFit="1" customWidth="1"/>
    <col min="4733" max="4733" width="28.88671875" bestFit="1" customWidth="1"/>
    <col min="4734" max="4734" width="25.44140625" bestFit="1" customWidth="1"/>
    <col min="4735" max="4735" width="31.6640625" bestFit="1" customWidth="1"/>
    <col min="4736" max="4736" width="30.33203125" bestFit="1" customWidth="1"/>
    <col min="4737" max="4737" width="36.5546875" bestFit="1" customWidth="1"/>
    <col min="4738" max="4738" width="25.109375" bestFit="1" customWidth="1"/>
    <col min="4739" max="4739" width="31.21875" bestFit="1" customWidth="1"/>
    <col min="4740" max="4740" width="31.5546875" bestFit="1" customWidth="1"/>
    <col min="4741" max="4741" width="37.6640625" bestFit="1" customWidth="1"/>
    <col min="4742" max="4742" width="22.77734375" bestFit="1" customWidth="1"/>
    <col min="4743" max="4743" width="28.88671875" bestFit="1" customWidth="1"/>
    <col min="4744" max="4744" width="25.44140625" bestFit="1" customWidth="1"/>
    <col min="4745" max="4745" width="31.6640625" bestFit="1" customWidth="1"/>
    <col min="4746" max="4746" width="30.33203125" bestFit="1" customWidth="1"/>
    <col min="4747" max="4747" width="36.5546875" bestFit="1" customWidth="1"/>
    <col min="4748" max="4748" width="25.109375" bestFit="1" customWidth="1"/>
    <col min="4749" max="4749" width="31.21875" bestFit="1" customWidth="1"/>
    <col min="4750" max="4750" width="31.5546875" bestFit="1" customWidth="1"/>
    <col min="4751" max="4751" width="37.6640625" bestFit="1" customWidth="1"/>
    <col min="4752" max="4752" width="22.77734375" bestFit="1" customWidth="1"/>
    <col min="4753" max="4753" width="28.88671875" bestFit="1" customWidth="1"/>
    <col min="4754" max="4754" width="25.44140625" bestFit="1" customWidth="1"/>
    <col min="4755" max="4755" width="31.6640625" bestFit="1" customWidth="1"/>
    <col min="4756" max="4756" width="30.33203125" bestFit="1" customWidth="1"/>
    <col min="4757" max="4757" width="36.5546875" bestFit="1" customWidth="1"/>
    <col min="4758" max="4758" width="25.109375" bestFit="1" customWidth="1"/>
    <col min="4759" max="4759" width="31.21875" bestFit="1" customWidth="1"/>
    <col min="4760" max="4760" width="31.5546875" bestFit="1" customWidth="1"/>
    <col min="4761" max="4761" width="37.6640625" bestFit="1" customWidth="1"/>
    <col min="4762" max="4762" width="22.77734375" bestFit="1" customWidth="1"/>
    <col min="4763" max="4763" width="28.88671875" bestFit="1" customWidth="1"/>
    <col min="4764" max="4764" width="25.44140625" bestFit="1" customWidth="1"/>
    <col min="4765" max="4765" width="31.6640625" bestFit="1" customWidth="1"/>
    <col min="4766" max="4766" width="30.33203125" bestFit="1" customWidth="1"/>
    <col min="4767" max="4767" width="36.5546875" bestFit="1" customWidth="1"/>
    <col min="4768" max="4768" width="25.109375" bestFit="1" customWidth="1"/>
    <col min="4769" max="4769" width="31.21875" bestFit="1" customWidth="1"/>
    <col min="4770" max="4770" width="31.5546875" bestFit="1" customWidth="1"/>
    <col min="4771" max="4771" width="37.6640625" bestFit="1" customWidth="1"/>
    <col min="4772" max="4772" width="22.77734375" bestFit="1" customWidth="1"/>
    <col min="4773" max="4773" width="28.88671875" bestFit="1" customWidth="1"/>
    <col min="4774" max="4774" width="25.44140625" bestFit="1" customWidth="1"/>
    <col min="4775" max="4775" width="31.6640625" bestFit="1" customWidth="1"/>
    <col min="4776" max="4776" width="30.33203125" bestFit="1" customWidth="1"/>
    <col min="4777" max="4777" width="36.5546875" bestFit="1" customWidth="1"/>
    <col min="4778" max="4778" width="25.109375" bestFit="1" customWidth="1"/>
    <col min="4779" max="4779" width="31.21875" bestFit="1" customWidth="1"/>
    <col min="4780" max="4780" width="31.5546875" bestFit="1" customWidth="1"/>
    <col min="4781" max="4781" width="37.6640625" bestFit="1" customWidth="1"/>
    <col min="4782" max="4782" width="22.77734375" bestFit="1" customWidth="1"/>
    <col min="4783" max="4783" width="28.88671875" bestFit="1" customWidth="1"/>
    <col min="4784" max="4784" width="25.44140625" bestFit="1" customWidth="1"/>
    <col min="4785" max="4785" width="31.6640625" bestFit="1" customWidth="1"/>
    <col min="4786" max="4786" width="30.33203125" bestFit="1" customWidth="1"/>
    <col min="4787" max="4787" width="36.5546875" bestFit="1" customWidth="1"/>
    <col min="4788" max="4788" width="25.109375" bestFit="1" customWidth="1"/>
    <col min="4789" max="4789" width="31.21875" bestFit="1" customWidth="1"/>
    <col min="4790" max="4790" width="31.5546875" bestFit="1" customWidth="1"/>
    <col min="4791" max="4791" width="37.6640625" bestFit="1" customWidth="1"/>
    <col min="4792" max="4792" width="22.77734375" bestFit="1" customWidth="1"/>
    <col min="4793" max="4793" width="28.88671875" bestFit="1" customWidth="1"/>
    <col min="4794" max="4794" width="25.44140625" bestFit="1" customWidth="1"/>
    <col min="4795" max="4795" width="31.6640625" bestFit="1" customWidth="1"/>
    <col min="4796" max="4796" width="30.33203125" bestFit="1" customWidth="1"/>
    <col min="4797" max="4797" width="36.5546875" bestFit="1" customWidth="1"/>
    <col min="4798" max="4798" width="25.109375" bestFit="1" customWidth="1"/>
    <col min="4799" max="4799" width="31.21875" bestFit="1" customWidth="1"/>
    <col min="4800" max="4800" width="31.5546875" bestFit="1" customWidth="1"/>
    <col min="4801" max="4801" width="37.6640625" bestFit="1" customWidth="1"/>
    <col min="4802" max="4802" width="22.77734375" bestFit="1" customWidth="1"/>
    <col min="4803" max="4803" width="28.88671875" bestFit="1" customWidth="1"/>
    <col min="4804" max="4804" width="25.44140625" bestFit="1" customWidth="1"/>
    <col min="4805" max="4805" width="31.6640625" bestFit="1" customWidth="1"/>
    <col min="4806" max="4806" width="30.33203125" bestFit="1" customWidth="1"/>
    <col min="4807" max="4807" width="36.5546875" bestFit="1" customWidth="1"/>
    <col min="4808" max="4808" width="25.109375" bestFit="1" customWidth="1"/>
    <col min="4809" max="4809" width="31.21875" bestFit="1" customWidth="1"/>
    <col min="4810" max="4810" width="31.5546875" bestFit="1" customWidth="1"/>
    <col min="4811" max="4811" width="37.6640625" bestFit="1" customWidth="1"/>
    <col min="4812" max="4812" width="22.77734375" bestFit="1" customWidth="1"/>
    <col min="4813" max="4813" width="28.88671875" bestFit="1" customWidth="1"/>
    <col min="4814" max="4814" width="25.44140625" bestFit="1" customWidth="1"/>
    <col min="4815" max="4815" width="31.6640625" bestFit="1" customWidth="1"/>
    <col min="4816" max="4816" width="30.33203125" bestFit="1" customWidth="1"/>
    <col min="4817" max="4817" width="36.5546875" bestFit="1" customWidth="1"/>
    <col min="4818" max="4818" width="25.109375" bestFit="1" customWidth="1"/>
    <col min="4819" max="4819" width="31.21875" bestFit="1" customWidth="1"/>
    <col min="4820" max="4820" width="31.5546875" bestFit="1" customWidth="1"/>
    <col min="4821" max="4821" width="37.6640625" bestFit="1" customWidth="1"/>
    <col min="4822" max="4822" width="22.77734375" bestFit="1" customWidth="1"/>
    <col min="4823" max="4823" width="28.88671875" bestFit="1" customWidth="1"/>
    <col min="4824" max="4824" width="25.44140625" bestFit="1" customWidth="1"/>
    <col min="4825" max="4825" width="31.6640625" bestFit="1" customWidth="1"/>
    <col min="4826" max="4826" width="30.33203125" bestFit="1" customWidth="1"/>
    <col min="4827" max="4827" width="36.5546875" bestFit="1" customWidth="1"/>
    <col min="4828" max="4828" width="25.109375" bestFit="1" customWidth="1"/>
    <col min="4829" max="4829" width="31.21875" bestFit="1" customWidth="1"/>
    <col min="4830" max="4830" width="31.5546875" bestFit="1" customWidth="1"/>
    <col min="4831" max="4831" width="37.6640625" bestFit="1" customWidth="1"/>
    <col min="4832" max="4832" width="22.77734375" bestFit="1" customWidth="1"/>
    <col min="4833" max="4833" width="28.88671875" bestFit="1" customWidth="1"/>
    <col min="4834" max="4834" width="25.44140625" bestFit="1" customWidth="1"/>
    <col min="4835" max="4835" width="31.6640625" bestFit="1" customWidth="1"/>
    <col min="4836" max="4836" width="30.33203125" bestFit="1" customWidth="1"/>
    <col min="4837" max="4837" width="36.5546875" bestFit="1" customWidth="1"/>
    <col min="4838" max="4838" width="25.109375" bestFit="1" customWidth="1"/>
    <col min="4839" max="4839" width="31.21875" bestFit="1" customWidth="1"/>
    <col min="4840" max="4840" width="31.5546875" bestFit="1" customWidth="1"/>
    <col min="4841" max="4841" width="37.6640625" bestFit="1" customWidth="1"/>
    <col min="4842" max="4842" width="22.77734375" bestFit="1" customWidth="1"/>
    <col min="4843" max="4843" width="28.88671875" bestFit="1" customWidth="1"/>
    <col min="4844" max="4844" width="25.44140625" bestFit="1" customWidth="1"/>
    <col min="4845" max="4845" width="31.6640625" bestFit="1" customWidth="1"/>
    <col min="4846" max="4846" width="30.33203125" bestFit="1" customWidth="1"/>
    <col min="4847" max="4847" width="36.5546875" bestFit="1" customWidth="1"/>
    <col min="4848" max="4848" width="25.109375" bestFit="1" customWidth="1"/>
    <col min="4849" max="4849" width="31.21875" bestFit="1" customWidth="1"/>
    <col min="4850" max="4850" width="31.5546875" bestFit="1" customWidth="1"/>
    <col min="4851" max="4851" width="37.6640625" bestFit="1" customWidth="1"/>
    <col min="4852" max="4852" width="22.77734375" bestFit="1" customWidth="1"/>
    <col min="4853" max="4853" width="28.88671875" bestFit="1" customWidth="1"/>
    <col min="4854" max="4854" width="25.44140625" bestFit="1" customWidth="1"/>
    <col min="4855" max="4855" width="31.6640625" bestFit="1" customWidth="1"/>
    <col min="4856" max="4856" width="30.33203125" bestFit="1" customWidth="1"/>
    <col min="4857" max="4857" width="36.5546875" bestFit="1" customWidth="1"/>
    <col min="4858" max="4858" width="25.109375" bestFit="1" customWidth="1"/>
    <col min="4859" max="4859" width="31.21875" bestFit="1" customWidth="1"/>
    <col min="4860" max="4860" width="31.5546875" bestFit="1" customWidth="1"/>
    <col min="4861" max="4861" width="37.6640625" bestFit="1" customWidth="1"/>
    <col min="4862" max="4862" width="22.77734375" bestFit="1" customWidth="1"/>
    <col min="4863" max="4863" width="28.88671875" bestFit="1" customWidth="1"/>
    <col min="4864" max="4864" width="25.44140625" bestFit="1" customWidth="1"/>
    <col min="4865" max="4865" width="31.6640625" bestFit="1" customWidth="1"/>
    <col min="4866" max="4866" width="30.33203125" bestFit="1" customWidth="1"/>
    <col min="4867" max="4867" width="36.5546875" bestFit="1" customWidth="1"/>
    <col min="4868" max="4868" width="25.109375" bestFit="1" customWidth="1"/>
    <col min="4869" max="4869" width="31.21875" bestFit="1" customWidth="1"/>
    <col min="4870" max="4870" width="31.5546875" bestFit="1" customWidth="1"/>
    <col min="4871" max="4871" width="37.6640625" bestFit="1" customWidth="1"/>
    <col min="4872" max="4872" width="22.77734375" bestFit="1" customWidth="1"/>
    <col min="4873" max="4873" width="28.88671875" bestFit="1" customWidth="1"/>
    <col min="4874" max="4874" width="25.44140625" bestFit="1" customWidth="1"/>
    <col min="4875" max="4875" width="31.6640625" bestFit="1" customWidth="1"/>
    <col min="4876" max="4876" width="30.33203125" bestFit="1" customWidth="1"/>
    <col min="4877" max="4877" width="36.5546875" bestFit="1" customWidth="1"/>
    <col min="4878" max="4878" width="25.109375" bestFit="1" customWidth="1"/>
    <col min="4879" max="4879" width="31.21875" bestFit="1" customWidth="1"/>
    <col min="4880" max="4880" width="31.5546875" bestFit="1" customWidth="1"/>
    <col min="4881" max="4881" width="37.6640625" bestFit="1" customWidth="1"/>
    <col min="4882" max="4882" width="22.77734375" bestFit="1" customWidth="1"/>
    <col min="4883" max="4883" width="28.88671875" bestFit="1" customWidth="1"/>
    <col min="4884" max="4884" width="25.44140625" bestFit="1" customWidth="1"/>
    <col min="4885" max="4885" width="31.6640625" bestFit="1" customWidth="1"/>
    <col min="4886" max="4886" width="30.33203125" bestFit="1" customWidth="1"/>
    <col min="4887" max="4887" width="36.5546875" bestFit="1" customWidth="1"/>
    <col min="4888" max="4888" width="25.109375" bestFit="1" customWidth="1"/>
    <col min="4889" max="4889" width="31.21875" bestFit="1" customWidth="1"/>
    <col min="4890" max="4890" width="31.5546875" bestFit="1" customWidth="1"/>
    <col min="4891" max="4891" width="37.6640625" bestFit="1" customWidth="1"/>
    <col min="4892" max="4892" width="22.77734375" bestFit="1" customWidth="1"/>
    <col min="4893" max="4893" width="28.88671875" bestFit="1" customWidth="1"/>
    <col min="4894" max="4894" width="25.44140625" bestFit="1" customWidth="1"/>
    <col min="4895" max="4895" width="31.6640625" bestFit="1" customWidth="1"/>
    <col min="4896" max="4896" width="30.33203125" bestFit="1" customWidth="1"/>
    <col min="4897" max="4897" width="36.5546875" bestFit="1" customWidth="1"/>
    <col min="4898" max="4898" width="25.109375" bestFit="1" customWidth="1"/>
    <col min="4899" max="4899" width="31.21875" bestFit="1" customWidth="1"/>
    <col min="4900" max="4900" width="31.5546875" bestFit="1" customWidth="1"/>
    <col min="4901" max="4901" width="37.6640625" bestFit="1" customWidth="1"/>
    <col min="4902" max="4902" width="22.77734375" bestFit="1" customWidth="1"/>
    <col min="4903" max="4903" width="28.88671875" bestFit="1" customWidth="1"/>
    <col min="4904" max="4904" width="25.44140625" bestFit="1" customWidth="1"/>
    <col min="4905" max="4905" width="31.6640625" bestFit="1" customWidth="1"/>
    <col min="4906" max="4906" width="30.33203125" bestFit="1" customWidth="1"/>
    <col min="4907" max="4907" width="36.5546875" bestFit="1" customWidth="1"/>
    <col min="4908" max="4908" width="25.109375" bestFit="1" customWidth="1"/>
    <col min="4909" max="4909" width="31.21875" bestFit="1" customWidth="1"/>
    <col min="4910" max="4910" width="31.5546875" bestFit="1" customWidth="1"/>
    <col min="4911" max="4911" width="37.6640625" bestFit="1" customWidth="1"/>
    <col min="4912" max="4912" width="22.77734375" bestFit="1" customWidth="1"/>
    <col min="4913" max="4913" width="28.88671875" bestFit="1" customWidth="1"/>
    <col min="4914" max="4914" width="25.44140625" bestFit="1" customWidth="1"/>
    <col min="4915" max="4915" width="31.6640625" bestFit="1" customWidth="1"/>
    <col min="4916" max="4916" width="30.33203125" bestFit="1" customWidth="1"/>
    <col min="4917" max="4917" width="36.5546875" bestFit="1" customWidth="1"/>
    <col min="4918" max="4918" width="25.109375" bestFit="1" customWidth="1"/>
    <col min="4919" max="4919" width="31.21875" bestFit="1" customWidth="1"/>
    <col min="4920" max="4920" width="31.5546875" bestFit="1" customWidth="1"/>
    <col min="4921" max="4921" width="37.6640625" bestFit="1" customWidth="1"/>
    <col min="4922" max="4922" width="22.77734375" bestFit="1" customWidth="1"/>
    <col min="4923" max="4923" width="28.88671875" bestFit="1" customWidth="1"/>
    <col min="4924" max="4924" width="25.44140625" bestFit="1" customWidth="1"/>
    <col min="4925" max="4925" width="31.6640625" bestFit="1" customWidth="1"/>
    <col min="4926" max="4926" width="30.33203125" bestFit="1" customWidth="1"/>
    <col min="4927" max="4927" width="36.5546875" bestFit="1" customWidth="1"/>
    <col min="4928" max="4928" width="25.109375" bestFit="1" customWidth="1"/>
    <col min="4929" max="4929" width="31.21875" bestFit="1" customWidth="1"/>
    <col min="4930" max="4930" width="31.5546875" bestFit="1" customWidth="1"/>
    <col min="4931" max="4931" width="37.6640625" bestFit="1" customWidth="1"/>
    <col min="4932" max="4932" width="22.77734375" bestFit="1" customWidth="1"/>
    <col min="4933" max="4933" width="28.88671875" bestFit="1" customWidth="1"/>
    <col min="4934" max="4934" width="25.44140625" bestFit="1" customWidth="1"/>
    <col min="4935" max="4935" width="31.6640625" bestFit="1" customWidth="1"/>
    <col min="4936" max="4936" width="30.33203125" bestFit="1" customWidth="1"/>
    <col min="4937" max="4937" width="36.5546875" bestFit="1" customWidth="1"/>
    <col min="4938" max="4938" width="25.109375" bestFit="1" customWidth="1"/>
    <col min="4939" max="4939" width="31.21875" bestFit="1" customWidth="1"/>
    <col min="4940" max="4940" width="31.5546875" bestFit="1" customWidth="1"/>
    <col min="4941" max="4941" width="37.6640625" bestFit="1" customWidth="1"/>
    <col min="4942" max="4942" width="22.77734375" bestFit="1" customWidth="1"/>
    <col min="4943" max="4943" width="28.88671875" bestFit="1" customWidth="1"/>
    <col min="4944" max="4944" width="25.44140625" bestFit="1" customWidth="1"/>
    <col min="4945" max="4945" width="31.6640625" bestFit="1" customWidth="1"/>
    <col min="4946" max="4946" width="30.33203125" bestFit="1" customWidth="1"/>
    <col min="4947" max="4947" width="36.5546875" bestFit="1" customWidth="1"/>
    <col min="4948" max="4948" width="25.109375" bestFit="1" customWidth="1"/>
    <col min="4949" max="4949" width="31.21875" bestFit="1" customWidth="1"/>
    <col min="4950" max="4950" width="31.5546875" bestFit="1" customWidth="1"/>
    <col min="4951" max="4951" width="37.6640625" bestFit="1" customWidth="1"/>
    <col min="4952" max="4952" width="22.77734375" bestFit="1" customWidth="1"/>
    <col min="4953" max="4953" width="28.88671875" bestFit="1" customWidth="1"/>
    <col min="4954" max="4954" width="25.44140625" bestFit="1" customWidth="1"/>
    <col min="4955" max="4955" width="31.6640625" bestFit="1" customWidth="1"/>
    <col min="4956" max="4956" width="30.33203125" bestFit="1" customWidth="1"/>
    <col min="4957" max="4957" width="36.5546875" bestFit="1" customWidth="1"/>
    <col min="4958" max="4958" width="25.109375" bestFit="1" customWidth="1"/>
    <col min="4959" max="4959" width="31.21875" bestFit="1" customWidth="1"/>
    <col min="4960" max="4960" width="31.5546875" bestFit="1" customWidth="1"/>
    <col min="4961" max="4961" width="37.6640625" bestFit="1" customWidth="1"/>
    <col min="4962" max="4962" width="22.77734375" bestFit="1" customWidth="1"/>
    <col min="4963" max="4963" width="28.88671875" bestFit="1" customWidth="1"/>
    <col min="4964" max="4964" width="25.44140625" bestFit="1" customWidth="1"/>
    <col min="4965" max="4965" width="31.6640625" bestFit="1" customWidth="1"/>
    <col min="4966" max="4966" width="30.33203125" bestFit="1" customWidth="1"/>
    <col min="4967" max="4967" width="36.5546875" bestFit="1" customWidth="1"/>
    <col min="4968" max="4968" width="25.109375" bestFit="1" customWidth="1"/>
    <col min="4969" max="4969" width="31.21875" bestFit="1" customWidth="1"/>
    <col min="4970" max="4970" width="31.5546875" bestFit="1" customWidth="1"/>
    <col min="4971" max="4971" width="37.6640625" bestFit="1" customWidth="1"/>
    <col min="4972" max="4972" width="22.77734375" bestFit="1" customWidth="1"/>
    <col min="4973" max="4973" width="28.88671875" bestFit="1" customWidth="1"/>
    <col min="4974" max="4974" width="25.44140625" bestFit="1" customWidth="1"/>
    <col min="4975" max="4975" width="31.6640625" bestFit="1" customWidth="1"/>
    <col min="4976" max="4976" width="30.33203125" bestFit="1" customWidth="1"/>
    <col min="4977" max="4977" width="36.5546875" bestFit="1" customWidth="1"/>
    <col min="4978" max="4978" width="25.109375" bestFit="1" customWidth="1"/>
    <col min="4979" max="4979" width="31.21875" bestFit="1" customWidth="1"/>
    <col min="4980" max="4980" width="31.5546875" bestFit="1" customWidth="1"/>
    <col min="4981" max="4981" width="37.6640625" bestFit="1" customWidth="1"/>
    <col min="4982" max="4982" width="22.77734375" bestFit="1" customWidth="1"/>
    <col min="4983" max="4983" width="28.88671875" bestFit="1" customWidth="1"/>
    <col min="4984" max="4984" width="25.44140625" bestFit="1" customWidth="1"/>
    <col min="4985" max="4985" width="31.6640625" bestFit="1" customWidth="1"/>
    <col min="4986" max="4986" width="30.33203125" bestFit="1" customWidth="1"/>
    <col min="4987" max="4987" width="36.5546875" bestFit="1" customWidth="1"/>
    <col min="4988" max="4988" width="25.109375" bestFit="1" customWidth="1"/>
    <col min="4989" max="4989" width="31.21875" bestFit="1" customWidth="1"/>
    <col min="4990" max="4990" width="31.5546875" bestFit="1" customWidth="1"/>
    <col min="4991" max="4991" width="37.6640625" bestFit="1" customWidth="1"/>
    <col min="4992" max="4992" width="22.77734375" bestFit="1" customWidth="1"/>
    <col min="4993" max="4993" width="28.88671875" bestFit="1" customWidth="1"/>
    <col min="4994" max="4994" width="25.44140625" bestFit="1" customWidth="1"/>
    <col min="4995" max="4995" width="31.6640625" bestFit="1" customWidth="1"/>
    <col min="4996" max="4996" width="30.33203125" bestFit="1" customWidth="1"/>
    <col min="4997" max="4997" width="36.5546875" bestFit="1" customWidth="1"/>
    <col min="4998" max="4998" width="25.109375" bestFit="1" customWidth="1"/>
    <col min="4999" max="4999" width="31.21875" bestFit="1" customWidth="1"/>
    <col min="5000" max="5000" width="31.5546875" bestFit="1" customWidth="1"/>
    <col min="5001" max="5001" width="37.6640625" bestFit="1" customWidth="1"/>
    <col min="5002" max="5002" width="22.77734375" bestFit="1" customWidth="1"/>
    <col min="5003" max="5003" width="28.88671875" bestFit="1" customWidth="1"/>
    <col min="5004" max="5004" width="25.44140625" bestFit="1" customWidth="1"/>
    <col min="5005" max="5005" width="31.6640625" bestFit="1" customWidth="1"/>
    <col min="5006" max="5006" width="30.33203125" bestFit="1" customWidth="1"/>
    <col min="5007" max="5007" width="36.5546875" bestFit="1" customWidth="1"/>
    <col min="5008" max="5008" width="25.109375" bestFit="1" customWidth="1"/>
    <col min="5009" max="5009" width="31.21875" bestFit="1" customWidth="1"/>
    <col min="5010" max="5010" width="31.5546875" bestFit="1" customWidth="1"/>
    <col min="5011" max="5011" width="37.6640625" bestFit="1" customWidth="1"/>
    <col min="5012" max="5012" width="22.77734375" bestFit="1" customWidth="1"/>
    <col min="5013" max="5013" width="28.88671875" bestFit="1" customWidth="1"/>
    <col min="5014" max="5014" width="25.44140625" bestFit="1" customWidth="1"/>
    <col min="5015" max="5015" width="31.6640625" bestFit="1" customWidth="1"/>
    <col min="5016" max="5016" width="30.33203125" bestFit="1" customWidth="1"/>
    <col min="5017" max="5017" width="36.5546875" bestFit="1" customWidth="1"/>
    <col min="5018" max="5018" width="25.109375" bestFit="1" customWidth="1"/>
    <col min="5019" max="5019" width="31.21875" bestFit="1" customWidth="1"/>
    <col min="5020" max="5020" width="31.5546875" bestFit="1" customWidth="1"/>
    <col min="5021" max="5021" width="37.6640625" bestFit="1" customWidth="1"/>
    <col min="5022" max="5022" width="22.77734375" bestFit="1" customWidth="1"/>
    <col min="5023" max="5023" width="28.88671875" bestFit="1" customWidth="1"/>
    <col min="5024" max="5024" width="25.44140625" bestFit="1" customWidth="1"/>
    <col min="5025" max="5025" width="31.6640625" bestFit="1" customWidth="1"/>
    <col min="5026" max="5026" width="30.33203125" bestFit="1" customWidth="1"/>
    <col min="5027" max="5027" width="36.5546875" bestFit="1" customWidth="1"/>
    <col min="5028" max="5028" width="25.109375" bestFit="1" customWidth="1"/>
    <col min="5029" max="5029" width="31.21875" bestFit="1" customWidth="1"/>
    <col min="5030" max="5030" width="31.5546875" bestFit="1" customWidth="1"/>
    <col min="5031" max="5031" width="37.6640625" bestFit="1" customWidth="1"/>
    <col min="5032" max="5032" width="22.77734375" bestFit="1" customWidth="1"/>
    <col min="5033" max="5033" width="28.88671875" bestFit="1" customWidth="1"/>
    <col min="5034" max="5034" width="25.44140625" bestFit="1" customWidth="1"/>
    <col min="5035" max="5035" width="31.6640625" bestFit="1" customWidth="1"/>
    <col min="5036" max="5036" width="30.33203125" bestFit="1" customWidth="1"/>
    <col min="5037" max="5037" width="36.5546875" bestFit="1" customWidth="1"/>
    <col min="5038" max="5038" width="25.109375" bestFit="1" customWidth="1"/>
    <col min="5039" max="5039" width="31.21875" bestFit="1" customWidth="1"/>
    <col min="5040" max="5040" width="31.5546875" bestFit="1" customWidth="1"/>
    <col min="5041" max="5041" width="37.6640625" bestFit="1" customWidth="1"/>
    <col min="5042" max="5042" width="22.77734375" bestFit="1" customWidth="1"/>
    <col min="5043" max="5043" width="28.88671875" bestFit="1" customWidth="1"/>
    <col min="5044" max="5044" width="25.44140625" bestFit="1" customWidth="1"/>
    <col min="5045" max="5045" width="31.6640625" bestFit="1" customWidth="1"/>
    <col min="5046" max="5046" width="30.33203125" bestFit="1" customWidth="1"/>
    <col min="5047" max="5047" width="36.5546875" bestFit="1" customWidth="1"/>
    <col min="5048" max="5048" width="25.109375" bestFit="1" customWidth="1"/>
    <col min="5049" max="5049" width="31.21875" bestFit="1" customWidth="1"/>
    <col min="5050" max="5050" width="31.5546875" bestFit="1" customWidth="1"/>
    <col min="5051" max="5051" width="37.6640625" bestFit="1" customWidth="1"/>
    <col min="5052" max="5052" width="22.77734375" bestFit="1" customWidth="1"/>
    <col min="5053" max="5053" width="28.88671875" bestFit="1" customWidth="1"/>
    <col min="5054" max="5054" width="25.44140625" bestFit="1" customWidth="1"/>
    <col min="5055" max="5055" width="31.6640625" bestFit="1" customWidth="1"/>
    <col min="5056" max="5056" width="30.33203125" bestFit="1" customWidth="1"/>
    <col min="5057" max="5057" width="36.5546875" bestFit="1" customWidth="1"/>
    <col min="5058" max="5058" width="25.109375" bestFit="1" customWidth="1"/>
    <col min="5059" max="5059" width="31.21875" bestFit="1" customWidth="1"/>
    <col min="5060" max="5060" width="31.5546875" bestFit="1" customWidth="1"/>
    <col min="5061" max="5061" width="37.6640625" bestFit="1" customWidth="1"/>
    <col min="5062" max="5062" width="22.77734375" bestFit="1" customWidth="1"/>
    <col min="5063" max="5063" width="28.88671875" bestFit="1" customWidth="1"/>
    <col min="5064" max="5064" width="25.44140625" bestFit="1" customWidth="1"/>
    <col min="5065" max="5065" width="31.6640625" bestFit="1" customWidth="1"/>
    <col min="5066" max="5066" width="30.33203125" bestFit="1" customWidth="1"/>
    <col min="5067" max="5067" width="36.5546875" bestFit="1" customWidth="1"/>
    <col min="5068" max="5068" width="25.109375" bestFit="1" customWidth="1"/>
    <col min="5069" max="5069" width="31.21875" bestFit="1" customWidth="1"/>
    <col min="5070" max="5070" width="31.5546875" bestFit="1" customWidth="1"/>
    <col min="5071" max="5071" width="37.6640625" bestFit="1" customWidth="1"/>
    <col min="5072" max="5072" width="22.77734375" bestFit="1" customWidth="1"/>
    <col min="5073" max="5073" width="28.88671875" bestFit="1" customWidth="1"/>
    <col min="5074" max="5074" width="25.44140625" bestFit="1" customWidth="1"/>
    <col min="5075" max="5075" width="31.6640625" bestFit="1" customWidth="1"/>
    <col min="5076" max="5076" width="30.33203125" bestFit="1" customWidth="1"/>
    <col min="5077" max="5077" width="36.5546875" bestFit="1" customWidth="1"/>
    <col min="5078" max="5078" width="25.109375" bestFit="1" customWidth="1"/>
    <col min="5079" max="5079" width="31.21875" bestFit="1" customWidth="1"/>
    <col min="5080" max="5080" width="31.5546875" bestFit="1" customWidth="1"/>
    <col min="5081" max="5081" width="37.6640625" bestFit="1" customWidth="1"/>
    <col min="5082" max="5082" width="22.77734375" bestFit="1" customWidth="1"/>
    <col min="5083" max="5083" width="28.88671875" bestFit="1" customWidth="1"/>
    <col min="5084" max="5084" width="25.44140625" bestFit="1" customWidth="1"/>
    <col min="5085" max="5085" width="31.6640625" bestFit="1" customWidth="1"/>
    <col min="5086" max="5086" width="30.33203125" bestFit="1" customWidth="1"/>
    <col min="5087" max="5087" width="36.5546875" bestFit="1" customWidth="1"/>
    <col min="5088" max="5088" width="25.109375" bestFit="1" customWidth="1"/>
    <col min="5089" max="5089" width="31.21875" bestFit="1" customWidth="1"/>
    <col min="5090" max="5090" width="31.5546875" bestFit="1" customWidth="1"/>
    <col min="5091" max="5091" width="37.6640625" bestFit="1" customWidth="1"/>
    <col min="5092" max="5092" width="22.77734375" bestFit="1" customWidth="1"/>
    <col min="5093" max="5093" width="28.88671875" bestFit="1" customWidth="1"/>
    <col min="5094" max="5094" width="25.44140625" bestFit="1" customWidth="1"/>
    <col min="5095" max="5095" width="31.6640625" bestFit="1" customWidth="1"/>
    <col min="5096" max="5096" width="30.33203125" bestFit="1" customWidth="1"/>
    <col min="5097" max="5097" width="36.5546875" bestFit="1" customWidth="1"/>
    <col min="5098" max="5098" width="25.109375" bestFit="1" customWidth="1"/>
    <col min="5099" max="5099" width="31.21875" bestFit="1" customWidth="1"/>
    <col min="5100" max="5100" width="31.5546875" bestFit="1" customWidth="1"/>
    <col min="5101" max="5101" width="37.6640625" bestFit="1" customWidth="1"/>
    <col min="5102" max="5102" width="22.77734375" bestFit="1" customWidth="1"/>
    <col min="5103" max="5103" width="28.88671875" bestFit="1" customWidth="1"/>
    <col min="5104" max="5104" width="25.44140625" bestFit="1" customWidth="1"/>
    <col min="5105" max="5105" width="31.6640625" bestFit="1" customWidth="1"/>
    <col min="5106" max="5106" width="30.33203125" bestFit="1" customWidth="1"/>
    <col min="5107" max="5107" width="36.5546875" bestFit="1" customWidth="1"/>
    <col min="5108" max="5108" width="25.109375" bestFit="1" customWidth="1"/>
    <col min="5109" max="5109" width="31.21875" bestFit="1" customWidth="1"/>
    <col min="5110" max="5110" width="31.5546875" bestFit="1" customWidth="1"/>
    <col min="5111" max="5111" width="37.6640625" bestFit="1" customWidth="1"/>
    <col min="5112" max="5112" width="22.77734375" bestFit="1" customWidth="1"/>
    <col min="5113" max="5113" width="28.88671875" bestFit="1" customWidth="1"/>
    <col min="5114" max="5114" width="25.44140625" bestFit="1" customWidth="1"/>
    <col min="5115" max="5115" width="31.6640625" bestFit="1" customWidth="1"/>
    <col min="5116" max="5116" width="30.33203125" bestFit="1" customWidth="1"/>
    <col min="5117" max="5117" width="36.5546875" bestFit="1" customWidth="1"/>
    <col min="5118" max="5118" width="25.109375" bestFit="1" customWidth="1"/>
    <col min="5119" max="5119" width="31.21875" bestFit="1" customWidth="1"/>
    <col min="5120" max="5120" width="31.5546875" bestFit="1" customWidth="1"/>
    <col min="5121" max="5121" width="37.6640625" bestFit="1" customWidth="1"/>
    <col min="5122" max="5122" width="22.77734375" bestFit="1" customWidth="1"/>
    <col min="5123" max="5123" width="28.88671875" bestFit="1" customWidth="1"/>
    <col min="5124" max="5124" width="25.44140625" bestFit="1" customWidth="1"/>
    <col min="5125" max="5125" width="31.6640625" bestFit="1" customWidth="1"/>
    <col min="5126" max="5126" width="30.33203125" bestFit="1" customWidth="1"/>
    <col min="5127" max="5127" width="36.5546875" bestFit="1" customWidth="1"/>
    <col min="5128" max="5128" width="25.109375" bestFit="1" customWidth="1"/>
    <col min="5129" max="5129" width="31.21875" bestFit="1" customWidth="1"/>
    <col min="5130" max="5130" width="31.5546875" bestFit="1" customWidth="1"/>
    <col min="5131" max="5131" width="37.6640625" bestFit="1" customWidth="1"/>
    <col min="5132" max="5132" width="22.77734375" bestFit="1" customWidth="1"/>
    <col min="5133" max="5133" width="28.88671875" bestFit="1" customWidth="1"/>
    <col min="5134" max="5134" width="25.44140625" bestFit="1" customWidth="1"/>
    <col min="5135" max="5135" width="31.6640625" bestFit="1" customWidth="1"/>
    <col min="5136" max="5136" width="30.33203125" bestFit="1" customWidth="1"/>
    <col min="5137" max="5137" width="36.5546875" bestFit="1" customWidth="1"/>
    <col min="5138" max="5138" width="25.109375" bestFit="1" customWidth="1"/>
    <col min="5139" max="5139" width="31.21875" bestFit="1" customWidth="1"/>
    <col min="5140" max="5140" width="31.5546875" bestFit="1" customWidth="1"/>
    <col min="5141" max="5141" width="37.6640625" bestFit="1" customWidth="1"/>
    <col min="5142" max="5142" width="22.77734375" bestFit="1" customWidth="1"/>
    <col min="5143" max="5143" width="28.88671875" bestFit="1" customWidth="1"/>
    <col min="5144" max="5144" width="25.44140625" bestFit="1" customWidth="1"/>
    <col min="5145" max="5145" width="31.6640625" bestFit="1" customWidth="1"/>
    <col min="5146" max="5146" width="30.33203125" bestFit="1" customWidth="1"/>
    <col min="5147" max="5147" width="36.5546875" bestFit="1" customWidth="1"/>
    <col min="5148" max="5148" width="25.109375" bestFit="1" customWidth="1"/>
    <col min="5149" max="5149" width="31.21875" bestFit="1" customWidth="1"/>
    <col min="5150" max="5150" width="31.5546875" bestFit="1" customWidth="1"/>
    <col min="5151" max="5151" width="37.6640625" bestFit="1" customWidth="1"/>
    <col min="5152" max="5152" width="22.77734375" bestFit="1" customWidth="1"/>
    <col min="5153" max="5153" width="28.88671875" bestFit="1" customWidth="1"/>
    <col min="5154" max="5154" width="25.44140625" bestFit="1" customWidth="1"/>
    <col min="5155" max="5155" width="31.6640625" bestFit="1" customWidth="1"/>
    <col min="5156" max="5156" width="30.33203125" bestFit="1" customWidth="1"/>
    <col min="5157" max="5157" width="36.5546875" bestFit="1" customWidth="1"/>
    <col min="5158" max="5158" width="25.109375" bestFit="1" customWidth="1"/>
    <col min="5159" max="5159" width="31.21875" bestFit="1" customWidth="1"/>
    <col min="5160" max="5160" width="31.5546875" bestFit="1" customWidth="1"/>
    <col min="5161" max="5161" width="37.6640625" bestFit="1" customWidth="1"/>
    <col min="5162" max="5162" width="22.77734375" bestFit="1" customWidth="1"/>
    <col min="5163" max="5163" width="28.88671875" bestFit="1" customWidth="1"/>
    <col min="5164" max="5164" width="25.44140625" bestFit="1" customWidth="1"/>
    <col min="5165" max="5165" width="31.6640625" bestFit="1" customWidth="1"/>
    <col min="5166" max="5166" width="30.33203125" bestFit="1" customWidth="1"/>
    <col min="5167" max="5167" width="36.5546875" bestFit="1" customWidth="1"/>
    <col min="5168" max="5168" width="25.109375" bestFit="1" customWidth="1"/>
    <col min="5169" max="5169" width="31.21875" bestFit="1" customWidth="1"/>
    <col min="5170" max="5170" width="31.5546875" bestFit="1" customWidth="1"/>
    <col min="5171" max="5171" width="37.6640625" bestFit="1" customWidth="1"/>
    <col min="5172" max="5172" width="22.77734375" bestFit="1" customWidth="1"/>
    <col min="5173" max="5173" width="28.88671875" bestFit="1" customWidth="1"/>
    <col min="5174" max="5174" width="25.44140625" bestFit="1" customWidth="1"/>
    <col min="5175" max="5175" width="31.6640625" bestFit="1" customWidth="1"/>
    <col min="5176" max="5176" width="30.33203125" bestFit="1" customWidth="1"/>
    <col min="5177" max="5177" width="36.5546875" bestFit="1" customWidth="1"/>
    <col min="5178" max="5178" width="25.109375" bestFit="1" customWidth="1"/>
    <col min="5179" max="5179" width="31.21875" bestFit="1" customWidth="1"/>
    <col min="5180" max="5180" width="31.5546875" bestFit="1" customWidth="1"/>
    <col min="5181" max="5181" width="37.6640625" bestFit="1" customWidth="1"/>
    <col min="5182" max="5182" width="22.77734375" bestFit="1" customWidth="1"/>
    <col min="5183" max="5183" width="28.88671875" bestFit="1" customWidth="1"/>
    <col min="5184" max="5184" width="25.44140625" bestFit="1" customWidth="1"/>
    <col min="5185" max="5185" width="31.6640625" bestFit="1" customWidth="1"/>
    <col min="5186" max="5186" width="30.33203125" bestFit="1" customWidth="1"/>
    <col min="5187" max="5187" width="36.5546875" bestFit="1" customWidth="1"/>
    <col min="5188" max="5188" width="25.109375" bestFit="1" customWidth="1"/>
    <col min="5189" max="5189" width="31.21875" bestFit="1" customWidth="1"/>
    <col min="5190" max="5190" width="31.5546875" bestFit="1" customWidth="1"/>
    <col min="5191" max="5191" width="37.6640625" bestFit="1" customWidth="1"/>
    <col min="5192" max="5192" width="22.77734375" bestFit="1" customWidth="1"/>
    <col min="5193" max="5193" width="28.88671875" bestFit="1" customWidth="1"/>
    <col min="5194" max="5194" width="25.44140625" bestFit="1" customWidth="1"/>
    <col min="5195" max="5195" width="31.6640625" bestFit="1" customWidth="1"/>
    <col min="5196" max="5196" width="30.33203125" bestFit="1" customWidth="1"/>
    <col min="5197" max="5197" width="36.5546875" bestFit="1" customWidth="1"/>
    <col min="5198" max="5198" width="25.109375" bestFit="1" customWidth="1"/>
    <col min="5199" max="5199" width="31.21875" bestFit="1" customWidth="1"/>
    <col min="5200" max="5200" width="31.5546875" bestFit="1" customWidth="1"/>
    <col min="5201" max="5201" width="37.6640625" bestFit="1" customWidth="1"/>
    <col min="5202" max="5202" width="22.77734375" bestFit="1" customWidth="1"/>
    <col min="5203" max="5203" width="28.88671875" bestFit="1" customWidth="1"/>
    <col min="5204" max="5204" width="25.44140625" bestFit="1" customWidth="1"/>
    <col min="5205" max="5205" width="31.6640625" bestFit="1" customWidth="1"/>
    <col min="5206" max="5206" width="30.33203125" bestFit="1" customWidth="1"/>
    <col min="5207" max="5207" width="36.5546875" bestFit="1" customWidth="1"/>
    <col min="5208" max="5208" width="25.109375" bestFit="1" customWidth="1"/>
    <col min="5209" max="5209" width="31.21875" bestFit="1" customWidth="1"/>
    <col min="5210" max="5210" width="31.5546875" bestFit="1" customWidth="1"/>
    <col min="5211" max="5211" width="37.6640625" bestFit="1" customWidth="1"/>
    <col min="5212" max="5212" width="22.77734375" bestFit="1" customWidth="1"/>
    <col min="5213" max="5213" width="28.88671875" bestFit="1" customWidth="1"/>
    <col min="5214" max="5214" width="25.44140625" bestFit="1" customWidth="1"/>
    <col min="5215" max="5215" width="31.6640625" bestFit="1" customWidth="1"/>
    <col min="5216" max="5216" width="30.33203125" bestFit="1" customWidth="1"/>
    <col min="5217" max="5217" width="36.5546875" bestFit="1" customWidth="1"/>
    <col min="5218" max="5218" width="25.109375" bestFit="1" customWidth="1"/>
    <col min="5219" max="5219" width="31.21875" bestFit="1" customWidth="1"/>
    <col min="5220" max="5220" width="31.5546875" bestFit="1" customWidth="1"/>
    <col min="5221" max="5221" width="37.6640625" bestFit="1" customWidth="1"/>
    <col min="5222" max="5222" width="22.77734375" bestFit="1" customWidth="1"/>
    <col min="5223" max="5223" width="28.88671875" bestFit="1" customWidth="1"/>
    <col min="5224" max="5224" width="25.44140625" bestFit="1" customWidth="1"/>
    <col min="5225" max="5225" width="31.6640625" bestFit="1" customWidth="1"/>
    <col min="5226" max="5226" width="30.33203125" bestFit="1" customWidth="1"/>
    <col min="5227" max="5227" width="36.5546875" bestFit="1" customWidth="1"/>
    <col min="5228" max="5228" width="25.109375" bestFit="1" customWidth="1"/>
    <col min="5229" max="5229" width="31.21875" bestFit="1" customWidth="1"/>
    <col min="5230" max="5230" width="31.5546875" bestFit="1" customWidth="1"/>
    <col min="5231" max="5231" width="37.6640625" bestFit="1" customWidth="1"/>
    <col min="5232" max="5232" width="22.77734375" bestFit="1" customWidth="1"/>
    <col min="5233" max="5233" width="28.88671875" bestFit="1" customWidth="1"/>
    <col min="5234" max="5234" width="25.44140625" bestFit="1" customWidth="1"/>
    <col min="5235" max="5235" width="31.6640625" bestFit="1" customWidth="1"/>
    <col min="5236" max="5236" width="30.33203125" bestFit="1" customWidth="1"/>
    <col min="5237" max="5237" width="36.5546875" bestFit="1" customWidth="1"/>
    <col min="5238" max="5238" width="25.109375" bestFit="1" customWidth="1"/>
    <col min="5239" max="5239" width="31.21875" bestFit="1" customWidth="1"/>
    <col min="5240" max="5240" width="31.5546875" bestFit="1" customWidth="1"/>
    <col min="5241" max="5241" width="37.6640625" bestFit="1" customWidth="1"/>
    <col min="5242" max="5242" width="22.77734375" bestFit="1" customWidth="1"/>
    <col min="5243" max="5243" width="28.88671875" bestFit="1" customWidth="1"/>
    <col min="5244" max="5244" width="25.44140625" bestFit="1" customWidth="1"/>
    <col min="5245" max="5245" width="31.6640625" bestFit="1" customWidth="1"/>
    <col min="5246" max="5246" width="30.33203125" bestFit="1" customWidth="1"/>
    <col min="5247" max="5247" width="36.5546875" bestFit="1" customWidth="1"/>
    <col min="5248" max="5248" width="25.109375" bestFit="1" customWidth="1"/>
    <col min="5249" max="5249" width="31.21875" bestFit="1" customWidth="1"/>
    <col min="5250" max="5250" width="31.5546875" bestFit="1" customWidth="1"/>
    <col min="5251" max="5251" width="37.6640625" bestFit="1" customWidth="1"/>
    <col min="5252" max="5252" width="22.77734375" bestFit="1" customWidth="1"/>
    <col min="5253" max="5253" width="28.88671875" bestFit="1" customWidth="1"/>
    <col min="5254" max="5254" width="25.44140625" bestFit="1" customWidth="1"/>
    <col min="5255" max="5255" width="31.6640625" bestFit="1" customWidth="1"/>
    <col min="5256" max="5256" width="30.33203125" bestFit="1" customWidth="1"/>
    <col min="5257" max="5257" width="36.5546875" bestFit="1" customWidth="1"/>
    <col min="5258" max="5258" width="25.109375" bestFit="1" customWidth="1"/>
    <col min="5259" max="5259" width="31.21875" bestFit="1" customWidth="1"/>
    <col min="5260" max="5260" width="31.5546875" bestFit="1" customWidth="1"/>
    <col min="5261" max="5261" width="37.6640625" bestFit="1" customWidth="1"/>
    <col min="5262" max="5262" width="22.77734375" bestFit="1" customWidth="1"/>
    <col min="5263" max="5263" width="28.88671875" bestFit="1" customWidth="1"/>
    <col min="5264" max="5264" width="25.44140625" bestFit="1" customWidth="1"/>
    <col min="5265" max="5265" width="31.6640625" bestFit="1" customWidth="1"/>
    <col min="5266" max="5266" width="30.33203125" bestFit="1" customWidth="1"/>
    <col min="5267" max="5267" width="36.5546875" bestFit="1" customWidth="1"/>
    <col min="5268" max="5268" width="25.109375" bestFit="1" customWidth="1"/>
    <col min="5269" max="5269" width="31.21875" bestFit="1" customWidth="1"/>
    <col min="5270" max="5270" width="31.5546875" bestFit="1" customWidth="1"/>
    <col min="5271" max="5271" width="37.6640625" bestFit="1" customWidth="1"/>
    <col min="5272" max="5272" width="22.77734375" bestFit="1" customWidth="1"/>
    <col min="5273" max="5273" width="28.88671875" bestFit="1" customWidth="1"/>
    <col min="5274" max="5274" width="25.44140625" bestFit="1" customWidth="1"/>
    <col min="5275" max="5275" width="31.6640625" bestFit="1" customWidth="1"/>
    <col min="5276" max="5276" width="30.33203125" bestFit="1" customWidth="1"/>
    <col min="5277" max="5277" width="36.5546875" bestFit="1" customWidth="1"/>
    <col min="5278" max="5278" width="25.109375" bestFit="1" customWidth="1"/>
    <col min="5279" max="5279" width="31.21875" bestFit="1" customWidth="1"/>
    <col min="5280" max="5280" width="31.5546875" bestFit="1" customWidth="1"/>
    <col min="5281" max="5281" width="37.6640625" bestFit="1" customWidth="1"/>
    <col min="5282" max="5282" width="22.77734375" bestFit="1" customWidth="1"/>
    <col min="5283" max="5283" width="28.88671875" bestFit="1" customWidth="1"/>
    <col min="5284" max="5284" width="25.44140625" bestFit="1" customWidth="1"/>
    <col min="5285" max="5285" width="31.6640625" bestFit="1" customWidth="1"/>
    <col min="5286" max="5286" width="30.33203125" bestFit="1" customWidth="1"/>
    <col min="5287" max="5287" width="36.5546875" bestFit="1" customWidth="1"/>
    <col min="5288" max="5288" width="25.109375" bestFit="1" customWidth="1"/>
    <col min="5289" max="5289" width="31.21875" bestFit="1" customWidth="1"/>
    <col min="5290" max="5290" width="31.5546875" bestFit="1" customWidth="1"/>
    <col min="5291" max="5291" width="37.6640625" bestFit="1" customWidth="1"/>
    <col min="5292" max="5292" width="22.77734375" bestFit="1" customWidth="1"/>
    <col min="5293" max="5293" width="28.88671875" bestFit="1" customWidth="1"/>
    <col min="5294" max="5294" width="25.44140625" bestFit="1" customWidth="1"/>
    <col min="5295" max="5295" width="31.6640625" bestFit="1" customWidth="1"/>
    <col min="5296" max="5296" width="30.33203125" bestFit="1" customWidth="1"/>
    <col min="5297" max="5297" width="36.5546875" bestFit="1" customWidth="1"/>
    <col min="5298" max="5298" width="25.109375" bestFit="1" customWidth="1"/>
    <col min="5299" max="5299" width="31.21875" bestFit="1" customWidth="1"/>
    <col min="5300" max="5300" width="31.5546875" bestFit="1" customWidth="1"/>
    <col min="5301" max="5301" width="37.6640625" bestFit="1" customWidth="1"/>
    <col min="5302" max="5302" width="22.77734375" bestFit="1" customWidth="1"/>
    <col min="5303" max="5303" width="28.88671875" bestFit="1" customWidth="1"/>
    <col min="5304" max="5304" width="25.44140625" bestFit="1" customWidth="1"/>
    <col min="5305" max="5305" width="31.6640625" bestFit="1" customWidth="1"/>
    <col min="5306" max="5306" width="30.33203125" bestFit="1" customWidth="1"/>
    <col min="5307" max="5307" width="36.5546875" bestFit="1" customWidth="1"/>
    <col min="5308" max="5308" width="25.109375" bestFit="1" customWidth="1"/>
    <col min="5309" max="5309" width="31.21875" bestFit="1" customWidth="1"/>
    <col min="5310" max="5310" width="31.5546875" bestFit="1" customWidth="1"/>
    <col min="5311" max="5311" width="37.6640625" bestFit="1" customWidth="1"/>
    <col min="5312" max="5312" width="22.77734375" bestFit="1" customWidth="1"/>
    <col min="5313" max="5313" width="28.88671875" bestFit="1" customWidth="1"/>
    <col min="5314" max="5314" width="25.44140625" bestFit="1" customWidth="1"/>
    <col min="5315" max="5315" width="31.6640625" bestFit="1" customWidth="1"/>
    <col min="5316" max="5316" width="30.33203125" bestFit="1" customWidth="1"/>
    <col min="5317" max="5317" width="36.5546875" bestFit="1" customWidth="1"/>
    <col min="5318" max="5318" width="25.109375" bestFit="1" customWidth="1"/>
    <col min="5319" max="5319" width="31.21875" bestFit="1" customWidth="1"/>
    <col min="5320" max="5320" width="31.5546875" bestFit="1" customWidth="1"/>
    <col min="5321" max="5321" width="37.6640625" bestFit="1" customWidth="1"/>
    <col min="5322" max="5322" width="22.77734375" bestFit="1" customWidth="1"/>
    <col min="5323" max="5323" width="28.88671875" bestFit="1" customWidth="1"/>
    <col min="5324" max="5324" width="25.44140625" bestFit="1" customWidth="1"/>
    <col min="5325" max="5325" width="31.6640625" bestFit="1" customWidth="1"/>
    <col min="5326" max="5326" width="30.33203125" bestFit="1" customWidth="1"/>
    <col min="5327" max="5327" width="36.5546875" bestFit="1" customWidth="1"/>
    <col min="5328" max="5328" width="25.109375" bestFit="1" customWidth="1"/>
    <col min="5329" max="5329" width="31.21875" bestFit="1" customWidth="1"/>
    <col min="5330" max="5330" width="31.5546875" bestFit="1" customWidth="1"/>
    <col min="5331" max="5331" width="37.6640625" bestFit="1" customWidth="1"/>
    <col min="5332" max="5332" width="22.77734375" bestFit="1" customWidth="1"/>
    <col min="5333" max="5333" width="28.88671875" bestFit="1" customWidth="1"/>
    <col min="5334" max="5334" width="25.44140625" bestFit="1" customWidth="1"/>
    <col min="5335" max="5335" width="31.6640625" bestFit="1" customWidth="1"/>
    <col min="5336" max="5336" width="30.33203125" bestFit="1" customWidth="1"/>
    <col min="5337" max="5337" width="36.5546875" bestFit="1" customWidth="1"/>
    <col min="5338" max="5338" width="25.109375" bestFit="1" customWidth="1"/>
    <col min="5339" max="5339" width="31.21875" bestFit="1" customWidth="1"/>
    <col min="5340" max="5340" width="31.5546875" bestFit="1" customWidth="1"/>
    <col min="5341" max="5341" width="37.6640625" bestFit="1" customWidth="1"/>
    <col min="5342" max="5342" width="22.77734375" bestFit="1" customWidth="1"/>
    <col min="5343" max="5343" width="28.88671875" bestFit="1" customWidth="1"/>
    <col min="5344" max="5344" width="25.44140625" bestFit="1" customWidth="1"/>
    <col min="5345" max="5345" width="31.6640625" bestFit="1" customWidth="1"/>
    <col min="5346" max="5346" width="30.33203125" bestFit="1" customWidth="1"/>
    <col min="5347" max="5347" width="36.5546875" bestFit="1" customWidth="1"/>
    <col min="5348" max="5348" width="25.109375" bestFit="1" customWidth="1"/>
    <col min="5349" max="5349" width="31.21875" bestFit="1" customWidth="1"/>
    <col min="5350" max="5350" width="31.5546875" bestFit="1" customWidth="1"/>
    <col min="5351" max="5351" width="37.6640625" bestFit="1" customWidth="1"/>
    <col min="5352" max="5352" width="22.77734375" bestFit="1" customWidth="1"/>
    <col min="5353" max="5353" width="28.88671875" bestFit="1" customWidth="1"/>
    <col min="5354" max="5354" width="25.44140625" bestFit="1" customWidth="1"/>
    <col min="5355" max="5355" width="31.6640625" bestFit="1" customWidth="1"/>
    <col min="5356" max="5356" width="30.33203125" bestFit="1" customWidth="1"/>
    <col min="5357" max="5357" width="36.5546875" bestFit="1" customWidth="1"/>
    <col min="5358" max="5358" width="25.109375" bestFit="1" customWidth="1"/>
    <col min="5359" max="5359" width="31.21875" bestFit="1" customWidth="1"/>
    <col min="5360" max="5360" width="31.5546875" bestFit="1" customWidth="1"/>
    <col min="5361" max="5361" width="37.6640625" bestFit="1" customWidth="1"/>
    <col min="5362" max="5362" width="22.77734375" bestFit="1" customWidth="1"/>
    <col min="5363" max="5363" width="28.88671875" bestFit="1" customWidth="1"/>
    <col min="5364" max="5364" width="25.44140625" bestFit="1" customWidth="1"/>
    <col min="5365" max="5365" width="31.6640625" bestFit="1" customWidth="1"/>
    <col min="5366" max="5366" width="30.33203125" bestFit="1" customWidth="1"/>
    <col min="5367" max="5367" width="36.5546875" bestFit="1" customWidth="1"/>
    <col min="5368" max="5368" width="25.109375" bestFit="1" customWidth="1"/>
    <col min="5369" max="5369" width="31.21875" bestFit="1" customWidth="1"/>
    <col min="5370" max="5370" width="31.5546875" bestFit="1" customWidth="1"/>
    <col min="5371" max="5371" width="37.6640625" bestFit="1" customWidth="1"/>
    <col min="5372" max="5372" width="22.77734375" bestFit="1" customWidth="1"/>
    <col min="5373" max="5373" width="28.88671875" bestFit="1" customWidth="1"/>
    <col min="5374" max="5374" width="25.44140625" bestFit="1" customWidth="1"/>
    <col min="5375" max="5375" width="31.6640625" bestFit="1" customWidth="1"/>
    <col min="5376" max="5376" width="30.33203125" bestFit="1" customWidth="1"/>
    <col min="5377" max="5377" width="36.5546875" bestFit="1" customWidth="1"/>
    <col min="5378" max="5378" width="25.109375" bestFit="1" customWidth="1"/>
    <col min="5379" max="5379" width="31.21875" bestFit="1" customWidth="1"/>
    <col min="5380" max="5380" width="31.5546875" bestFit="1" customWidth="1"/>
    <col min="5381" max="5381" width="37.6640625" bestFit="1" customWidth="1"/>
    <col min="5382" max="5382" width="22.77734375" bestFit="1" customWidth="1"/>
    <col min="5383" max="5383" width="28.88671875" bestFit="1" customWidth="1"/>
    <col min="5384" max="5384" width="25.44140625" bestFit="1" customWidth="1"/>
    <col min="5385" max="5385" width="31.6640625" bestFit="1" customWidth="1"/>
    <col min="5386" max="5386" width="30.33203125" bestFit="1" customWidth="1"/>
    <col min="5387" max="5387" width="36.5546875" bestFit="1" customWidth="1"/>
    <col min="5388" max="5388" width="25.109375" bestFit="1" customWidth="1"/>
    <col min="5389" max="5389" width="31.21875" bestFit="1" customWidth="1"/>
    <col min="5390" max="5390" width="31.5546875" bestFit="1" customWidth="1"/>
    <col min="5391" max="5391" width="37.6640625" bestFit="1" customWidth="1"/>
    <col min="5392" max="5392" width="22.77734375" bestFit="1" customWidth="1"/>
    <col min="5393" max="5393" width="28.88671875" bestFit="1" customWidth="1"/>
    <col min="5394" max="5394" width="25.44140625" bestFit="1" customWidth="1"/>
    <col min="5395" max="5395" width="31.6640625" bestFit="1" customWidth="1"/>
    <col min="5396" max="5396" width="30.33203125" bestFit="1" customWidth="1"/>
    <col min="5397" max="5397" width="36.5546875" bestFit="1" customWidth="1"/>
    <col min="5398" max="5398" width="25.109375" bestFit="1" customWidth="1"/>
    <col min="5399" max="5399" width="31.21875" bestFit="1" customWidth="1"/>
    <col min="5400" max="5400" width="31.5546875" bestFit="1" customWidth="1"/>
    <col min="5401" max="5401" width="37.6640625" bestFit="1" customWidth="1"/>
    <col min="5402" max="5402" width="22.77734375" bestFit="1" customWidth="1"/>
    <col min="5403" max="5403" width="28.88671875" bestFit="1" customWidth="1"/>
    <col min="5404" max="5404" width="25.44140625" bestFit="1" customWidth="1"/>
    <col min="5405" max="5405" width="31.6640625" bestFit="1" customWidth="1"/>
    <col min="5406" max="5406" width="30.33203125" bestFit="1" customWidth="1"/>
    <col min="5407" max="5407" width="36.5546875" bestFit="1" customWidth="1"/>
    <col min="5408" max="5408" width="25.109375" bestFit="1" customWidth="1"/>
    <col min="5409" max="5409" width="31.21875" bestFit="1" customWidth="1"/>
    <col min="5410" max="5410" width="31.5546875" bestFit="1" customWidth="1"/>
    <col min="5411" max="5411" width="37.6640625" bestFit="1" customWidth="1"/>
    <col min="5412" max="5412" width="22.77734375" bestFit="1" customWidth="1"/>
    <col min="5413" max="5413" width="28.88671875" bestFit="1" customWidth="1"/>
    <col min="5414" max="5414" width="25.44140625" bestFit="1" customWidth="1"/>
    <col min="5415" max="5415" width="31.6640625" bestFit="1" customWidth="1"/>
    <col min="5416" max="5416" width="30.33203125" bestFit="1" customWidth="1"/>
    <col min="5417" max="5417" width="36.5546875" bestFit="1" customWidth="1"/>
    <col min="5418" max="5418" width="25.109375" bestFit="1" customWidth="1"/>
    <col min="5419" max="5419" width="31.21875" bestFit="1" customWidth="1"/>
    <col min="5420" max="5420" width="31.5546875" bestFit="1" customWidth="1"/>
    <col min="5421" max="5421" width="37.6640625" bestFit="1" customWidth="1"/>
    <col min="5422" max="5422" width="22.77734375" bestFit="1" customWidth="1"/>
    <col min="5423" max="5423" width="28.88671875" bestFit="1" customWidth="1"/>
    <col min="5424" max="5424" width="25.44140625" bestFit="1" customWidth="1"/>
    <col min="5425" max="5425" width="31.6640625" bestFit="1" customWidth="1"/>
    <col min="5426" max="5426" width="30.33203125" bestFit="1" customWidth="1"/>
    <col min="5427" max="5427" width="36.5546875" bestFit="1" customWidth="1"/>
    <col min="5428" max="5428" width="25.109375" bestFit="1" customWidth="1"/>
    <col min="5429" max="5429" width="31.21875" bestFit="1" customWidth="1"/>
    <col min="5430" max="5430" width="31.5546875" bestFit="1" customWidth="1"/>
    <col min="5431" max="5431" width="37.6640625" bestFit="1" customWidth="1"/>
    <col min="5432" max="5432" width="22.77734375" bestFit="1" customWidth="1"/>
    <col min="5433" max="5433" width="28.88671875" bestFit="1" customWidth="1"/>
    <col min="5434" max="5434" width="25.44140625" bestFit="1" customWidth="1"/>
    <col min="5435" max="5435" width="31.6640625" bestFit="1" customWidth="1"/>
    <col min="5436" max="5436" width="30.33203125" bestFit="1" customWidth="1"/>
    <col min="5437" max="5437" width="36.5546875" bestFit="1" customWidth="1"/>
    <col min="5438" max="5438" width="25.109375" bestFit="1" customWidth="1"/>
    <col min="5439" max="5439" width="31.21875" bestFit="1" customWidth="1"/>
    <col min="5440" max="5440" width="31.5546875" bestFit="1" customWidth="1"/>
    <col min="5441" max="5441" width="37.6640625" bestFit="1" customWidth="1"/>
    <col min="5442" max="5442" width="22.77734375" bestFit="1" customWidth="1"/>
    <col min="5443" max="5443" width="28.88671875" bestFit="1" customWidth="1"/>
    <col min="5444" max="5444" width="25.44140625" bestFit="1" customWidth="1"/>
    <col min="5445" max="5445" width="31.6640625" bestFit="1" customWidth="1"/>
    <col min="5446" max="5446" width="30.33203125" bestFit="1" customWidth="1"/>
    <col min="5447" max="5447" width="36.5546875" bestFit="1" customWidth="1"/>
    <col min="5448" max="5448" width="25.109375" bestFit="1" customWidth="1"/>
    <col min="5449" max="5449" width="31.21875" bestFit="1" customWidth="1"/>
    <col min="5450" max="5450" width="31.5546875" bestFit="1" customWidth="1"/>
    <col min="5451" max="5451" width="37.6640625" bestFit="1" customWidth="1"/>
    <col min="5452" max="5452" width="22.77734375" bestFit="1" customWidth="1"/>
    <col min="5453" max="5453" width="28.88671875" bestFit="1" customWidth="1"/>
    <col min="5454" max="5454" width="25.44140625" bestFit="1" customWidth="1"/>
    <col min="5455" max="5455" width="31.6640625" bestFit="1" customWidth="1"/>
    <col min="5456" max="5456" width="30.33203125" bestFit="1" customWidth="1"/>
    <col min="5457" max="5457" width="36.5546875" bestFit="1" customWidth="1"/>
    <col min="5458" max="5458" width="25.109375" bestFit="1" customWidth="1"/>
    <col min="5459" max="5459" width="31.21875" bestFit="1" customWidth="1"/>
    <col min="5460" max="5460" width="31.5546875" bestFit="1" customWidth="1"/>
    <col min="5461" max="5461" width="37.6640625" bestFit="1" customWidth="1"/>
    <col min="5462" max="5462" width="22.77734375" bestFit="1" customWidth="1"/>
    <col min="5463" max="5463" width="28.88671875" bestFit="1" customWidth="1"/>
    <col min="5464" max="5464" width="25.44140625" bestFit="1" customWidth="1"/>
    <col min="5465" max="5465" width="31.6640625" bestFit="1" customWidth="1"/>
    <col min="5466" max="5466" width="30.33203125" bestFit="1" customWidth="1"/>
    <col min="5467" max="5467" width="36.5546875" bestFit="1" customWidth="1"/>
    <col min="5468" max="5468" width="25.109375" bestFit="1" customWidth="1"/>
    <col min="5469" max="5469" width="31.21875" bestFit="1" customWidth="1"/>
    <col min="5470" max="5470" width="31.5546875" bestFit="1" customWidth="1"/>
    <col min="5471" max="5471" width="37.6640625" bestFit="1" customWidth="1"/>
    <col min="5472" max="5472" width="22.77734375" bestFit="1" customWidth="1"/>
    <col min="5473" max="5473" width="28.88671875" bestFit="1" customWidth="1"/>
    <col min="5474" max="5474" width="25.44140625" bestFit="1" customWidth="1"/>
    <col min="5475" max="5475" width="31.6640625" bestFit="1" customWidth="1"/>
    <col min="5476" max="5476" width="30.33203125" bestFit="1" customWidth="1"/>
    <col min="5477" max="5477" width="36.5546875" bestFit="1" customWidth="1"/>
    <col min="5478" max="5478" width="25.109375" bestFit="1" customWidth="1"/>
    <col min="5479" max="5479" width="31.21875" bestFit="1" customWidth="1"/>
    <col min="5480" max="5480" width="31.5546875" bestFit="1" customWidth="1"/>
    <col min="5481" max="5481" width="37.6640625" bestFit="1" customWidth="1"/>
    <col min="5482" max="5482" width="22.77734375" bestFit="1" customWidth="1"/>
    <col min="5483" max="5483" width="28.88671875" bestFit="1" customWidth="1"/>
    <col min="5484" max="5484" width="25.44140625" bestFit="1" customWidth="1"/>
    <col min="5485" max="5485" width="31.6640625" bestFit="1" customWidth="1"/>
    <col min="5486" max="5486" width="30.33203125" bestFit="1" customWidth="1"/>
    <col min="5487" max="5487" width="36.5546875" bestFit="1" customWidth="1"/>
    <col min="5488" max="5488" width="25.109375" bestFit="1" customWidth="1"/>
    <col min="5489" max="5489" width="31.21875" bestFit="1" customWidth="1"/>
    <col min="5490" max="5490" width="31.5546875" bestFit="1" customWidth="1"/>
    <col min="5491" max="5491" width="37.6640625" bestFit="1" customWidth="1"/>
    <col min="5492" max="5492" width="22.77734375" bestFit="1" customWidth="1"/>
    <col min="5493" max="5493" width="28.88671875" bestFit="1" customWidth="1"/>
    <col min="5494" max="5494" width="25.44140625" bestFit="1" customWidth="1"/>
    <col min="5495" max="5495" width="31.6640625" bestFit="1" customWidth="1"/>
    <col min="5496" max="5496" width="30.33203125" bestFit="1" customWidth="1"/>
    <col min="5497" max="5497" width="36.5546875" bestFit="1" customWidth="1"/>
    <col min="5498" max="5498" width="25.109375" bestFit="1" customWidth="1"/>
    <col min="5499" max="5499" width="31.21875" bestFit="1" customWidth="1"/>
    <col min="5500" max="5500" width="31.5546875" bestFit="1" customWidth="1"/>
    <col min="5501" max="5501" width="37.6640625" bestFit="1" customWidth="1"/>
    <col min="5502" max="5502" width="22.77734375" bestFit="1" customWidth="1"/>
    <col min="5503" max="5503" width="28.88671875" bestFit="1" customWidth="1"/>
    <col min="5504" max="5504" width="25.44140625" bestFit="1" customWidth="1"/>
    <col min="5505" max="5505" width="31.6640625" bestFit="1" customWidth="1"/>
    <col min="5506" max="5506" width="30.33203125" bestFit="1" customWidth="1"/>
    <col min="5507" max="5507" width="36.5546875" bestFit="1" customWidth="1"/>
    <col min="5508" max="5508" width="25.109375" bestFit="1" customWidth="1"/>
    <col min="5509" max="5509" width="31.21875" bestFit="1" customWidth="1"/>
    <col min="5510" max="5510" width="31.5546875" bestFit="1" customWidth="1"/>
    <col min="5511" max="5511" width="37.6640625" bestFit="1" customWidth="1"/>
    <col min="5512" max="5512" width="22.77734375" bestFit="1" customWidth="1"/>
    <col min="5513" max="5513" width="28.88671875" bestFit="1" customWidth="1"/>
    <col min="5514" max="5514" width="25.44140625" bestFit="1" customWidth="1"/>
    <col min="5515" max="5515" width="31.6640625" bestFit="1" customWidth="1"/>
    <col min="5516" max="5516" width="30.33203125" bestFit="1" customWidth="1"/>
    <col min="5517" max="5517" width="36.5546875" bestFit="1" customWidth="1"/>
    <col min="5518" max="5518" width="25.109375" bestFit="1" customWidth="1"/>
    <col min="5519" max="5519" width="31.21875" bestFit="1" customWidth="1"/>
    <col min="5520" max="5520" width="31.5546875" bestFit="1" customWidth="1"/>
    <col min="5521" max="5521" width="37.6640625" bestFit="1" customWidth="1"/>
    <col min="5522" max="5522" width="22.77734375" bestFit="1" customWidth="1"/>
    <col min="5523" max="5523" width="28.88671875" bestFit="1" customWidth="1"/>
    <col min="5524" max="5524" width="25.44140625" bestFit="1" customWidth="1"/>
    <col min="5525" max="5525" width="31.6640625" bestFit="1" customWidth="1"/>
    <col min="5526" max="5526" width="30.33203125" bestFit="1" customWidth="1"/>
    <col min="5527" max="5527" width="36.5546875" bestFit="1" customWidth="1"/>
    <col min="5528" max="5528" width="25.109375" bestFit="1" customWidth="1"/>
    <col min="5529" max="5529" width="31.21875" bestFit="1" customWidth="1"/>
    <col min="5530" max="5530" width="31.5546875" bestFit="1" customWidth="1"/>
    <col min="5531" max="5531" width="37.6640625" bestFit="1" customWidth="1"/>
    <col min="5532" max="5532" width="22.77734375" bestFit="1" customWidth="1"/>
    <col min="5533" max="5533" width="28.88671875" bestFit="1" customWidth="1"/>
    <col min="5534" max="5534" width="25.44140625" bestFit="1" customWidth="1"/>
    <col min="5535" max="5535" width="31.6640625" bestFit="1" customWidth="1"/>
    <col min="5536" max="5536" width="30.33203125" bestFit="1" customWidth="1"/>
    <col min="5537" max="5537" width="36.5546875" bestFit="1" customWidth="1"/>
    <col min="5538" max="5538" width="25.109375" bestFit="1" customWidth="1"/>
    <col min="5539" max="5539" width="31.21875" bestFit="1" customWidth="1"/>
    <col min="5540" max="5540" width="31.5546875" bestFit="1" customWidth="1"/>
    <col min="5541" max="5541" width="37.6640625" bestFit="1" customWidth="1"/>
    <col min="5542" max="5542" width="22.77734375" bestFit="1" customWidth="1"/>
    <col min="5543" max="5543" width="28.88671875" bestFit="1" customWidth="1"/>
    <col min="5544" max="5544" width="25.44140625" bestFit="1" customWidth="1"/>
    <col min="5545" max="5545" width="31.6640625" bestFit="1" customWidth="1"/>
    <col min="5546" max="5546" width="30.33203125" bestFit="1" customWidth="1"/>
    <col min="5547" max="5547" width="36.5546875" bestFit="1" customWidth="1"/>
    <col min="5548" max="5548" width="25.109375" bestFit="1" customWidth="1"/>
    <col min="5549" max="5549" width="31.21875" bestFit="1" customWidth="1"/>
    <col min="5550" max="5550" width="31.5546875" bestFit="1" customWidth="1"/>
    <col min="5551" max="5551" width="37.6640625" bestFit="1" customWidth="1"/>
    <col min="5552" max="5552" width="22.77734375" bestFit="1" customWidth="1"/>
    <col min="5553" max="5553" width="28.88671875" bestFit="1" customWidth="1"/>
    <col min="5554" max="5554" width="25.44140625" bestFit="1" customWidth="1"/>
    <col min="5555" max="5555" width="31.6640625" bestFit="1" customWidth="1"/>
    <col min="5556" max="5556" width="30.33203125" bestFit="1" customWidth="1"/>
    <col min="5557" max="5557" width="36.5546875" bestFit="1" customWidth="1"/>
    <col min="5558" max="5558" width="25.109375" bestFit="1" customWidth="1"/>
    <col min="5559" max="5559" width="31.21875" bestFit="1" customWidth="1"/>
    <col min="5560" max="5560" width="31.5546875" bestFit="1" customWidth="1"/>
    <col min="5561" max="5561" width="37.6640625" bestFit="1" customWidth="1"/>
    <col min="5562" max="5562" width="22.77734375" bestFit="1" customWidth="1"/>
    <col min="5563" max="5563" width="28.88671875" bestFit="1" customWidth="1"/>
    <col min="5564" max="5564" width="25.44140625" bestFit="1" customWidth="1"/>
    <col min="5565" max="5565" width="31.6640625" bestFit="1" customWidth="1"/>
    <col min="5566" max="5566" width="30.33203125" bestFit="1" customWidth="1"/>
    <col min="5567" max="5567" width="36.5546875" bestFit="1" customWidth="1"/>
    <col min="5568" max="5568" width="25.109375" bestFit="1" customWidth="1"/>
    <col min="5569" max="5569" width="31.21875" bestFit="1" customWidth="1"/>
    <col min="5570" max="5570" width="31.5546875" bestFit="1" customWidth="1"/>
    <col min="5571" max="5571" width="37.6640625" bestFit="1" customWidth="1"/>
    <col min="5572" max="5572" width="22.77734375" bestFit="1" customWidth="1"/>
    <col min="5573" max="5573" width="28.88671875" bestFit="1" customWidth="1"/>
    <col min="5574" max="5574" width="25.44140625" bestFit="1" customWidth="1"/>
    <col min="5575" max="5575" width="31.6640625" bestFit="1" customWidth="1"/>
    <col min="5576" max="5576" width="30.33203125" bestFit="1" customWidth="1"/>
    <col min="5577" max="5577" width="36.5546875" bestFit="1" customWidth="1"/>
    <col min="5578" max="5578" width="25.109375" bestFit="1" customWidth="1"/>
    <col min="5579" max="5579" width="31.21875" bestFit="1" customWidth="1"/>
    <col min="5580" max="5580" width="31.5546875" bestFit="1" customWidth="1"/>
    <col min="5581" max="5581" width="37.6640625" bestFit="1" customWidth="1"/>
    <col min="5582" max="5582" width="22.77734375" bestFit="1" customWidth="1"/>
    <col min="5583" max="5583" width="28.88671875" bestFit="1" customWidth="1"/>
    <col min="5584" max="5584" width="25.44140625" bestFit="1" customWidth="1"/>
    <col min="5585" max="5585" width="31.6640625" bestFit="1" customWidth="1"/>
    <col min="5586" max="5586" width="30.33203125" bestFit="1" customWidth="1"/>
    <col min="5587" max="5587" width="36.5546875" bestFit="1" customWidth="1"/>
    <col min="5588" max="5588" width="25.109375" bestFit="1" customWidth="1"/>
    <col min="5589" max="5589" width="31.21875" bestFit="1" customWidth="1"/>
    <col min="5590" max="5590" width="31.5546875" bestFit="1" customWidth="1"/>
    <col min="5591" max="5591" width="37.6640625" bestFit="1" customWidth="1"/>
    <col min="5592" max="5592" width="22.77734375" bestFit="1" customWidth="1"/>
    <col min="5593" max="5593" width="28.88671875" bestFit="1" customWidth="1"/>
    <col min="5594" max="5594" width="25.44140625" bestFit="1" customWidth="1"/>
    <col min="5595" max="5595" width="31.6640625" bestFit="1" customWidth="1"/>
    <col min="5596" max="5596" width="30.33203125" bestFit="1" customWidth="1"/>
    <col min="5597" max="5597" width="36.5546875" bestFit="1" customWidth="1"/>
    <col min="5598" max="5598" width="25.109375" bestFit="1" customWidth="1"/>
    <col min="5599" max="5599" width="31.21875" bestFit="1" customWidth="1"/>
    <col min="5600" max="5600" width="31.5546875" bestFit="1" customWidth="1"/>
    <col min="5601" max="5601" width="37.6640625" bestFit="1" customWidth="1"/>
    <col min="5602" max="5602" width="22.77734375" bestFit="1" customWidth="1"/>
    <col min="5603" max="5603" width="28.88671875" bestFit="1" customWidth="1"/>
    <col min="5604" max="5604" width="25.44140625" bestFit="1" customWidth="1"/>
    <col min="5605" max="5605" width="31.6640625" bestFit="1" customWidth="1"/>
    <col min="5606" max="5606" width="30.33203125" bestFit="1" customWidth="1"/>
    <col min="5607" max="5607" width="36.5546875" bestFit="1" customWidth="1"/>
    <col min="5608" max="5608" width="25.109375" bestFit="1" customWidth="1"/>
    <col min="5609" max="5609" width="31.21875" bestFit="1" customWidth="1"/>
    <col min="5610" max="5610" width="31.5546875" bestFit="1" customWidth="1"/>
    <col min="5611" max="5611" width="37.6640625" bestFit="1" customWidth="1"/>
    <col min="5612" max="5612" width="22.77734375" bestFit="1" customWidth="1"/>
    <col min="5613" max="5613" width="28.88671875" bestFit="1" customWidth="1"/>
    <col min="5614" max="5614" width="25.44140625" bestFit="1" customWidth="1"/>
    <col min="5615" max="5615" width="31.6640625" bestFit="1" customWidth="1"/>
    <col min="5616" max="5616" width="30.33203125" bestFit="1" customWidth="1"/>
    <col min="5617" max="5617" width="36.5546875" bestFit="1" customWidth="1"/>
    <col min="5618" max="5618" width="25.109375" bestFit="1" customWidth="1"/>
    <col min="5619" max="5619" width="31.21875" bestFit="1" customWidth="1"/>
    <col min="5620" max="5620" width="31.5546875" bestFit="1" customWidth="1"/>
    <col min="5621" max="5621" width="37.6640625" bestFit="1" customWidth="1"/>
    <col min="5622" max="5622" width="22.77734375" bestFit="1" customWidth="1"/>
    <col min="5623" max="5623" width="28.88671875" bestFit="1" customWidth="1"/>
    <col min="5624" max="5624" width="25.44140625" bestFit="1" customWidth="1"/>
    <col min="5625" max="5625" width="31.6640625" bestFit="1" customWidth="1"/>
    <col min="5626" max="5626" width="30.33203125" bestFit="1" customWidth="1"/>
    <col min="5627" max="5627" width="36.5546875" bestFit="1" customWidth="1"/>
    <col min="5628" max="5628" width="25.109375" bestFit="1" customWidth="1"/>
    <col min="5629" max="5629" width="31.21875" bestFit="1" customWidth="1"/>
    <col min="5630" max="5630" width="31.5546875" bestFit="1" customWidth="1"/>
    <col min="5631" max="5631" width="37.6640625" bestFit="1" customWidth="1"/>
    <col min="5632" max="5632" width="22.77734375" bestFit="1" customWidth="1"/>
    <col min="5633" max="5633" width="28.88671875" bestFit="1" customWidth="1"/>
    <col min="5634" max="5634" width="25.44140625" bestFit="1" customWidth="1"/>
    <col min="5635" max="5635" width="31.6640625" bestFit="1" customWidth="1"/>
    <col min="5636" max="5636" width="30.33203125" bestFit="1" customWidth="1"/>
    <col min="5637" max="5637" width="36.5546875" bestFit="1" customWidth="1"/>
    <col min="5638" max="5638" width="25.109375" bestFit="1" customWidth="1"/>
    <col min="5639" max="5639" width="31.21875" bestFit="1" customWidth="1"/>
    <col min="5640" max="5640" width="31.5546875" bestFit="1" customWidth="1"/>
    <col min="5641" max="5641" width="37.6640625" bestFit="1" customWidth="1"/>
    <col min="5642" max="5642" width="22.77734375" bestFit="1" customWidth="1"/>
    <col min="5643" max="5643" width="28.88671875" bestFit="1" customWidth="1"/>
    <col min="5644" max="5644" width="25.44140625" bestFit="1" customWidth="1"/>
    <col min="5645" max="5645" width="31.6640625" bestFit="1" customWidth="1"/>
    <col min="5646" max="5646" width="30.33203125" bestFit="1" customWidth="1"/>
    <col min="5647" max="5647" width="36.5546875" bestFit="1" customWidth="1"/>
    <col min="5648" max="5648" width="25.109375" bestFit="1" customWidth="1"/>
    <col min="5649" max="5649" width="31.21875" bestFit="1" customWidth="1"/>
    <col min="5650" max="5650" width="31.5546875" bestFit="1" customWidth="1"/>
    <col min="5651" max="5651" width="37.6640625" bestFit="1" customWidth="1"/>
    <col min="5652" max="5652" width="22.77734375" bestFit="1" customWidth="1"/>
    <col min="5653" max="5653" width="28.88671875" bestFit="1" customWidth="1"/>
    <col min="5654" max="5654" width="25.44140625" bestFit="1" customWidth="1"/>
    <col min="5655" max="5655" width="31.6640625" bestFit="1" customWidth="1"/>
    <col min="5656" max="5656" width="30.33203125" bestFit="1" customWidth="1"/>
    <col min="5657" max="5657" width="36.5546875" bestFit="1" customWidth="1"/>
    <col min="5658" max="5658" width="25.109375" bestFit="1" customWidth="1"/>
    <col min="5659" max="5659" width="31.21875" bestFit="1" customWidth="1"/>
    <col min="5660" max="5660" width="31.5546875" bestFit="1" customWidth="1"/>
    <col min="5661" max="5661" width="37.6640625" bestFit="1" customWidth="1"/>
    <col min="5662" max="5662" width="22.77734375" bestFit="1" customWidth="1"/>
    <col min="5663" max="5663" width="28.88671875" bestFit="1" customWidth="1"/>
    <col min="5664" max="5664" width="25.44140625" bestFit="1" customWidth="1"/>
    <col min="5665" max="5665" width="31.6640625" bestFit="1" customWidth="1"/>
    <col min="5666" max="5666" width="30.33203125" bestFit="1" customWidth="1"/>
    <col min="5667" max="5667" width="36.5546875" bestFit="1" customWidth="1"/>
    <col min="5668" max="5668" width="25.109375" bestFit="1" customWidth="1"/>
    <col min="5669" max="5669" width="31.21875" bestFit="1" customWidth="1"/>
    <col min="5670" max="5670" width="31.5546875" bestFit="1" customWidth="1"/>
    <col min="5671" max="5671" width="37.6640625" bestFit="1" customWidth="1"/>
    <col min="5672" max="5672" width="22.77734375" bestFit="1" customWidth="1"/>
    <col min="5673" max="5673" width="28.88671875" bestFit="1" customWidth="1"/>
    <col min="5674" max="5674" width="25.44140625" bestFit="1" customWidth="1"/>
    <col min="5675" max="5675" width="31.6640625" bestFit="1" customWidth="1"/>
    <col min="5676" max="5676" width="30.33203125" bestFit="1" customWidth="1"/>
    <col min="5677" max="5677" width="36.5546875" bestFit="1" customWidth="1"/>
    <col min="5678" max="5678" width="25.109375" bestFit="1" customWidth="1"/>
    <col min="5679" max="5679" width="31.21875" bestFit="1" customWidth="1"/>
    <col min="5680" max="5680" width="31.5546875" bestFit="1" customWidth="1"/>
    <col min="5681" max="5681" width="37.6640625" bestFit="1" customWidth="1"/>
    <col min="5682" max="5682" width="22.77734375" bestFit="1" customWidth="1"/>
    <col min="5683" max="5683" width="28.88671875" bestFit="1" customWidth="1"/>
    <col min="5684" max="5684" width="25.44140625" bestFit="1" customWidth="1"/>
    <col min="5685" max="5685" width="31.6640625" bestFit="1" customWidth="1"/>
    <col min="5686" max="5686" width="30.33203125" bestFit="1" customWidth="1"/>
    <col min="5687" max="5687" width="36.5546875" bestFit="1" customWidth="1"/>
    <col min="5688" max="5688" width="25.109375" bestFit="1" customWidth="1"/>
    <col min="5689" max="5689" width="31.21875" bestFit="1" customWidth="1"/>
    <col min="5690" max="5690" width="31.5546875" bestFit="1" customWidth="1"/>
    <col min="5691" max="5691" width="37.6640625" bestFit="1" customWidth="1"/>
    <col min="5692" max="5692" width="22.77734375" bestFit="1" customWidth="1"/>
    <col min="5693" max="5693" width="28.88671875" bestFit="1" customWidth="1"/>
    <col min="5694" max="5694" width="25.44140625" bestFit="1" customWidth="1"/>
    <col min="5695" max="5695" width="31.6640625" bestFit="1" customWidth="1"/>
    <col min="5696" max="5696" width="30.33203125" bestFit="1" customWidth="1"/>
    <col min="5697" max="5697" width="36.5546875" bestFit="1" customWidth="1"/>
    <col min="5698" max="5698" width="25.109375" bestFit="1" customWidth="1"/>
    <col min="5699" max="5699" width="31.21875" bestFit="1" customWidth="1"/>
    <col min="5700" max="5700" width="31.5546875" bestFit="1" customWidth="1"/>
    <col min="5701" max="5701" width="37.6640625" bestFit="1" customWidth="1"/>
    <col min="5702" max="5702" width="22.77734375" bestFit="1" customWidth="1"/>
    <col min="5703" max="5703" width="28.88671875" bestFit="1" customWidth="1"/>
    <col min="5704" max="5704" width="25.44140625" bestFit="1" customWidth="1"/>
    <col min="5705" max="5705" width="31.6640625" bestFit="1" customWidth="1"/>
    <col min="5706" max="5706" width="30.33203125" bestFit="1" customWidth="1"/>
    <col min="5707" max="5707" width="36.5546875" bestFit="1" customWidth="1"/>
    <col min="5708" max="5708" width="25.109375" bestFit="1" customWidth="1"/>
    <col min="5709" max="5709" width="31.21875" bestFit="1" customWidth="1"/>
    <col min="5710" max="5710" width="31.5546875" bestFit="1" customWidth="1"/>
    <col min="5711" max="5711" width="37.6640625" bestFit="1" customWidth="1"/>
    <col min="5712" max="5712" width="22.77734375" bestFit="1" customWidth="1"/>
    <col min="5713" max="5713" width="28.88671875" bestFit="1" customWidth="1"/>
    <col min="5714" max="5714" width="25.44140625" bestFit="1" customWidth="1"/>
    <col min="5715" max="5715" width="31.6640625" bestFit="1" customWidth="1"/>
    <col min="5716" max="5716" width="30.33203125" bestFit="1" customWidth="1"/>
    <col min="5717" max="5717" width="36.5546875" bestFit="1" customWidth="1"/>
    <col min="5718" max="5718" width="25.109375" bestFit="1" customWidth="1"/>
    <col min="5719" max="5719" width="31.21875" bestFit="1" customWidth="1"/>
    <col min="5720" max="5720" width="31.5546875" bestFit="1" customWidth="1"/>
    <col min="5721" max="5721" width="37.6640625" bestFit="1" customWidth="1"/>
    <col min="5722" max="5722" width="22.77734375" bestFit="1" customWidth="1"/>
    <col min="5723" max="5723" width="28.88671875" bestFit="1" customWidth="1"/>
    <col min="5724" max="5724" width="25.44140625" bestFit="1" customWidth="1"/>
    <col min="5725" max="5725" width="31.6640625" bestFit="1" customWidth="1"/>
    <col min="5726" max="5726" width="30.33203125" bestFit="1" customWidth="1"/>
    <col min="5727" max="5727" width="36.5546875" bestFit="1" customWidth="1"/>
    <col min="5728" max="5728" width="25.109375" bestFit="1" customWidth="1"/>
    <col min="5729" max="5729" width="31.21875" bestFit="1" customWidth="1"/>
    <col min="5730" max="5730" width="31.5546875" bestFit="1" customWidth="1"/>
    <col min="5731" max="5731" width="37.6640625" bestFit="1" customWidth="1"/>
    <col min="5732" max="5732" width="22.77734375" bestFit="1" customWidth="1"/>
    <col min="5733" max="5733" width="28.88671875" bestFit="1" customWidth="1"/>
    <col min="5734" max="5734" width="25.44140625" bestFit="1" customWidth="1"/>
    <col min="5735" max="5735" width="31.6640625" bestFit="1" customWidth="1"/>
    <col min="5736" max="5736" width="30.33203125" bestFit="1" customWidth="1"/>
    <col min="5737" max="5737" width="36.5546875" bestFit="1" customWidth="1"/>
    <col min="5738" max="5738" width="25.109375" bestFit="1" customWidth="1"/>
    <col min="5739" max="5739" width="31.21875" bestFit="1" customWidth="1"/>
    <col min="5740" max="5740" width="31.5546875" bestFit="1" customWidth="1"/>
    <col min="5741" max="5741" width="37.6640625" bestFit="1" customWidth="1"/>
    <col min="5742" max="5742" width="22.77734375" bestFit="1" customWidth="1"/>
    <col min="5743" max="5743" width="28.88671875" bestFit="1" customWidth="1"/>
    <col min="5744" max="5744" width="25.44140625" bestFit="1" customWidth="1"/>
    <col min="5745" max="5745" width="31.6640625" bestFit="1" customWidth="1"/>
    <col min="5746" max="5746" width="30.33203125" bestFit="1" customWidth="1"/>
    <col min="5747" max="5747" width="36.5546875" bestFit="1" customWidth="1"/>
    <col min="5748" max="5748" width="25.109375" bestFit="1" customWidth="1"/>
    <col min="5749" max="5749" width="31.21875" bestFit="1" customWidth="1"/>
    <col min="5750" max="5750" width="31.5546875" bestFit="1" customWidth="1"/>
    <col min="5751" max="5751" width="37.6640625" bestFit="1" customWidth="1"/>
    <col min="5752" max="5752" width="22.77734375" bestFit="1" customWidth="1"/>
    <col min="5753" max="5753" width="28.88671875" bestFit="1" customWidth="1"/>
    <col min="5754" max="5754" width="25.44140625" bestFit="1" customWidth="1"/>
    <col min="5755" max="5755" width="31.6640625" bestFit="1" customWidth="1"/>
    <col min="5756" max="5756" width="30.33203125" bestFit="1" customWidth="1"/>
    <col min="5757" max="5757" width="36.5546875" bestFit="1" customWidth="1"/>
    <col min="5758" max="5758" width="25.109375" bestFit="1" customWidth="1"/>
    <col min="5759" max="5759" width="31.21875" bestFit="1" customWidth="1"/>
    <col min="5760" max="5760" width="31.5546875" bestFit="1" customWidth="1"/>
    <col min="5761" max="5761" width="37.6640625" bestFit="1" customWidth="1"/>
    <col min="5762" max="5762" width="22.77734375" bestFit="1" customWidth="1"/>
    <col min="5763" max="5763" width="28.88671875" bestFit="1" customWidth="1"/>
    <col min="5764" max="5764" width="25.44140625" bestFit="1" customWidth="1"/>
    <col min="5765" max="5765" width="31.6640625" bestFit="1" customWidth="1"/>
    <col min="5766" max="5766" width="30.33203125" bestFit="1" customWidth="1"/>
    <col min="5767" max="5767" width="36.5546875" bestFit="1" customWidth="1"/>
    <col min="5768" max="5768" width="25.109375" bestFit="1" customWidth="1"/>
    <col min="5769" max="5769" width="31.21875" bestFit="1" customWidth="1"/>
    <col min="5770" max="5770" width="31.5546875" bestFit="1" customWidth="1"/>
    <col min="5771" max="5771" width="37.6640625" bestFit="1" customWidth="1"/>
    <col min="5772" max="5772" width="22.77734375" bestFit="1" customWidth="1"/>
    <col min="5773" max="5773" width="28.88671875" bestFit="1" customWidth="1"/>
    <col min="5774" max="5774" width="25.44140625" bestFit="1" customWidth="1"/>
    <col min="5775" max="5775" width="31.6640625" bestFit="1" customWidth="1"/>
    <col min="5776" max="5776" width="30.33203125" bestFit="1" customWidth="1"/>
    <col min="5777" max="5777" width="36.5546875" bestFit="1" customWidth="1"/>
    <col min="5778" max="5778" width="25.109375" bestFit="1" customWidth="1"/>
    <col min="5779" max="5779" width="31.21875" bestFit="1" customWidth="1"/>
    <col min="5780" max="5780" width="31.5546875" bestFit="1" customWidth="1"/>
    <col min="5781" max="5781" width="37.6640625" bestFit="1" customWidth="1"/>
    <col min="5782" max="5782" width="22.77734375" bestFit="1" customWidth="1"/>
    <col min="5783" max="5783" width="28.88671875" bestFit="1" customWidth="1"/>
    <col min="5784" max="5784" width="25.44140625" bestFit="1" customWidth="1"/>
    <col min="5785" max="5785" width="31.6640625" bestFit="1" customWidth="1"/>
    <col min="5786" max="5786" width="30.33203125" bestFit="1" customWidth="1"/>
    <col min="5787" max="5787" width="36.5546875" bestFit="1" customWidth="1"/>
    <col min="5788" max="5788" width="25.109375" bestFit="1" customWidth="1"/>
    <col min="5789" max="5789" width="31.21875" bestFit="1" customWidth="1"/>
    <col min="5790" max="5790" width="31.5546875" bestFit="1" customWidth="1"/>
    <col min="5791" max="5791" width="37.6640625" bestFit="1" customWidth="1"/>
    <col min="5792" max="5792" width="22.77734375" bestFit="1" customWidth="1"/>
    <col min="5793" max="5793" width="28.88671875" bestFit="1" customWidth="1"/>
    <col min="5794" max="5794" width="25.44140625" bestFit="1" customWidth="1"/>
    <col min="5795" max="5795" width="31.6640625" bestFit="1" customWidth="1"/>
    <col min="5796" max="5796" width="30.33203125" bestFit="1" customWidth="1"/>
    <col min="5797" max="5797" width="36.5546875" bestFit="1" customWidth="1"/>
    <col min="5798" max="5798" width="25.109375" bestFit="1" customWidth="1"/>
    <col min="5799" max="5799" width="31.21875" bestFit="1" customWidth="1"/>
    <col min="5800" max="5800" width="31.5546875" bestFit="1" customWidth="1"/>
    <col min="5801" max="5801" width="37.6640625" bestFit="1" customWidth="1"/>
    <col min="5802" max="5802" width="22.77734375" bestFit="1" customWidth="1"/>
    <col min="5803" max="5803" width="28.88671875" bestFit="1" customWidth="1"/>
    <col min="5804" max="5804" width="25.44140625" bestFit="1" customWidth="1"/>
    <col min="5805" max="5805" width="31.6640625" bestFit="1" customWidth="1"/>
    <col min="5806" max="5806" width="30.33203125" bestFit="1" customWidth="1"/>
    <col min="5807" max="5807" width="36.5546875" bestFit="1" customWidth="1"/>
    <col min="5808" max="5808" width="25.109375" bestFit="1" customWidth="1"/>
    <col min="5809" max="5809" width="31.21875" bestFit="1" customWidth="1"/>
    <col min="5810" max="5810" width="31.5546875" bestFit="1" customWidth="1"/>
    <col min="5811" max="5811" width="37.6640625" bestFit="1" customWidth="1"/>
    <col min="5812" max="5812" width="22.77734375" bestFit="1" customWidth="1"/>
    <col min="5813" max="5813" width="28.88671875" bestFit="1" customWidth="1"/>
    <col min="5814" max="5814" width="25.44140625" bestFit="1" customWidth="1"/>
    <col min="5815" max="5815" width="31.6640625" bestFit="1" customWidth="1"/>
    <col min="5816" max="5816" width="30.33203125" bestFit="1" customWidth="1"/>
    <col min="5817" max="5817" width="36.5546875" bestFit="1" customWidth="1"/>
    <col min="5818" max="5818" width="25.109375" bestFit="1" customWidth="1"/>
    <col min="5819" max="5819" width="31.21875" bestFit="1" customWidth="1"/>
    <col min="5820" max="5820" width="31.5546875" bestFit="1" customWidth="1"/>
    <col min="5821" max="5821" width="37.6640625" bestFit="1" customWidth="1"/>
    <col min="5822" max="5822" width="22.77734375" bestFit="1" customWidth="1"/>
    <col min="5823" max="5823" width="28.88671875" bestFit="1" customWidth="1"/>
    <col min="5824" max="5824" width="25.44140625" bestFit="1" customWidth="1"/>
    <col min="5825" max="5825" width="31.6640625" bestFit="1" customWidth="1"/>
    <col min="5826" max="5826" width="30.33203125" bestFit="1" customWidth="1"/>
    <col min="5827" max="5827" width="36.5546875" bestFit="1" customWidth="1"/>
    <col min="5828" max="5828" width="25.109375" bestFit="1" customWidth="1"/>
    <col min="5829" max="5829" width="31.21875" bestFit="1" customWidth="1"/>
    <col min="5830" max="5830" width="31.5546875" bestFit="1" customWidth="1"/>
    <col min="5831" max="5831" width="37.6640625" bestFit="1" customWidth="1"/>
    <col min="5832" max="5832" width="22.77734375" bestFit="1" customWidth="1"/>
    <col min="5833" max="5833" width="28.88671875" bestFit="1" customWidth="1"/>
    <col min="5834" max="5834" width="25.44140625" bestFit="1" customWidth="1"/>
    <col min="5835" max="5835" width="31.6640625" bestFit="1" customWidth="1"/>
    <col min="5836" max="5836" width="30.33203125" bestFit="1" customWidth="1"/>
    <col min="5837" max="5837" width="36.5546875" bestFit="1" customWidth="1"/>
    <col min="5838" max="5838" width="25.109375" bestFit="1" customWidth="1"/>
    <col min="5839" max="5839" width="31.21875" bestFit="1" customWidth="1"/>
    <col min="5840" max="5840" width="31.5546875" bestFit="1" customWidth="1"/>
    <col min="5841" max="5841" width="37.6640625" bestFit="1" customWidth="1"/>
    <col min="5842" max="5842" width="22.77734375" bestFit="1" customWidth="1"/>
    <col min="5843" max="5843" width="28.88671875" bestFit="1" customWidth="1"/>
    <col min="5844" max="5844" width="25.44140625" bestFit="1" customWidth="1"/>
    <col min="5845" max="5845" width="31.6640625" bestFit="1" customWidth="1"/>
    <col min="5846" max="5846" width="30.33203125" bestFit="1" customWidth="1"/>
    <col min="5847" max="5847" width="36.5546875" bestFit="1" customWidth="1"/>
    <col min="5848" max="5848" width="25.109375" bestFit="1" customWidth="1"/>
    <col min="5849" max="5849" width="31.21875" bestFit="1" customWidth="1"/>
    <col min="5850" max="5850" width="31.5546875" bestFit="1" customWidth="1"/>
    <col min="5851" max="5851" width="37.6640625" bestFit="1" customWidth="1"/>
    <col min="5852" max="5852" width="22.77734375" bestFit="1" customWidth="1"/>
    <col min="5853" max="5853" width="28.88671875" bestFit="1" customWidth="1"/>
    <col min="5854" max="5854" width="25.44140625" bestFit="1" customWidth="1"/>
    <col min="5855" max="5855" width="31.6640625" bestFit="1" customWidth="1"/>
    <col min="5856" max="5856" width="30.33203125" bestFit="1" customWidth="1"/>
    <col min="5857" max="5857" width="36.5546875" bestFit="1" customWidth="1"/>
    <col min="5858" max="5858" width="25.109375" bestFit="1" customWidth="1"/>
    <col min="5859" max="5859" width="31.21875" bestFit="1" customWidth="1"/>
    <col min="5860" max="5860" width="31.5546875" bestFit="1" customWidth="1"/>
    <col min="5861" max="5861" width="37.6640625" bestFit="1" customWidth="1"/>
    <col min="5862" max="5862" width="22.77734375" bestFit="1" customWidth="1"/>
    <col min="5863" max="5863" width="28.88671875" bestFit="1" customWidth="1"/>
    <col min="5864" max="5864" width="25.44140625" bestFit="1" customWidth="1"/>
    <col min="5865" max="5865" width="31.6640625" bestFit="1" customWidth="1"/>
    <col min="5866" max="5866" width="30.33203125" bestFit="1" customWidth="1"/>
    <col min="5867" max="5867" width="36.5546875" bestFit="1" customWidth="1"/>
    <col min="5868" max="5868" width="25.109375" bestFit="1" customWidth="1"/>
    <col min="5869" max="5869" width="31.21875" bestFit="1" customWidth="1"/>
    <col min="5870" max="5870" width="31.5546875" bestFit="1" customWidth="1"/>
    <col min="5871" max="5871" width="37.6640625" bestFit="1" customWidth="1"/>
    <col min="5872" max="5872" width="22.77734375" bestFit="1" customWidth="1"/>
    <col min="5873" max="5873" width="28.88671875" bestFit="1" customWidth="1"/>
    <col min="5874" max="5874" width="25.44140625" bestFit="1" customWidth="1"/>
    <col min="5875" max="5875" width="31.6640625" bestFit="1" customWidth="1"/>
    <col min="5876" max="5876" width="30.33203125" bestFit="1" customWidth="1"/>
    <col min="5877" max="5877" width="36.5546875" bestFit="1" customWidth="1"/>
    <col min="5878" max="5878" width="25.109375" bestFit="1" customWidth="1"/>
    <col min="5879" max="5879" width="31.21875" bestFit="1" customWidth="1"/>
    <col min="5880" max="5880" width="31.5546875" bestFit="1" customWidth="1"/>
    <col min="5881" max="5881" width="37.6640625" bestFit="1" customWidth="1"/>
    <col min="5882" max="5882" width="22.77734375" bestFit="1" customWidth="1"/>
    <col min="5883" max="5883" width="28.88671875" bestFit="1" customWidth="1"/>
    <col min="5884" max="5884" width="25.44140625" bestFit="1" customWidth="1"/>
    <col min="5885" max="5885" width="31.6640625" bestFit="1" customWidth="1"/>
    <col min="5886" max="5886" width="30.33203125" bestFit="1" customWidth="1"/>
    <col min="5887" max="5887" width="36.5546875" bestFit="1" customWidth="1"/>
    <col min="5888" max="5888" width="25.109375" bestFit="1" customWidth="1"/>
    <col min="5889" max="5889" width="31.21875" bestFit="1" customWidth="1"/>
    <col min="5890" max="5890" width="31.5546875" bestFit="1" customWidth="1"/>
    <col min="5891" max="5891" width="37.6640625" bestFit="1" customWidth="1"/>
    <col min="5892" max="5892" width="22.77734375" bestFit="1" customWidth="1"/>
    <col min="5893" max="5893" width="28.88671875" bestFit="1" customWidth="1"/>
    <col min="5894" max="5894" width="25.44140625" bestFit="1" customWidth="1"/>
    <col min="5895" max="5895" width="31.6640625" bestFit="1" customWidth="1"/>
    <col min="5896" max="5896" width="30.33203125" bestFit="1" customWidth="1"/>
    <col min="5897" max="5897" width="36.5546875" bestFit="1" customWidth="1"/>
    <col min="5898" max="5898" width="25.109375" bestFit="1" customWidth="1"/>
    <col min="5899" max="5899" width="31.21875" bestFit="1" customWidth="1"/>
    <col min="5900" max="5900" width="31.5546875" bestFit="1" customWidth="1"/>
    <col min="5901" max="5901" width="37.6640625" bestFit="1" customWidth="1"/>
    <col min="5902" max="5902" width="22.77734375" bestFit="1" customWidth="1"/>
    <col min="5903" max="5903" width="28.88671875" bestFit="1" customWidth="1"/>
    <col min="5904" max="5904" width="25.44140625" bestFit="1" customWidth="1"/>
    <col min="5905" max="5905" width="31.6640625" bestFit="1" customWidth="1"/>
    <col min="5906" max="5906" width="30.33203125" bestFit="1" customWidth="1"/>
    <col min="5907" max="5907" width="36.5546875" bestFit="1" customWidth="1"/>
    <col min="5908" max="5908" width="25.109375" bestFit="1" customWidth="1"/>
    <col min="5909" max="5909" width="31.21875" bestFit="1" customWidth="1"/>
    <col min="5910" max="5910" width="31.5546875" bestFit="1" customWidth="1"/>
    <col min="5911" max="5911" width="37.6640625" bestFit="1" customWidth="1"/>
    <col min="5912" max="5912" width="22.77734375" bestFit="1" customWidth="1"/>
    <col min="5913" max="5913" width="28.88671875" bestFit="1" customWidth="1"/>
    <col min="5914" max="5914" width="25.44140625" bestFit="1" customWidth="1"/>
    <col min="5915" max="5915" width="31.6640625" bestFit="1" customWidth="1"/>
    <col min="5916" max="5916" width="30.33203125" bestFit="1" customWidth="1"/>
    <col min="5917" max="5917" width="36.5546875" bestFit="1" customWidth="1"/>
    <col min="5918" max="5918" width="25.109375" bestFit="1" customWidth="1"/>
    <col min="5919" max="5919" width="31.21875" bestFit="1" customWidth="1"/>
    <col min="5920" max="5920" width="31.5546875" bestFit="1" customWidth="1"/>
    <col min="5921" max="5921" width="37.6640625" bestFit="1" customWidth="1"/>
    <col min="5922" max="5922" width="22.77734375" bestFit="1" customWidth="1"/>
    <col min="5923" max="5923" width="28.88671875" bestFit="1" customWidth="1"/>
    <col min="5924" max="5924" width="25.44140625" bestFit="1" customWidth="1"/>
    <col min="5925" max="5925" width="31.6640625" bestFit="1" customWidth="1"/>
    <col min="5926" max="5926" width="30.33203125" bestFit="1" customWidth="1"/>
    <col min="5927" max="5927" width="36.5546875" bestFit="1" customWidth="1"/>
    <col min="5928" max="5928" width="25.109375" bestFit="1" customWidth="1"/>
    <col min="5929" max="5929" width="31.21875" bestFit="1" customWidth="1"/>
    <col min="5930" max="5930" width="31.5546875" bestFit="1" customWidth="1"/>
    <col min="5931" max="5931" width="37.6640625" bestFit="1" customWidth="1"/>
    <col min="5932" max="5932" width="22.77734375" bestFit="1" customWidth="1"/>
    <col min="5933" max="5933" width="28.88671875" bestFit="1" customWidth="1"/>
    <col min="5934" max="5934" width="25.44140625" bestFit="1" customWidth="1"/>
    <col min="5935" max="5935" width="31.6640625" bestFit="1" customWidth="1"/>
    <col min="5936" max="5936" width="30.33203125" bestFit="1" customWidth="1"/>
    <col min="5937" max="5937" width="36.5546875" bestFit="1" customWidth="1"/>
    <col min="5938" max="5938" width="25.109375" bestFit="1" customWidth="1"/>
    <col min="5939" max="5939" width="31.21875" bestFit="1" customWidth="1"/>
    <col min="5940" max="5940" width="31.5546875" bestFit="1" customWidth="1"/>
    <col min="5941" max="5941" width="37.6640625" bestFit="1" customWidth="1"/>
    <col min="5942" max="5942" width="22.77734375" bestFit="1" customWidth="1"/>
    <col min="5943" max="5943" width="28.88671875" bestFit="1" customWidth="1"/>
    <col min="5944" max="5944" width="25.44140625" bestFit="1" customWidth="1"/>
    <col min="5945" max="5945" width="31.6640625" bestFit="1" customWidth="1"/>
    <col min="5946" max="5946" width="30.33203125" bestFit="1" customWidth="1"/>
    <col min="5947" max="5947" width="36.5546875" bestFit="1" customWidth="1"/>
    <col min="5948" max="5948" width="25.109375" bestFit="1" customWidth="1"/>
    <col min="5949" max="5949" width="31.21875" bestFit="1" customWidth="1"/>
    <col min="5950" max="5950" width="31.5546875" bestFit="1" customWidth="1"/>
    <col min="5951" max="5951" width="37.6640625" bestFit="1" customWidth="1"/>
    <col min="5952" max="5952" width="22.77734375" bestFit="1" customWidth="1"/>
    <col min="5953" max="5953" width="28.88671875" bestFit="1" customWidth="1"/>
    <col min="5954" max="5954" width="25.44140625" bestFit="1" customWidth="1"/>
    <col min="5955" max="5955" width="31.6640625" bestFit="1" customWidth="1"/>
    <col min="5956" max="5956" width="30.33203125" bestFit="1" customWidth="1"/>
    <col min="5957" max="5957" width="36.5546875" bestFit="1" customWidth="1"/>
    <col min="5958" max="5958" width="25.109375" bestFit="1" customWidth="1"/>
    <col min="5959" max="5959" width="31.21875" bestFit="1" customWidth="1"/>
    <col min="5960" max="5960" width="31.5546875" bestFit="1" customWidth="1"/>
    <col min="5961" max="5961" width="37.6640625" bestFit="1" customWidth="1"/>
    <col min="5962" max="5962" width="22.77734375" bestFit="1" customWidth="1"/>
    <col min="5963" max="5963" width="28.88671875" bestFit="1" customWidth="1"/>
    <col min="5964" max="5964" width="25.44140625" bestFit="1" customWidth="1"/>
    <col min="5965" max="5965" width="31.6640625" bestFit="1" customWidth="1"/>
    <col min="5966" max="5966" width="30.33203125" bestFit="1" customWidth="1"/>
    <col min="5967" max="5967" width="36.5546875" bestFit="1" customWidth="1"/>
    <col min="5968" max="5968" width="25.109375" bestFit="1" customWidth="1"/>
    <col min="5969" max="5969" width="31.21875" bestFit="1" customWidth="1"/>
    <col min="5970" max="5970" width="31.5546875" bestFit="1" customWidth="1"/>
    <col min="5971" max="5971" width="37.6640625" bestFit="1" customWidth="1"/>
    <col min="5972" max="5972" width="22.77734375" bestFit="1" customWidth="1"/>
    <col min="5973" max="5973" width="28.88671875" bestFit="1" customWidth="1"/>
    <col min="5974" max="5974" width="25.44140625" bestFit="1" customWidth="1"/>
    <col min="5975" max="5975" width="31.6640625" bestFit="1" customWidth="1"/>
    <col min="5976" max="5976" width="30.33203125" bestFit="1" customWidth="1"/>
    <col min="5977" max="5977" width="36.5546875" bestFit="1" customWidth="1"/>
    <col min="5978" max="5978" width="25.109375" bestFit="1" customWidth="1"/>
    <col min="5979" max="5979" width="31.21875" bestFit="1" customWidth="1"/>
    <col min="5980" max="5980" width="31.5546875" bestFit="1" customWidth="1"/>
    <col min="5981" max="5981" width="37.6640625" bestFit="1" customWidth="1"/>
    <col min="5982" max="5982" width="22.77734375" bestFit="1" customWidth="1"/>
    <col min="5983" max="5983" width="28.88671875" bestFit="1" customWidth="1"/>
    <col min="5984" max="5984" width="25.44140625" bestFit="1" customWidth="1"/>
    <col min="5985" max="5985" width="31.6640625" bestFit="1" customWidth="1"/>
    <col min="5986" max="5986" width="30.33203125" bestFit="1" customWidth="1"/>
    <col min="5987" max="5987" width="36.5546875" bestFit="1" customWidth="1"/>
    <col min="5988" max="5988" width="25.109375" bestFit="1" customWidth="1"/>
    <col min="5989" max="5989" width="31.21875" bestFit="1" customWidth="1"/>
    <col min="5990" max="5990" width="31.5546875" bestFit="1" customWidth="1"/>
    <col min="5991" max="5991" width="37.6640625" bestFit="1" customWidth="1"/>
    <col min="5992" max="5992" width="22.77734375" bestFit="1" customWidth="1"/>
    <col min="5993" max="5993" width="28.88671875" bestFit="1" customWidth="1"/>
    <col min="5994" max="5994" width="25.44140625" bestFit="1" customWidth="1"/>
    <col min="5995" max="5995" width="31.6640625" bestFit="1" customWidth="1"/>
    <col min="5996" max="5996" width="30.33203125" bestFit="1" customWidth="1"/>
    <col min="5997" max="5997" width="36.5546875" bestFit="1" customWidth="1"/>
    <col min="5998" max="5998" width="25.109375" bestFit="1" customWidth="1"/>
    <col min="5999" max="5999" width="31.21875" bestFit="1" customWidth="1"/>
    <col min="6000" max="6000" width="31.5546875" bestFit="1" customWidth="1"/>
    <col min="6001" max="6001" width="37.6640625" bestFit="1" customWidth="1"/>
    <col min="6002" max="6002" width="22.77734375" bestFit="1" customWidth="1"/>
    <col min="6003" max="6003" width="28.88671875" bestFit="1" customWidth="1"/>
    <col min="6004" max="6004" width="25.44140625" bestFit="1" customWidth="1"/>
    <col min="6005" max="6005" width="31.6640625" bestFit="1" customWidth="1"/>
    <col min="6006" max="6006" width="30.33203125" bestFit="1" customWidth="1"/>
    <col min="6007" max="6007" width="36.5546875" bestFit="1" customWidth="1"/>
    <col min="6008" max="6008" width="25.109375" bestFit="1" customWidth="1"/>
    <col min="6009" max="6009" width="31.21875" bestFit="1" customWidth="1"/>
    <col min="6010" max="6010" width="31.5546875" bestFit="1" customWidth="1"/>
    <col min="6011" max="6011" width="37.6640625" bestFit="1" customWidth="1"/>
    <col min="6012" max="6012" width="22.77734375" bestFit="1" customWidth="1"/>
    <col min="6013" max="6013" width="28.88671875" bestFit="1" customWidth="1"/>
    <col min="6014" max="6014" width="25.44140625" bestFit="1" customWidth="1"/>
    <col min="6015" max="6015" width="31.6640625" bestFit="1" customWidth="1"/>
    <col min="6016" max="6016" width="30.33203125" bestFit="1" customWidth="1"/>
    <col min="6017" max="6017" width="36.5546875" bestFit="1" customWidth="1"/>
    <col min="6018" max="6018" width="25.109375" bestFit="1" customWidth="1"/>
    <col min="6019" max="6019" width="31.21875" bestFit="1" customWidth="1"/>
    <col min="6020" max="6020" width="31.5546875" bestFit="1" customWidth="1"/>
    <col min="6021" max="6021" width="37.6640625" bestFit="1" customWidth="1"/>
    <col min="6022" max="6022" width="22.77734375" bestFit="1" customWidth="1"/>
    <col min="6023" max="6023" width="28.88671875" bestFit="1" customWidth="1"/>
    <col min="6024" max="6024" width="25.44140625" bestFit="1" customWidth="1"/>
    <col min="6025" max="6025" width="31.6640625" bestFit="1" customWidth="1"/>
    <col min="6026" max="6026" width="30.33203125" bestFit="1" customWidth="1"/>
    <col min="6027" max="6027" width="36.5546875" bestFit="1" customWidth="1"/>
    <col min="6028" max="6028" width="25.109375" bestFit="1" customWidth="1"/>
    <col min="6029" max="6029" width="31.21875" bestFit="1" customWidth="1"/>
    <col min="6030" max="6030" width="31.5546875" bestFit="1" customWidth="1"/>
    <col min="6031" max="6031" width="37.6640625" bestFit="1" customWidth="1"/>
    <col min="6032" max="6032" width="22.77734375" bestFit="1" customWidth="1"/>
    <col min="6033" max="6033" width="28.88671875" bestFit="1" customWidth="1"/>
    <col min="6034" max="6034" width="25.44140625" bestFit="1" customWidth="1"/>
    <col min="6035" max="6035" width="31.6640625" bestFit="1" customWidth="1"/>
    <col min="6036" max="6036" width="30.33203125" bestFit="1" customWidth="1"/>
    <col min="6037" max="6037" width="36.5546875" bestFit="1" customWidth="1"/>
    <col min="6038" max="6038" width="25.109375" bestFit="1" customWidth="1"/>
    <col min="6039" max="6039" width="31.21875" bestFit="1" customWidth="1"/>
    <col min="6040" max="6040" width="31.5546875" bestFit="1" customWidth="1"/>
    <col min="6041" max="6041" width="37.6640625" bestFit="1" customWidth="1"/>
    <col min="6042" max="6042" width="22.77734375" bestFit="1" customWidth="1"/>
    <col min="6043" max="6043" width="28.88671875" bestFit="1" customWidth="1"/>
    <col min="6044" max="6044" width="25.44140625" bestFit="1" customWidth="1"/>
    <col min="6045" max="6045" width="31.6640625" bestFit="1" customWidth="1"/>
    <col min="6046" max="6046" width="30.33203125" bestFit="1" customWidth="1"/>
    <col min="6047" max="6047" width="36.5546875" bestFit="1" customWidth="1"/>
    <col min="6048" max="6048" width="25.109375" bestFit="1" customWidth="1"/>
    <col min="6049" max="6049" width="31.21875" bestFit="1" customWidth="1"/>
    <col min="6050" max="6050" width="31.5546875" bestFit="1" customWidth="1"/>
    <col min="6051" max="6051" width="37.6640625" bestFit="1" customWidth="1"/>
    <col min="6052" max="6052" width="22.77734375" bestFit="1" customWidth="1"/>
    <col min="6053" max="6053" width="28.88671875" bestFit="1" customWidth="1"/>
    <col min="6054" max="6054" width="25.44140625" bestFit="1" customWidth="1"/>
    <col min="6055" max="6055" width="31.6640625" bestFit="1" customWidth="1"/>
    <col min="6056" max="6056" width="30.33203125" bestFit="1" customWidth="1"/>
    <col min="6057" max="6057" width="36.5546875" bestFit="1" customWidth="1"/>
    <col min="6058" max="6058" width="25.109375" bestFit="1" customWidth="1"/>
    <col min="6059" max="6059" width="31.21875" bestFit="1" customWidth="1"/>
    <col min="6060" max="6060" width="31.5546875" bestFit="1" customWidth="1"/>
    <col min="6061" max="6061" width="37.6640625" bestFit="1" customWidth="1"/>
    <col min="6062" max="6062" width="22.77734375" bestFit="1" customWidth="1"/>
    <col min="6063" max="6063" width="28.88671875" bestFit="1" customWidth="1"/>
    <col min="6064" max="6064" width="25.44140625" bestFit="1" customWidth="1"/>
    <col min="6065" max="6065" width="31.6640625" bestFit="1" customWidth="1"/>
    <col min="6066" max="6066" width="30.33203125" bestFit="1" customWidth="1"/>
    <col min="6067" max="6067" width="36.5546875" bestFit="1" customWidth="1"/>
    <col min="6068" max="6068" width="25.109375" bestFit="1" customWidth="1"/>
    <col min="6069" max="6069" width="31.21875" bestFit="1" customWidth="1"/>
    <col min="6070" max="6070" width="31.5546875" bestFit="1" customWidth="1"/>
    <col min="6071" max="6071" width="37.6640625" bestFit="1" customWidth="1"/>
    <col min="6072" max="6072" width="22.77734375" bestFit="1" customWidth="1"/>
    <col min="6073" max="6073" width="28.88671875" bestFit="1" customWidth="1"/>
    <col min="6074" max="6074" width="25.44140625" bestFit="1" customWidth="1"/>
    <col min="6075" max="6075" width="31.6640625" bestFit="1" customWidth="1"/>
    <col min="6076" max="6076" width="30.33203125" bestFit="1" customWidth="1"/>
    <col min="6077" max="6077" width="36.5546875" bestFit="1" customWidth="1"/>
    <col min="6078" max="6078" width="25.109375" bestFit="1" customWidth="1"/>
    <col min="6079" max="6079" width="31.21875" bestFit="1" customWidth="1"/>
    <col min="6080" max="6080" width="31.5546875" bestFit="1" customWidth="1"/>
    <col min="6081" max="6081" width="37.6640625" bestFit="1" customWidth="1"/>
    <col min="6082" max="6082" width="22.77734375" bestFit="1" customWidth="1"/>
    <col min="6083" max="6083" width="28.88671875" bestFit="1" customWidth="1"/>
    <col min="6084" max="6084" width="25.44140625" bestFit="1" customWidth="1"/>
    <col min="6085" max="6085" width="31.6640625" bestFit="1" customWidth="1"/>
    <col min="6086" max="6086" width="30.33203125" bestFit="1" customWidth="1"/>
    <col min="6087" max="6087" width="36.5546875" bestFit="1" customWidth="1"/>
    <col min="6088" max="6088" width="25.109375" bestFit="1" customWidth="1"/>
    <col min="6089" max="6089" width="31.21875" bestFit="1" customWidth="1"/>
    <col min="6090" max="6090" width="31.5546875" bestFit="1" customWidth="1"/>
    <col min="6091" max="6091" width="37.6640625" bestFit="1" customWidth="1"/>
    <col min="6092" max="6092" width="22.77734375" bestFit="1" customWidth="1"/>
    <col min="6093" max="6093" width="28.88671875" bestFit="1" customWidth="1"/>
    <col min="6094" max="6094" width="25.44140625" bestFit="1" customWidth="1"/>
    <col min="6095" max="6095" width="31.6640625" bestFit="1" customWidth="1"/>
    <col min="6096" max="6096" width="30.33203125" bestFit="1" customWidth="1"/>
    <col min="6097" max="6097" width="36.5546875" bestFit="1" customWidth="1"/>
    <col min="6098" max="6098" width="25.109375" bestFit="1" customWidth="1"/>
    <col min="6099" max="6099" width="31.21875" bestFit="1" customWidth="1"/>
    <col min="6100" max="6100" width="31.5546875" bestFit="1" customWidth="1"/>
    <col min="6101" max="6101" width="37.6640625" bestFit="1" customWidth="1"/>
    <col min="6102" max="6102" width="22.77734375" bestFit="1" customWidth="1"/>
    <col min="6103" max="6103" width="28.88671875" bestFit="1" customWidth="1"/>
    <col min="6104" max="6104" width="25.44140625" bestFit="1" customWidth="1"/>
    <col min="6105" max="6105" width="31.6640625" bestFit="1" customWidth="1"/>
    <col min="6106" max="6106" width="30.33203125" bestFit="1" customWidth="1"/>
    <col min="6107" max="6107" width="36.5546875" bestFit="1" customWidth="1"/>
    <col min="6108" max="6108" width="25.109375" bestFit="1" customWidth="1"/>
    <col min="6109" max="6109" width="31.21875" bestFit="1" customWidth="1"/>
    <col min="6110" max="6110" width="31.5546875" bestFit="1" customWidth="1"/>
    <col min="6111" max="6111" width="37.6640625" bestFit="1" customWidth="1"/>
    <col min="6112" max="6112" width="22.77734375" bestFit="1" customWidth="1"/>
    <col min="6113" max="6113" width="28.88671875" bestFit="1" customWidth="1"/>
    <col min="6114" max="6114" width="25.44140625" bestFit="1" customWidth="1"/>
    <col min="6115" max="6115" width="31.6640625" bestFit="1" customWidth="1"/>
    <col min="6116" max="6116" width="30.33203125" bestFit="1" customWidth="1"/>
    <col min="6117" max="6117" width="36.5546875" bestFit="1" customWidth="1"/>
    <col min="6118" max="6118" width="25.109375" bestFit="1" customWidth="1"/>
    <col min="6119" max="6119" width="31.21875" bestFit="1" customWidth="1"/>
    <col min="6120" max="6120" width="31.5546875" bestFit="1" customWidth="1"/>
    <col min="6121" max="6121" width="37.6640625" bestFit="1" customWidth="1"/>
    <col min="6122" max="6122" width="22.77734375" bestFit="1" customWidth="1"/>
    <col min="6123" max="6123" width="28.88671875" bestFit="1" customWidth="1"/>
    <col min="6124" max="6124" width="25.44140625" bestFit="1" customWidth="1"/>
    <col min="6125" max="6125" width="31.6640625" bestFit="1" customWidth="1"/>
    <col min="6126" max="6126" width="30.33203125" bestFit="1" customWidth="1"/>
    <col min="6127" max="6127" width="36.5546875" bestFit="1" customWidth="1"/>
    <col min="6128" max="6128" width="25.109375" bestFit="1" customWidth="1"/>
    <col min="6129" max="6129" width="31.21875" bestFit="1" customWidth="1"/>
    <col min="6130" max="6130" width="31.5546875" bestFit="1" customWidth="1"/>
    <col min="6131" max="6131" width="37.6640625" bestFit="1" customWidth="1"/>
    <col min="6132" max="6132" width="22.77734375" bestFit="1" customWidth="1"/>
    <col min="6133" max="6133" width="28.88671875" bestFit="1" customWidth="1"/>
    <col min="6134" max="6134" width="25.44140625" bestFit="1" customWidth="1"/>
    <col min="6135" max="6135" width="31.6640625" bestFit="1" customWidth="1"/>
    <col min="6136" max="6136" width="30.33203125" bestFit="1" customWidth="1"/>
    <col min="6137" max="6137" width="36.5546875" bestFit="1" customWidth="1"/>
    <col min="6138" max="6138" width="25.109375" bestFit="1" customWidth="1"/>
    <col min="6139" max="6139" width="31.21875" bestFit="1" customWidth="1"/>
    <col min="6140" max="6140" width="31.5546875" bestFit="1" customWidth="1"/>
    <col min="6141" max="6141" width="37.6640625" bestFit="1" customWidth="1"/>
    <col min="6142" max="6142" width="22.77734375" bestFit="1" customWidth="1"/>
    <col min="6143" max="6143" width="28.88671875" bestFit="1" customWidth="1"/>
    <col min="6144" max="6144" width="25.44140625" bestFit="1" customWidth="1"/>
    <col min="6145" max="6145" width="31.6640625" bestFit="1" customWidth="1"/>
    <col min="6146" max="6146" width="30.33203125" bestFit="1" customWidth="1"/>
    <col min="6147" max="6147" width="36.5546875" bestFit="1" customWidth="1"/>
    <col min="6148" max="6148" width="25.109375" bestFit="1" customWidth="1"/>
    <col min="6149" max="6149" width="31.21875" bestFit="1" customWidth="1"/>
    <col min="6150" max="6150" width="31.5546875" bestFit="1" customWidth="1"/>
    <col min="6151" max="6151" width="37.6640625" bestFit="1" customWidth="1"/>
    <col min="6152" max="6152" width="22.77734375" bestFit="1" customWidth="1"/>
    <col min="6153" max="6153" width="28.88671875" bestFit="1" customWidth="1"/>
    <col min="6154" max="6154" width="25.44140625" bestFit="1" customWidth="1"/>
    <col min="6155" max="6155" width="31.6640625" bestFit="1" customWidth="1"/>
    <col min="6156" max="6156" width="30.33203125" bestFit="1" customWidth="1"/>
    <col min="6157" max="6157" width="36.5546875" bestFit="1" customWidth="1"/>
    <col min="6158" max="6158" width="25.109375" bestFit="1" customWidth="1"/>
    <col min="6159" max="6159" width="31.21875" bestFit="1" customWidth="1"/>
    <col min="6160" max="6160" width="31.5546875" bestFit="1" customWidth="1"/>
    <col min="6161" max="6161" width="37.6640625" bestFit="1" customWidth="1"/>
    <col min="6162" max="6162" width="22.77734375" bestFit="1" customWidth="1"/>
    <col min="6163" max="6163" width="28.88671875" bestFit="1" customWidth="1"/>
    <col min="6164" max="6164" width="25.44140625" bestFit="1" customWidth="1"/>
    <col min="6165" max="6165" width="31.6640625" bestFit="1" customWidth="1"/>
    <col min="6166" max="6166" width="30.33203125" bestFit="1" customWidth="1"/>
    <col min="6167" max="6167" width="36.5546875" bestFit="1" customWidth="1"/>
    <col min="6168" max="6168" width="25.109375" bestFit="1" customWidth="1"/>
    <col min="6169" max="6169" width="31.21875" bestFit="1" customWidth="1"/>
    <col min="6170" max="6170" width="31.5546875" bestFit="1" customWidth="1"/>
    <col min="6171" max="6171" width="37.6640625" bestFit="1" customWidth="1"/>
    <col min="6172" max="6172" width="22.77734375" bestFit="1" customWidth="1"/>
    <col min="6173" max="6173" width="28.88671875" bestFit="1" customWidth="1"/>
    <col min="6174" max="6174" width="25.44140625" bestFit="1" customWidth="1"/>
    <col min="6175" max="6175" width="31.6640625" bestFit="1" customWidth="1"/>
    <col min="6176" max="6176" width="30.33203125" bestFit="1" customWidth="1"/>
    <col min="6177" max="6177" width="36.5546875" bestFit="1" customWidth="1"/>
    <col min="6178" max="6178" width="25.109375" bestFit="1" customWidth="1"/>
    <col min="6179" max="6179" width="31.21875" bestFit="1" customWidth="1"/>
    <col min="6180" max="6180" width="31.5546875" bestFit="1" customWidth="1"/>
    <col min="6181" max="6181" width="37.6640625" bestFit="1" customWidth="1"/>
    <col min="6182" max="6182" width="22.77734375" bestFit="1" customWidth="1"/>
    <col min="6183" max="6183" width="28.88671875" bestFit="1" customWidth="1"/>
    <col min="6184" max="6184" width="25.44140625" bestFit="1" customWidth="1"/>
    <col min="6185" max="6185" width="31.6640625" bestFit="1" customWidth="1"/>
    <col min="6186" max="6186" width="30.33203125" bestFit="1" customWidth="1"/>
    <col min="6187" max="6187" width="36.5546875" bestFit="1" customWidth="1"/>
    <col min="6188" max="6188" width="25.109375" bestFit="1" customWidth="1"/>
    <col min="6189" max="6189" width="31.21875" bestFit="1" customWidth="1"/>
    <col min="6190" max="6190" width="31.5546875" bestFit="1" customWidth="1"/>
    <col min="6191" max="6191" width="37.6640625" bestFit="1" customWidth="1"/>
    <col min="6192" max="6192" width="22.77734375" bestFit="1" customWidth="1"/>
    <col min="6193" max="6193" width="28.88671875" bestFit="1" customWidth="1"/>
    <col min="6194" max="6194" width="25.44140625" bestFit="1" customWidth="1"/>
    <col min="6195" max="6195" width="31.6640625" bestFit="1" customWidth="1"/>
    <col min="6196" max="6196" width="30.33203125" bestFit="1" customWidth="1"/>
    <col min="6197" max="6197" width="36.5546875" bestFit="1" customWidth="1"/>
    <col min="6198" max="6198" width="25.109375" bestFit="1" customWidth="1"/>
    <col min="6199" max="6199" width="31.21875" bestFit="1" customWidth="1"/>
    <col min="6200" max="6200" width="31.5546875" bestFit="1" customWidth="1"/>
    <col min="6201" max="6201" width="37.6640625" bestFit="1" customWidth="1"/>
    <col min="6202" max="6202" width="22.77734375" bestFit="1" customWidth="1"/>
    <col min="6203" max="6203" width="28.88671875" bestFit="1" customWidth="1"/>
    <col min="6204" max="6204" width="25.44140625" bestFit="1" customWidth="1"/>
    <col min="6205" max="6205" width="31.6640625" bestFit="1" customWidth="1"/>
    <col min="6206" max="6206" width="30.33203125" bestFit="1" customWidth="1"/>
    <col min="6207" max="6207" width="36.5546875" bestFit="1" customWidth="1"/>
    <col min="6208" max="6208" width="25.109375" bestFit="1" customWidth="1"/>
    <col min="6209" max="6209" width="31.21875" bestFit="1" customWidth="1"/>
    <col min="6210" max="6210" width="31.5546875" bestFit="1" customWidth="1"/>
    <col min="6211" max="6211" width="37.6640625" bestFit="1" customWidth="1"/>
    <col min="6212" max="6212" width="22.77734375" bestFit="1" customWidth="1"/>
    <col min="6213" max="6213" width="28.88671875" bestFit="1" customWidth="1"/>
    <col min="6214" max="6214" width="25.44140625" bestFit="1" customWidth="1"/>
    <col min="6215" max="6215" width="31.6640625" bestFit="1" customWidth="1"/>
    <col min="6216" max="6216" width="30.33203125" bestFit="1" customWidth="1"/>
    <col min="6217" max="6217" width="36.5546875" bestFit="1" customWidth="1"/>
    <col min="6218" max="6218" width="25.109375" bestFit="1" customWidth="1"/>
    <col min="6219" max="6219" width="31.21875" bestFit="1" customWidth="1"/>
    <col min="6220" max="6220" width="31.5546875" bestFit="1" customWidth="1"/>
    <col min="6221" max="6221" width="37.6640625" bestFit="1" customWidth="1"/>
    <col min="6222" max="6222" width="22.77734375" bestFit="1" customWidth="1"/>
    <col min="6223" max="6223" width="28.88671875" bestFit="1" customWidth="1"/>
    <col min="6224" max="6224" width="25.44140625" bestFit="1" customWidth="1"/>
    <col min="6225" max="6225" width="31.6640625" bestFit="1" customWidth="1"/>
    <col min="6226" max="6226" width="30.33203125" bestFit="1" customWidth="1"/>
    <col min="6227" max="6227" width="36.5546875" bestFit="1" customWidth="1"/>
    <col min="6228" max="6228" width="25.109375" bestFit="1" customWidth="1"/>
    <col min="6229" max="6229" width="31.21875" bestFit="1" customWidth="1"/>
    <col min="6230" max="6230" width="31.5546875" bestFit="1" customWidth="1"/>
    <col min="6231" max="6231" width="37.6640625" bestFit="1" customWidth="1"/>
    <col min="6232" max="6232" width="22.77734375" bestFit="1" customWidth="1"/>
    <col min="6233" max="6233" width="28.88671875" bestFit="1" customWidth="1"/>
    <col min="6234" max="6234" width="25.44140625" bestFit="1" customWidth="1"/>
    <col min="6235" max="6235" width="31.6640625" bestFit="1" customWidth="1"/>
    <col min="6236" max="6236" width="30.33203125" bestFit="1" customWidth="1"/>
    <col min="6237" max="6237" width="36.5546875" bestFit="1" customWidth="1"/>
    <col min="6238" max="6238" width="25.109375" bestFit="1" customWidth="1"/>
    <col min="6239" max="6239" width="31.21875" bestFit="1" customWidth="1"/>
    <col min="6240" max="6240" width="31.5546875" bestFit="1" customWidth="1"/>
    <col min="6241" max="6241" width="37.6640625" bestFit="1" customWidth="1"/>
    <col min="6242" max="6242" width="22.77734375" bestFit="1" customWidth="1"/>
    <col min="6243" max="6243" width="28.88671875" bestFit="1" customWidth="1"/>
    <col min="6244" max="6244" width="25.44140625" bestFit="1" customWidth="1"/>
    <col min="6245" max="6245" width="31.6640625" bestFit="1" customWidth="1"/>
    <col min="6246" max="6246" width="30.33203125" bestFit="1" customWidth="1"/>
    <col min="6247" max="6247" width="36.5546875" bestFit="1" customWidth="1"/>
    <col min="6248" max="6248" width="25.109375" bestFit="1" customWidth="1"/>
    <col min="6249" max="6249" width="31.21875" bestFit="1" customWidth="1"/>
    <col min="6250" max="6250" width="31.5546875" bestFit="1" customWidth="1"/>
    <col min="6251" max="6251" width="37.6640625" bestFit="1" customWidth="1"/>
    <col min="6252" max="6252" width="22.77734375" bestFit="1" customWidth="1"/>
    <col min="6253" max="6253" width="28.88671875" bestFit="1" customWidth="1"/>
    <col min="6254" max="6254" width="25.44140625" bestFit="1" customWidth="1"/>
    <col min="6255" max="6255" width="31.6640625" bestFit="1" customWidth="1"/>
    <col min="6256" max="6256" width="30.33203125" bestFit="1" customWidth="1"/>
    <col min="6257" max="6257" width="36.5546875" bestFit="1" customWidth="1"/>
    <col min="6258" max="6258" width="25.109375" bestFit="1" customWidth="1"/>
    <col min="6259" max="6259" width="31.21875" bestFit="1" customWidth="1"/>
    <col min="6260" max="6260" width="31.5546875" bestFit="1" customWidth="1"/>
    <col min="6261" max="6261" width="37.6640625" bestFit="1" customWidth="1"/>
    <col min="6262" max="6262" width="22.77734375" bestFit="1" customWidth="1"/>
    <col min="6263" max="6263" width="28.88671875" bestFit="1" customWidth="1"/>
    <col min="6264" max="6264" width="25.44140625" bestFit="1" customWidth="1"/>
    <col min="6265" max="6265" width="31.6640625" bestFit="1" customWidth="1"/>
    <col min="6266" max="6266" width="30.33203125" bestFit="1" customWidth="1"/>
    <col min="6267" max="6267" width="36.5546875" bestFit="1" customWidth="1"/>
    <col min="6268" max="6268" width="25.109375" bestFit="1" customWidth="1"/>
    <col min="6269" max="6269" width="31.21875" bestFit="1" customWidth="1"/>
    <col min="6270" max="6270" width="31.5546875" bestFit="1" customWidth="1"/>
    <col min="6271" max="6271" width="37.6640625" bestFit="1" customWidth="1"/>
    <col min="6272" max="6272" width="22.77734375" bestFit="1" customWidth="1"/>
    <col min="6273" max="6273" width="28.88671875" bestFit="1" customWidth="1"/>
    <col min="6274" max="6274" width="25.44140625" bestFit="1" customWidth="1"/>
    <col min="6275" max="6275" width="31.6640625" bestFit="1" customWidth="1"/>
    <col min="6276" max="6276" width="30.33203125" bestFit="1" customWidth="1"/>
    <col min="6277" max="6277" width="36.5546875" bestFit="1" customWidth="1"/>
    <col min="6278" max="6278" width="25.109375" bestFit="1" customWidth="1"/>
    <col min="6279" max="6279" width="31.21875" bestFit="1" customWidth="1"/>
    <col min="6280" max="6280" width="31.5546875" bestFit="1" customWidth="1"/>
    <col min="6281" max="6281" width="37.6640625" bestFit="1" customWidth="1"/>
    <col min="6282" max="6282" width="22.77734375" bestFit="1" customWidth="1"/>
    <col min="6283" max="6283" width="28.88671875" bestFit="1" customWidth="1"/>
    <col min="6284" max="6284" width="25.44140625" bestFit="1" customWidth="1"/>
    <col min="6285" max="6285" width="31.6640625" bestFit="1" customWidth="1"/>
    <col min="6286" max="6286" width="30.33203125" bestFit="1" customWidth="1"/>
    <col min="6287" max="6287" width="36.5546875" bestFit="1" customWidth="1"/>
    <col min="6288" max="6288" width="25.109375" bestFit="1" customWidth="1"/>
    <col min="6289" max="6289" width="31.21875" bestFit="1" customWidth="1"/>
    <col min="6290" max="6290" width="31.5546875" bestFit="1" customWidth="1"/>
    <col min="6291" max="6291" width="37.6640625" bestFit="1" customWidth="1"/>
    <col min="6292" max="6292" width="22.77734375" bestFit="1" customWidth="1"/>
    <col min="6293" max="6293" width="28.88671875" bestFit="1" customWidth="1"/>
    <col min="6294" max="6294" width="25.44140625" bestFit="1" customWidth="1"/>
    <col min="6295" max="6295" width="31.6640625" bestFit="1" customWidth="1"/>
    <col min="6296" max="6296" width="30.33203125" bestFit="1" customWidth="1"/>
    <col min="6297" max="6297" width="36.5546875" bestFit="1" customWidth="1"/>
    <col min="6298" max="6298" width="25.109375" bestFit="1" customWidth="1"/>
    <col min="6299" max="6299" width="31.21875" bestFit="1" customWidth="1"/>
    <col min="6300" max="6300" width="31.5546875" bestFit="1" customWidth="1"/>
    <col min="6301" max="6301" width="37.6640625" bestFit="1" customWidth="1"/>
    <col min="6302" max="6302" width="22.77734375" bestFit="1" customWidth="1"/>
    <col min="6303" max="6303" width="28.88671875" bestFit="1" customWidth="1"/>
    <col min="6304" max="6304" width="25.44140625" bestFit="1" customWidth="1"/>
    <col min="6305" max="6305" width="31.6640625" bestFit="1" customWidth="1"/>
    <col min="6306" max="6306" width="30.33203125" bestFit="1" customWidth="1"/>
    <col min="6307" max="6307" width="36.5546875" bestFit="1" customWidth="1"/>
    <col min="6308" max="6308" width="25.109375" bestFit="1" customWidth="1"/>
    <col min="6309" max="6309" width="31.21875" bestFit="1" customWidth="1"/>
    <col min="6310" max="6310" width="31.5546875" bestFit="1" customWidth="1"/>
    <col min="6311" max="6311" width="37.6640625" bestFit="1" customWidth="1"/>
    <col min="6312" max="6312" width="22.77734375" bestFit="1" customWidth="1"/>
    <col min="6313" max="6313" width="28.88671875" bestFit="1" customWidth="1"/>
    <col min="6314" max="6314" width="25.44140625" bestFit="1" customWidth="1"/>
    <col min="6315" max="6315" width="31.6640625" bestFit="1" customWidth="1"/>
    <col min="6316" max="6316" width="30.33203125" bestFit="1" customWidth="1"/>
    <col min="6317" max="6317" width="36.5546875" bestFit="1" customWidth="1"/>
    <col min="6318" max="6318" width="25.109375" bestFit="1" customWidth="1"/>
    <col min="6319" max="6319" width="31.21875" bestFit="1" customWidth="1"/>
    <col min="6320" max="6320" width="31.5546875" bestFit="1" customWidth="1"/>
    <col min="6321" max="6321" width="37.6640625" bestFit="1" customWidth="1"/>
    <col min="6322" max="6322" width="22.77734375" bestFit="1" customWidth="1"/>
    <col min="6323" max="6323" width="28.88671875" bestFit="1" customWidth="1"/>
    <col min="6324" max="6324" width="25.44140625" bestFit="1" customWidth="1"/>
    <col min="6325" max="6325" width="31.6640625" bestFit="1" customWidth="1"/>
    <col min="6326" max="6326" width="30.33203125" bestFit="1" customWidth="1"/>
    <col min="6327" max="6327" width="36.5546875" bestFit="1" customWidth="1"/>
    <col min="6328" max="6328" width="25.109375" bestFit="1" customWidth="1"/>
    <col min="6329" max="6329" width="31.21875" bestFit="1" customWidth="1"/>
    <col min="6330" max="6330" width="31.5546875" bestFit="1" customWidth="1"/>
    <col min="6331" max="6331" width="37.6640625" bestFit="1" customWidth="1"/>
    <col min="6332" max="6332" width="22.77734375" bestFit="1" customWidth="1"/>
    <col min="6333" max="6333" width="28.88671875" bestFit="1" customWidth="1"/>
    <col min="6334" max="6334" width="25.44140625" bestFit="1" customWidth="1"/>
    <col min="6335" max="6335" width="31.6640625" bestFit="1" customWidth="1"/>
    <col min="6336" max="6336" width="30.33203125" bestFit="1" customWidth="1"/>
    <col min="6337" max="6337" width="36.5546875" bestFit="1" customWidth="1"/>
    <col min="6338" max="6338" width="25.109375" bestFit="1" customWidth="1"/>
    <col min="6339" max="6339" width="31.21875" bestFit="1" customWidth="1"/>
    <col min="6340" max="6340" width="31.5546875" bestFit="1" customWidth="1"/>
    <col min="6341" max="6341" width="37.6640625" bestFit="1" customWidth="1"/>
    <col min="6342" max="6342" width="22.77734375" bestFit="1" customWidth="1"/>
    <col min="6343" max="6343" width="28.88671875" bestFit="1" customWidth="1"/>
    <col min="6344" max="6344" width="25.44140625" bestFit="1" customWidth="1"/>
    <col min="6345" max="6345" width="31.6640625" bestFit="1" customWidth="1"/>
    <col min="6346" max="6346" width="30.33203125" bestFit="1" customWidth="1"/>
    <col min="6347" max="6347" width="36.5546875" bestFit="1" customWidth="1"/>
    <col min="6348" max="6348" width="25.109375" bestFit="1" customWidth="1"/>
    <col min="6349" max="6349" width="31.21875" bestFit="1" customWidth="1"/>
    <col min="6350" max="6350" width="31.5546875" bestFit="1" customWidth="1"/>
    <col min="6351" max="6351" width="37.6640625" bestFit="1" customWidth="1"/>
    <col min="6352" max="6352" width="22.77734375" bestFit="1" customWidth="1"/>
    <col min="6353" max="6353" width="28.88671875" bestFit="1" customWidth="1"/>
    <col min="6354" max="6354" width="25.44140625" bestFit="1" customWidth="1"/>
    <col min="6355" max="6355" width="31.6640625" bestFit="1" customWidth="1"/>
    <col min="6356" max="6356" width="30.33203125" bestFit="1" customWidth="1"/>
    <col min="6357" max="6357" width="36.5546875" bestFit="1" customWidth="1"/>
    <col min="6358" max="6358" width="25.109375" bestFit="1" customWidth="1"/>
    <col min="6359" max="6359" width="31.21875" bestFit="1" customWidth="1"/>
    <col min="6360" max="6360" width="31.5546875" bestFit="1" customWidth="1"/>
    <col min="6361" max="6361" width="37.6640625" bestFit="1" customWidth="1"/>
    <col min="6362" max="6362" width="22.77734375" bestFit="1" customWidth="1"/>
    <col min="6363" max="6363" width="28.88671875" bestFit="1" customWidth="1"/>
    <col min="6364" max="6364" width="25.44140625" bestFit="1" customWidth="1"/>
    <col min="6365" max="6365" width="31.6640625" bestFit="1" customWidth="1"/>
    <col min="6366" max="6366" width="30.33203125" bestFit="1" customWidth="1"/>
    <col min="6367" max="6367" width="36.5546875" bestFit="1" customWidth="1"/>
    <col min="6368" max="6368" width="25.109375" bestFit="1" customWidth="1"/>
    <col min="6369" max="6369" width="31.21875" bestFit="1" customWidth="1"/>
    <col min="6370" max="6370" width="31.5546875" bestFit="1" customWidth="1"/>
    <col min="6371" max="6371" width="37.6640625" bestFit="1" customWidth="1"/>
    <col min="6372" max="6372" width="22.77734375" bestFit="1" customWidth="1"/>
    <col min="6373" max="6373" width="28.88671875" bestFit="1" customWidth="1"/>
    <col min="6374" max="6374" width="25.44140625" bestFit="1" customWidth="1"/>
    <col min="6375" max="6375" width="31.6640625" bestFit="1" customWidth="1"/>
    <col min="6376" max="6376" width="30.33203125" bestFit="1" customWidth="1"/>
    <col min="6377" max="6377" width="36.5546875" bestFit="1" customWidth="1"/>
    <col min="6378" max="6378" width="25.109375" bestFit="1" customWidth="1"/>
    <col min="6379" max="6379" width="31.21875" bestFit="1" customWidth="1"/>
    <col min="6380" max="6380" width="31.5546875" bestFit="1" customWidth="1"/>
    <col min="6381" max="6381" width="37.6640625" bestFit="1" customWidth="1"/>
    <col min="6382" max="6382" width="22.77734375" bestFit="1" customWidth="1"/>
    <col min="6383" max="6383" width="28.88671875" bestFit="1" customWidth="1"/>
    <col min="6384" max="6384" width="25.44140625" bestFit="1" customWidth="1"/>
    <col min="6385" max="6385" width="31.6640625" bestFit="1" customWidth="1"/>
    <col min="6386" max="6386" width="30.33203125" bestFit="1" customWidth="1"/>
    <col min="6387" max="6387" width="36.5546875" bestFit="1" customWidth="1"/>
    <col min="6388" max="6388" width="25.109375" bestFit="1" customWidth="1"/>
    <col min="6389" max="6389" width="31.21875" bestFit="1" customWidth="1"/>
    <col min="6390" max="6390" width="31.5546875" bestFit="1" customWidth="1"/>
    <col min="6391" max="6391" width="37.6640625" bestFit="1" customWidth="1"/>
    <col min="6392" max="6392" width="22.77734375" bestFit="1" customWidth="1"/>
    <col min="6393" max="6393" width="28.88671875" bestFit="1" customWidth="1"/>
    <col min="6394" max="6394" width="25.44140625" bestFit="1" customWidth="1"/>
    <col min="6395" max="6395" width="31.6640625" bestFit="1" customWidth="1"/>
    <col min="6396" max="6396" width="30.33203125" bestFit="1" customWidth="1"/>
    <col min="6397" max="6397" width="36.5546875" bestFit="1" customWidth="1"/>
    <col min="6398" max="6398" width="25.109375" bestFit="1" customWidth="1"/>
    <col min="6399" max="6399" width="31.21875" bestFit="1" customWidth="1"/>
    <col min="6400" max="6400" width="31.5546875" bestFit="1" customWidth="1"/>
    <col min="6401" max="6401" width="37.6640625" bestFit="1" customWidth="1"/>
    <col min="6402" max="6402" width="22.77734375" bestFit="1" customWidth="1"/>
    <col min="6403" max="6403" width="28.88671875" bestFit="1" customWidth="1"/>
    <col min="6404" max="6404" width="25.44140625" bestFit="1" customWidth="1"/>
    <col min="6405" max="6405" width="31.6640625" bestFit="1" customWidth="1"/>
    <col min="6406" max="6406" width="30.33203125" bestFit="1" customWidth="1"/>
    <col min="6407" max="6407" width="36.5546875" bestFit="1" customWidth="1"/>
    <col min="6408" max="6408" width="25.109375" bestFit="1" customWidth="1"/>
    <col min="6409" max="6409" width="31.21875" bestFit="1" customWidth="1"/>
    <col min="6410" max="6410" width="31.5546875" bestFit="1" customWidth="1"/>
    <col min="6411" max="6411" width="37.6640625" bestFit="1" customWidth="1"/>
    <col min="6412" max="6412" width="22.77734375" bestFit="1" customWidth="1"/>
    <col min="6413" max="6413" width="28.88671875" bestFit="1" customWidth="1"/>
    <col min="6414" max="6414" width="25.44140625" bestFit="1" customWidth="1"/>
    <col min="6415" max="6415" width="31.6640625" bestFit="1" customWidth="1"/>
    <col min="6416" max="6416" width="30.33203125" bestFit="1" customWidth="1"/>
    <col min="6417" max="6417" width="36.5546875" bestFit="1" customWidth="1"/>
    <col min="6418" max="6418" width="25.109375" bestFit="1" customWidth="1"/>
    <col min="6419" max="6419" width="31.21875" bestFit="1" customWidth="1"/>
    <col min="6420" max="6420" width="31.5546875" bestFit="1" customWidth="1"/>
    <col min="6421" max="6421" width="37.6640625" bestFit="1" customWidth="1"/>
    <col min="6422" max="6422" width="22.77734375" bestFit="1" customWidth="1"/>
    <col min="6423" max="6423" width="28.88671875" bestFit="1" customWidth="1"/>
    <col min="6424" max="6424" width="25.44140625" bestFit="1" customWidth="1"/>
    <col min="6425" max="6425" width="31.6640625" bestFit="1" customWidth="1"/>
    <col min="6426" max="6426" width="30.33203125" bestFit="1" customWidth="1"/>
    <col min="6427" max="6427" width="36.5546875" bestFit="1" customWidth="1"/>
    <col min="6428" max="6428" width="25.109375" bestFit="1" customWidth="1"/>
    <col min="6429" max="6429" width="31.21875" bestFit="1" customWidth="1"/>
    <col min="6430" max="6430" width="31.5546875" bestFit="1" customWidth="1"/>
    <col min="6431" max="6431" width="37.6640625" bestFit="1" customWidth="1"/>
    <col min="6432" max="6432" width="22.77734375" bestFit="1" customWidth="1"/>
    <col min="6433" max="6433" width="28.88671875" bestFit="1" customWidth="1"/>
    <col min="6434" max="6434" width="25.44140625" bestFit="1" customWidth="1"/>
    <col min="6435" max="6435" width="31.6640625" bestFit="1" customWidth="1"/>
    <col min="6436" max="6436" width="30.33203125" bestFit="1" customWidth="1"/>
    <col min="6437" max="6437" width="36.5546875" bestFit="1" customWidth="1"/>
    <col min="6438" max="6438" width="25.109375" bestFit="1" customWidth="1"/>
    <col min="6439" max="6439" width="31.21875" bestFit="1" customWidth="1"/>
    <col min="6440" max="6440" width="31.5546875" bestFit="1" customWidth="1"/>
    <col min="6441" max="6441" width="37.6640625" bestFit="1" customWidth="1"/>
    <col min="6442" max="6442" width="22.77734375" bestFit="1" customWidth="1"/>
    <col min="6443" max="6443" width="28.88671875" bestFit="1" customWidth="1"/>
    <col min="6444" max="6444" width="25.44140625" bestFit="1" customWidth="1"/>
    <col min="6445" max="6445" width="31.6640625" bestFit="1" customWidth="1"/>
    <col min="6446" max="6446" width="30.33203125" bestFit="1" customWidth="1"/>
    <col min="6447" max="6447" width="36.5546875" bestFit="1" customWidth="1"/>
    <col min="6448" max="6448" width="25.109375" bestFit="1" customWidth="1"/>
    <col min="6449" max="6449" width="31.21875" bestFit="1" customWidth="1"/>
    <col min="6450" max="6450" width="31.5546875" bestFit="1" customWidth="1"/>
    <col min="6451" max="6451" width="37.6640625" bestFit="1" customWidth="1"/>
    <col min="6452" max="6452" width="22.77734375" bestFit="1" customWidth="1"/>
    <col min="6453" max="6453" width="28.88671875" bestFit="1" customWidth="1"/>
    <col min="6454" max="6454" width="25.44140625" bestFit="1" customWidth="1"/>
    <col min="6455" max="6455" width="31.6640625" bestFit="1" customWidth="1"/>
    <col min="6456" max="6456" width="30.33203125" bestFit="1" customWidth="1"/>
    <col min="6457" max="6457" width="36.5546875" bestFit="1" customWidth="1"/>
    <col min="6458" max="6458" width="25.109375" bestFit="1" customWidth="1"/>
    <col min="6459" max="6459" width="31.21875" bestFit="1" customWidth="1"/>
    <col min="6460" max="6460" width="31.5546875" bestFit="1" customWidth="1"/>
    <col min="6461" max="6461" width="37.6640625" bestFit="1" customWidth="1"/>
    <col min="6462" max="6462" width="22.77734375" bestFit="1" customWidth="1"/>
    <col min="6463" max="6463" width="28.88671875" bestFit="1" customWidth="1"/>
    <col min="6464" max="6464" width="25.44140625" bestFit="1" customWidth="1"/>
    <col min="6465" max="6465" width="31.6640625" bestFit="1" customWidth="1"/>
    <col min="6466" max="6466" width="30.33203125" bestFit="1" customWidth="1"/>
    <col min="6467" max="6467" width="36.5546875" bestFit="1" customWidth="1"/>
    <col min="6468" max="6468" width="25.109375" bestFit="1" customWidth="1"/>
    <col min="6469" max="6469" width="31.21875" bestFit="1" customWidth="1"/>
    <col min="6470" max="6470" width="31.5546875" bestFit="1" customWidth="1"/>
    <col min="6471" max="6471" width="37.6640625" bestFit="1" customWidth="1"/>
    <col min="6472" max="6472" width="22.77734375" bestFit="1" customWidth="1"/>
    <col min="6473" max="6473" width="28.88671875" bestFit="1" customWidth="1"/>
    <col min="6474" max="6474" width="25.44140625" bestFit="1" customWidth="1"/>
    <col min="6475" max="6475" width="31.6640625" bestFit="1" customWidth="1"/>
    <col min="6476" max="6476" width="30.33203125" bestFit="1" customWidth="1"/>
    <col min="6477" max="6477" width="36.5546875" bestFit="1" customWidth="1"/>
    <col min="6478" max="6478" width="25.109375" bestFit="1" customWidth="1"/>
    <col min="6479" max="6479" width="31.21875" bestFit="1" customWidth="1"/>
    <col min="6480" max="6480" width="31.5546875" bestFit="1" customWidth="1"/>
    <col min="6481" max="6481" width="37.6640625" bestFit="1" customWidth="1"/>
    <col min="6482" max="6482" width="22.77734375" bestFit="1" customWidth="1"/>
    <col min="6483" max="6483" width="28.88671875" bestFit="1" customWidth="1"/>
    <col min="6484" max="6484" width="25.44140625" bestFit="1" customWidth="1"/>
    <col min="6485" max="6485" width="31.6640625" bestFit="1" customWidth="1"/>
    <col min="6486" max="6486" width="30.33203125" bestFit="1" customWidth="1"/>
    <col min="6487" max="6487" width="36.5546875" bestFit="1" customWidth="1"/>
    <col min="6488" max="6488" width="25.109375" bestFit="1" customWidth="1"/>
    <col min="6489" max="6489" width="31.21875" bestFit="1" customWidth="1"/>
    <col min="6490" max="6490" width="31.5546875" bestFit="1" customWidth="1"/>
    <col min="6491" max="6491" width="37.6640625" bestFit="1" customWidth="1"/>
    <col min="6492" max="6492" width="22.77734375" bestFit="1" customWidth="1"/>
    <col min="6493" max="6493" width="28.88671875" bestFit="1" customWidth="1"/>
    <col min="6494" max="6494" width="25.44140625" bestFit="1" customWidth="1"/>
    <col min="6495" max="6495" width="31.6640625" bestFit="1" customWidth="1"/>
    <col min="6496" max="6496" width="30.33203125" bestFit="1" customWidth="1"/>
    <col min="6497" max="6497" width="36.5546875" bestFit="1" customWidth="1"/>
    <col min="6498" max="6498" width="25.109375" bestFit="1" customWidth="1"/>
    <col min="6499" max="6499" width="31.21875" bestFit="1" customWidth="1"/>
    <col min="6500" max="6500" width="31.5546875" bestFit="1" customWidth="1"/>
    <col min="6501" max="6501" width="37.6640625" bestFit="1" customWidth="1"/>
    <col min="6502" max="6502" width="22.77734375" bestFit="1" customWidth="1"/>
    <col min="6503" max="6503" width="28.88671875" bestFit="1" customWidth="1"/>
    <col min="6504" max="6504" width="25.44140625" bestFit="1" customWidth="1"/>
    <col min="6505" max="6505" width="31.6640625" bestFit="1" customWidth="1"/>
    <col min="6506" max="6506" width="30.33203125" bestFit="1" customWidth="1"/>
    <col min="6507" max="6507" width="36.5546875" bestFit="1" customWidth="1"/>
    <col min="6508" max="6508" width="25.109375" bestFit="1" customWidth="1"/>
    <col min="6509" max="6509" width="31.21875" bestFit="1" customWidth="1"/>
    <col min="6510" max="6510" width="31.5546875" bestFit="1" customWidth="1"/>
    <col min="6511" max="6511" width="37.6640625" bestFit="1" customWidth="1"/>
    <col min="6512" max="6512" width="22.77734375" bestFit="1" customWidth="1"/>
    <col min="6513" max="6513" width="28.88671875" bestFit="1" customWidth="1"/>
    <col min="6514" max="6514" width="25.44140625" bestFit="1" customWidth="1"/>
    <col min="6515" max="6515" width="31.6640625" bestFit="1" customWidth="1"/>
    <col min="6516" max="6516" width="30.33203125" bestFit="1" customWidth="1"/>
    <col min="6517" max="6517" width="36.5546875" bestFit="1" customWidth="1"/>
    <col min="6518" max="6518" width="25.109375" bestFit="1" customWidth="1"/>
    <col min="6519" max="6519" width="31.21875" bestFit="1" customWidth="1"/>
    <col min="6520" max="6520" width="31.5546875" bestFit="1" customWidth="1"/>
    <col min="6521" max="6521" width="37.6640625" bestFit="1" customWidth="1"/>
    <col min="6522" max="6522" width="22.77734375" bestFit="1" customWidth="1"/>
    <col min="6523" max="6523" width="28.88671875" bestFit="1" customWidth="1"/>
    <col min="6524" max="6524" width="25.44140625" bestFit="1" customWidth="1"/>
    <col min="6525" max="6525" width="31.6640625" bestFit="1" customWidth="1"/>
    <col min="6526" max="6526" width="30.33203125" bestFit="1" customWidth="1"/>
    <col min="6527" max="6527" width="36.5546875" bestFit="1" customWidth="1"/>
    <col min="6528" max="6528" width="25.109375" bestFit="1" customWidth="1"/>
    <col min="6529" max="6529" width="31.21875" bestFit="1" customWidth="1"/>
    <col min="6530" max="6530" width="31.5546875" bestFit="1" customWidth="1"/>
    <col min="6531" max="6531" width="37.6640625" bestFit="1" customWidth="1"/>
    <col min="6532" max="6532" width="22.77734375" bestFit="1" customWidth="1"/>
    <col min="6533" max="6533" width="28.88671875" bestFit="1" customWidth="1"/>
    <col min="6534" max="6534" width="25.44140625" bestFit="1" customWidth="1"/>
    <col min="6535" max="6535" width="31.6640625" bestFit="1" customWidth="1"/>
    <col min="6536" max="6536" width="30.33203125" bestFit="1" customWidth="1"/>
    <col min="6537" max="6537" width="36.5546875" bestFit="1" customWidth="1"/>
    <col min="6538" max="6538" width="25.109375" bestFit="1" customWidth="1"/>
    <col min="6539" max="6539" width="31.21875" bestFit="1" customWidth="1"/>
    <col min="6540" max="6540" width="31.5546875" bestFit="1" customWidth="1"/>
    <col min="6541" max="6541" width="37.6640625" bestFit="1" customWidth="1"/>
    <col min="6542" max="6542" width="22.77734375" bestFit="1" customWidth="1"/>
    <col min="6543" max="6543" width="28.88671875" bestFit="1" customWidth="1"/>
    <col min="6544" max="6544" width="25.44140625" bestFit="1" customWidth="1"/>
    <col min="6545" max="6545" width="31.6640625" bestFit="1" customWidth="1"/>
    <col min="6546" max="6546" width="30.33203125" bestFit="1" customWidth="1"/>
    <col min="6547" max="6547" width="36.5546875" bestFit="1" customWidth="1"/>
    <col min="6548" max="6548" width="25.109375" bestFit="1" customWidth="1"/>
    <col min="6549" max="6549" width="31.21875" bestFit="1" customWidth="1"/>
    <col min="6550" max="6550" width="31.5546875" bestFit="1" customWidth="1"/>
    <col min="6551" max="6551" width="37.6640625" bestFit="1" customWidth="1"/>
    <col min="6552" max="6552" width="22.77734375" bestFit="1" customWidth="1"/>
    <col min="6553" max="6553" width="28.88671875" bestFit="1" customWidth="1"/>
    <col min="6554" max="6554" width="25.44140625" bestFit="1" customWidth="1"/>
    <col min="6555" max="6555" width="31.6640625" bestFit="1" customWidth="1"/>
    <col min="6556" max="6556" width="30.33203125" bestFit="1" customWidth="1"/>
    <col min="6557" max="6557" width="36.5546875" bestFit="1" customWidth="1"/>
    <col min="6558" max="6558" width="25.109375" bestFit="1" customWidth="1"/>
    <col min="6559" max="6559" width="31.21875" bestFit="1" customWidth="1"/>
    <col min="6560" max="6560" width="31.5546875" bestFit="1" customWidth="1"/>
    <col min="6561" max="6561" width="37.6640625" bestFit="1" customWidth="1"/>
    <col min="6562" max="6562" width="22.77734375" bestFit="1" customWidth="1"/>
    <col min="6563" max="6563" width="28.88671875" bestFit="1" customWidth="1"/>
    <col min="6564" max="6564" width="25.44140625" bestFit="1" customWidth="1"/>
    <col min="6565" max="6565" width="31.6640625" bestFit="1" customWidth="1"/>
    <col min="6566" max="6566" width="30.33203125" bestFit="1" customWidth="1"/>
    <col min="6567" max="6567" width="36.5546875" bestFit="1" customWidth="1"/>
    <col min="6568" max="6568" width="25.109375" bestFit="1" customWidth="1"/>
    <col min="6569" max="6569" width="31.21875" bestFit="1" customWidth="1"/>
    <col min="6570" max="6570" width="31.5546875" bestFit="1" customWidth="1"/>
    <col min="6571" max="6571" width="37.6640625" bestFit="1" customWidth="1"/>
    <col min="6572" max="6572" width="22.77734375" bestFit="1" customWidth="1"/>
    <col min="6573" max="6573" width="28.88671875" bestFit="1" customWidth="1"/>
    <col min="6574" max="6574" width="25.44140625" bestFit="1" customWidth="1"/>
    <col min="6575" max="6575" width="31.6640625" bestFit="1" customWidth="1"/>
    <col min="6576" max="6576" width="30.33203125" bestFit="1" customWidth="1"/>
    <col min="6577" max="6577" width="36.5546875" bestFit="1" customWidth="1"/>
    <col min="6578" max="6578" width="25.109375" bestFit="1" customWidth="1"/>
    <col min="6579" max="6579" width="31.21875" bestFit="1" customWidth="1"/>
    <col min="6580" max="6580" width="31.5546875" bestFit="1" customWidth="1"/>
    <col min="6581" max="6581" width="37.6640625" bestFit="1" customWidth="1"/>
    <col min="6582" max="6582" width="22.77734375" bestFit="1" customWidth="1"/>
    <col min="6583" max="6583" width="28.88671875" bestFit="1" customWidth="1"/>
    <col min="6584" max="6584" width="25.44140625" bestFit="1" customWidth="1"/>
    <col min="6585" max="6585" width="31.6640625" bestFit="1" customWidth="1"/>
    <col min="6586" max="6586" width="30.33203125" bestFit="1" customWidth="1"/>
    <col min="6587" max="6587" width="36.5546875" bestFit="1" customWidth="1"/>
    <col min="6588" max="6588" width="25.109375" bestFit="1" customWidth="1"/>
    <col min="6589" max="6589" width="31.21875" bestFit="1" customWidth="1"/>
    <col min="6590" max="6590" width="31.5546875" bestFit="1" customWidth="1"/>
    <col min="6591" max="6591" width="37.6640625" bestFit="1" customWidth="1"/>
    <col min="6592" max="6592" width="22.77734375" bestFit="1" customWidth="1"/>
    <col min="6593" max="6593" width="28.88671875" bestFit="1" customWidth="1"/>
    <col min="6594" max="6594" width="25.44140625" bestFit="1" customWidth="1"/>
    <col min="6595" max="6595" width="31.6640625" bestFit="1" customWidth="1"/>
    <col min="6596" max="6596" width="30.33203125" bestFit="1" customWidth="1"/>
    <col min="6597" max="6597" width="36.5546875" bestFit="1" customWidth="1"/>
    <col min="6598" max="6598" width="25.109375" bestFit="1" customWidth="1"/>
    <col min="6599" max="6599" width="31.21875" bestFit="1" customWidth="1"/>
    <col min="6600" max="6600" width="31.5546875" bestFit="1" customWidth="1"/>
    <col min="6601" max="6601" width="37.6640625" bestFit="1" customWidth="1"/>
    <col min="6602" max="6602" width="22.77734375" bestFit="1" customWidth="1"/>
    <col min="6603" max="6603" width="28.88671875" bestFit="1" customWidth="1"/>
    <col min="6604" max="6604" width="25.44140625" bestFit="1" customWidth="1"/>
    <col min="6605" max="6605" width="31.6640625" bestFit="1" customWidth="1"/>
    <col min="6606" max="6606" width="30.33203125" bestFit="1" customWidth="1"/>
    <col min="6607" max="6607" width="36.5546875" bestFit="1" customWidth="1"/>
    <col min="6608" max="6608" width="25.109375" bestFit="1" customWidth="1"/>
    <col min="6609" max="6609" width="31.21875" bestFit="1" customWidth="1"/>
    <col min="6610" max="6610" width="31.5546875" bestFit="1" customWidth="1"/>
    <col min="6611" max="6611" width="37.6640625" bestFit="1" customWidth="1"/>
    <col min="6612" max="6612" width="22.77734375" bestFit="1" customWidth="1"/>
    <col min="6613" max="6613" width="28.88671875" bestFit="1" customWidth="1"/>
    <col min="6614" max="6614" width="25.44140625" bestFit="1" customWidth="1"/>
    <col min="6615" max="6615" width="31.6640625" bestFit="1" customWidth="1"/>
    <col min="6616" max="6616" width="30.33203125" bestFit="1" customWidth="1"/>
    <col min="6617" max="6617" width="36.5546875" bestFit="1" customWidth="1"/>
    <col min="6618" max="6618" width="25.109375" bestFit="1" customWidth="1"/>
    <col min="6619" max="6619" width="31.21875" bestFit="1" customWidth="1"/>
    <col min="6620" max="6620" width="31.5546875" bestFit="1" customWidth="1"/>
    <col min="6621" max="6621" width="37.6640625" bestFit="1" customWidth="1"/>
    <col min="6622" max="6622" width="22.77734375" bestFit="1" customWidth="1"/>
    <col min="6623" max="6623" width="28.88671875" bestFit="1" customWidth="1"/>
    <col min="6624" max="6624" width="25.44140625" bestFit="1" customWidth="1"/>
    <col min="6625" max="6625" width="31.6640625" bestFit="1" customWidth="1"/>
    <col min="6626" max="6626" width="30.33203125" bestFit="1" customWidth="1"/>
    <col min="6627" max="6627" width="36.5546875" bestFit="1" customWidth="1"/>
    <col min="6628" max="6628" width="25.109375" bestFit="1" customWidth="1"/>
    <col min="6629" max="6629" width="31.21875" bestFit="1" customWidth="1"/>
    <col min="6630" max="6630" width="31.5546875" bestFit="1" customWidth="1"/>
    <col min="6631" max="6631" width="37.6640625" bestFit="1" customWidth="1"/>
    <col min="6632" max="6632" width="22.77734375" bestFit="1" customWidth="1"/>
    <col min="6633" max="6633" width="28.88671875" bestFit="1" customWidth="1"/>
    <col min="6634" max="6634" width="25.44140625" bestFit="1" customWidth="1"/>
    <col min="6635" max="6635" width="31.6640625" bestFit="1" customWidth="1"/>
    <col min="6636" max="6636" width="30.33203125" bestFit="1" customWidth="1"/>
    <col min="6637" max="6637" width="36.5546875" bestFit="1" customWidth="1"/>
    <col min="6638" max="6638" width="25.109375" bestFit="1" customWidth="1"/>
    <col min="6639" max="6639" width="31.21875" bestFit="1" customWidth="1"/>
    <col min="6640" max="6640" width="31.5546875" bestFit="1" customWidth="1"/>
    <col min="6641" max="6641" width="37.6640625" bestFit="1" customWidth="1"/>
    <col min="6642" max="6642" width="22.77734375" bestFit="1" customWidth="1"/>
    <col min="6643" max="6643" width="28.88671875" bestFit="1" customWidth="1"/>
    <col min="6644" max="6644" width="25.44140625" bestFit="1" customWidth="1"/>
    <col min="6645" max="6645" width="31.6640625" bestFit="1" customWidth="1"/>
    <col min="6646" max="6646" width="30.33203125" bestFit="1" customWidth="1"/>
    <col min="6647" max="6647" width="36.5546875" bestFit="1" customWidth="1"/>
    <col min="6648" max="6648" width="25.109375" bestFit="1" customWidth="1"/>
    <col min="6649" max="6649" width="31.21875" bestFit="1" customWidth="1"/>
    <col min="6650" max="6650" width="31.5546875" bestFit="1" customWidth="1"/>
    <col min="6651" max="6651" width="37.6640625" bestFit="1" customWidth="1"/>
    <col min="6652" max="6652" width="22.77734375" bestFit="1" customWidth="1"/>
    <col min="6653" max="6653" width="28.88671875" bestFit="1" customWidth="1"/>
    <col min="6654" max="6654" width="25.44140625" bestFit="1" customWidth="1"/>
    <col min="6655" max="6655" width="31.6640625" bestFit="1" customWidth="1"/>
    <col min="6656" max="6656" width="30.33203125" bestFit="1" customWidth="1"/>
    <col min="6657" max="6657" width="36.5546875" bestFit="1" customWidth="1"/>
    <col min="6658" max="6658" width="25.109375" bestFit="1" customWidth="1"/>
    <col min="6659" max="6659" width="31.21875" bestFit="1" customWidth="1"/>
    <col min="6660" max="6660" width="31.5546875" bestFit="1" customWidth="1"/>
    <col min="6661" max="6661" width="37.6640625" bestFit="1" customWidth="1"/>
    <col min="6662" max="6662" width="22.77734375" bestFit="1" customWidth="1"/>
    <col min="6663" max="6663" width="28.88671875" bestFit="1" customWidth="1"/>
    <col min="6664" max="6664" width="25.44140625" bestFit="1" customWidth="1"/>
    <col min="6665" max="6665" width="31.6640625" bestFit="1" customWidth="1"/>
    <col min="6666" max="6666" width="30.33203125" bestFit="1" customWidth="1"/>
    <col min="6667" max="6667" width="36.5546875" bestFit="1" customWidth="1"/>
    <col min="6668" max="6668" width="25.109375" bestFit="1" customWidth="1"/>
    <col min="6669" max="6669" width="31.21875" bestFit="1" customWidth="1"/>
    <col min="6670" max="6670" width="31.5546875" bestFit="1" customWidth="1"/>
    <col min="6671" max="6671" width="37.6640625" bestFit="1" customWidth="1"/>
    <col min="6672" max="6672" width="22.77734375" bestFit="1" customWidth="1"/>
    <col min="6673" max="6673" width="28.88671875" bestFit="1" customWidth="1"/>
    <col min="6674" max="6674" width="25.44140625" bestFit="1" customWidth="1"/>
    <col min="6675" max="6675" width="31.6640625" bestFit="1" customWidth="1"/>
    <col min="6676" max="6676" width="30.33203125" bestFit="1" customWidth="1"/>
    <col min="6677" max="6677" width="36.5546875" bestFit="1" customWidth="1"/>
    <col min="6678" max="6678" width="25.109375" bestFit="1" customWidth="1"/>
    <col min="6679" max="6679" width="31.21875" bestFit="1" customWidth="1"/>
    <col min="6680" max="6680" width="31.5546875" bestFit="1" customWidth="1"/>
    <col min="6681" max="6681" width="37.6640625" bestFit="1" customWidth="1"/>
    <col min="6682" max="6682" width="22.77734375" bestFit="1" customWidth="1"/>
    <col min="6683" max="6683" width="28.88671875" bestFit="1" customWidth="1"/>
    <col min="6684" max="6684" width="25.44140625" bestFit="1" customWidth="1"/>
    <col min="6685" max="6685" width="31.6640625" bestFit="1" customWidth="1"/>
    <col min="6686" max="6686" width="30.33203125" bestFit="1" customWidth="1"/>
    <col min="6687" max="6687" width="36.5546875" bestFit="1" customWidth="1"/>
    <col min="6688" max="6688" width="25.109375" bestFit="1" customWidth="1"/>
    <col min="6689" max="6689" width="31.21875" bestFit="1" customWidth="1"/>
    <col min="6690" max="6690" width="31.5546875" bestFit="1" customWidth="1"/>
    <col min="6691" max="6691" width="37.6640625" bestFit="1" customWidth="1"/>
    <col min="6692" max="6692" width="22.77734375" bestFit="1" customWidth="1"/>
    <col min="6693" max="6693" width="28.88671875" bestFit="1" customWidth="1"/>
    <col min="6694" max="6694" width="25.44140625" bestFit="1" customWidth="1"/>
    <col min="6695" max="6695" width="31.6640625" bestFit="1" customWidth="1"/>
    <col min="6696" max="6696" width="30.33203125" bestFit="1" customWidth="1"/>
    <col min="6697" max="6697" width="36.5546875" bestFit="1" customWidth="1"/>
    <col min="6698" max="6698" width="25.109375" bestFit="1" customWidth="1"/>
    <col min="6699" max="6699" width="31.21875" bestFit="1" customWidth="1"/>
    <col min="6700" max="6700" width="31.5546875" bestFit="1" customWidth="1"/>
    <col min="6701" max="6701" width="37.6640625" bestFit="1" customWidth="1"/>
    <col min="6702" max="6702" width="22.77734375" bestFit="1" customWidth="1"/>
    <col min="6703" max="6703" width="28.88671875" bestFit="1" customWidth="1"/>
    <col min="6704" max="6704" width="25.44140625" bestFit="1" customWidth="1"/>
    <col min="6705" max="6705" width="31.6640625" bestFit="1" customWidth="1"/>
    <col min="6706" max="6706" width="30.33203125" bestFit="1" customWidth="1"/>
    <col min="6707" max="6707" width="36.5546875" bestFit="1" customWidth="1"/>
    <col min="6708" max="6708" width="25.109375" bestFit="1" customWidth="1"/>
    <col min="6709" max="6709" width="31.21875" bestFit="1" customWidth="1"/>
    <col min="6710" max="6710" width="31.5546875" bestFit="1" customWidth="1"/>
    <col min="6711" max="6711" width="37.6640625" bestFit="1" customWidth="1"/>
    <col min="6712" max="6712" width="22.77734375" bestFit="1" customWidth="1"/>
    <col min="6713" max="6713" width="28.88671875" bestFit="1" customWidth="1"/>
    <col min="6714" max="6714" width="25.44140625" bestFit="1" customWidth="1"/>
    <col min="6715" max="6715" width="31.6640625" bestFit="1" customWidth="1"/>
    <col min="6716" max="6716" width="30.33203125" bestFit="1" customWidth="1"/>
    <col min="6717" max="6717" width="36.5546875" bestFit="1" customWidth="1"/>
    <col min="6718" max="6718" width="25.109375" bestFit="1" customWidth="1"/>
    <col min="6719" max="6719" width="31.21875" bestFit="1" customWidth="1"/>
    <col min="6720" max="6720" width="31.5546875" bestFit="1" customWidth="1"/>
    <col min="6721" max="6721" width="37.6640625" bestFit="1" customWidth="1"/>
    <col min="6722" max="6722" width="22.77734375" bestFit="1" customWidth="1"/>
    <col min="6723" max="6723" width="28.88671875" bestFit="1" customWidth="1"/>
    <col min="6724" max="6724" width="25.44140625" bestFit="1" customWidth="1"/>
    <col min="6725" max="6725" width="31.6640625" bestFit="1" customWidth="1"/>
    <col min="6726" max="6726" width="30.33203125" bestFit="1" customWidth="1"/>
    <col min="6727" max="6727" width="36.5546875" bestFit="1" customWidth="1"/>
    <col min="6728" max="6728" width="25.109375" bestFit="1" customWidth="1"/>
    <col min="6729" max="6729" width="31.21875" bestFit="1" customWidth="1"/>
    <col min="6730" max="6730" width="31.5546875" bestFit="1" customWidth="1"/>
    <col min="6731" max="6731" width="37.6640625" bestFit="1" customWidth="1"/>
    <col min="6732" max="6732" width="22.77734375" bestFit="1" customWidth="1"/>
    <col min="6733" max="6733" width="28.88671875" bestFit="1" customWidth="1"/>
    <col min="6734" max="6734" width="25.44140625" bestFit="1" customWidth="1"/>
    <col min="6735" max="6735" width="31.6640625" bestFit="1" customWidth="1"/>
    <col min="6736" max="6736" width="30.33203125" bestFit="1" customWidth="1"/>
    <col min="6737" max="6737" width="36.5546875" bestFit="1" customWidth="1"/>
    <col min="6738" max="6738" width="25.109375" bestFit="1" customWidth="1"/>
    <col min="6739" max="6739" width="31.21875" bestFit="1" customWidth="1"/>
    <col min="6740" max="6740" width="31.5546875" bestFit="1" customWidth="1"/>
    <col min="6741" max="6741" width="37.6640625" bestFit="1" customWidth="1"/>
    <col min="6742" max="6742" width="22.77734375" bestFit="1" customWidth="1"/>
    <col min="6743" max="6743" width="28.88671875" bestFit="1" customWidth="1"/>
    <col min="6744" max="6744" width="25.44140625" bestFit="1" customWidth="1"/>
    <col min="6745" max="6745" width="31.6640625" bestFit="1" customWidth="1"/>
    <col min="6746" max="6746" width="30.33203125" bestFit="1" customWidth="1"/>
    <col min="6747" max="6747" width="36.5546875" bestFit="1" customWidth="1"/>
    <col min="6748" max="6748" width="25.109375" bestFit="1" customWidth="1"/>
    <col min="6749" max="6749" width="31.21875" bestFit="1" customWidth="1"/>
    <col min="6750" max="6750" width="31.5546875" bestFit="1" customWidth="1"/>
    <col min="6751" max="6751" width="37.6640625" bestFit="1" customWidth="1"/>
    <col min="6752" max="6752" width="22.77734375" bestFit="1" customWidth="1"/>
    <col min="6753" max="6753" width="28.88671875" bestFit="1" customWidth="1"/>
    <col min="6754" max="6754" width="25.44140625" bestFit="1" customWidth="1"/>
    <col min="6755" max="6755" width="31.6640625" bestFit="1" customWidth="1"/>
    <col min="6756" max="6756" width="30.33203125" bestFit="1" customWidth="1"/>
    <col min="6757" max="6757" width="36.5546875" bestFit="1" customWidth="1"/>
    <col min="6758" max="6758" width="25.109375" bestFit="1" customWidth="1"/>
    <col min="6759" max="6759" width="31.21875" bestFit="1" customWidth="1"/>
    <col min="6760" max="6760" width="31.5546875" bestFit="1" customWidth="1"/>
    <col min="6761" max="6761" width="37.6640625" bestFit="1" customWidth="1"/>
    <col min="6762" max="6762" width="22.77734375" bestFit="1" customWidth="1"/>
    <col min="6763" max="6763" width="28.88671875" bestFit="1" customWidth="1"/>
    <col min="6764" max="6764" width="25.44140625" bestFit="1" customWidth="1"/>
    <col min="6765" max="6765" width="31.6640625" bestFit="1" customWidth="1"/>
    <col min="6766" max="6766" width="30.33203125" bestFit="1" customWidth="1"/>
    <col min="6767" max="6767" width="36.5546875" bestFit="1" customWidth="1"/>
    <col min="6768" max="6768" width="25.109375" bestFit="1" customWidth="1"/>
    <col min="6769" max="6769" width="31.21875" bestFit="1" customWidth="1"/>
    <col min="6770" max="6770" width="31.5546875" bestFit="1" customWidth="1"/>
    <col min="6771" max="6771" width="37.6640625" bestFit="1" customWidth="1"/>
    <col min="6772" max="6772" width="22.77734375" bestFit="1" customWidth="1"/>
    <col min="6773" max="6773" width="28.88671875" bestFit="1" customWidth="1"/>
    <col min="6774" max="6774" width="25.44140625" bestFit="1" customWidth="1"/>
    <col min="6775" max="6775" width="31.6640625" bestFit="1" customWidth="1"/>
    <col min="6776" max="6776" width="30.33203125" bestFit="1" customWidth="1"/>
    <col min="6777" max="6777" width="36.5546875" bestFit="1" customWidth="1"/>
    <col min="6778" max="6778" width="25.109375" bestFit="1" customWidth="1"/>
    <col min="6779" max="6779" width="31.21875" bestFit="1" customWidth="1"/>
    <col min="6780" max="6780" width="31.5546875" bestFit="1" customWidth="1"/>
    <col min="6781" max="6781" width="37.6640625" bestFit="1" customWidth="1"/>
    <col min="6782" max="6782" width="22.77734375" bestFit="1" customWidth="1"/>
    <col min="6783" max="6783" width="28.88671875" bestFit="1" customWidth="1"/>
    <col min="6784" max="6784" width="25.44140625" bestFit="1" customWidth="1"/>
    <col min="6785" max="6785" width="31.6640625" bestFit="1" customWidth="1"/>
    <col min="6786" max="6786" width="30.33203125" bestFit="1" customWidth="1"/>
    <col min="6787" max="6787" width="36.5546875" bestFit="1" customWidth="1"/>
    <col min="6788" max="6788" width="25.109375" bestFit="1" customWidth="1"/>
    <col min="6789" max="6789" width="31.21875" bestFit="1" customWidth="1"/>
    <col min="6790" max="6790" width="31.5546875" bestFit="1" customWidth="1"/>
    <col min="6791" max="6791" width="37.6640625" bestFit="1" customWidth="1"/>
    <col min="6792" max="6792" width="22.77734375" bestFit="1" customWidth="1"/>
    <col min="6793" max="6793" width="28.88671875" bestFit="1" customWidth="1"/>
    <col min="6794" max="6794" width="25.44140625" bestFit="1" customWidth="1"/>
    <col min="6795" max="6795" width="31.6640625" bestFit="1" customWidth="1"/>
    <col min="6796" max="6796" width="30.33203125" bestFit="1" customWidth="1"/>
    <col min="6797" max="6797" width="36.5546875" bestFit="1" customWidth="1"/>
    <col min="6798" max="6798" width="25.109375" bestFit="1" customWidth="1"/>
    <col min="6799" max="6799" width="31.21875" bestFit="1" customWidth="1"/>
    <col min="6800" max="6800" width="31.5546875" bestFit="1" customWidth="1"/>
    <col min="6801" max="6801" width="37.6640625" bestFit="1" customWidth="1"/>
    <col min="6802" max="6802" width="22.77734375" bestFit="1" customWidth="1"/>
    <col min="6803" max="6803" width="28.88671875" bestFit="1" customWidth="1"/>
    <col min="6804" max="6804" width="25.44140625" bestFit="1" customWidth="1"/>
    <col min="6805" max="6805" width="31.6640625" bestFit="1" customWidth="1"/>
    <col min="6806" max="6806" width="30.33203125" bestFit="1" customWidth="1"/>
    <col min="6807" max="6807" width="36.5546875" bestFit="1" customWidth="1"/>
    <col min="6808" max="6808" width="25.109375" bestFit="1" customWidth="1"/>
    <col min="6809" max="6809" width="31.21875" bestFit="1" customWidth="1"/>
    <col min="6810" max="6810" width="31.5546875" bestFit="1" customWidth="1"/>
    <col min="6811" max="6811" width="37.6640625" bestFit="1" customWidth="1"/>
    <col min="6812" max="6812" width="22.77734375" bestFit="1" customWidth="1"/>
    <col min="6813" max="6813" width="28.88671875" bestFit="1" customWidth="1"/>
    <col min="6814" max="6814" width="25.44140625" bestFit="1" customWidth="1"/>
    <col min="6815" max="6815" width="31.6640625" bestFit="1" customWidth="1"/>
    <col min="6816" max="6816" width="30.33203125" bestFit="1" customWidth="1"/>
    <col min="6817" max="6817" width="36.5546875" bestFit="1" customWidth="1"/>
    <col min="6818" max="6818" width="25.109375" bestFit="1" customWidth="1"/>
    <col min="6819" max="6819" width="31.21875" bestFit="1" customWidth="1"/>
    <col min="6820" max="6820" width="31.5546875" bestFit="1" customWidth="1"/>
    <col min="6821" max="6821" width="37.6640625" bestFit="1" customWidth="1"/>
    <col min="6822" max="6822" width="22.77734375" bestFit="1" customWidth="1"/>
    <col min="6823" max="6823" width="28.88671875" bestFit="1" customWidth="1"/>
    <col min="6824" max="6824" width="25.44140625" bestFit="1" customWidth="1"/>
    <col min="6825" max="6825" width="31.6640625" bestFit="1" customWidth="1"/>
    <col min="6826" max="6826" width="30.33203125" bestFit="1" customWidth="1"/>
    <col min="6827" max="6827" width="36.5546875" bestFit="1" customWidth="1"/>
    <col min="6828" max="6828" width="25.109375" bestFit="1" customWidth="1"/>
    <col min="6829" max="6829" width="31.21875" bestFit="1" customWidth="1"/>
    <col min="6830" max="6830" width="31.5546875" bestFit="1" customWidth="1"/>
    <col min="6831" max="6831" width="37.6640625" bestFit="1" customWidth="1"/>
    <col min="6832" max="6832" width="22.77734375" bestFit="1" customWidth="1"/>
    <col min="6833" max="6833" width="28.88671875" bestFit="1" customWidth="1"/>
    <col min="6834" max="6834" width="25.44140625" bestFit="1" customWidth="1"/>
    <col min="6835" max="6835" width="31.6640625" bestFit="1" customWidth="1"/>
    <col min="6836" max="6836" width="30.33203125" bestFit="1" customWidth="1"/>
    <col min="6837" max="6837" width="36.5546875" bestFit="1" customWidth="1"/>
    <col min="6838" max="6838" width="25.109375" bestFit="1" customWidth="1"/>
    <col min="6839" max="6839" width="31.21875" bestFit="1" customWidth="1"/>
    <col min="6840" max="6840" width="31.5546875" bestFit="1" customWidth="1"/>
    <col min="6841" max="6841" width="37.6640625" bestFit="1" customWidth="1"/>
    <col min="6842" max="6842" width="22.77734375" bestFit="1" customWidth="1"/>
    <col min="6843" max="6843" width="28.88671875" bestFit="1" customWidth="1"/>
    <col min="6844" max="6844" width="25.44140625" bestFit="1" customWidth="1"/>
    <col min="6845" max="6845" width="31.6640625" bestFit="1" customWidth="1"/>
    <col min="6846" max="6846" width="30.33203125" bestFit="1" customWidth="1"/>
    <col min="6847" max="6847" width="36.5546875" bestFit="1" customWidth="1"/>
    <col min="6848" max="6848" width="25.109375" bestFit="1" customWidth="1"/>
    <col min="6849" max="6849" width="31.21875" bestFit="1" customWidth="1"/>
    <col min="6850" max="6850" width="31.5546875" bestFit="1" customWidth="1"/>
    <col min="6851" max="6851" width="37.6640625" bestFit="1" customWidth="1"/>
    <col min="6852" max="6852" width="22.77734375" bestFit="1" customWidth="1"/>
    <col min="6853" max="6853" width="28.88671875" bestFit="1" customWidth="1"/>
    <col min="6854" max="6854" width="25.44140625" bestFit="1" customWidth="1"/>
    <col min="6855" max="6855" width="31.6640625" bestFit="1" customWidth="1"/>
    <col min="6856" max="6856" width="30.33203125" bestFit="1" customWidth="1"/>
    <col min="6857" max="6857" width="36.5546875" bestFit="1" customWidth="1"/>
    <col min="6858" max="6858" width="25.109375" bestFit="1" customWidth="1"/>
    <col min="6859" max="6859" width="31.21875" bestFit="1" customWidth="1"/>
    <col min="6860" max="6860" width="31.5546875" bestFit="1" customWidth="1"/>
    <col min="6861" max="6861" width="37.6640625" bestFit="1" customWidth="1"/>
    <col min="6862" max="6862" width="22.77734375" bestFit="1" customWidth="1"/>
    <col min="6863" max="6863" width="28.88671875" bestFit="1" customWidth="1"/>
    <col min="6864" max="6864" width="25.44140625" bestFit="1" customWidth="1"/>
    <col min="6865" max="6865" width="31.6640625" bestFit="1" customWidth="1"/>
    <col min="6866" max="6866" width="30.33203125" bestFit="1" customWidth="1"/>
    <col min="6867" max="6867" width="36.5546875" bestFit="1" customWidth="1"/>
    <col min="6868" max="6868" width="25.109375" bestFit="1" customWidth="1"/>
    <col min="6869" max="6869" width="31.21875" bestFit="1" customWidth="1"/>
    <col min="6870" max="6870" width="31.5546875" bestFit="1" customWidth="1"/>
    <col min="6871" max="6871" width="37.6640625" bestFit="1" customWidth="1"/>
    <col min="6872" max="6872" width="22.77734375" bestFit="1" customWidth="1"/>
    <col min="6873" max="6873" width="28.88671875" bestFit="1" customWidth="1"/>
    <col min="6874" max="6874" width="25.44140625" bestFit="1" customWidth="1"/>
    <col min="6875" max="6875" width="31.6640625" bestFit="1" customWidth="1"/>
    <col min="6876" max="6876" width="30.33203125" bestFit="1" customWidth="1"/>
    <col min="6877" max="6877" width="36.5546875" bestFit="1" customWidth="1"/>
    <col min="6878" max="6878" width="25.109375" bestFit="1" customWidth="1"/>
    <col min="6879" max="6879" width="31.21875" bestFit="1" customWidth="1"/>
    <col min="6880" max="6880" width="31.5546875" bestFit="1" customWidth="1"/>
    <col min="6881" max="6881" width="37.6640625" bestFit="1" customWidth="1"/>
    <col min="6882" max="6882" width="22.77734375" bestFit="1" customWidth="1"/>
    <col min="6883" max="6883" width="28.88671875" bestFit="1" customWidth="1"/>
    <col min="6884" max="6884" width="25.44140625" bestFit="1" customWidth="1"/>
    <col min="6885" max="6885" width="31.6640625" bestFit="1" customWidth="1"/>
    <col min="6886" max="6886" width="30.33203125" bestFit="1" customWidth="1"/>
    <col min="6887" max="6887" width="36.5546875" bestFit="1" customWidth="1"/>
    <col min="6888" max="6888" width="25.109375" bestFit="1" customWidth="1"/>
    <col min="6889" max="6889" width="31.21875" bestFit="1" customWidth="1"/>
    <col min="6890" max="6890" width="31.5546875" bestFit="1" customWidth="1"/>
    <col min="6891" max="6891" width="37.6640625" bestFit="1" customWidth="1"/>
    <col min="6892" max="6892" width="22.77734375" bestFit="1" customWidth="1"/>
    <col min="6893" max="6893" width="28.88671875" bestFit="1" customWidth="1"/>
    <col min="6894" max="6894" width="25.44140625" bestFit="1" customWidth="1"/>
    <col min="6895" max="6895" width="31.6640625" bestFit="1" customWidth="1"/>
    <col min="6896" max="6896" width="30.33203125" bestFit="1" customWidth="1"/>
    <col min="6897" max="6897" width="36.5546875" bestFit="1" customWidth="1"/>
    <col min="6898" max="6898" width="25.109375" bestFit="1" customWidth="1"/>
    <col min="6899" max="6899" width="31.21875" bestFit="1" customWidth="1"/>
    <col min="6900" max="6900" width="31.5546875" bestFit="1" customWidth="1"/>
    <col min="6901" max="6901" width="37.6640625" bestFit="1" customWidth="1"/>
    <col min="6902" max="6902" width="22.77734375" bestFit="1" customWidth="1"/>
    <col min="6903" max="6903" width="28.88671875" bestFit="1" customWidth="1"/>
    <col min="6904" max="6904" width="25.44140625" bestFit="1" customWidth="1"/>
    <col min="6905" max="6905" width="31.6640625" bestFit="1" customWidth="1"/>
    <col min="6906" max="6906" width="30.33203125" bestFit="1" customWidth="1"/>
    <col min="6907" max="6907" width="36.5546875" bestFit="1" customWidth="1"/>
    <col min="6908" max="6908" width="25.109375" bestFit="1" customWidth="1"/>
    <col min="6909" max="6909" width="31.21875" bestFit="1" customWidth="1"/>
    <col min="6910" max="6910" width="31.5546875" bestFit="1" customWidth="1"/>
    <col min="6911" max="6911" width="37.6640625" bestFit="1" customWidth="1"/>
    <col min="6912" max="6912" width="22.77734375" bestFit="1" customWidth="1"/>
    <col min="6913" max="6913" width="28.88671875" bestFit="1" customWidth="1"/>
    <col min="6914" max="6914" width="25.44140625" bestFit="1" customWidth="1"/>
    <col min="6915" max="6915" width="31.6640625" bestFit="1" customWidth="1"/>
    <col min="6916" max="6916" width="30.33203125" bestFit="1" customWidth="1"/>
    <col min="6917" max="6917" width="36.5546875" bestFit="1" customWidth="1"/>
    <col min="6918" max="6918" width="25.109375" bestFit="1" customWidth="1"/>
    <col min="6919" max="6919" width="31.21875" bestFit="1" customWidth="1"/>
    <col min="6920" max="6920" width="31.5546875" bestFit="1" customWidth="1"/>
    <col min="6921" max="6921" width="37.6640625" bestFit="1" customWidth="1"/>
    <col min="6922" max="6922" width="22.77734375" bestFit="1" customWidth="1"/>
    <col min="6923" max="6923" width="28.88671875" bestFit="1" customWidth="1"/>
    <col min="6924" max="6924" width="25.44140625" bestFit="1" customWidth="1"/>
    <col min="6925" max="6925" width="31.6640625" bestFit="1" customWidth="1"/>
    <col min="6926" max="6926" width="30.33203125" bestFit="1" customWidth="1"/>
    <col min="6927" max="6927" width="36.5546875" bestFit="1" customWidth="1"/>
    <col min="6928" max="6928" width="25.109375" bestFit="1" customWidth="1"/>
    <col min="6929" max="6929" width="31.21875" bestFit="1" customWidth="1"/>
    <col min="6930" max="6930" width="31.5546875" bestFit="1" customWidth="1"/>
    <col min="6931" max="6931" width="37.6640625" bestFit="1" customWidth="1"/>
    <col min="6932" max="6932" width="22.77734375" bestFit="1" customWidth="1"/>
    <col min="6933" max="6933" width="28.88671875" bestFit="1" customWidth="1"/>
    <col min="6934" max="6934" width="25.44140625" bestFit="1" customWidth="1"/>
    <col min="6935" max="6935" width="31.6640625" bestFit="1" customWidth="1"/>
    <col min="6936" max="6936" width="30.33203125" bestFit="1" customWidth="1"/>
    <col min="6937" max="6937" width="36.5546875" bestFit="1" customWidth="1"/>
    <col min="6938" max="6938" width="25.109375" bestFit="1" customWidth="1"/>
    <col min="6939" max="6939" width="31.21875" bestFit="1" customWidth="1"/>
    <col min="6940" max="6940" width="31.5546875" bestFit="1" customWidth="1"/>
    <col min="6941" max="6941" width="37.6640625" bestFit="1" customWidth="1"/>
    <col min="6942" max="6942" width="22.77734375" bestFit="1" customWidth="1"/>
    <col min="6943" max="6943" width="28.88671875" bestFit="1" customWidth="1"/>
    <col min="6944" max="6944" width="25.44140625" bestFit="1" customWidth="1"/>
    <col min="6945" max="6945" width="31.6640625" bestFit="1" customWidth="1"/>
    <col min="6946" max="6946" width="30.33203125" bestFit="1" customWidth="1"/>
    <col min="6947" max="6947" width="36.5546875" bestFit="1" customWidth="1"/>
    <col min="6948" max="6948" width="25.109375" bestFit="1" customWidth="1"/>
    <col min="6949" max="6949" width="31.21875" bestFit="1" customWidth="1"/>
    <col min="6950" max="6950" width="31.5546875" bestFit="1" customWidth="1"/>
    <col min="6951" max="6951" width="37.6640625" bestFit="1" customWidth="1"/>
    <col min="6952" max="6952" width="22.77734375" bestFit="1" customWidth="1"/>
    <col min="6953" max="6953" width="28.88671875" bestFit="1" customWidth="1"/>
    <col min="6954" max="6954" width="25.44140625" bestFit="1" customWidth="1"/>
    <col min="6955" max="6955" width="31.6640625" bestFit="1" customWidth="1"/>
    <col min="6956" max="6956" width="30.33203125" bestFit="1" customWidth="1"/>
    <col min="6957" max="6957" width="36.5546875" bestFit="1" customWidth="1"/>
    <col min="6958" max="6958" width="25.109375" bestFit="1" customWidth="1"/>
    <col min="6959" max="6959" width="31.21875" bestFit="1" customWidth="1"/>
    <col min="6960" max="6960" width="31.5546875" bestFit="1" customWidth="1"/>
    <col min="6961" max="6961" width="37.6640625" bestFit="1" customWidth="1"/>
    <col min="6962" max="6962" width="22.77734375" bestFit="1" customWidth="1"/>
    <col min="6963" max="6963" width="28.88671875" bestFit="1" customWidth="1"/>
    <col min="6964" max="6964" width="25.44140625" bestFit="1" customWidth="1"/>
    <col min="6965" max="6965" width="31.6640625" bestFit="1" customWidth="1"/>
    <col min="6966" max="6966" width="30.33203125" bestFit="1" customWidth="1"/>
    <col min="6967" max="6967" width="36.5546875" bestFit="1" customWidth="1"/>
    <col min="6968" max="6968" width="25.109375" bestFit="1" customWidth="1"/>
    <col min="6969" max="6969" width="31.21875" bestFit="1" customWidth="1"/>
    <col min="6970" max="6970" width="31.5546875" bestFit="1" customWidth="1"/>
    <col min="6971" max="6971" width="37.6640625" bestFit="1" customWidth="1"/>
    <col min="6972" max="6972" width="22.77734375" bestFit="1" customWidth="1"/>
    <col min="6973" max="6973" width="28.88671875" bestFit="1" customWidth="1"/>
    <col min="6974" max="6974" width="25.44140625" bestFit="1" customWidth="1"/>
    <col min="6975" max="6975" width="31.6640625" bestFit="1" customWidth="1"/>
    <col min="6976" max="6976" width="30.33203125" bestFit="1" customWidth="1"/>
    <col min="6977" max="6977" width="36.5546875" bestFit="1" customWidth="1"/>
    <col min="6978" max="6978" width="25.109375" bestFit="1" customWidth="1"/>
    <col min="6979" max="6979" width="31.21875" bestFit="1" customWidth="1"/>
    <col min="6980" max="6980" width="31.5546875" bestFit="1" customWidth="1"/>
    <col min="6981" max="6981" width="37.6640625" bestFit="1" customWidth="1"/>
    <col min="6982" max="6982" width="22.77734375" bestFit="1" customWidth="1"/>
    <col min="6983" max="6983" width="28.88671875" bestFit="1" customWidth="1"/>
    <col min="6984" max="6984" width="25.44140625" bestFit="1" customWidth="1"/>
    <col min="6985" max="6985" width="31.6640625" bestFit="1" customWidth="1"/>
    <col min="6986" max="6986" width="30.33203125" bestFit="1" customWidth="1"/>
    <col min="6987" max="6987" width="36.5546875" bestFit="1" customWidth="1"/>
    <col min="6988" max="6988" width="25.109375" bestFit="1" customWidth="1"/>
    <col min="6989" max="6989" width="31.21875" bestFit="1" customWidth="1"/>
    <col min="6990" max="6990" width="31.5546875" bestFit="1" customWidth="1"/>
    <col min="6991" max="6991" width="37.6640625" bestFit="1" customWidth="1"/>
    <col min="6992" max="6992" width="22.77734375" bestFit="1" customWidth="1"/>
    <col min="6993" max="6993" width="28.88671875" bestFit="1" customWidth="1"/>
    <col min="6994" max="6994" width="25.44140625" bestFit="1" customWidth="1"/>
    <col min="6995" max="6995" width="31.6640625" bestFit="1" customWidth="1"/>
    <col min="6996" max="6996" width="30.33203125" bestFit="1" customWidth="1"/>
    <col min="6997" max="6997" width="36.5546875" bestFit="1" customWidth="1"/>
    <col min="6998" max="6998" width="25.109375" bestFit="1" customWidth="1"/>
    <col min="6999" max="6999" width="31.21875" bestFit="1" customWidth="1"/>
    <col min="7000" max="7000" width="31.5546875" bestFit="1" customWidth="1"/>
    <col min="7001" max="7001" width="37.6640625" bestFit="1" customWidth="1"/>
    <col min="7002" max="7002" width="22.77734375" bestFit="1" customWidth="1"/>
    <col min="7003" max="7003" width="28.88671875" bestFit="1" customWidth="1"/>
    <col min="7004" max="7004" width="25.44140625" bestFit="1" customWidth="1"/>
    <col min="7005" max="7005" width="31.6640625" bestFit="1" customWidth="1"/>
    <col min="7006" max="7006" width="30.33203125" bestFit="1" customWidth="1"/>
    <col min="7007" max="7007" width="36.5546875" bestFit="1" customWidth="1"/>
    <col min="7008" max="7008" width="25.109375" bestFit="1" customWidth="1"/>
    <col min="7009" max="7009" width="31.21875" bestFit="1" customWidth="1"/>
    <col min="7010" max="7010" width="31.5546875" bestFit="1" customWidth="1"/>
    <col min="7011" max="7011" width="37.6640625" bestFit="1" customWidth="1"/>
    <col min="7012" max="7012" width="22.77734375" bestFit="1" customWidth="1"/>
    <col min="7013" max="7013" width="28.88671875" bestFit="1" customWidth="1"/>
    <col min="7014" max="7014" width="25.44140625" bestFit="1" customWidth="1"/>
    <col min="7015" max="7015" width="31.6640625" bestFit="1" customWidth="1"/>
    <col min="7016" max="7016" width="30.33203125" bestFit="1" customWidth="1"/>
    <col min="7017" max="7017" width="36.5546875" bestFit="1" customWidth="1"/>
    <col min="7018" max="7018" width="25.109375" bestFit="1" customWidth="1"/>
    <col min="7019" max="7019" width="31.21875" bestFit="1" customWidth="1"/>
    <col min="7020" max="7020" width="31.5546875" bestFit="1" customWidth="1"/>
    <col min="7021" max="7021" width="37.6640625" bestFit="1" customWidth="1"/>
    <col min="7022" max="7022" width="22.77734375" bestFit="1" customWidth="1"/>
    <col min="7023" max="7023" width="28.88671875" bestFit="1" customWidth="1"/>
    <col min="7024" max="7024" width="25.44140625" bestFit="1" customWidth="1"/>
    <col min="7025" max="7025" width="31.6640625" bestFit="1" customWidth="1"/>
    <col min="7026" max="7026" width="30.33203125" bestFit="1" customWidth="1"/>
    <col min="7027" max="7027" width="36.5546875" bestFit="1" customWidth="1"/>
    <col min="7028" max="7028" width="25.109375" bestFit="1" customWidth="1"/>
    <col min="7029" max="7029" width="31.21875" bestFit="1" customWidth="1"/>
    <col min="7030" max="7030" width="31.5546875" bestFit="1" customWidth="1"/>
    <col min="7031" max="7031" width="37.6640625" bestFit="1" customWidth="1"/>
    <col min="7032" max="7032" width="22.77734375" bestFit="1" customWidth="1"/>
    <col min="7033" max="7033" width="28.88671875" bestFit="1" customWidth="1"/>
    <col min="7034" max="7034" width="25.44140625" bestFit="1" customWidth="1"/>
    <col min="7035" max="7035" width="31.6640625" bestFit="1" customWidth="1"/>
    <col min="7036" max="7036" width="30.33203125" bestFit="1" customWidth="1"/>
    <col min="7037" max="7037" width="36.5546875" bestFit="1" customWidth="1"/>
    <col min="7038" max="7038" width="25.109375" bestFit="1" customWidth="1"/>
    <col min="7039" max="7039" width="31.21875" bestFit="1" customWidth="1"/>
    <col min="7040" max="7040" width="31.5546875" bestFit="1" customWidth="1"/>
    <col min="7041" max="7041" width="37.6640625" bestFit="1" customWidth="1"/>
    <col min="7042" max="7042" width="22.77734375" bestFit="1" customWidth="1"/>
    <col min="7043" max="7043" width="28.88671875" bestFit="1" customWidth="1"/>
    <col min="7044" max="7044" width="25.44140625" bestFit="1" customWidth="1"/>
    <col min="7045" max="7045" width="31.6640625" bestFit="1" customWidth="1"/>
    <col min="7046" max="7046" width="30.33203125" bestFit="1" customWidth="1"/>
    <col min="7047" max="7047" width="36.5546875" bestFit="1" customWidth="1"/>
    <col min="7048" max="7048" width="25.109375" bestFit="1" customWidth="1"/>
    <col min="7049" max="7049" width="31.21875" bestFit="1" customWidth="1"/>
    <col min="7050" max="7050" width="31.5546875" bestFit="1" customWidth="1"/>
    <col min="7051" max="7051" width="37.6640625" bestFit="1" customWidth="1"/>
    <col min="7052" max="7052" width="22.77734375" bestFit="1" customWidth="1"/>
    <col min="7053" max="7053" width="28.88671875" bestFit="1" customWidth="1"/>
    <col min="7054" max="7054" width="25.44140625" bestFit="1" customWidth="1"/>
    <col min="7055" max="7055" width="31.6640625" bestFit="1" customWidth="1"/>
    <col min="7056" max="7056" width="30.33203125" bestFit="1" customWidth="1"/>
    <col min="7057" max="7057" width="36.5546875" bestFit="1" customWidth="1"/>
    <col min="7058" max="7058" width="25.109375" bestFit="1" customWidth="1"/>
    <col min="7059" max="7059" width="31.21875" bestFit="1" customWidth="1"/>
    <col min="7060" max="7060" width="31.5546875" bestFit="1" customWidth="1"/>
    <col min="7061" max="7061" width="37.6640625" bestFit="1" customWidth="1"/>
    <col min="7062" max="7062" width="22.77734375" bestFit="1" customWidth="1"/>
    <col min="7063" max="7063" width="28.88671875" bestFit="1" customWidth="1"/>
    <col min="7064" max="7064" width="25.44140625" bestFit="1" customWidth="1"/>
    <col min="7065" max="7065" width="31.6640625" bestFit="1" customWidth="1"/>
    <col min="7066" max="7066" width="30.33203125" bestFit="1" customWidth="1"/>
    <col min="7067" max="7067" width="36.5546875" bestFit="1" customWidth="1"/>
    <col min="7068" max="7068" width="25.109375" bestFit="1" customWidth="1"/>
    <col min="7069" max="7069" width="31.21875" bestFit="1" customWidth="1"/>
    <col min="7070" max="7070" width="31.5546875" bestFit="1" customWidth="1"/>
    <col min="7071" max="7071" width="37.6640625" bestFit="1" customWidth="1"/>
    <col min="7072" max="7072" width="22.77734375" bestFit="1" customWidth="1"/>
    <col min="7073" max="7073" width="28.88671875" bestFit="1" customWidth="1"/>
    <col min="7074" max="7074" width="25.44140625" bestFit="1" customWidth="1"/>
    <col min="7075" max="7075" width="31.6640625" bestFit="1" customWidth="1"/>
    <col min="7076" max="7076" width="30.33203125" bestFit="1" customWidth="1"/>
    <col min="7077" max="7077" width="36.5546875" bestFit="1" customWidth="1"/>
    <col min="7078" max="7078" width="25.109375" bestFit="1" customWidth="1"/>
    <col min="7079" max="7079" width="31.21875" bestFit="1" customWidth="1"/>
    <col min="7080" max="7080" width="31.5546875" bestFit="1" customWidth="1"/>
    <col min="7081" max="7081" width="37.6640625" bestFit="1" customWidth="1"/>
    <col min="7082" max="7082" width="22.77734375" bestFit="1" customWidth="1"/>
    <col min="7083" max="7083" width="28.88671875" bestFit="1" customWidth="1"/>
    <col min="7084" max="7084" width="25.44140625" bestFit="1" customWidth="1"/>
    <col min="7085" max="7085" width="31.6640625" bestFit="1" customWidth="1"/>
    <col min="7086" max="7086" width="30.33203125" bestFit="1" customWidth="1"/>
    <col min="7087" max="7087" width="36.5546875" bestFit="1" customWidth="1"/>
    <col min="7088" max="7088" width="25.109375" bestFit="1" customWidth="1"/>
    <col min="7089" max="7089" width="31.21875" bestFit="1" customWidth="1"/>
    <col min="7090" max="7090" width="31.5546875" bestFit="1" customWidth="1"/>
    <col min="7091" max="7091" width="37.6640625" bestFit="1" customWidth="1"/>
    <col min="7092" max="7092" width="22.77734375" bestFit="1" customWidth="1"/>
    <col min="7093" max="7093" width="28.88671875" bestFit="1" customWidth="1"/>
    <col min="7094" max="7094" width="25.44140625" bestFit="1" customWidth="1"/>
    <col min="7095" max="7095" width="31.6640625" bestFit="1" customWidth="1"/>
    <col min="7096" max="7096" width="30.33203125" bestFit="1" customWidth="1"/>
    <col min="7097" max="7097" width="36.5546875" bestFit="1" customWidth="1"/>
    <col min="7098" max="7098" width="25.109375" bestFit="1" customWidth="1"/>
    <col min="7099" max="7099" width="31.21875" bestFit="1" customWidth="1"/>
    <col min="7100" max="7100" width="31.5546875" bestFit="1" customWidth="1"/>
    <col min="7101" max="7101" width="37.6640625" bestFit="1" customWidth="1"/>
    <col min="7102" max="7102" width="22.77734375" bestFit="1" customWidth="1"/>
    <col min="7103" max="7103" width="28.88671875" bestFit="1" customWidth="1"/>
    <col min="7104" max="7104" width="25.44140625" bestFit="1" customWidth="1"/>
    <col min="7105" max="7105" width="31.6640625" bestFit="1" customWidth="1"/>
    <col min="7106" max="7106" width="30.33203125" bestFit="1" customWidth="1"/>
    <col min="7107" max="7107" width="36.5546875" bestFit="1" customWidth="1"/>
    <col min="7108" max="7108" width="25.109375" bestFit="1" customWidth="1"/>
    <col min="7109" max="7109" width="31.21875" bestFit="1" customWidth="1"/>
    <col min="7110" max="7110" width="31.5546875" bestFit="1" customWidth="1"/>
    <col min="7111" max="7111" width="37.6640625" bestFit="1" customWidth="1"/>
    <col min="7112" max="7112" width="22.77734375" bestFit="1" customWidth="1"/>
    <col min="7113" max="7113" width="28.88671875" bestFit="1" customWidth="1"/>
    <col min="7114" max="7114" width="25.44140625" bestFit="1" customWidth="1"/>
    <col min="7115" max="7115" width="31.6640625" bestFit="1" customWidth="1"/>
    <col min="7116" max="7116" width="30.33203125" bestFit="1" customWidth="1"/>
    <col min="7117" max="7117" width="36.5546875" bestFit="1" customWidth="1"/>
    <col min="7118" max="7118" width="25.109375" bestFit="1" customWidth="1"/>
    <col min="7119" max="7119" width="31.21875" bestFit="1" customWidth="1"/>
    <col min="7120" max="7120" width="31.5546875" bestFit="1" customWidth="1"/>
    <col min="7121" max="7121" width="37.6640625" bestFit="1" customWidth="1"/>
    <col min="7122" max="7122" width="22.77734375" bestFit="1" customWidth="1"/>
    <col min="7123" max="7123" width="28.88671875" bestFit="1" customWidth="1"/>
    <col min="7124" max="7124" width="25.44140625" bestFit="1" customWidth="1"/>
    <col min="7125" max="7125" width="31.6640625" bestFit="1" customWidth="1"/>
    <col min="7126" max="7126" width="30.33203125" bestFit="1" customWidth="1"/>
    <col min="7127" max="7127" width="36.5546875" bestFit="1" customWidth="1"/>
    <col min="7128" max="7128" width="25.109375" bestFit="1" customWidth="1"/>
    <col min="7129" max="7129" width="31.21875" bestFit="1" customWidth="1"/>
    <col min="7130" max="7130" width="31.5546875" bestFit="1" customWidth="1"/>
    <col min="7131" max="7131" width="37.6640625" bestFit="1" customWidth="1"/>
    <col min="7132" max="7132" width="22.77734375" bestFit="1" customWidth="1"/>
    <col min="7133" max="7133" width="28.88671875" bestFit="1" customWidth="1"/>
    <col min="7134" max="7134" width="25.44140625" bestFit="1" customWidth="1"/>
    <col min="7135" max="7135" width="31.6640625" bestFit="1" customWidth="1"/>
    <col min="7136" max="7136" width="30.33203125" bestFit="1" customWidth="1"/>
    <col min="7137" max="7137" width="36.5546875" bestFit="1" customWidth="1"/>
    <col min="7138" max="7138" width="25.109375" bestFit="1" customWidth="1"/>
    <col min="7139" max="7139" width="31.21875" bestFit="1" customWidth="1"/>
    <col min="7140" max="7140" width="31.5546875" bestFit="1" customWidth="1"/>
    <col min="7141" max="7141" width="37.6640625" bestFit="1" customWidth="1"/>
    <col min="7142" max="7142" width="22.77734375" bestFit="1" customWidth="1"/>
    <col min="7143" max="7143" width="28.88671875" bestFit="1" customWidth="1"/>
    <col min="7144" max="7144" width="25.44140625" bestFit="1" customWidth="1"/>
    <col min="7145" max="7145" width="31.6640625" bestFit="1" customWidth="1"/>
    <col min="7146" max="7146" width="30.33203125" bestFit="1" customWidth="1"/>
    <col min="7147" max="7147" width="36.5546875" bestFit="1" customWidth="1"/>
    <col min="7148" max="7148" width="25.109375" bestFit="1" customWidth="1"/>
    <col min="7149" max="7149" width="31.21875" bestFit="1" customWidth="1"/>
    <col min="7150" max="7150" width="31.5546875" bestFit="1" customWidth="1"/>
    <col min="7151" max="7151" width="37.6640625" bestFit="1" customWidth="1"/>
    <col min="7152" max="7152" width="22.77734375" bestFit="1" customWidth="1"/>
    <col min="7153" max="7153" width="28.88671875" bestFit="1" customWidth="1"/>
    <col min="7154" max="7154" width="25.44140625" bestFit="1" customWidth="1"/>
    <col min="7155" max="7155" width="31.6640625" bestFit="1" customWidth="1"/>
    <col min="7156" max="7156" width="30.33203125" bestFit="1" customWidth="1"/>
    <col min="7157" max="7157" width="36.5546875" bestFit="1" customWidth="1"/>
    <col min="7158" max="7158" width="25.109375" bestFit="1" customWidth="1"/>
    <col min="7159" max="7159" width="31.21875" bestFit="1" customWidth="1"/>
    <col min="7160" max="7160" width="31.5546875" bestFit="1" customWidth="1"/>
    <col min="7161" max="7161" width="37.6640625" bestFit="1" customWidth="1"/>
    <col min="7162" max="7162" width="22.77734375" bestFit="1" customWidth="1"/>
    <col min="7163" max="7163" width="28.88671875" bestFit="1" customWidth="1"/>
    <col min="7164" max="7164" width="25.44140625" bestFit="1" customWidth="1"/>
    <col min="7165" max="7165" width="31.6640625" bestFit="1" customWidth="1"/>
    <col min="7166" max="7166" width="30.33203125" bestFit="1" customWidth="1"/>
    <col min="7167" max="7167" width="36.5546875" bestFit="1" customWidth="1"/>
    <col min="7168" max="7168" width="25.109375" bestFit="1" customWidth="1"/>
    <col min="7169" max="7169" width="31.21875" bestFit="1" customWidth="1"/>
    <col min="7170" max="7170" width="31.5546875" bestFit="1" customWidth="1"/>
    <col min="7171" max="7171" width="37.6640625" bestFit="1" customWidth="1"/>
    <col min="7172" max="7172" width="22.77734375" bestFit="1" customWidth="1"/>
    <col min="7173" max="7173" width="28.88671875" bestFit="1" customWidth="1"/>
    <col min="7174" max="7174" width="25.44140625" bestFit="1" customWidth="1"/>
    <col min="7175" max="7175" width="31.6640625" bestFit="1" customWidth="1"/>
    <col min="7176" max="7176" width="30.33203125" bestFit="1" customWidth="1"/>
    <col min="7177" max="7177" width="36.5546875" bestFit="1" customWidth="1"/>
    <col min="7178" max="7178" width="25.109375" bestFit="1" customWidth="1"/>
    <col min="7179" max="7179" width="31.21875" bestFit="1" customWidth="1"/>
    <col min="7180" max="7180" width="31.5546875" bestFit="1" customWidth="1"/>
    <col min="7181" max="7181" width="37.6640625" bestFit="1" customWidth="1"/>
    <col min="7182" max="7182" width="22.77734375" bestFit="1" customWidth="1"/>
    <col min="7183" max="7183" width="28.88671875" bestFit="1" customWidth="1"/>
    <col min="7184" max="7184" width="25.44140625" bestFit="1" customWidth="1"/>
    <col min="7185" max="7185" width="31.6640625" bestFit="1" customWidth="1"/>
    <col min="7186" max="7186" width="30.33203125" bestFit="1" customWidth="1"/>
    <col min="7187" max="7187" width="36.5546875" bestFit="1" customWidth="1"/>
    <col min="7188" max="7188" width="25.109375" bestFit="1" customWidth="1"/>
    <col min="7189" max="7189" width="31.21875" bestFit="1" customWidth="1"/>
    <col min="7190" max="7190" width="31.5546875" bestFit="1" customWidth="1"/>
    <col min="7191" max="7191" width="37.6640625" bestFit="1" customWidth="1"/>
    <col min="7192" max="7192" width="22.77734375" bestFit="1" customWidth="1"/>
    <col min="7193" max="7193" width="28.88671875" bestFit="1" customWidth="1"/>
    <col min="7194" max="7194" width="25.44140625" bestFit="1" customWidth="1"/>
    <col min="7195" max="7195" width="31.6640625" bestFit="1" customWidth="1"/>
    <col min="7196" max="7196" width="30.33203125" bestFit="1" customWidth="1"/>
    <col min="7197" max="7197" width="36.5546875" bestFit="1" customWidth="1"/>
    <col min="7198" max="7198" width="25.109375" bestFit="1" customWidth="1"/>
    <col min="7199" max="7199" width="31.21875" bestFit="1" customWidth="1"/>
    <col min="7200" max="7200" width="31.5546875" bestFit="1" customWidth="1"/>
    <col min="7201" max="7201" width="37.6640625" bestFit="1" customWidth="1"/>
    <col min="7202" max="7202" width="22.77734375" bestFit="1" customWidth="1"/>
    <col min="7203" max="7203" width="28.88671875" bestFit="1" customWidth="1"/>
    <col min="7204" max="7204" width="25.44140625" bestFit="1" customWidth="1"/>
    <col min="7205" max="7205" width="31.6640625" bestFit="1" customWidth="1"/>
    <col min="7206" max="7206" width="30.33203125" bestFit="1" customWidth="1"/>
    <col min="7207" max="7207" width="36.5546875" bestFit="1" customWidth="1"/>
    <col min="7208" max="7208" width="25.109375" bestFit="1" customWidth="1"/>
    <col min="7209" max="7209" width="31.21875" bestFit="1" customWidth="1"/>
    <col min="7210" max="7210" width="31.5546875" bestFit="1" customWidth="1"/>
    <col min="7211" max="7211" width="37.6640625" bestFit="1" customWidth="1"/>
    <col min="7212" max="7212" width="22.77734375" bestFit="1" customWidth="1"/>
    <col min="7213" max="7213" width="28.88671875" bestFit="1" customWidth="1"/>
    <col min="7214" max="7214" width="25.44140625" bestFit="1" customWidth="1"/>
    <col min="7215" max="7215" width="31.6640625" bestFit="1" customWidth="1"/>
    <col min="7216" max="7216" width="30.33203125" bestFit="1" customWidth="1"/>
    <col min="7217" max="7217" width="36.5546875" bestFit="1" customWidth="1"/>
    <col min="7218" max="7218" width="25.109375" bestFit="1" customWidth="1"/>
    <col min="7219" max="7219" width="31.21875" bestFit="1" customWidth="1"/>
    <col min="7220" max="7220" width="31.5546875" bestFit="1" customWidth="1"/>
    <col min="7221" max="7221" width="37.6640625" bestFit="1" customWidth="1"/>
    <col min="7222" max="7222" width="22.77734375" bestFit="1" customWidth="1"/>
    <col min="7223" max="7223" width="28.88671875" bestFit="1" customWidth="1"/>
    <col min="7224" max="7224" width="25.44140625" bestFit="1" customWidth="1"/>
    <col min="7225" max="7225" width="31.6640625" bestFit="1" customWidth="1"/>
    <col min="7226" max="7226" width="30.33203125" bestFit="1" customWidth="1"/>
    <col min="7227" max="7227" width="36.5546875" bestFit="1" customWidth="1"/>
    <col min="7228" max="7228" width="25.109375" bestFit="1" customWidth="1"/>
    <col min="7229" max="7229" width="31.21875" bestFit="1" customWidth="1"/>
    <col min="7230" max="7230" width="31.5546875" bestFit="1" customWidth="1"/>
    <col min="7231" max="7231" width="37.6640625" bestFit="1" customWidth="1"/>
    <col min="7232" max="7232" width="22.77734375" bestFit="1" customWidth="1"/>
    <col min="7233" max="7233" width="28.88671875" bestFit="1" customWidth="1"/>
    <col min="7234" max="7234" width="25.44140625" bestFit="1" customWidth="1"/>
    <col min="7235" max="7235" width="31.6640625" bestFit="1" customWidth="1"/>
    <col min="7236" max="7236" width="30.33203125" bestFit="1" customWidth="1"/>
    <col min="7237" max="7237" width="36.5546875" bestFit="1" customWidth="1"/>
    <col min="7238" max="7238" width="25.109375" bestFit="1" customWidth="1"/>
    <col min="7239" max="7239" width="31.21875" bestFit="1" customWidth="1"/>
    <col min="7240" max="7240" width="31.5546875" bestFit="1" customWidth="1"/>
    <col min="7241" max="7241" width="37.6640625" bestFit="1" customWidth="1"/>
    <col min="7242" max="7242" width="22.77734375" bestFit="1" customWidth="1"/>
    <col min="7243" max="7243" width="28.88671875" bestFit="1" customWidth="1"/>
    <col min="7244" max="7244" width="25.44140625" bestFit="1" customWidth="1"/>
    <col min="7245" max="7245" width="31.6640625" bestFit="1" customWidth="1"/>
    <col min="7246" max="7246" width="30.33203125" bestFit="1" customWidth="1"/>
    <col min="7247" max="7247" width="36.5546875" bestFit="1" customWidth="1"/>
    <col min="7248" max="7248" width="25.109375" bestFit="1" customWidth="1"/>
    <col min="7249" max="7249" width="31.21875" bestFit="1" customWidth="1"/>
    <col min="7250" max="7250" width="31.5546875" bestFit="1" customWidth="1"/>
    <col min="7251" max="7251" width="37.6640625" bestFit="1" customWidth="1"/>
    <col min="7252" max="7252" width="22.77734375" bestFit="1" customWidth="1"/>
    <col min="7253" max="7253" width="28.88671875" bestFit="1" customWidth="1"/>
    <col min="7254" max="7254" width="25.44140625" bestFit="1" customWidth="1"/>
    <col min="7255" max="7255" width="31.6640625" bestFit="1" customWidth="1"/>
    <col min="7256" max="7256" width="30.33203125" bestFit="1" customWidth="1"/>
    <col min="7257" max="7257" width="36.5546875" bestFit="1" customWidth="1"/>
    <col min="7258" max="7258" width="25.109375" bestFit="1" customWidth="1"/>
    <col min="7259" max="7259" width="31.21875" bestFit="1" customWidth="1"/>
    <col min="7260" max="7260" width="31.5546875" bestFit="1" customWidth="1"/>
    <col min="7261" max="7261" width="37.6640625" bestFit="1" customWidth="1"/>
    <col min="7262" max="7262" width="22.77734375" bestFit="1" customWidth="1"/>
    <col min="7263" max="7263" width="28.88671875" bestFit="1" customWidth="1"/>
    <col min="7264" max="7264" width="25.44140625" bestFit="1" customWidth="1"/>
    <col min="7265" max="7265" width="31.6640625" bestFit="1" customWidth="1"/>
    <col min="7266" max="7266" width="30.33203125" bestFit="1" customWidth="1"/>
    <col min="7267" max="7267" width="36.5546875" bestFit="1" customWidth="1"/>
    <col min="7268" max="7268" width="25.109375" bestFit="1" customWidth="1"/>
    <col min="7269" max="7269" width="31.21875" bestFit="1" customWidth="1"/>
    <col min="7270" max="7270" width="31.5546875" bestFit="1" customWidth="1"/>
    <col min="7271" max="7271" width="37.6640625" bestFit="1" customWidth="1"/>
    <col min="7272" max="7272" width="22.77734375" bestFit="1" customWidth="1"/>
    <col min="7273" max="7273" width="28.88671875" bestFit="1" customWidth="1"/>
    <col min="7274" max="7274" width="25.44140625" bestFit="1" customWidth="1"/>
    <col min="7275" max="7275" width="31.6640625" bestFit="1" customWidth="1"/>
    <col min="7276" max="7276" width="30.33203125" bestFit="1" customWidth="1"/>
    <col min="7277" max="7277" width="36.5546875" bestFit="1" customWidth="1"/>
    <col min="7278" max="7278" width="25.109375" bestFit="1" customWidth="1"/>
    <col min="7279" max="7279" width="31.21875" bestFit="1" customWidth="1"/>
    <col min="7280" max="7280" width="31.5546875" bestFit="1" customWidth="1"/>
    <col min="7281" max="7281" width="37.6640625" bestFit="1" customWidth="1"/>
    <col min="7282" max="7282" width="22.77734375" bestFit="1" customWidth="1"/>
    <col min="7283" max="7283" width="28.88671875" bestFit="1" customWidth="1"/>
    <col min="7284" max="7284" width="25.44140625" bestFit="1" customWidth="1"/>
    <col min="7285" max="7285" width="31.6640625" bestFit="1" customWidth="1"/>
    <col min="7286" max="7286" width="30.33203125" bestFit="1" customWidth="1"/>
    <col min="7287" max="7287" width="36.5546875" bestFit="1" customWidth="1"/>
    <col min="7288" max="7288" width="25.109375" bestFit="1" customWidth="1"/>
    <col min="7289" max="7289" width="31.21875" bestFit="1" customWidth="1"/>
    <col min="7290" max="7290" width="31.5546875" bestFit="1" customWidth="1"/>
    <col min="7291" max="7291" width="37.6640625" bestFit="1" customWidth="1"/>
    <col min="7292" max="7292" width="22.77734375" bestFit="1" customWidth="1"/>
    <col min="7293" max="7293" width="28.88671875" bestFit="1" customWidth="1"/>
    <col min="7294" max="7294" width="25.44140625" bestFit="1" customWidth="1"/>
    <col min="7295" max="7295" width="31.6640625" bestFit="1" customWidth="1"/>
    <col min="7296" max="7296" width="30.33203125" bestFit="1" customWidth="1"/>
    <col min="7297" max="7297" width="36.5546875" bestFit="1" customWidth="1"/>
    <col min="7298" max="7298" width="25.109375" bestFit="1" customWidth="1"/>
    <col min="7299" max="7299" width="31.21875" bestFit="1" customWidth="1"/>
    <col min="7300" max="7300" width="31.5546875" bestFit="1" customWidth="1"/>
    <col min="7301" max="7301" width="37.6640625" bestFit="1" customWidth="1"/>
    <col min="7302" max="7302" width="22.77734375" bestFit="1" customWidth="1"/>
    <col min="7303" max="7303" width="28.88671875" bestFit="1" customWidth="1"/>
    <col min="7304" max="7304" width="25.44140625" bestFit="1" customWidth="1"/>
    <col min="7305" max="7305" width="31.6640625" bestFit="1" customWidth="1"/>
    <col min="7306" max="7306" width="30.33203125" bestFit="1" customWidth="1"/>
    <col min="7307" max="7307" width="36.5546875" bestFit="1" customWidth="1"/>
    <col min="7308" max="7308" width="25.109375" bestFit="1" customWidth="1"/>
    <col min="7309" max="7309" width="31.21875" bestFit="1" customWidth="1"/>
    <col min="7310" max="7310" width="31.5546875" bestFit="1" customWidth="1"/>
    <col min="7311" max="7311" width="37.6640625" bestFit="1" customWidth="1"/>
    <col min="7312" max="7312" width="22.77734375" bestFit="1" customWidth="1"/>
    <col min="7313" max="7313" width="28.88671875" bestFit="1" customWidth="1"/>
    <col min="7314" max="7314" width="25.44140625" bestFit="1" customWidth="1"/>
    <col min="7315" max="7315" width="31.6640625" bestFit="1" customWidth="1"/>
    <col min="7316" max="7316" width="30.33203125" bestFit="1" customWidth="1"/>
    <col min="7317" max="7317" width="36.5546875" bestFit="1" customWidth="1"/>
    <col min="7318" max="7318" width="25.109375" bestFit="1" customWidth="1"/>
    <col min="7319" max="7319" width="31.21875" bestFit="1" customWidth="1"/>
    <col min="7320" max="7320" width="31.5546875" bestFit="1" customWidth="1"/>
    <col min="7321" max="7321" width="37.6640625" bestFit="1" customWidth="1"/>
    <col min="7322" max="7322" width="22.77734375" bestFit="1" customWidth="1"/>
    <col min="7323" max="7323" width="28.88671875" bestFit="1" customWidth="1"/>
    <col min="7324" max="7324" width="25.44140625" bestFit="1" customWidth="1"/>
    <col min="7325" max="7325" width="31.6640625" bestFit="1" customWidth="1"/>
    <col min="7326" max="7326" width="30.33203125" bestFit="1" customWidth="1"/>
    <col min="7327" max="7327" width="36.5546875" bestFit="1" customWidth="1"/>
    <col min="7328" max="7328" width="25.109375" bestFit="1" customWidth="1"/>
    <col min="7329" max="7329" width="31.21875" bestFit="1" customWidth="1"/>
    <col min="7330" max="7330" width="31.5546875" bestFit="1" customWidth="1"/>
    <col min="7331" max="7331" width="37.6640625" bestFit="1" customWidth="1"/>
    <col min="7332" max="7332" width="22.77734375" bestFit="1" customWidth="1"/>
    <col min="7333" max="7333" width="28.88671875" bestFit="1" customWidth="1"/>
    <col min="7334" max="7334" width="25.44140625" bestFit="1" customWidth="1"/>
    <col min="7335" max="7335" width="31.6640625" bestFit="1" customWidth="1"/>
    <col min="7336" max="7336" width="30.33203125" bestFit="1" customWidth="1"/>
    <col min="7337" max="7337" width="36.5546875" bestFit="1" customWidth="1"/>
    <col min="7338" max="7338" width="25.109375" bestFit="1" customWidth="1"/>
    <col min="7339" max="7339" width="31.21875" bestFit="1" customWidth="1"/>
    <col min="7340" max="7340" width="31.5546875" bestFit="1" customWidth="1"/>
    <col min="7341" max="7341" width="37.6640625" bestFit="1" customWidth="1"/>
    <col min="7342" max="7342" width="22.77734375" bestFit="1" customWidth="1"/>
    <col min="7343" max="7343" width="28.88671875" bestFit="1" customWidth="1"/>
    <col min="7344" max="7344" width="25.44140625" bestFit="1" customWidth="1"/>
    <col min="7345" max="7345" width="31.6640625" bestFit="1" customWidth="1"/>
    <col min="7346" max="7346" width="30.33203125" bestFit="1" customWidth="1"/>
    <col min="7347" max="7347" width="36.5546875" bestFit="1" customWidth="1"/>
    <col min="7348" max="7348" width="25.109375" bestFit="1" customWidth="1"/>
    <col min="7349" max="7349" width="31.21875" bestFit="1" customWidth="1"/>
    <col min="7350" max="7350" width="31.5546875" bestFit="1" customWidth="1"/>
    <col min="7351" max="7351" width="37.6640625" bestFit="1" customWidth="1"/>
    <col min="7352" max="7352" width="22.77734375" bestFit="1" customWidth="1"/>
    <col min="7353" max="7353" width="28.88671875" bestFit="1" customWidth="1"/>
    <col min="7354" max="7354" width="25.44140625" bestFit="1" customWidth="1"/>
    <col min="7355" max="7355" width="31.6640625" bestFit="1" customWidth="1"/>
    <col min="7356" max="7356" width="30.33203125" bestFit="1" customWidth="1"/>
    <col min="7357" max="7357" width="36.5546875" bestFit="1" customWidth="1"/>
    <col min="7358" max="7358" width="25.109375" bestFit="1" customWidth="1"/>
    <col min="7359" max="7359" width="31.21875" bestFit="1" customWidth="1"/>
    <col min="7360" max="7360" width="31.5546875" bestFit="1" customWidth="1"/>
    <col min="7361" max="7361" width="37.6640625" bestFit="1" customWidth="1"/>
    <col min="7362" max="7362" width="22.77734375" bestFit="1" customWidth="1"/>
    <col min="7363" max="7363" width="28.88671875" bestFit="1" customWidth="1"/>
    <col min="7364" max="7364" width="25.44140625" bestFit="1" customWidth="1"/>
    <col min="7365" max="7365" width="31.6640625" bestFit="1" customWidth="1"/>
    <col min="7366" max="7366" width="30.33203125" bestFit="1" customWidth="1"/>
    <col min="7367" max="7367" width="36.5546875" bestFit="1" customWidth="1"/>
    <col min="7368" max="7368" width="25.109375" bestFit="1" customWidth="1"/>
    <col min="7369" max="7369" width="31.21875" bestFit="1" customWidth="1"/>
    <col min="7370" max="7370" width="31.5546875" bestFit="1" customWidth="1"/>
    <col min="7371" max="7371" width="37.6640625" bestFit="1" customWidth="1"/>
    <col min="7372" max="7372" width="22.77734375" bestFit="1" customWidth="1"/>
    <col min="7373" max="7373" width="28.88671875" bestFit="1" customWidth="1"/>
    <col min="7374" max="7374" width="25.44140625" bestFit="1" customWidth="1"/>
    <col min="7375" max="7375" width="31.6640625" bestFit="1" customWidth="1"/>
    <col min="7376" max="7376" width="30.33203125" bestFit="1" customWidth="1"/>
    <col min="7377" max="7377" width="36.5546875" bestFit="1" customWidth="1"/>
    <col min="7378" max="7378" width="25.109375" bestFit="1" customWidth="1"/>
    <col min="7379" max="7379" width="31.21875" bestFit="1" customWidth="1"/>
    <col min="7380" max="7380" width="31.5546875" bestFit="1" customWidth="1"/>
    <col min="7381" max="7381" width="37.6640625" bestFit="1" customWidth="1"/>
    <col min="7382" max="7382" width="22.77734375" bestFit="1" customWidth="1"/>
    <col min="7383" max="7383" width="28.88671875" bestFit="1" customWidth="1"/>
    <col min="7384" max="7384" width="25.44140625" bestFit="1" customWidth="1"/>
    <col min="7385" max="7385" width="31.6640625" bestFit="1" customWidth="1"/>
    <col min="7386" max="7386" width="30.33203125" bestFit="1" customWidth="1"/>
    <col min="7387" max="7387" width="36.5546875" bestFit="1" customWidth="1"/>
    <col min="7388" max="7388" width="25.109375" bestFit="1" customWidth="1"/>
    <col min="7389" max="7389" width="31.21875" bestFit="1" customWidth="1"/>
    <col min="7390" max="7390" width="31.5546875" bestFit="1" customWidth="1"/>
    <col min="7391" max="7391" width="37.6640625" bestFit="1" customWidth="1"/>
    <col min="7392" max="7392" width="22.77734375" bestFit="1" customWidth="1"/>
    <col min="7393" max="7393" width="28.88671875" bestFit="1" customWidth="1"/>
    <col min="7394" max="7394" width="25.44140625" bestFit="1" customWidth="1"/>
    <col min="7395" max="7395" width="31.6640625" bestFit="1" customWidth="1"/>
    <col min="7396" max="7396" width="30.33203125" bestFit="1" customWidth="1"/>
    <col min="7397" max="7397" width="36.5546875" bestFit="1" customWidth="1"/>
    <col min="7398" max="7398" width="25.109375" bestFit="1" customWidth="1"/>
    <col min="7399" max="7399" width="31.21875" bestFit="1" customWidth="1"/>
    <col min="7400" max="7400" width="31.5546875" bestFit="1" customWidth="1"/>
    <col min="7401" max="7401" width="37.6640625" bestFit="1" customWidth="1"/>
    <col min="7402" max="7402" width="22.77734375" bestFit="1" customWidth="1"/>
    <col min="7403" max="7403" width="28.88671875" bestFit="1" customWidth="1"/>
    <col min="7404" max="7404" width="25.44140625" bestFit="1" customWidth="1"/>
    <col min="7405" max="7405" width="31.6640625" bestFit="1" customWidth="1"/>
    <col min="7406" max="7406" width="30.33203125" bestFit="1" customWidth="1"/>
    <col min="7407" max="7407" width="36.5546875" bestFit="1" customWidth="1"/>
    <col min="7408" max="7408" width="25.109375" bestFit="1" customWidth="1"/>
    <col min="7409" max="7409" width="31.21875" bestFit="1" customWidth="1"/>
    <col min="7410" max="7410" width="31.5546875" bestFit="1" customWidth="1"/>
    <col min="7411" max="7411" width="37.6640625" bestFit="1" customWidth="1"/>
    <col min="7412" max="7412" width="22.77734375" bestFit="1" customWidth="1"/>
    <col min="7413" max="7413" width="28.88671875" bestFit="1" customWidth="1"/>
    <col min="7414" max="7414" width="25.44140625" bestFit="1" customWidth="1"/>
    <col min="7415" max="7415" width="31.6640625" bestFit="1" customWidth="1"/>
    <col min="7416" max="7416" width="30.33203125" bestFit="1" customWidth="1"/>
    <col min="7417" max="7417" width="36.5546875" bestFit="1" customWidth="1"/>
    <col min="7418" max="7418" width="25.109375" bestFit="1" customWidth="1"/>
    <col min="7419" max="7419" width="31.21875" bestFit="1" customWidth="1"/>
    <col min="7420" max="7420" width="31.5546875" bestFit="1" customWidth="1"/>
    <col min="7421" max="7421" width="37.6640625" bestFit="1" customWidth="1"/>
    <col min="7422" max="7422" width="22.77734375" bestFit="1" customWidth="1"/>
    <col min="7423" max="7423" width="28.88671875" bestFit="1" customWidth="1"/>
    <col min="7424" max="7424" width="25.44140625" bestFit="1" customWidth="1"/>
    <col min="7425" max="7425" width="31.6640625" bestFit="1" customWidth="1"/>
    <col min="7426" max="7426" width="30.33203125" bestFit="1" customWidth="1"/>
    <col min="7427" max="7427" width="36.5546875" bestFit="1" customWidth="1"/>
    <col min="7428" max="7428" width="25.109375" bestFit="1" customWidth="1"/>
    <col min="7429" max="7429" width="31.21875" bestFit="1" customWidth="1"/>
    <col min="7430" max="7430" width="31.5546875" bestFit="1" customWidth="1"/>
    <col min="7431" max="7431" width="37.6640625" bestFit="1" customWidth="1"/>
    <col min="7432" max="7432" width="22.77734375" bestFit="1" customWidth="1"/>
    <col min="7433" max="7433" width="28.88671875" bestFit="1" customWidth="1"/>
    <col min="7434" max="7434" width="25.44140625" bestFit="1" customWidth="1"/>
    <col min="7435" max="7435" width="31.6640625" bestFit="1" customWidth="1"/>
    <col min="7436" max="7436" width="30.33203125" bestFit="1" customWidth="1"/>
    <col min="7437" max="7437" width="36.5546875" bestFit="1" customWidth="1"/>
    <col min="7438" max="7438" width="25.109375" bestFit="1" customWidth="1"/>
    <col min="7439" max="7439" width="31.21875" bestFit="1" customWidth="1"/>
    <col min="7440" max="7440" width="31.5546875" bestFit="1" customWidth="1"/>
    <col min="7441" max="7441" width="37.6640625" bestFit="1" customWidth="1"/>
    <col min="7442" max="7442" width="22.77734375" bestFit="1" customWidth="1"/>
    <col min="7443" max="7443" width="28.88671875" bestFit="1" customWidth="1"/>
    <col min="7444" max="7444" width="25.44140625" bestFit="1" customWidth="1"/>
    <col min="7445" max="7445" width="31.6640625" bestFit="1" customWidth="1"/>
    <col min="7446" max="7446" width="30.33203125" bestFit="1" customWidth="1"/>
    <col min="7447" max="7447" width="36.5546875" bestFit="1" customWidth="1"/>
    <col min="7448" max="7448" width="25.109375" bestFit="1" customWidth="1"/>
    <col min="7449" max="7449" width="31.21875" bestFit="1" customWidth="1"/>
    <col min="7450" max="7450" width="31.5546875" bestFit="1" customWidth="1"/>
    <col min="7451" max="7451" width="37.6640625" bestFit="1" customWidth="1"/>
    <col min="7452" max="7452" width="22.77734375" bestFit="1" customWidth="1"/>
    <col min="7453" max="7453" width="28.88671875" bestFit="1" customWidth="1"/>
    <col min="7454" max="7454" width="25.44140625" bestFit="1" customWidth="1"/>
    <col min="7455" max="7455" width="31.6640625" bestFit="1" customWidth="1"/>
    <col min="7456" max="7456" width="30.33203125" bestFit="1" customWidth="1"/>
    <col min="7457" max="7457" width="36.5546875" bestFit="1" customWidth="1"/>
    <col min="7458" max="7458" width="25.109375" bestFit="1" customWidth="1"/>
    <col min="7459" max="7459" width="31.21875" bestFit="1" customWidth="1"/>
    <col min="7460" max="7460" width="31.5546875" bestFit="1" customWidth="1"/>
    <col min="7461" max="7461" width="37.6640625" bestFit="1" customWidth="1"/>
    <col min="7462" max="7462" width="22.77734375" bestFit="1" customWidth="1"/>
    <col min="7463" max="7463" width="28.88671875" bestFit="1" customWidth="1"/>
    <col min="7464" max="7464" width="25.44140625" bestFit="1" customWidth="1"/>
    <col min="7465" max="7465" width="31.6640625" bestFit="1" customWidth="1"/>
    <col min="7466" max="7466" width="30.33203125" bestFit="1" customWidth="1"/>
    <col min="7467" max="7467" width="36.5546875" bestFit="1" customWidth="1"/>
    <col min="7468" max="7468" width="25.109375" bestFit="1" customWidth="1"/>
    <col min="7469" max="7469" width="31.21875" bestFit="1" customWidth="1"/>
    <col min="7470" max="7470" width="31.5546875" bestFit="1" customWidth="1"/>
    <col min="7471" max="7471" width="37.6640625" bestFit="1" customWidth="1"/>
    <col min="7472" max="7472" width="22.77734375" bestFit="1" customWidth="1"/>
    <col min="7473" max="7473" width="28.88671875" bestFit="1" customWidth="1"/>
    <col min="7474" max="7474" width="25.44140625" bestFit="1" customWidth="1"/>
    <col min="7475" max="7475" width="31.6640625" bestFit="1" customWidth="1"/>
    <col min="7476" max="7476" width="30.33203125" bestFit="1" customWidth="1"/>
    <col min="7477" max="7477" width="36.5546875" bestFit="1" customWidth="1"/>
    <col min="7478" max="7478" width="25.109375" bestFit="1" customWidth="1"/>
    <col min="7479" max="7479" width="31.21875" bestFit="1" customWidth="1"/>
    <col min="7480" max="7480" width="31.5546875" bestFit="1" customWidth="1"/>
    <col min="7481" max="7481" width="37.6640625" bestFit="1" customWidth="1"/>
    <col min="7482" max="7482" width="27.109375" bestFit="1" customWidth="1"/>
    <col min="7483" max="7483" width="33.21875" bestFit="1" customWidth="1"/>
    <col min="7484" max="7484" width="25.109375" bestFit="1" customWidth="1"/>
    <col min="7485" max="7485" width="31.21875" bestFit="1" customWidth="1"/>
    <col min="7486" max="7486" width="25.6640625" bestFit="1" customWidth="1"/>
    <col min="7487" max="7487" width="31.5546875" bestFit="1" customWidth="1"/>
    <col min="7488" max="7488" width="37.6640625" bestFit="1" customWidth="1"/>
    <col min="7489" max="7489" width="32.109375" bestFit="1" customWidth="1"/>
    <col min="7490" max="7490" width="22.77734375" bestFit="1" customWidth="1"/>
    <col min="7491" max="7491" width="28.88671875" bestFit="1" customWidth="1"/>
    <col min="7492" max="7492" width="23.33203125" bestFit="1" customWidth="1"/>
    <col min="7493" max="7493" width="25.44140625" bestFit="1" customWidth="1"/>
    <col min="7494" max="7494" width="31.6640625" bestFit="1" customWidth="1"/>
    <col min="7495" max="7495" width="26" bestFit="1" customWidth="1"/>
    <col min="7496" max="7496" width="26.77734375" bestFit="1" customWidth="1"/>
    <col min="7497" max="7497" width="32.88671875" bestFit="1" customWidth="1"/>
    <col min="7498" max="7498" width="27.33203125" bestFit="1" customWidth="1"/>
    <col min="7499" max="7499" width="30.33203125" bestFit="1" customWidth="1"/>
    <col min="7500" max="7500" width="36.5546875" bestFit="1" customWidth="1"/>
    <col min="7501" max="7501" width="30.88671875" bestFit="1" customWidth="1"/>
    <col min="7502" max="7502" width="25.109375" bestFit="1" customWidth="1"/>
    <col min="7503" max="7503" width="31.21875" bestFit="1" customWidth="1"/>
    <col min="7504" max="7504" width="25.6640625" bestFit="1" customWidth="1"/>
    <col min="7505" max="7505" width="31.5546875" bestFit="1" customWidth="1"/>
    <col min="7506" max="7506" width="37.6640625" bestFit="1" customWidth="1"/>
    <col min="7507" max="7507" width="32.109375" bestFit="1" customWidth="1"/>
    <col min="7508" max="7508" width="22.77734375" bestFit="1" customWidth="1"/>
    <col min="7509" max="7509" width="28.88671875" bestFit="1" customWidth="1"/>
    <col min="7510" max="7510" width="23.33203125" bestFit="1" customWidth="1"/>
    <col min="7511" max="7511" width="25.44140625" bestFit="1" customWidth="1"/>
    <col min="7512" max="7512" width="31.6640625" bestFit="1" customWidth="1"/>
    <col min="7513" max="7513" width="26" bestFit="1" customWidth="1"/>
    <col min="7514" max="7514" width="27.77734375" bestFit="1" customWidth="1"/>
    <col min="7515" max="7515" width="33.88671875" bestFit="1" customWidth="1"/>
    <col min="7516" max="7516" width="28.33203125" bestFit="1" customWidth="1"/>
    <col min="7517" max="7517" width="30.33203125" bestFit="1" customWidth="1"/>
    <col min="7518" max="7518" width="36.5546875" bestFit="1" customWidth="1"/>
    <col min="7519" max="7519" width="30.88671875" bestFit="1" customWidth="1"/>
    <col min="7520" max="7520" width="25.109375" bestFit="1" customWidth="1"/>
    <col min="7521" max="7521" width="31.21875" bestFit="1" customWidth="1"/>
    <col min="7522" max="7522" width="25.6640625" bestFit="1" customWidth="1"/>
    <col min="7523" max="7523" width="31.5546875" bestFit="1" customWidth="1"/>
    <col min="7524" max="7524" width="37.6640625" bestFit="1" customWidth="1"/>
    <col min="7525" max="7525" width="32.109375" bestFit="1" customWidth="1"/>
    <col min="7526" max="7526" width="22.77734375" bestFit="1" customWidth="1"/>
    <col min="7527" max="7527" width="28.88671875" bestFit="1" customWidth="1"/>
    <col min="7528" max="7528" width="23.33203125" bestFit="1" customWidth="1"/>
    <col min="7529" max="7529" width="25.44140625" bestFit="1" customWidth="1"/>
    <col min="7530" max="7530" width="31.6640625" bestFit="1" customWidth="1"/>
    <col min="7531" max="7531" width="26" bestFit="1" customWidth="1"/>
    <col min="7532" max="7532" width="27.77734375" bestFit="1" customWidth="1"/>
    <col min="7533" max="7533" width="33.88671875" bestFit="1" customWidth="1"/>
    <col min="7534" max="7534" width="28.33203125" bestFit="1" customWidth="1"/>
    <col min="7535" max="7535" width="30.33203125" bestFit="1" customWidth="1"/>
    <col min="7536" max="7536" width="36.5546875" bestFit="1" customWidth="1"/>
    <col min="7537" max="7537" width="30.88671875" bestFit="1" customWidth="1"/>
    <col min="7538" max="7538" width="25.109375" bestFit="1" customWidth="1"/>
    <col min="7539" max="7539" width="31.21875" bestFit="1" customWidth="1"/>
    <col min="7540" max="7540" width="25.6640625" bestFit="1" customWidth="1"/>
    <col min="7541" max="7541" width="31.5546875" bestFit="1" customWidth="1"/>
    <col min="7542" max="7542" width="37.6640625" bestFit="1" customWidth="1"/>
    <col min="7543" max="7543" width="32.109375" bestFit="1" customWidth="1"/>
    <col min="7544" max="7544" width="22.77734375" bestFit="1" customWidth="1"/>
    <col min="7545" max="7545" width="28.88671875" bestFit="1" customWidth="1"/>
    <col min="7546" max="7546" width="23.33203125" bestFit="1" customWidth="1"/>
    <col min="7547" max="7547" width="25.44140625" bestFit="1" customWidth="1"/>
    <col min="7548" max="7548" width="31.6640625" bestFit="1" customWidth="1"/>
    <col min="7549" max="7549" width="26" bestFit="1" customWidth="1"/>
    <col min="7550" max="7550" width="27.77734375" bestFit="1" customWidth="1"/>
    <col min="7551" max="7551" width="33.88671875" bestFit="1" customWidth="1"/>
    <col min="7552" max="7552" width="28.33203125" bestFit="1" customWidth="1"/>
    <col min="7553" max="7553" width="30.33203125" bestFit="1" customWidth="1"/>
    <col min="7554" max="7554" width="36.5546875" bestFit="1" customWidth="1"/>
    <col min="7555" max="7555" width="30.88671875" bestFit="1" customWidth="1"/>
    <col min="7556" max="7556" width="25.109375" bestFit="1" customWidth="1"/>
    <col min="7557" max="7557" width="31.21875" bestFit="1" customWidth="1"/>
    <col min="7558" max="7558" width="25.6640625" bestFit="1" customWidth="1"/>
    <col min="7559" max="7559" width="31.5546875" bestFit="1" customWidth="1"/>
    <col min="7560" max="7560" width="37.6640625" bestFit="1" customWidth="1"/>
    <col min="7561" max="7561" width="32.109375" bestFit="1" customWidth="1"/>
    <col min="7562" max="7562" width="22.77734375" bestFit="1" customWidth="1"/>
    <col min="7563" max="7563" width="28.88671875" bestFit="1" customWidth="1"/>
    <col min="7564" max="7564" width="23.33203125" bestFit="1" customWidth="1"/>
    <col min="7565" max="7565" width="25.44140625" bestFit="1" customWidth="1"/>
    <col min="7566" max="7566" width="31.6640625" bestFit="1" customWidth="1"/>
    <col min="7567" max="7567" width="26" bestFit="1" customWidth="1"/>
    <col min="7568" max="7568" width="27.77734375" bestFit="1" customWidth="1"/>
    <col min="7569" max="7569" width="33.88671875" bestFit="1" customWidth="1"/>
    <col min="7570" max="7570" width="28.33203125" bestFit="1" customWidth="1"/>
    <col min="7571" max="7571" width="30.33203125" bestFit="1" customWidth="1"/>
    <col min="7572" max="7572" width="36.5546875" bestFit="1" customWidth="1"/>
    <col min="7573" max="7573" width="30.88671875" bestFit="1" customWidth="1"/>
    <col min="7574" max="7574" width="25.109375" bestFit="1" customWidth="1"/>
    <col min="7575" max="7575" width="31.21875" bestFit="1" customWidth="1"/>
    <col min="7576" max="7576" width="25.6640625" bestFit="1" customWidth="1"/>
    <col min="7577" max="7577" width="31.5546875" bestFit="1" customWidth="1"/>
    <col min="7578" max="7578" width="37.6640625" bestFit="1" customWidth="1"/>
    <col min="7579" max="7579" width="32.109375" bestFit="1" customWidth="1"/>
    <col min="7580" max="7580" width="22.77734375" bestFit="1" customWidth="1"/>
    <col min="7581" max="7581" width="28.88671875" bestFit="1" customWidth="1"/>
    <col min="7582" max="7582" width="23.33203125" bestFit="1" customWidth="1"/>
    <col min="7583" max="7583" width="25.44140625" bestFit="1" customWidth="1"/>
    <col min="7584" max="7584" width="31.6640625" bestFit="1" customWidth="1"/>
    <col min="7585" max="7585" width="26" bestFit="1" customWidth="1"/>
    <col min="7586" max="7586" width="27.77734375" bestFit="1" customWidth="1"/>
    <col min="7587" max="7587" width="33.88671875" bestFit="1" customWidth="1"/>
    <col min="7588" max="7588" width="28.33203125" bestFit="1" customWidth="1"/>
    <col min="7589" max="7589" width="30.33203125" bestFit="1" customWidth="1"/>
    <col min="7590" max="7590" width="36.5546875" bestFit="1" customWidth="1"/>
    <col min="7591" max="7591" width="30.88671875" bestFit="1" customWidth="1"/>
    <col min="7592" max="7592" width="25.109375" bestFit="1" customWidth="1"/>
    <col min="7593" max="7593" width="31.21875" bestFit="1" customWidth="1"/>
    <col min="7594" max="7594" width="25.6640625" bestFit="1" customWidth="1"/>
    <col min="7595" max="7595" width="31.5546875" bestFit="1" customWidth="1"/>
    <col min="7596" max="7596" width="37.6640625" bestFit="1" customWidth="1"/>
    <col min="7597" max="7597" width="32.109375" bestFit="1" customWidth="1"/>
    <col min="7598" max="7598" width="22.77734375" bestFit="1" customWidth="1"/>
    <col min="7599" max="7599" width="28.88671875" bestFit="1" customWidth="1"/>
    <col min="7600" max="7600" width="23.33203125" bestFit="1" customWidth="1"/>
    <col min="7601" max="7601" width="25.44140625" bestFit="1" customWidth="1"/>
    <col min="7602" max="7602" width="31.6640625" bestFit="1" customWidth="1"/>
    <col min="7603" max="7603" width="26" bestFit="1" customWidth="1"/>
    <col min="7604" max="7604" width="27.77734375" bestFit="1" customWidth="1"/>
    <col min="7605" max="7605" width="33.88671875" bestFit="1" customWidth="1"/>
    <col min="7606" max="7606" width="28.33203125" bestFit="1" customWidth="1"/>
    <col min="7607" max="7607" width="30.33203125" bestFit="1" customWidth="1"/>
    <col min="7608" max="7608" width="36.5546875" bestFit="1" customWidth="1"/>
    <col min="7609" max="7609" width="30.88671875" bestFit="1" customWidth="1"/>
    <col min="7610" max="7610" width="25.109375" bestFit="1" customWidth="1"/>
    <col min="7611" max="7611" width="31.21875" bestFit="1" customWidth="1"/>
    <col min="7612" max="7612" width="25.6640625" bestFit="1" customWidth="1"/>
    <col min="7613" max="7613" width="31.5546875" bestFit="1" customWidth="1"/>
    <col min="7614" max="7614" width="37.6640625" bestFit="1" customWidth="1"/>
    <col min="7615" max="7615" width="32.109375" bestFit="1" customWidth="1"/>
    <col min="7616" max="7616" width="22.77734375" bestFit="1" customWidth="1"/>
    <col min="7617" max="7617" width="28.88671875" bestFit="1" customWidth="1"/>
    <col min="7618" max="7618" width="23.33203125" bestFit="1" customWidth="1"/>
    <col min="7619" max="7619" width="25.44140625" bestFit="1" customWidth="1"/>
    <col min="7620" max="7620" width="31.6640625" bestFit="1" customWidth="1"/>
    <col min="7621" max="7621" width="26" bestFit="1" customWidth="1"/>
    <col min="7622" max="7622" width="27.77734375" bestFit="1" customWidth="1"/>
    <col min="7623" max="7623" width="33.88671875" bestFit="1" customWidth="1"/>
    <col min="7624" max="7624" width="28.33203125" bestFit="1" customWidth="1"/>
    <col min="7625" max="7625" width="30.33203125" bestFit="1" customWidth="1"/>
    <col min="7626" max="7626" width="36.5546875" bestFit="1" customWidth="1"/>
    <col min="7627" max="7627" width="30.88671875" bestFit="1" customWidth="1"/>
    <col min="7628" max="7628" width="25.109375" bestFit="1" customWidth="1"/>
    <col min="7629" max="7629" width="31.21875" bestFit="1" customWidth="1"/>
    <col min="7630" max="7630" width="25.6640625" bestFit="1" customWidth="1"/>
    <col min="7631" max="7631" width="31.5546875" bestFit="1" customWidth="1"/>
    <col min="7632" max="7632" width="37.6640625" bestFit="1" customWidth="1"/>
    <col min="7633" max="7633" width="32.109375" bestFit="1" customWidth="1"/>
    <col min="7634" max="7634" width="22.77734375" bestFit="1" customWidth="1"/>
    <col min="7635" max="7635" width="28.88671875" bestFit="1" customWidth="1"/>
    <col min="7636" max="7636" width="23.33203125" bestFit="1" customWidth="1"/>
    <col min="7637" max="7637" width="25.44140625" bestFit="1" customWidth="1"/>
    <col min="7638" max="7638" width="31.6640625" bestFit="1" customWidth="1"/>
    <col min="7639" max="7639" width="26" bestFit="1" customWidth="1"/>
    <col min="7640" max="7640" width="26.77734375" bestFit="1" customWidth="1"/>
    <col min="7641" max="7641" width="32.88671875" bestFit="1" customWidth="1"/>
    <col min="7642" max="7642" width="27.33203125" bestFit="1" customWidth="1"/>
    <col min="7643" max="7643" width="30.33203125" bestFit="1" customWidth="1"/>
    <col min="7644" max="7644" width="36.5546875" bestFit="1" customWidth="1"/>
    <col min="7645" max="7645" width="30.88671875" bestFit="1" customWidth="1"/>
    <col min="7646" max="7646" width="25.109375" bestFit="1" customWidth="1"/>
    <col min="7647" max="7647" width="31.21875" bestFit="1" customWidth="1"/>
    <col min="7648" max="7648" width="25.6640625" bestFit="1" customWidth="1"/>
    <col min="7649" max="7649" width="31.5546875" bestFit="1" customWidth="1"/>
    <col min="7650" max="7650" width="37.6640625" bestFit="1" customWidth="1"/>
    <col min="7651" max="7651" width="32.109375" bestFit="1" customWidth="1"/>
    <col min="7652" max="7652" width="22.77734375" bestFit="1" customWidth="1"/>
    <col min="7653" max="7653" width="28.88671875" bestFit="1" customWidth="1"/>
    <col min="7654" max="7654" width="23.33203125" bestFit="1" customWidth="1"/>
    <col min="7655" max="7655" width="25.44140625" bestFit="1" customWidth="1"/>
    <col min="7656" max="7656" width="31.6640625" bestFit="1" customWidth="1"/>
    <col min="7657" max="7657" width="26" bestFit="1" customWidth="1"/>
    <col min="7658" max="7658" width="27.77734375" bestFit="1" customWidth="1"/>
    <col min="7659" max="7659" width="33.88671875" bestFit="1" customWidth="1"/>
    <col min="7660" max="7660" width="28.33203125" bestFit="1" customWidth="1"/>
    <col min="7661" max="7661" width="30.33203125" bestFit="1" customWidth="1"/>
    <col min="7662" max="7662" width="36.5546875" bestFit="1" customWidth="1"/>
    <col min="7663" max="7663" width="30.88671875" bestFit="1" customWidth="1"/>
    <col min="7664" max="7664" width="25.109375" bestFit="1" customWidth="1"/>
    <col min="7665" max="7665" width="31.21875" bestFit="1" customWidth="1"/>
    <col min="7666" max="7666" width="25.6640625" bestFit="1" customWidth="1"/>
    <col min="7667" max="7667" width="31.5546875" bestFit="1" customWidth="1"/>
    <col min="7668" max="7668" width="37.6640625" bestFit="1" customWidth="1"/>
    <col min="7669" max="7669" width="32.109375" bestFit="1" customWidth="1"/>
    <col min="7670" max="7670" width="22.77734375" bestFit="1" customWidth="1"/>
    <col min="7671" max="7671" width="28.88671875" bestFit="1" customWidth="1"/>
    <col min="7672" max="7672" width="23.33203125" bestFit="1" customWidth="1"/>
    <col min="7673" max="7673" width="25.44140625" bestFit="1" customWidth="1"/>
    <col min="7674" max="7674" width="31.6640625" bestFit="1" customWidth="1"/>
    <col min="7675" max="7675" width="26" bestFit="1" customWidth="1"/>
    <col min="7676" max="7676" width="26.77734375" bestFit="1" customWidth="1"/>
    <col min="7677" max="7677" width="32.88671875" bestFit="1" customWidth="1"/>
    <col min="7678" max="7678" width="27.33203125" bestFit="1" customWidth="1"/>
    <col min="7679" max="7679" width="30.33203125" bestFit="1" customWidth="1"/>
    <col min="7680" max="7680" width="36.5546875" bestFit="1" customWidth="1"/>
    <col min="7681" max="7681" width="30.88671875" bestFit="1" customWidth="1"/>
    <col min="7682" max="7682" width="25.109375" bestFit="1" customWidth="1"/>
    <col min="7683" max="7683" width="31.21875" bestFit="1" customWidth="1"/>
    <col min="7684" max="7684" width="25.6640625" bestFit="1" customWidth="1"/>
    <col min="7685" max="7685" width="31.5546875" bestFit="1" customWidth="1"/>
    <col min="7686" max="7686" width="37.6640625" bestFit="1" customWidth="1"/>
    <col min="7687" max="7687" width="32.109375" bestFit="1" customWidth="1"/>
    <col min="7688" max="7688" width="22.77734375" bestFit="1" customWidth="1"/>
    <col min="7689" max="7689" width="28.88671875" bestFit="1" customWidth="1"/>
    <col min="7690" max="7690" width="23.33203125" bestFit="1" customWidth="1"/>
    <col min="7691" max="7691" width="25.44140625" bestFit="1" customWidth="1"/>
    <col min="7692" max="7692" width="31.6640625" bestFit="1" customWidth="1"/>
    <col min="7693" max="7693" width="26" bestFit="1" customWidth="1"/>
    <col min="7694" max="7694" width="27.77734375" bestFit="1" customWidth="1"/>
    <col min="7695" max="7695" width="33.88671875" bestFit="1" customWidth="1"/>
    <col min="7696" max="7696" width="28.33203125" bestFit="1" customWidth="1"/>
    <col min="7697" max="7697" width="30.33203125" bestFit="1" customWidth="1"/>
    <col min="7698" max="7698" width="36.5546875" bestFit="1" customWidth="1"/>
    <col min="7699" max="7699" width="30.88671875" bestFit="1" customWidth="1"/>
    <col min="7700" max="7700" width="25.109375" bestFit="1" customWidth="1"/>
    <col min="7701" max="7701" width="31.21875" bestFit="1" customWidth="1"/>
    <col min="7702" max="7702" width="25.6640625" bestFit="1" customWidth="1"/>
    <col min="7703" max="7703" width="31.5546875" bestFit="1" customWidth="1"/>
    <col min="7704" max="7704" width="37.6640625" bestFit="1" customWidth="1"/>
    <col min="7705" max="7705" width="32.109375" bestFit="1" customWidth="1"/>
    <col min="7706" max="7706" width="22.77734375" bestFit="1" customWidth="1"/>
    <col min="7707" max="7707" width="28.88671875" bestFit="1" customWidth="1"/>
    <col min="7708" max="7708" width="23.33203125" bestFit="1" customWidth="1"/>
    <col min="7709" max="7709" width="25.44140625" bestFit="1" customWidth="1"/>
    <col min="7710" max="7710" width="31.6640625" bestFit="1" customWidth="1"/>
    <col min="7711" max="7711" width="26" bestFit="1" customWidth="1"/>
    <col min="7712" max="7712" width="27.77734375" bestFit="1" customWidth="1"/>
    <col min="7713" max="7713" width="33.88671875" bestFit="1" customWidth="1"/>
    <col min="7714" max="7714" width="28.33203125" bestFit="1" customWidth="1"/>
    <col min="7715" max="7715" width="30.33203125" bestFit="1" customWidth="1"/>
    <col min="7716" max="7716" width="36.5546875" bestFit="1" customWidth="1"/>
    <col min="7717" max="7717" width="30.88671875" bestFit="1" customWidth="1"/>
    <col min="7718" max="7718" width="25.109375" bestFit="1" customWidth="1"/>
    <col min="7719" max="7719" width="31.21875" bestFit="1" customWidth="1"/>
    <col min="7720" max="7720" width="25.6640625" bestFit="1" customWidth="1"/>
    <col min="7721" max="7721" width="31.5546875" bestFit="1" customWidth="1"/>
    <col min="7722" max="7722" width="37.6640625" bestFit="1" customWidth="1"/>
    <col min="7723" max="7723" width="32.109375" bestFit="1" customWidth="1"/>
    <col min="7724" max="7724" width="22.77734375" bestFit="1" customWidth="1"/>
    <col min="7725" max="7725" width="28.88671875" bestFit="1" customWidth="1"/>
    <col min="7726" max="7726" width="23.33203125" bestFit="1" customWidth="1"/>
    <col min="7727" max="7727" width="25.44140625" bestFit="1" customWidth="1"/>
    <col min="7728" max="7728" width="31.6640625" bestFit="1" customWidth="1"/>
    <col min="7729" max="7729" width="26" bestFit="1" customWidth="1"/>
    <col min="7730" max="7730" width="26.77734375" bestFit="1" customWidth="1"/>
    <col min="7731" max="7731" width="32.88671875" bestFit="1" customWidth="1"/>
    <col min="7732" max="7732" width="27.33203125" bestFit="1" customWidth="1"/>
    <col min="7733" max="7733" width="30.33203125" bestFit="1" customWidth="1"/>
    <col min="7734" max="7734" width="36.5546875" bestFit="1" customWidth="1"/>
    <col min="7735" max="7735" width="30.88671875" bestFit="1" customWidth="1"/>
    <col min="7736" max="7736" width="25.109375" bestFit="1" customWidth="1"/>
    <col min="7737" max="7737" width="31.21875" bestFit="1" customWidth="1"/>
    <col min="7738" max="7738" width="25.6640625" bestFit="1" customWidth="1"/>
    <col min="7739" max="7739" width="31.5546875" bestFit="1" customWidth="1"/>
    <col min="7740" max="7740" width="37.6640625" bestFit="1" customWidth="1"/>
    <col min="7741" max="7741" width="32.109375" bestFit="1" customWidth="1"/>
    <col min="7742" max="7742" width="22.77734375" bestFit="1" customWidth="1"/>
    <col min="7743" max="7743" width="28.88671875" bestFit="1" customWidth="1"/>
    <col min="7744" max="7744" width="23.33203125" bestFit="1" customWidth="1"/>
    <col min="7745" max="7745" width="25.44140625" bestFit="1" customWidth="1"/>
    <col min="7746" max="7746" width="31.6640625" bestFit="1" customWidth="1"/>
    <col min="7747" max="7747" width="26" bestFit="1" customWidth="1"/>
    <col min="7748" max="7748" width="27.77734375" bestFit="1" customWidth="1"/>
    <col min="7749" max="7749" width="33.88671875" bestFit="1" customWidth="1"/>
    <col min="7750" max="7750" width="28.33203125" bestFit="1" customWidth="1"/>
    <col min="7751" max="7751" width="30.33203125" bestFit="1" customWidth="1"/>
    <col min="7752" max="7752" width="36.5546875" bestFit="1" customWidth="1"/>
    <col min="7753" max="7753" width="30.88671875" bestFit="1" customWidth="1"/>
    <col min="7754" max="7754" width="25.109375" bestFit="1" customWidth="1"/>
    <col min="7755" max="7755" width="31.21875" bestFit="1" customWidth="1"/>
    <col min="7756" max="7756" width="25.6640625" bestFit="1" customWidth="1"/>
    <col min="7757" max="7757" width="31.5546875" bestFit="1" customWidth="1"/>
    <col min="7758" max="7758" width="37.6640625" bestFit="1" customWidth="1"/>
    <col min="7759" max="7759" width="32.109375" bestFit="1" customWidth="1"/>
    <col min="7760" max="7760" width="22.77734375" bestFit="1" customWidth="1"/>
    <col min="7761" max="7761" width="28.88671875" bestFit="1" customWidth="1"/>
    <col min="7762" max="7762" width="23.33203125" bestFit="1" customWidth="1"/>
    <col min="7763" max="7763" width="25.44140625" bestFit="1" customWidth="1"/>
    <col min="7764" max="7764" width="31.6640625" bestFit="1" customWidth="1"/>
    <col min="7765" max="7765" width="26" bestFit="1" customWidth="1"/>
    <col min="7766" max="7766" width="27.77734375" bestFit="1" customWidth="1"/>
    <col min="7767" max="7767" width="33.88671875" bestFit="1" customWidth="1"/>
    <col min="7768" max="7768" width="28.33203125" bestFit="1" customWidth="1"/>
    <col min="7769" max="7769" width="30.33203125" bestFit="1" customWidth="1"/>
    <col min="7770" max="7770" width="36.5546875" bestFit="1" customWidth="1"/>
    <col min="7771" max="7771" width="30.88671875" bestFit="1" customWidth="1"/>
    <col min="7772" max="7772" width="25.109375" bestFit="1" customWidth="1"/>
    <col min="7773" max="7773" width="31.21875" bestFit="1" customWidth="1"/>
    <col min="7774" max="7774" width="25.6640625" bestFit="1" customWidth="1"/>
    <col min="7775" max="7775" width="31.5546875" bestFit="1" customWidth="1"/>
    <col min="7776" max="7776" width="37.6640625" bestFit="1" customWidth="1"/>
    <col min="7777" max="7777" width="32.109375" bestFit="1" customWidth="1"/>
    <col min="7778" max="7778" width="22.77734375" bestFit="1" customWidth="1"/>
    <col min="7779" max="7779" width="28.88671875" bestFit="1" customWidth="1"/>
    <col min="7780" max="7780" width="23.33203125" bestFit="1" customWidth="1"/>
    <col min="7781" max="7781" width="25.44140625" bestFit="1" customWidth="1"/>
    <col min="7782" max="7782" width="31.6640625" bestFit="1" customWidth="1"/>
    <col min="7783" max="7783" width="26" bestFit="1" customWidth="1"/>
    <col min="7784" max="7784" width="27.77734375" bestFit="1" customWidth="1"/>
    <col min="7785" max="7785" width="33.88671875" bestFit="1" customWidth="1"/>
    <col min="7786" max="7786" width="28.33203125" bestFit="1" customWidth="1"/>
    <col min="7787" max="7787" width="30.33203125" bestFit="1" customWidth="1"/>
    <col min="7788" max="7788" width="36.5546875" bestFit="1" customWidth="1"/>
    <col min="7789" max="7789" width="30.88671875" bestFit="1" customWidth="1"/>
    <col min="7790" max="7790" width="25.109375" bestFit="1" customWidth="1"/>
    <col min="7791" max="7791" width="31.21875" bestFit="1" customWidth="1"/>
    <col min="7792" max="7792" width="25.6640625" bestFit="1" customWidth="1"/>
    <col min="7793" max="7793" width="31.5546875" bestFit="1" customWidth="1"/>
    <col min="7794" max="7794" width="37.6640625" bestFit="1" customWidth="1"/>
    <col min="7795" max="7795" width="32.109375" bestFit="1" customWidth="1"/>
    <col min="7796" max="7796" width="22.77734375" bestFit="1" customWidth="1"/>
    <col min="7797" max="7797" width="28.88671875" bestFit="1" customWidth="1"/>
    <col min="7798" max="7798" width="23.33203125" bestFit="1" customWidth="1"/>
    <col min="7799" max="7799" width="25.44140625" bestFit="1" customWidth="1"/>
    <col min="7800" max="7800" width="31.6640625" bestFit="1" customWidth="1"/>
    <col min="7801" max="7801" width="26" bestFit="1" customWidth="1"/>
    <col min="7802" max="7802" width="27.77734375" bestFit="1" customWidth="1"/>
    <col min="7803" max="7803" width="33.88671875" bestFit="1" customWidth="1"/>
    <col min="7804" max="7804" width="28.33203125" bestFit="1" customWidth="1"/>
    <col min="7805" max="7805" width="30.33203125" bestFit="1" customWidth="1"/>
    <col min="7806" max="7806" width="36.5546875" bestFit="1" customWidth="1"/>
    <col min="7807" max="7807" width="30.88671875" bestFit="1" customWidth="1"/>
    <col min="7808" max="7808" width="25.109375" bestFit="1" customWidth="1"/>
    <col min="7809" max="7809" width="31.21875" bestFit="1" customWidth="1"/>
    <col min="7810" max="7810" width="25.6640625" bestFit="1" customWidth="1"/>
    <col min="7811" max="7811" width="31.5546875" bestFit="1" customWidth="1"/>
    <col min="7812" max="7812" width="37.6640625" bestFit="1" customWidth="1"/>
    <col min="7813" max="7813" width="32.109375" bestFit="1" customWidth="1"/>
    <col min="7814" max="7814" width="22.77734375" bestFit="1" customWidth="1"/>
    <col min="7815" max="7815" width="28.88671875" bestFit="1" customWidth="1"/>
    <col min="7816" max="7816" width="23.33203125" bestFit="1" customWidth="1"/>
    <col min="7817" max="7817" width="25.44140625" bestFit="1" customWidth="1"/>
    <col min="7818" max="7818" width="31.6640625" bestFit="1" customWidth="1"/>
    <col min="7819" max="7819" width="26" bestFit="1" customWidth="1"/>
    <col min="7820" max="7820" width="27.77734375" bestFit="1" customWidth="1"/>
    <col min="7821" max="7821" width="33.88671875" bestFit="1" customWidth="1"/>
    <col min="7822" max="7822" width="28.33203125" bestFit="1" customWidth="1"/>
    <col min="7823" max="7823" width="30.33203125" bestFit="1" customWidth="1"/>
    <col min="7824" max="7824" width="36.5546875" bestFit="1" customWidth="1"/>
    <col min="7825" max="7825" width="30.88671875" bestFit="1" customWidth="1"/>
    <col min="7826" max="7826" width="25.109375" bestFit="1" customWidth="1"/>
    <col min="7827" max="7827" width="31.21875" bestFit="1" customWidth="1"/>
    <col min="7828" max="7828" width="25.6640625" bestFit="1" customWidth="1"/>
    <col min="7829" max="7829" width="31.5546875" bestFit="1" customWidth="1"/>
    <col min="7830" max="7830" width="37.6640625" bestFit="1" customWidth="1"/>
    <col min="7831" max="7831" width="32.109375" bestFit="1" customWidth="1"/>
    <col min="7832" max="7832" width="22.77734375" bestFit="1" customWidth="1"/>
    <col min="7833" max="7833" width="28.88671875" bestFit="1" customWidth="1"/>
    <col min="7834" max="7834" width="23.33203125" bestFit="1" customWidth="1"/>
    <col min="7835" max="7835" width="25.44140625" bestFit="1" customWidth="1"/>
    <col min="7836" max="7836" width="31.6640625" bestFit="1" customWidth="1"/>
    <col min="7837" max="7837" width="26" bestFit="1" customWidth="1"/>
    <col min="7838" max="7838" width="27.77734375" bestFit="1" customWidth="1"/>
    <col min="7839" max="7839" width="33.88671875" bestFit="1" customWidth="1"/>
    <col min="7840" max="7840" width="28.33203125" bestFit="1" customWidth="1"/>
    <col min="7841" max="7841" width="30.33203125" bestFit="1" customWidth="1"/>
    <col min="7842" max="7842" width="36.5546875" bestFit="1" customWidth="1"/>
    <col min="7843" max="7843" width="30.88671875" bestFit="1" customWidth="1"/>
    <col min="7844" max="7844" width="25.109375" bestFit="1" customWidth="1"/>
    <col min="7845" max="7845" width="31.21875" bestFit="1" customWidth="1"/>
    <col min="7846" max="7846" width="25.6640625" bestFit="1" customWidth="1"/>
    <col min="7847" max="7847" width="31.5546875" bestFit="1" customWidth="1"/>
    <col min="7848" max="7848" width="37.6640625" bestFit="1" customWidth="1"/>
    <col min="7849" max="7849" width="32.109375" bestFit="1" customWidth="1"/>
    <col min="7850" max="7850" width="22.77734375" bestFit="1" customWidth="1"/>
    <col min="7851" max="7851" width="28.88671875" bestFit="1" customWidth="1"/>
    <col min="7852" max="7852" width="23.33203125" bestFit="1" customWidth="1"/>
    <col min="7853" max="7853" width="25.44140625" bestFit="1" customWidth="1"/>
    <col min="7854" max="7854" width="31.6640625" bestFit="1" customWidth="1"/>
    <col min="7855" max="7855" width="26" bestFit="1" customWidth="1"/>
    <col min="7856" max="7856" width="27.77734375" bestFit="1" customWidth="1"/>
    <col min="7857" max="7857" width="33.88671875" bestFit="1" customWidth="1"/>
    <col min="7858" max="7858" width="28.33203125" bestFit="1" customWidth="1"/>
    <col min="7859" max="7859" width="30.33203125" bestFit="1" customWidth="1"/>
    <col min="7860" max="7860" width="36.5546875" bestFit="1" customWidth="1"/>
    <col min="7861" max="7861" width="30.88671875" bestFit="1" customWidth="1"/>
    <col min="7862" max="7862" width="25.109375" bestFit="1" customWidth="1"/>
    <col min="7863" max="7863" width="31.21875" bestFit="1" customWidth="1"/>
    <col min="7864" max="7864" width="25.6640625" bestFit="1" customWidth="1"/>
    <col min="7865" max="7865" width="31.5546875" bestFit="1" customWidth="1"/>
    <col min="7866" max="7866" width="37.6640625" bestFit="1" customWidth="1"/>
    <col min="7867" max="7867" width="32.109375" bestFit="1" customWidth="1"/>
    <col min="7868" max="7868" width="22.77734375" bestFit="1" customWidth="1"/>
    <col min="7869" max="7869" width="28.88671875" bestFit="1" customWidth="1"/>
    <col min="7870" max="7870" width="23.33203125" bestFit="1" customWidth="1"/>
    <col min="7871" max="7871" width="25.44140625" bestFit="1" customWidth="1"/>
    <col min="7872" max="7872" width="31.6640625" bestFit="1" customWidth="1"/>
    <col min="7873" max="7873" width="26" bestFit="1" customWidth="1"/>
    <col min="7874" max="7874" width="27.77734375" bestFit="1" customWidth="1"/>
    <col min="7875" max="7875" width="33.88671875" bestFit="1" customWidth="1"/>
    <col min="7876" max="7876" width="28.33203125" bestFit="1" customWidth="1"/>
    <col min="7877" max="7877" width="30.33203125" bestFit="1" customWidth="1"/>
    <col min="7878" max="7878" width="36.5546875" bestFit="1" customWidth="1"/>
    <col min="7879" max="7879" width="30.88671875" bestFit="1" customWidth="1"/>
    <col min="7880" max="7880" width="25.109375" bestFit="1" customWidth="1"/>
    <col min="7881" max="7881" width="31.21875" bestFit="1" customWidth="1"/>
    <col min="7882" max="7882" width="25.6640625" bestFit="1" customWidth="1"/>
    <col min="7883" max="7883" width="31.5546875" bestFit="1" customWidth="1"/>
    <col min="7884" max="7884" width="37.6640625" bestFit="1" customWidth="1"/>
    <col min="7885" max="7885" width="32.109375" bestFit="1" customWidth="1"/>
    <col min="7886" max="7886" width="22.77734375" bestFit="1" customWidth="1"/>
    <col min="7887" max="7887" width="28.88671875" bestFit="1" customWidth="1"/>
    <col min="7888" max="7888" width="23.33203125" bestFit="1" customWidth="1"/>
    <col min="7889" max="7889" width="25.44140625" bestFit="1" customWidth="1"/>
    <col min="7890" max="7890" width="31.6640625" bestFit="1" customWidth="1"/>
    <col min="7891" max="7891" width="26" bestFit="1" customWidth="1"/>
    <col min="7892" max="7892" width="27.77734375" bestFit="1" customWidth="1"/>
    <col min="7893" max="7893" width="33.88671875" bestFit="1" customWidth="1"/>
    <col min="7894" max="7894" width="28.33203125" bestFit="1" customWidth="1"/>
    <col min="7895" max="7895" width="30.33203125" bestFit="1" customWidth="1"/>
    <col min="7896" max="7896" width="36.5546875" bestFit="1" customWidth="1"/>
    <col min="7897" max="7897" width="30.88671875" bestFit="1" customWidth="1"/>
    <col min="7898" max="7898" width="25.109375" bestFit="1" customWidth="1"/>
    <col min="7899" max="7899" width="31.21875" bestFit="1" customWidth="1"/>
    <col min="7900" max="7900" width="25.6640625" bestFit="1" customWidth="1"/>
    <col min="7901" max="7901" width="31.5546875" bestFit="1" customWidth="1"/>
    <col min="7902" max="7902" width="37.6640625" bestFit="1" customWidth="1"/>
    <col min="7903" max="7903" width="32.109375" bestFit="1" customWidth="1"/>
    <col min="7904" max="7904" width="22.77734375" bestFit="1" customWidth="1"/>
    <col min="7905" max="7905" width="28.88671875" bestFit="1" customWidth="1"/>
    <col min="7906" max="7906" width="23.33203125" bestFit="1" customWidth="1"/>
    <col min="7907" max="7907" width="25.44140625" bestFit="1" customWidth="1"/>
    <col min="7908" max="7908" width="31.6640625" bestFit="1" customWidth="1"/>
    <col min="7909" max="7909" width="26" bestFit="1" customWidth="1"/>
    <col min="7910" max="7910" width="27.77734375" bestFit="1" customWidth="1"/>
    <col min="7911" max="7911" width="33.88671875" bestFit="1" customWidth="1"/>
    <col min="7912" max="7912" width="28.33203125" bestFit="1" customWidth="1"/>
    <col min="7913" max="7913" width="30.33203125" bestFit="1" customWidth="1"/>
    <col min="7914" max="7914" width="36.5546875" bestFit="1" customWidth="1"/>
    <col min="7915" max="7915" width="30.88671875" bestFit="1" customWidth="1"/>
    <col min="7916" max="7916" width="25.109375" bestFit="1" customWidth="1"/>
    <col min="7917" max="7917" width="31.21875" bestFit="1" customWidth="1"/>
    <col min="7918" max="7918" width="25.6640625" bestFit="1" customWidth="1"/>
    <col min="7919" max="7919" width="31.5546875" bestFit="1" customWidth="1"/>
    <col min="7920" max="7920" width="37.6640625" bestFit="1" customWidth="1"/>
    <col min="7921" max="7921" width="32.109375" bestFit="1" customWidth="1"/>
    <col min="7922" max="7922" width="22.77734375" bestFit="1" customWidth="1"/>
    <col min="7923" max="7923" width="28.88671875" bestFit="1" customWidth="1"/>
    <col min="7924" max="7924" width="23.33203125" bestFit="1" customWidth="1"/>
    <col min="7925" max="7925" width="25.44140625" bestFit="1" customWidth="1"/>
    <col min="7926" max="7926" width="31.6640625" bestFit="1" customWidth="1"/>
    <col min="7927" max="7927" width="26" bestFit="1" customWidth="1"/>
    <col min="7928" max="7928" width="27.77734375" bestFit="1" customWidth="1"/>
    <col min="7929" max="7929" width="33.88671875" bestFit="1" customWidth="1"/>
    <col min="7930" max="7930" width="28.33203125" bestFit="1" customWidth="1"/>
    <col min="7931" max="7931" width="30.33203125" bestFit="1" customWidth="1"/>
    <col min="7932" max="7932" width="36.5546875" bestFit="1" customWidth="1"/>
    <col min="7933" max="7933" width="30.88671875" bestFit="1" customWidth="1"/>
    <col min="7934" max="7934" width="25.109375" bestFit="1" customWidth="1"/>
    <col min="7935" max="7935" width="31.21875" bestFit="1" customWidth="1"/>
    <col min="7936" max="7936" width="25.6640625" bestFit="1" customWidth="1"/>
    <col min="7937" max="7937" width="31.5546875" bestFit="1" customWidth="1"/>
    <col min="7938" max="7938" width="37.6640625" bestFit="1" customWidth="1"/>
    <col min="7939" max="7939" width="32.109375" bestFit="1" customWidth="1"/>
    <col min="7940" max="7940" width="22.77734375" bestFit="1" customWidth="1"/>
    <col min="7941" max="7941" width="28.88671875" bestFit="1" customWidth="1"/>
    <col min="7942" max="7942" width="23.33203125" bestFit="1" customWidth="1"/>
    <col min="7943" max="7943" width="25.44140625" bestFit="1" customWidth="1"/>
    <col min="7944" max="7944" width="31.6640625" bestFit="1" customWidth="1"/>
    <col min="7945" max="7945" width="26" bestFit="1" customWidth="1"/>
    <col min="7946" max="7946" width="27.77734375" bestFit="1" customWidth="1"/>
    <col min="7947" max="7947" width="33.88671875" bestFit="1" customWidth="1"/>
    <col min="7948" max="7948" width="28.33203125" bestFit="1" customWidth="1"/>
    <col min="7949" max="7949" width="30.33203125" bestFit="1" customWidth="1"/>
    <col min="7950" max="7950" width="36.5546875" bestFit="1" customWidth="1"/>
    <col min="7951" max="7951" width="30.88671875" bestFit="1" customWidth="1"/>
    <col min="7952" max="7952" width="25.109375" bestFit="1" customWidth="1"/>
    <col min="7953" max="7953" width="31.21875" bestFit="1" customWidth="1"/>
    <col min="7954" max="7954" width="25.6640625" bestFit="1" customWidth="1"/>
    <col min="7955" max="7955" width="31.5546875" bestFit="1" customWidth="1"/>
    <col min="7956" max="7956" width="37.6640625" bestFit="1" customWidth="1"/>
    <col min="7957" max="7957" width="32.109375" bestFit="1" customWidth="1"/>
    <col min="7958" max="7958" width="22.77734375" bestFit="1" customWidth="1"/>
    <col min="7959" max="7959" width="28.88671875" bestFit="1" customWidth="1"/>
    <col min="7960" max="7960" width="23.33203125" bestFit="1" customWidth="1"/>
    <col min="7961" max="7961" width="25.44140625" bestFit="1" customWidth="1"/>
    <col min="7962" max="7962" width="31.6640625" bestFit="1" customWidth="1"/>
    <col min="7963" max="7963" width="26" bestFit="1" customWidth="1"/>
    <col min="7964" max="7964" width="27.77734375" bestFit="1" customWidth="1"/>
    <col min="7965" max="7965" width="33.88671875" bestFit="1" customWidth="1"/>
    <col min="7966" max="7966" width="28.33203125" bestFit="1" customWidth="1"/>
    <col min="7967" max="7967" width="30.33203125" bestFit="1" customWidth="1"/>
    <col min="7968" max="7968" width="36.5546875" bestFit="1" customWidth="1"/>
    <col min="7969" max="7969" width="30.88671875" bestFit="1" customWidth="1"/>
    <col min="7970" max="7970" width="25.109375" bestFit="1" customWidth="1"/>
    <col min="7971" max="7971" width="31.21875" bestFit="1" customWidth="1"/>
    <col min="7972" max="7972" width="25.6640625" bestFit="1" customWidth="1"/>
    <col min="7973" max="7973" width="31.5546875" bestFit="1" customWidth="1"/>
    <col min="7974" max="7974" width="37.6640625" bestFit="1" customWidth="1"/>
    <col min="7975" max="7975" width="32.109375" bestFit="1" customWidth="1"/>
    <col min="7976" max="7976" width="22.77734375" bestFit="1" customWidth="1"/>
    <col min="7977" max="7977" width="28.88671875" bestFit="1" customWidth="1"/>
    <col min="7978" max="7978" width="23.33203125" bestFit="1" customWidth="1"/>
    <col min="7979" max="7979" width="25.44140625" bestFit="1" customWidth="1"/>
    <col min="7980" max="7980" width="31.6640625" bestFit="1" customWidth="1"/>
    <col min="7981" max="7981" width="26" bestFit="1" customWidth="1"/>
    <col min="7982" max="7982" width="27.77734375" bestFit="1" customWidth="1"/>
    <col min="7983" max="7983" width="33.88671875" bestFit="1" customWidth="1"/>
    <col min="7984" max="7984" width="28.33203125" bestFit="1" customWidth="1"/>
    <col min="7985" max="7985" width="30.33203125" bestFit="1" customWidth="1"/>
    <col min="7986" max="7986" width="36.5546875" bestFit="1" customWidth="1"/>
    <col min="7987" max="7987" width="30.88671875" bestFit="1" customWidth="1"/>
    <col min="7988" max="7988" width="25.109375" bestFit="1" customWidth="1"/>
    <col min="7989" max="7989" width="31.21875" bestFit="1" customWidth="1"/>
    <col min="7990" max="7990" width="25.6640625" bestFit="1" customWidth="1"/>
    <col min="7991" max="7991" width="31.5546875" bestFit="1" customWidth="1"/>
    <col min="7992" max="7992" width="37.6640625" bestFit="1" customWidth="1"/>
    <col min="7993" max="7993" width="32.109375" bestFit="1" customWidth="1"/>
    <col min="7994" max="7994" width="22.77734375" bestFit="1" customWidth="1"/>
    <col min="7995" max="7995" width="28.88671875" bestFit="1" customWidth="1"/>
    <col min="7996" max="7996" width="23.33203125" bestFit="1" customWidth="1"/>
    <col min="7997" max="7997" width="25.44140625" bestFit="1" customWidth="1"/>
    <col min="7998" max="7998" width="31.6640625" bestFit="1" customWidth="1"/>
    <col min="7999" max="7999" width="26" bestFit="1" customWidth="1"/>
    <col min="8000" max="8000" width="27.77734375" bestFit="1" customWidth="1"/>
    <col min="8001" max="8001" width="33.88671875" bestFit="1" customWidth="1"/>
    <col min="8002" max="8002" width="28.33203125" bestFit="1" customWidth="1"/>
    <col min="8003" max="8003" width="30.33203125" bestFit="1" customWidth="1"/>
    <col min="8004" max="8004" width="36.5546875" bestFit="1" customWidth="1"/>
    <col min="8005" max="8005" width="30.88671875" bestFit="1" customWidth="1"/>
    <col min="8006" max="8006" width="25.109375" bestFit="1" customWidth="1"/>
    <col min="8007" max="8007" width="31.21875" bestFit="1" customWidth="1"/>
    <col min="8008" max="8008" width="25.6640625" bestFit="1" customWidth="1"/>
    <col min="8009" max="8009" width="31.5546875" bestFit="1" customWidth="1"/>
    <col min="8010" max="8010" width="37.6640625" bestFit="1" customWidth="1"/>
    <col min="8011" max="8011" width="32.109375" bestFit="1" customWidth="1"/>
    <col min="8012" max="8012" width="22.77734375" bestFit="1" customWidth="1"/>
    <col min="8013" max="8013" width="28.88671875" bestFit="1" customWidth="1"/>
    <col min="8014" max="8014" width="23.33203125" bestFit="1" customWidth="1"/>
    <col min="8015" max="8015" width="25.44140625" bestFit="1" customWidth="1"/>
    <col min="8016" max="8016" width="31.6640625" bestFit="1" customWidth="1"/>
    <col min="8017" max="8017" width="26" bestFit="1" customWidth="1"/>
    <col min="8018" max="8018" width="27.77734375" bestFit="1" customWidth="1"/>
    <col min="8019" max="8019" width="33.88671875" bestFit="1" customWidth="1"/>
    <col min="8020" max="8020" width="28.33203125" bestFit="1" customWidth="1"/>
    <col min="8021" max="8021" width="30.33203125" bestFit="1" customWidth="1"/>
    <col min="8022" max="8022" width="36.5546875" bestFit="1" customWidth="1"/>
    <col min="8023" max="8023" width="30.88671875" bestFit="1" customWidth="1"/>
    <col min="8024" max="8024" width="25.109375" bestFit="1" customWidth="1"/>
    <col min="8025" max="8025" width="31.21875" bestFit="1" customWidth="1"/>
    <col min="8026" max="8026" width="25.6640625" bestFit="1" customWidth="1"/>
    <col min="8027" max="8027" width="31.5546875" bestFit="1" customWidth="1"/>
    <col min="8028" max="8028" width="37.6640625" bestFit="1" customWidth="1"/>
    <col min="8029" max="8029" width="32.109375" bestFit="1" customWidth="1"/>
    <col min="8030" max="8030" width="22.77734375" bestFit="1" customWidth="1"/>
    <col min="8031" max="8031" width="28.88671875" bestFit="1" customWidth="1"/>
    <col min="8032" max="8032" width="23.33203125" bestFit="1" customWidth="1"/>
    <col min="8033" max="8033" width="25.44140625" bestFit="1" customWidth="1"/>
    <col min="8034" max="8034" width="31.6640625" bestFit="1" customWidth="1"/>
    <col min="8035" max="8035" width="26" bestFit="1" customWidth="1"/>
    <col min="8036" max="8036" width="27.77734375" bestFit="1" customWidth="1"/>
    <col min="8037" max="8037" width="33.88671875" bestFit="1" customWidth="1"/>
    <col min="8038" max="8038" width="28.33203125" bestFit="1" customWidth="1"/>
    <col min="8039" max="8039" width="30.33203125" bestFit="1" customWidth="1"/>
    <col min="8040" max="8040" width="36.5546875" bestFit="1" customWidth="1"/>
    <col min="8041" max="8041" width="30.88671875" bestFit="1" customWidth="1"/>
    <col min="8042" max="8042" width="25.109375" bestFit="1" customWidth="1"/>
    <col min="8043" max="8043" width="31.21875" bestFit="1" customWidth="1"/>
    <col min="8044" max="8044" width="25.6640625" bestFit="1" customWidth="1"/>
    <col min="8045" max="8045" width="31.5546875" bestFit="1" customWidth="1"/>
    <col min="8046" max="8046" width="37.6640625" bestFit="1" customWidth="1"/>
    <col min="8047" max="8047" width="32.109375" bestFit="1" customWidth="1"/>
    <col min="8048" max="8048" width="22.77734375" bestFit="1" customWidth="1"/>
    <col min="8049" max="8049" width="28.88671875" bestFit="1" customWidth="1"/>
    <col min="8050" max="8050" width="23.33203125" bestFit="1" customWidth="1"/>
    <col min="8051" max="8051" width="25.44140625" bestFit="1" customWidth="1"/>
    <col min="8052" max="8052" width="31.6640625" bestFit="1" customWidth="1"/>
    <col min="8053" max="8053" width="26" bestFit="1" customWidth="1"/>
    <col min="8054" max="8054" width="27.77734375" bestFit="1" customWidth="1"/>
    <col min="8055" max="8055" width="33.88671875" bestFit="1" customWidth="1"/>
    <col min="8056" max="8056" width="28.33203125" bestFit="1" customWidth="1"/>
    <col min="8057" max="8057" width="30.33203125" bestFit="1" customWidth="1"/>
    <col min="8058" max="8058" width="36.5546875" bestFit="1" customWidth="1"/>
    <col min="8059" max="8059" width="30.88671875" bestFit="1" customWidth="1"/>
    <col min="8060" max="8060" width="25.109375" bestFit="1" customWidth="1"/>
    <col min="8061" max="8061" width="31.21875" bestFit="1" customWidth="1"/>
    <col min="8062" max="8062" width="25.6640625" bestFit="1" customWidth="1"/>
    <col min="8063" max="8063" width="31.5546875" bestFit="1" customWidth="1"/>
    <col min="8064" max="8064" width="37.6640625" bestFit="1" customWidth="1"/>
    <col min="8065" max="8065" width="32.109375" bestFit="1" customWidth="1"/>
    <col min="8066" max="8066" width="22.77734375" bestFit="1" customWidth="1"/>
    <col min="8067" max="8067" width="28.88671875" bestFit="1" customWidth="1"/>
    <col min="8068" max="8068" width="23.33203125" bestFit="1" customWidth="1"/>
    <col min="8069" max="8069" width="25.44140625" bestFit="1" customWidth="1"/>
    <col min="8070" max="8070" width="31.6640625" bestFit="1" customWidth="1"/>
    <col min="8071" max="8071" width="26" bestFit="1" customWidth="1"/>
    <col min="8072" max="8072" width="27.77734375" bestFit="1" customWidth="1"/>
    <col min="8073" max="8073" width="33.88671875" bestFit="1" customWidth="1"/>
    <col min="8074" max="8074" width="28.33203125" bestFit="1" customWidth="1"/>
    <col min="8075" max="8075" width="30.33203125" bestFit="1" customWidth="1"/>
    <col min="8076" max="8076" width="36.5546875" bestFit="1" customWidth="1"/>
    <col min="8077" max="8077" width="30.88671875" bestFit="1" customWidth="1"/>
    <col min="8078" max="8078" width="25.109375" bestFit="1" customWidth="1"/>
    <col min="8079" max="8079" width="31.21875" bestFit="1" customWidth="1"/>
    <col min="8080" max="8080" width="25.6640625" bestFit="1" customWidth="1"/>
    <col min="8081" max="8081" width="31.5546875" bestFit="1" customWidth="1"/>
    <col min="8082" max="8082" width="37.6640625" bestFit="1" customWidth="1"/>
    <col min="8083" max="8083" width="32.109375" bestFit="1" customWidth="1"/>
    <col min="8084" max="8084" width="22.77734375" bestFit="1" customWidth="1"/>
    <col min="8085" max="8085" width="28.88671875" bestFit="1" customWidth="1"/>
    <col min="8086" max="8086" width="23.33203125" bestFit="1" customWidth="1"/>
    <col min="8087" max="8087" width="25.44140625" bestFit="1" customWidth="1"/>
    <col min="8088" max="8088" width="31.6640625" bestFit="1" customWidth="1"/>
    <col min="8089" max="8089" width="26" bestFit="1" customWidth="1"/>
    <col min="8090" max="8090" width="27.77734375" bestFit="1" customWidth="1"/>
    <col min="8091" max="8091" width="33.88671875" bestFit="1" customWidth="1"/>
    <col min="8092" max="8092" width="28.33203125" bestFit="1" customWidth="1"/>
    <col min="8093" max="8093" width="30.33203125" bestFit="1" customWidth="1"/>
    <col min="8094" max="8094" width="36.5546875" bestFit="1" customWidth="1"/>
    <col min="8095" max="8095" width="30.88671875" bestFit="1" customWidth="1"/>
    <col min="8096" max="8096" width="25.109375" bestFit="1" customWidth="1"/>
    <col min="8097" max="8097" width="31.21875" bestFit="1" customWidth="1"/>
    <col min="8098" max="8098" width="25.6640625" bestFit="1" customWidth="1"/>
    <col min="8099" max="8099" width="31.5546875" bestFit="1" customWidth="1"/>
    <col min="8100" max="8100" width="37.6640625" bestFit="1" customWidth="1"/>
    <col min="8101" max="8101" width="32.109375" bestFit="1" customWidth="1"/>
    <col min="8102" max="8102" width="22.77734375" bestFit="1" customWidth="1"/>
    <col min="8103" max="8103" width="28.88671875" bestFit="1" customWidth="1"/>
    <col min="8104" max="8104" width="23.33203125" bestFit="1" customWidth="1"/>
    <col min="8105" max="8105" width="25.44140625" bestFit="1" customWidth="1"/>
    <col min="8106" max="8106" width="31.6640625" bestFit="1" customWidth="1"/>
    <col min="8107" max="8107" width="26" bestFit="1" customWidth="1"/>
    <col min="8108" max="8108" width="27.77734375" bestFit="1" customWidth="1"/>
    <col min="8109" max="8109" width="33.88671875" bestFit="1" customWidth="1"/>
    <col min="8110" max="8110" width="28.33203125" bestFit="1" customWidth="1"/>
    <col min="8111" max="8111" width="30.33203125" bestFit="1" customWidth="1"/>
    <col min="8112" max="8112" width="36.5546875" bestFit="1" customWidth="1"/>
    <col min="8113" max="8113" width="30.88671875" bestFit="1" customWidth="1"/>
    <col min="8114" max="8114" width="25.109375" bestFit="1" customWidth="1"/>
    <col min="8115" max="8115" width="31.21875" bestFit="1" customWidth="1"/>
    <col min="8116" max="8116" width="25.6640625" bestFit="1" customWidth="1"/>
    <col min="8117" max="8117" width="31.5546875" bestFit="1" customWidth="1"/>
    <col min="8118" max="8118" width="37.6640625" bestFit="1" customWidth="1"/>
    <col min="8119" max="8119" width="32.109375" bestFit="1" customWidth="1"/>
    <col min="8120" max="8120" width="22.77734375" bestFit="1" customWidth="1"/>
    <col min="8121" max="8121" width="28.88671875" bestFit="1" customWidth="1"/>
    <col min="8122" max="8122" width="23.33203125" bestFit="1" customWidth="1"/>
    <col min="8123" max="8123" width="25.44140625" bestFit="1" customWidth="1"/>
    <col min="8124" max="8124" width="31.6640625" bestFit="1" customWidth="1"/>
    <col min="8125" max="8125" width="26" bestFit="1" customWidth="1"/>
    <col min="8126" max="8126" width="27.77734375" bestFit="1" customWidth="1"/>
    <col min="8127" max="8127" width="33.88671875" bestFit="1" customWidth="1"/>
    <col min="8128" max="8128" width="28.33203125" bestFit="1" customWidth="1"/>
    <col min="8129" max="8129" width="30.33203125" bestFit="1" customWidth="1"/>
    <col min="8130" max="8130" width="36.5546875" bestFit="1" customWidth="1"/>
    <col min="8131" max="8131" width="30.88671875" bestFit="1" customWidth="1"/>
    <col min="8132" max="8132" width="25.109375" bestFit="1" customWidth="1"/>
    <col min="8133" max="8133" width="31.21875" bestFit="1" customWidth="1"/>
    <col min="8134" max="8134" width="25.6640625" bestFit="1" customWidth="1"/>
    <col min="8135" max="8135" width="31.5546875" bestFit="1" customWidth="1"/>
    <col min="8136" max="8136" width="37.6640625" bestFit="1" customWidth="1"/>
    <col min="8137" max="8137" width="32.109375" bestFit="1" customWidth="1"/>
    <col min="8138" max="8138" width="22.77734375" bestFit="1" customWidth="1"/>
    <col min="8139" max="8139" width="28.88671875" bestFit="1" customWidth="1"/>
    <col min="8140" max="8140" width="23.33203125" bestFit="1" customWidth="1"/>
    <col min="8141" max="8141" width="25.44140625" bestFit="1" customWidth="1"/>
    <col min="8142" max="8142" width="31.6640625" bestFit="1" customWidth="1"/>
    <col min="8143" max="8143" width="26" bestFit="1" customWidth="1"/>
    <col min="8144" max="8144" width="27.77734375" bestFit="1" customWidth="1"/>
    <col min="8145" max="8145" width="33.88671875" bestFit="1" customWidth="1"/>
    <col min="8146" max="8146" width="28.33203125" bestFit="1" customWidth="1"/>
    <col min="8147" max="8147" width="30.33203125" bestFit="1" customWidth="1"/>
    <col min="8148" max="8148" width="36.5546875" bestFit="1" customWidth="1"/>
    <col min="8149" max="8149" width="30.88671875" bestFit="1" customWidth="1"/>
    <col min="8150" max="8150" width="25.109375" bestFit="1" customWidth="1"/>
    <col min="8151" max="8151" width="31.21875" bestFit="1" customWidth="1"/>
    <col min="8152" max="8152" width="25.6640625" bestFit="1" customWidth="1"/>
    <col min="8153" max="8153" width="31.5546875" bestFit="1" customWidth="1"/>
    <col min="8154" max="8154" width="37.6640625" bestFit="1" customWidth="1"/>
    <col min="8155" max="8155" width="32.109375" bestFit="1" customWidth="1"/>
    <col min="8156" max="8156" width="22.77734375" bestFit="1" customWidth="1"/>
    <col min="8157" max="8157" width="28.88671875" bestFit="1" customWidth="1"/>
    <col min="8158" max="8158" width="23.33203125" bestFit="1" customWidth="1"/>
    <col min="8159" max="8159" width="25.44140625" bestFit="1" customWidth="1"/>
    <col min="8160" max="8160" width="31.6640625" bestFit="1" customWidth="1"/>
    <col min="8161" max="8161" width="26" bestFit="1" customWidth="1"/>
    <col min="8162" max="8162" width="27.77734375" bestFit="1" customWidth="1"/>
    <col min="8163" max="8163" width="33.88671875" bestFit="1" customWidth="1"/>
    <col min="8164" max="8164" width="28.33203125" bestFit="1" customWidth="1"/>
    <col min="8165" max="8165" width="30.33203125" bestFit="1" customWidth="1"/>
    <col min="8166" max="8166" width="36.5546875" bestFit="1" customWidth="1"/>
    <col min="8167" max="8167" width="30.88671875" bestFit="1" customWidth="1"/>
    <col min="8168" max="8168" width="25.109375" bestFit="1" customWidth="1"/>
    <col min="8169" max="8169" width="31.21875" bestFit="1" customWidth="1"/>
    <col min="8170" max="8170" width="25.6640625" bestFit="1" customWidth="1"/>
    <col min="8171" max="8171" width="31.5546875" bestFit="1" customWidth="1"/>
    <col min="8172" max="8172" width="37.6640625" bestFit="1" customWidth="1"/>
    <col min="8173" max="8173" width="32.109375" bestFit="1" customWidth="1"/>
    <col min="8174" max="8174" width="22.77734375" bestFit="1" customWidth="1"/>
    <col min="8175" max="8175" width="28.88671875" bestFit="1" customWidth="1"/>
    <col min="8176" max="8176" width="23.33203125" bestFit="1" customWidth="1"/>
    <col min="8177" max="8177" width="25.44140625" bestFit="1" customWidth="1"/>
    <col min="8178" max="8178" width="31.6640625" bestFit="1" customWidth="1"/>
    <col min="8179" max="8179" width="26" bestFit="1" customWidth="1"/>
    <col min="8180" max="8180" width="27.77734375" bestFit="1" customWidth="1"/>
    <col min="8181" max="8181" width="33.88671875" bestFit="1" customWidth="1"/>
    <col min="8182" max="8182" width="28.33203125" bestFit="1" customWidth="1"/>
    <col min="8183" max="8183" width="30.33203125" bestFit="1" customWidth="1"/>
    <col min="8184" max="8184" width="36.5546875" bestFit="1" customWidth="1"/>
    <col min="8185" max="8185" width="30.88671875" bestFit="1" customWidth="1"/>
    <col min="8186" max="8186" width="25.109375" bestFit="1" customWidth="1"/>
    <col min="8187" max="8187" width="31.21875" bestFit="1" customWidth="1"/>
    <col min="8188" max="8188" width="25.6640625" bestFit="1" customWidth="1"/>
    <col min="8189" max="8189" width="31.5546875" bestFit="1" customWidth="1"/>
    <col min="8190" max="8190" width="37.6640625" bestFit="1" customWidth="1"/>
    <col min="8191" max="8191" width="32.109375" bestFit="1" customWidth="1"/>
    <col min="8192" max="8192" width="22.77734375" bestFit="1" customWidth="1"/>
    <col min="8193" max="8193" width="28.88671875" bestFit="1" customWidth="1"/>
    <col min="8194" max="8194" width="23.33203125" bestFit="1" customWidth="1"/>
    <col min="8195" max="8195" width="25.44140625" bestFit="1" customWidth="1"/>
    <col min="8196" max="8196" width="31.6640625" bestFit="1" customWidth="1"/>
    <col min="8197" max="8197" width="26" bestFit="1" customWidth="1"/>
    <col min="8198" max="8198" width="26.77734375" bestFit="1" customWidth="1"/>
    <col min="8199" max="8199" width="32.88671875" bestFit="1" customWidth="1"/>
    <col min="8200" max="8200" width="27.33203125" bestFit="1" customWidth="1"/>
    <col min="8201" max="8201" width="30.33203125" bestFit="1" customWidth="1"/>
    <col min="8202" max="8202" width="36.5546875" bestFit="1" customWidth="1"/>
    <col min="8203" max="8203" width="30.88671875" bestFit="1" customWidth="1"/>
    <col min="8204" max="8204" width="25.109375" bestFit="1" customWidth="1"/>
    <col min="8205" max="8205" width="31.21875" bestFit="1" customWidth="1"/>
    <col min="8206" max="8206" width="25.6640625" bestFit="1" customWidth="1"/>
    <col min="8207" max="8207" width="31.5546875" bestFit="1" customWidth="1"/>
    <col min="8208" max="8208" width="37.6640625" bestFit="1" customWidth="1"/>
    <col min="8209" max="8209" width="32.109375" bestFit="1" customWidth="1"/>
    <col min="8210" max="8210" width="22.77734375" bestFit="1" customWidth="1"/>
    <col min="8211" max="8211" width="28.88671875" bestFit="1" customWidth="1"/>
    <col min="8212" max="8212" width="23.33203125" bestFit="1" customWidth="1"/>
    <col min="8213" max="8213" width="25.44140625" bestFit="1" customWidth="1"/>
    <col min="8214" max="8214" width="31.6640625" bestFit="1" customWidth="1"/>
    <col min="8215" max="8215" width="26" bestFit="1" customWidth="1"/>
    <col min="8216" max="8216" width="27.77734375" bestFit="1" customWidth="1"/>
    <col min="8217" max="8217" width="33.88671875" bestFit="1" customWidth="1"/>
    <col min="8218" max="8218" width="28.33203125" bestFit="1" customWidth="1"/>
    <col min="8219" max="8219" width="30.33203125" bestFit="1" customWidth="1"/>
    <col min="8220" max="8220" width="36.5546875" bestFit="1" customWidth="1"/>
    <col min="8221" max="8221" width="30.88671875" bestFit="1" customWidth="1"/>
    <col min="8222" max="8222" width="25.109375" bestFit="1" customWidth="1"/>
    <col min="8223" max="8223" width="31.21875" bestFit="1" customWidth="1"/>
    <col min="8224" max="8224" width="25.6640625" bestFit="1" customWidth="1"/>
    <col min="8225" max="8225" width="31.5546875" bestFit="1" customWidth="1"/>
    <col min="8226" max="8226" width="37.6640625" bestFit="1" customWidth="1"/>
    <col min="8227" max="8227" width="32.109375" bestFit="1" customWidth="1"/>
    <col min="8228" max="8228" width="22.77734375" bestFit="1" customWidth="1"/>
    <col min="8229" max="8229" width="28.88671875" bestFit="1" customWidth="1"/>
    <col min="8230" max="8230" width="23.33203125" bestFit="1" customWidth="1"/>
    <col min="8231" max="8231" width="25.44140625" bestFit="1" customWidth="1"/>
    <col min="8232" max="8232" width="31.6640625" bestFit="1" customWidth="1"/>
    <col min="8233" max="8233" width="26" bestFit="1" customWidth="1"/>
    <col min="8234" max="8234" width="27.77734375" bestFit="1" customWidth="1"/>
    <col min="8235" max="8235" width="33.88671875" bestFit="1" customWidth="1"/>
    <col min="8236" max="8236" width="28.33203125" bestFit="1" customWidth="1"/>
    <col min="8237" max="8237" width="30.33203125" bestFit="1" customWidth="1"/>
    <col min="8238" max="8238" width="36.5546875" bestFit="1" customWidth="1"/>
    <col min="8239" max="8239" width="30.88671875" bestFit="1" customWidth="1"/>
    <col min="8240" max="8240" width="25.109375" bestFit="1" customWidth="1"/>
    <col min="8241" max="8241" width="31.21875" bestFit="1" customWidth="1"/>
    <col min="8242" max="8242" width="25.6640625" bestFit="1" customWidth="1"/>
    <col min="8243" max="8243" width="31.5546875" bestFit="1" customWidth="1"/>
    <col min="8244" max="8244" width="37.6640625" bestFit="1" customWidth="1"/>
    <col min="8245" max="8245" width="32.109375" bestFit="1" customWidth="1"/>
    <col min="8246" max="8246" width="22.77734375" bestFit="1" customWidth="1"/>
    <col min="8247" max="8247" width="28.88671875" bestFit="1" customWidth="1"/>
    <col min="8248" max="8248" width="23.33203125" bestFit="1" customWidth="1"/>
    <col min="8249" max="8249" width="25.44140625" bestFit="1" customWidth="1"/>
    <col min="8250" max="8250" width="31.6640625" bestFit="1" customWidth="1"/>
    <col min="8251" max="8251" width="26" bestFit="1" customWidth="1"/>
    <col min="8252" max="8252" width="27.77734375" bestFit="1" customWidth="1"/>
    <col min="8253" max="8253" width="33.88671875" bestFit="1" customWidth="1"/>
    <col min="8254" max="8254" width="28.33203125" bestFit="1" customWidth="1"/>
    <col min="8255" max="8255" width="30.33203125" bestFit="1" customWidth="1"/>
    <col min="8256" max="8256" width="36.5546875" bestFit="1" customWidth="1"/>
    <col min="8257" max="8257" width="30.88671875" bestFit="1" customWidth="1"/>
    <col min="8258" max="8258" width="25.109375" bestFit="1" customWidth="1"/>
    <col min="8259" max="8259" width="31.21875" bestFit="1" customWidth="1"/>
    <col min="8260" max="8260" width="25.6640625" bestFit="1" customWidth="1"/>
    <col min="8261" max="8261" width="31.5546875" bestFit="1" customWidth="1"/>
    <col min="8262" max="8262" width="37.6640625" bestFit="1" customWidth="1"/>
    <col min="8263" max="8263" width="32.109375" bestFit="1" customWidth="1"/>
    <col min="8264" max="8264" width="22.77734375" bestFit="1" customWidth="1"/>
    <col min="8265" max="8265" width="28.88671875" bestFit="1" customWidth="1"/>
    <col min="8266" max="8266" width="23.33203125" bestFit="1" customWidth="1"/>
    <col min="8267" max="8267" width="25.44140625" bestFit="1" customWidth="1"/>
    <col min="8268" max="8268" width="31.6640625" bestFit="1" customWidth="1"/>
    <col min="8269" max="8269" width="26" bestFit="1" customWidth="1"/>
    <col min="8270" max="8270" width="27.77734375" bestFit="1" customWidth="1"/>
    <col min="8271" max="8271" width="33.88671875" bestFit="1" customWidth="1"/>
    <col min="8272" max="8272" width="28.33203125" bestFit="1" customWidth="1"/>
    <col min="8273" max="8273" width="30.33203125" bestFit="1" customWidth="1"/>
    <col min="8274" max="8274" width="36.5546875" bestFit="1" customWidth="1"/>
    <col min="8275" max="8275" width="30.88671875" bestFit="1" customWidth="1"/>
    <col min="8276" max="8276" width="25.109375" bestFit="1" customWidth="1"/>
    <col min="8277" max="8277" width="31.21875" bestFit="1" customWidth="1"/>
    <col min="8278" max="8278" width="25.6640625" bestFit="1" customWidth="1"/>
    <col min="8279" max="8279" width="31.5546875" bestFit="1" customWidth="1"/>
    <col min="8280" max="8280" width="37.6640625" bestFit="1" customWidth="1"/>
    <col min="8281" max="8281" width="32.109375" bestFit="1" customWidth="1"/>
    <col min="8282" max="8282" width="22.77734375" bestFit="1" customWidth="1"/>
    <col min="8283" max="8283" width="28.88671875" bestFit="1" customWidth="1"/>
    <col min="8284" max="8284" width="23.33203125" bestFit="1" customWidth="1"/>
    <col min="8285" max="8285" width="25.44140625" bestFit="1" customWidth="1"/>
    <col min="8286" max="8286" width="31.6640625" bestFit="1" customWidth="1"/>
    <col min="8287" max="8287" width="26" bestFit="1" customWidth="1"/>
    <col min="8288" max="8288" width="27.77734375" bestFit="1" customWidth="1"/>
    <col min="8289" max="8289" width="33.88671875" bestFit="1" customWidth="1"/>
    <col min="8290" max="8290" width="28.33203125" bestFit="1" customWidth="1"/>
    <col min="8291" max="8291" width="30.33203125" bestFit="1" customWidth="1"/>
    <col min="8292" max="8292" width="36.5546875" bestFit="1" customWidth="1"/>
    <col min="8293" max="8293" width="30.88671875" bestFit="1" customWidth="1"/>
    <col min="8294" max="8294" width="25.109375" bestFit="1" customWidth="1"/>
    <col min="8295" max="8295" width="31.21875" bestFit="1" customWidth="1"/>
    <col min="8296" max="8296" width="25.6640625" bestFit="1" customWidth="1"/>
    <col min="8297" max="8297" width="31.5546875" bestFit="1" customWidth="1"/>
    <col min="8298" max="8298" width="37.6640625" bestFit="1" customWidth="1"/>
    <col min="8299" max="8299" width="32.109375" bestFit="1" customWidth="1"/>
    <col min="8300" max="8300" width="22.77734375" bestFit="1" customWidth="1"/>
    <col min="8301" max="8301" width="28.88671875" bestFit="1" customWidth="1"/>
    <col min="8302" max="8302" width="23.33203125" bestFit="1" customWidth="1"/>
    <col min="8303" max="8303" width="25.44140625" bestFit="1" customWidth="1"/>
    <col min="8304" max="8304" width="31.6640625" bestFit="1" customWidth="1"/>
    <col min="8305" max="8305" width="26" bestFit="1" customWidth="1"/>
    <col min="8306" max="8306" width="27.77734375" bestFit="1" customWidth="1"/>
    <col min="8307" max="8307" width="33.88671875" bestFit="1" customWidth="1"/>
    <col min="8308" max="8308" width="28.33203125" bestFit="1" customWidth="1"/>
    <col min="8309" max="8309" width="30.33203125" bestFit="1" customWidth="1"/>
    <col min="8310" max="8310" width="36.5546875" bestFit="1" customWidth="1"/>
    <col min="8311" max="8311" width="30.88671875" bestFit="1" customWidth="1"/>
    <col min="8312" max="8312" width="25.109375" bestFit="1" customWidth="1"/>
    <col min="8313" max="8313" width="31.21875" bestFit="1" customWidth="1"/>
    <col min="8314" max="8314" width="25.6640625" bestFit="1" customWidth="1"/>
    <col min="8315" max="8315" width="31.5546875" bestFit="1" customWidth="1"/>
    <col min="8316" max="8316" width="37.6640625" bestFit="1" customWidth="1"/>
    <col min="8317" max="8317" width="32.109375" bestFit="1" customWidth="1"/>
    <col min="8318" max="8318" width="22.77734375" bestFit="1" customWidth="1"/>
    <col min="8319" max="8319" width="28.88671875" bestFit="1" customWidth="1"/>
    <col min="8320" max="8320" width="23.33203125" bestFit="1" customWidth="1"/>
    <col min="8321" max="8321" width="25.44140625" bestFit="1" customWidth="1"/>
    <col min="8322" max="8322" width="31.6640625" bestFit="1" customWidth="1"/>
    <col min="8323" max="8323" width="26" bestFit="1" customWidth="1"/>
    <col min="8324" max="8324" width="27.77734375" bestFit="1" customWidth="1"/>
    <col min="8325" max="8325" width="33.88671875" bestFit="1" customWidth="1"/>
    <col min="8326" max="8326" width="28.33203125" bestFit="1" customWidth="1"/>
    <col min="8327" max="8327" width="30.33203125" bestFit="1" customWidth="1"/>
    <col min="8328" max="8328" width="36.5546875" bestFit="1" customWidth="1"/>
    <col min="8329" max="8329" width="30.88671875" bestFit="1" customWidth="1"/>
    <col min="8330" max="8330" width="25.109375" bestFit="1" customWidth="1"/>
    <col min="8331" max="8331" width="31.21875" bestFit="1" customWidth="1"/>
    <col min="8332" max="8332" width="25.6640625" bestFit="1" customWidth="1"/>
    <col min="8333" max="8333" width="31.5546875" bestFit="1" customWidth="1"/>
    <col min="8334" max="8334" width="37.6640625" bestFit="1" customWidth="1"/>
    <col min="8335" max="8335" width="32.109375" bestFit="1" customWidth="1"/>
    <col min="8336" max="8336" width="22.77734375" bestFit="1" customWidth="1"/>
    <col min="8337" max="8337" width="28.88671875" bestFit="1" customWidth="1"/>
    <col min="8338" max="8338" width="23.33203125" bestFit="1" customWidth="1"/>
    <col min="8339" max="8339" width="25.44140625" bestFit="1" customWidth="1"/>
    <col min="8340" max="8340" width="31.6640625" bestFit="1" customWidth="1"/>
    <col min="8341" max="8341" width="26" bestFit="1" customWidth="1"/>
    <col min="8342" max="8342" width="27.77734375" bestFit="1" customWidth="1"/>
    <col min="8343" max="8343" width="33.88671875" bestFit="1" customWidth="1"/>
    <col min="8344" max="8344" width="28.33203125" bestFit="1" customWidth="1"/>
    <col min="8345" max="8345" width="30.33203125" bestFit="1" customWidth="1"/>
    <col min="8346" max="8346" width="36.5546875" bestFit="1" customWidth="1"/>
    <col min="8347" max="8347" width="30.88671875" bestFit="1" customWidth="1"/>
    <col min="8348" max="8348" width="25.109375" bestFit="1" customWidth="1"/>
    <col min="8349" max="8349" width="31.21875" bestFit="1" customWidth="1"/>
    <col min="8350" max="8350" width="25.6640625" bestFit="1" customWidth="1"/>
    <col min="8351" max="8351" width="31.5546875" bestFit="1" customWidth="1"/>
    <col min="8352" max="8352" width="37.6640625" bestFit="1" customWidth="1"/>
    <col min="8353" max="8353" width="32.109375" bestFit="1" customWidth="1"/>
    <col min="8354" max="8354" width="22.77734375" bestFit="1" customWidth="1"/>
    <col min="8355" max="8355" width="28.88671875" bestFit="1" customWidth="1"/>
    <col min="8356" max="8356" width="23.33203125" bestFit="1" customWidth="1"/>
    <col min="8357" max="8357" width="25.44140625" bestFit="1" customWidth="1"/>
    <col min="8358" max="8358" width="31.6640625" bestFit="1" customWidth="1"/>
    <col min="8359" max="8359" width="26" bestFit="1" customWidth="1"/>
    <col min="8360" max="8360" width="27.77734375" bestFit="1" customWidth="1"/>
    <col min="8361" max="8361" width="33.88671875" bestFit="1" customWidth="1"/>
    <col min="8362" max="8362" width="28.33203125" bestFit="1" customWidth="1"/>
    <col min="8363" max="8363" width="30.33203125" bestFit="1" customWidth="1"/>
    <col min="8364" max="8364" width="36.5546875" bestFit="1" customWidth="1"/>
    <col min="8365" max="8365" width="30.88671875" bestFit="1" customWidth="1"/>
    <col min="8366" max="8366" width="25.109375" bestFit="1" customWidth="1"/>
    <col min="8367" max="8367" width="31.21875" bestFit="1" customWidth="1"/>
    <col min="8368" max="8368" width="25.6640625" bestFit="1" customWidth="1"/>
    <col min="8369" max="8369" width="31.5546875" bestFit="1" customWidth="1"/>
    <col min="8370" max="8370" width="37.6640625" bestFit="1" customWidth="1"/>
    <col min="8371" max="8371" width="32.109375" bestFit="1" customWidth="1"/>
    <col min="8372" max="8372" width="22.77734375" bestFit="1" customWidth="1"/>
    <col min="8373" max="8373" width="28.88671875" bestFit="1" customWidth="1"/>
    <col min="8374" max="8374" width="23.33203125" bestFit="1" customWidth="1"/>
    <col min="8375" max="8375" width="25.44140625" bestFit="1" customWidth="1"/>
    <col min="8376" max="8376" width="31.6640625" bestFit="1" customWidth="1"/>
    <col min="8377" max="8377" width="26" bestFit="1" customWidth="1"/>
    <col min="8378" max="8378" width="27.77734375" bestFit="1" customWidth="1"/>
    <col min="8379" max="8379" width="33.88671875" bestFit="1" customWidth="1"/>
    <col min="8380" max="8380" width="28.33203125" bestFit="1" customWidth="1"/>
    <col min="8381" max="8381" width="30.33203125" bestFit="1" customWidth="1"/>
    <col min="8382" max="8382" width="36.5546875" bestFit="1" customWidth="1"/>
    <col min="8383" max="8383" width="30.88671875" bestFit="1" customWidth="1"/>
    <col min="8384" max="8384" width="25.109375" bestFit="1" customWidth="1"/>
    <col min="8385" max="8385" width="31.21875" bestFit="1" customWidth="1"/>
    <col min="8386" max="8386" width="25.6640625" bestFit="1" customWidth="1"/>
    <col min="8387" max="8387" width="31.5546875" bestFit="1" customWidth="1"/>
    <col min="8388" max="8388" width="37.6640625" bestFit="1" customWidth="1"/>
    <col min="8389" max="8389" width="32.109375" bestFit="1" customWidth="1"/>
    <col min="8390" max="8390" width="22.77734375" bestFit="1" customWidth="1"/>
    <col min="8391" max="8391" width="28.88671875" bestFit="1" customWidth="1"/>
    <col min="8392" max="8392" width="23.33203125" bestFit="1" customWidth="1"/>
    <col min="8393" max="8393" width="25.44140625" bestFit="1" customWidth="1"/>
    <col min="8394" max="8394" width="31.6640625" bestFit="1" customWidth="1"/>
    <col min="8395" max="8395" width="26" bestFit="1" customWidth="1"/>
    <col min="8396" max="8396" width="27.77734375" bestFit="1" customWidth="1"/>
    <col min="8397" max="8397" width="33.88671875" bestFit="1" customWidth="1"/>
    <col min="8398" max="8398" width="28.33203125" bestFit="1" customWidth="1"/>
    <col min="8399" max="8399" width="30.33203125" bestFit="1" customWidth="1"/>
    <col min="8400" max="8400" width="36.5546875" bestFit="1" customWidth="1"/>
    <col min="8401" max="8401" width="30.88671875" bestFit="1" customWidth="1"/>
    <col min="8402" max="8402" width="25.109375" bestFit="1" customWidth="1"/>
    <col min="8403" max="8403" width="31.21875" bestFit="1" customWidth="1"/>
    <col min="8404" max="8404" width="25.6640625" bestFit="1" customWidth="1"/>
    <col min="8405" max="8405" width="31.5546875" bestFit="1" customWidth="1"/>
    <col min="8406" max="8406" width="37.6640625" bestFit="1" customWidth="1"/>
    <col min="8407" max="8407" width="32.109375" bestFit="1" customWidth="1"/>
    <col min="8408" max="8408" width="22.77734375" bestFit="1" customWidth="1"/>
    <col min="8409" max="8409" width="28.88671875" bestFit="1" customWidth="1"/>
    <col min="8410" max="8410" width="23.33203125" bestFit="1" customWidth="1"/>
    <col min="8411" max="8411" width="25.44140625" bestFit="1" customWidth="1"/>
    <col min="8412" max="8412" width="31.6640625" bestFit="1" customWidth="1"/>
    <col min="8413" max="8413" width="26" bestFit="1" customWidth="1"/>
    <col min="8414" max="8414" width="27.77734375" bestFit="1" customWidth="1"/>
    <col min="8415" max="8415" width="33.88671875" bestFit="1" customWidth="1"/>
    <col min="8416" max="8416" width="28.33203125" bestFit="1" customWidth="1"/>
    <col min="8417" max="8417" width="30.33203125" bestFit="1" customWidth="1"/>
    <col min="8418" max="8418" width="36.5546875" bestFit="1" customWidth="1"/>
    <col min="8419" max="8419" width="30.88671875" bestFit="1" customWidth="1"/>
    <col min="8420" max="8420" width="25.109375" bestFit="1" customWidth="1"/>
    <col min="8421" max="8421" width="31.21875" bestFit="1" customWidth="1"/>
    <col min="8422" max="8422" width="25.6640625" bestFit="1" customWidth="1"/>
    <col min="8423" max="8423" width="31.5546875" bestFit="1" customWidth="1"/>
    <col min="8424" max="8424" width="37.6640625" bestFit="1" customWidth="1"/>
    <col min="8425" max="8425" width="32.109375" bestFit="1" customWidth="1"/>
    <col min="8426" max="8426" width="22.77734375" bestFit="1" customWidth="1"/>
    <col min="8427" max="8427" width="28.88671875" bestFit="1" customWidth="1"/>
    <col min="8428" max="8428" width="23.33203125" bestFit="1" customWidth="1"/>
    <col min="8429" max="8429" width="25.44140625" bestFit="1" customWidth="1"/>
    <col min="8430" max="8430" width="31.6640625" bestFit="1" customWidth="1"/>
    <col min="8431" max="8431" width="26" bestFit="1" customWidth="1"/>
    <col min="8432" max="8432" width="26.77734375" bestFit="1" customWidth="1"/>
    <col min="8433" max="8433" width="32.88671875" bestFit="1" customWidth="1"/>
    <col min="8434" max="8434" width="27.33203125" bestFit="1" customWidth="1"/>
    <col min="8435" max="8435" width="30.33203125" bestFit="1" customWidth="1"/>
    <col min="8436" max="8436" width="36.5546875" bestFit="1" customWidth="1"/>
    <col min="8437" max="8437" width="30.88671875" bestFit="1" customWidth="1"/>
    <col min="8438" max="8438" width="25.109375" bestFit="1" customWidth="1"/>
    <col min="8439" max="8439" width="31.21875" bestFit="1" customWidth="1"/>
    <col min="8440" max="8440" width="25.6640625" bestFit="1" customWidth="1"/>
    <col min="8441" max="8441" width="31.5546875" bestFit="1" customWidth="1"/>
    <col min="8442" max="8442" width="37.6640625" bestFit="1" customWidth="1"/>
    <col min="8443" max="8443" width="32.109375" bestFit="1" customWidth="1"/>
    <col min="8444" max="8444" width="22.77734375" bestFit="1" customWidth="1"/>
    <col min="8445" max="8445" width="28.88671875" bestFit="1" customWidth="1"/>
    <col min="8446" max="8446" width="23.33203125" bestFit="1" customWidth="1"/>
    <col min="8447" max="8447" width="25.44140625" bestFit="1" customWidth="1"/>
    <col min="8448" max="8448" width="31.6640625" bestFit="1" customWidth="1"/>
    <col min="8449" max="8449" width="26" bestFit="1" customWidth="1"/>
    <col min="8450" max="8450" width="27.77734375" bestFit="1" customWidth="1"/>
    <col min="8451" max="8451" width="33.88671875" bestFit="1" customWidth="1"/>
    <col min="8452" max="8452" width="28.33203125" bestFit="1" customWidth="1"/>
    <col min="8453" max="8453" width="30.33203125" bestFit="1" customWidth="1"/>
    <col min="8454" max="8454" width="36.5546875" bestFit="1" customWidth="1"/>
    <col min="8455" max="8455" width="30.88671875" bestFit="1" customWidth="1"/>
    <col min="8456" max="8456" width="25.109375" bestFit="1" customWidth="1"/>
    <col min="8457" max="8457" width="31.21875" bestFit="1" customWidth="1"/>
    <col min="8458" max="8458" width="25.6640625" bestFit="1" customWidth="1"/>
    <col min="8459" max="8459" width="31.5546875" bestFit="1" customWidth="1"/>
    <col min="8460" max="8460" width="37.6640625" bestFit="1" customWidth="1"/>
    <col min="8461" max="8461" width="32.109375" bestFit="1" customWidth="1"/>
    <col min="8462" max="8462" width="22.77734375" bestFit="1" customWidth="1"/>
    <col min="8463" max="8463" width="28.88671875" bestFit="1" customWidth="1"/>
    <col min="8464" max="8464" width="23.33203125" bestFit="1" customWidth="1"/>
    <col min="8465" max="8465" width="25.44140625" bestFit="1" customWidth="1"/>
    <col min="8466" max="8466" width="31.6640625" bestFit="1" customWidth="1"/>
    <col min="8467" max="8467" width="26" bestFit="1" customWidth="1"/>
    <col min="8468" max="8468" width="27.77734375" bestFit="1" customWidth="1"/>
    <col min="8469" max="8469" width="33.88671875" bestFit="1" customWidth="1"/>
    <col min="8470" max="8470" width="28.33203125" bestFit="1" customWidth="1"/>
    <col min="8471" max="8471" width="30.33203125" bestFit="1" customWidth="1"/>
    <col min="8472" max="8472" width="36.5546875" bestFit="1" customWidth="1"/>
    <col min="8473" max="8473" width="30.88671875" bestFit="1" customWidth="1"/>
    <col min="8474" max="8474" width="25.109375" bestFit="1" customWidth="1"/>
    <col min="8475" max="8475" width="31.21875" bestFit="1" customWidth="1"/>
    <col min="8476" max="8476" width="25.6640625" bestFit="1" customWidth="1"/>
    <col min="8477" max="8477" width="31.5546875" bestFit="1" customWidth="1"/>
    <col min="8478" max="8478" width="37.6640625" bestFit="1" customWidth="1"/>
    <col min="8479" max="8479" width="32.109375" bestFit="1" customWidth="1"/>
    <col min="8480" max="8480" width="22.77734375" bestFit="1" customWidth="1"/>
    <col min="8481" max="8481" width="28.88671875" bestFit="1" customWidth="1"/>
    <col min="8482" max="8482" width="23.33203125" bestFit="1" customWidth="1"/>
    <col min="8483" max="8483" width="25.44140625" bestFit="1" customWidth="1"/>
    <col min="8484" max="8484" width="31.6640625" bestFit="1" customWidth="1"/>
    <col min="8485" max="8485" width="26" bestFit="1" customWidth="1"/>
    <col min="8486" max="8486" width="27.77734375" bestFit="1" customWidth="1"/>
    <col min="8487" max="8487" width="33.88671875" bestFit="1" customWidth="1"/>
    <col min="8488" max="8488" width="28.33203125" bestFit="1" customWidth="1"/>
    <col min="8489" max="8489" width="30.33203125" bestFit="1" customWidth="1"/>
    <col min="8490" max="8490" width="36.5546875" bestFit="1" customWidth="1"/>
    <col min="8491" max="8491" width="30.88671875" bestFit="1" customWidth="1"/>
    <col min="8492" max="8492" width="25.109375" bestFit="1" customWidth="1"/>
    <col min="8493" max="8493" width="31.21875" bestFit="1" customWidth="1"/>
    <col min="8494" max="8494" width="25.6640625" bestFit="1" customWidth="1"/>
    <col min="8495" max="8495" width="31.5546875" bestFit="1" customWidth="1"/>
    <col min="8496" max="8496" width="37.6640625" bestFit="1" customWidth="1"/>
    <col min="8497" max="8497" width="32.109375" bestFit="1" customWidth="1"/>
    <col min="8498" max="8498" width="22.77734375" bestFit="1" customWidth="1"/>
    <col min="8499" max="8499" width="28.88671875" bestFit="1" customWidth="1"/>
    <col min="8500" max="8500" width="23.33203125" bestFit="1" customWidth="1"/>
    <col min="8501" max="8501" width="25.44140625" bestFit="1" customWidth="1"/>
    <col min="8502" max="8502" width="31.6640625" bestFit="1" customWidth="1"/>
    <col min="8503" max="8503" width="26" bestFit="1" customWidth="1"/>
    <col min="8504" max="8504" width="27.77734375" bestFit="1" customWidth="1"/>
    <col min="8505" max="8505" width="33.88671875" bestFit="1" customWidth="1"/>
    <col min="8506" max="8506" width="28.33203125" bestFit="1" customWidth="1"/>
    <col min="8507" max="8507" width="30.33203125" bestFit="1" customWidth="1"/>
    <col min="8508" max="8508" width="36.5546875" bestFit="1" customWidth="1"/>
    <col min="8509" max="8509" width="30.88671875" bestFit="1" customWidth="1"/>
    <col min="8510" max="8510" width="25.109375" bestFit="1" customWidth="1"/>
    <col min="8511" max="8511" width="31.21875" bestFit="1" customWidth="1"/>
    <col min="8512" max="8512" width="25.6640625" bestFit="1" customWidth="1"/>
    <col min="8513" max="8513" width="31.5546875" bestFit="1" customWidth="1"/>
    <col min="8514" max="8514" width="37.6640625" bestFit="1" customWidth="1"/>
    <col min="8515" max="8515" width="32.109375" bestFit="1" customWidth="1"/>
    <col min="8516" max="8516" width="22.77734375" bestFit="1" customWidth="1"/>
    <col min="8517" max="8517" width="28.88671875" bestFit="1" customWidth="1"/>
    <col min="8518" max="8518" width="23.33203125" bestFit="1" customWidth="1"/>
    <col min="8519" max="8519" width="25.44140625" bestFit="1" customWidth="1"/>
    <col min="8520" max="8520" width="31.6640625" bestFit="1" customWidth="1"/>
    <col min="8521" max="8521" width="26" bestFit="1" customWidth="1"/>
    <col min="8522" max="8522" width="27.77734375" bestFit="1" customWidth="1"/>
    <col min="8523" max="8523" width="33.88671875" bestFit="1" customWidth="1"/>
    <col min="8524" max="8524" width="28.33203125" bestFit="1" customWidth="1"/>
    <col min="8525" max="8525" width="30.33203125" bestFit="1" customWidth="1"/>
    <col min="8526" max="8526" width="36.5546875" bestFit="1" customWidth="1"/>
    <col min="8527" max="8527" width="30.88671875" bestFit="1" customWidth="1"/>
    <col min="8528" max="8528" width="25.109375" bestFit="1" customWidth="1"/>
    <col min="8529" max="8529" width="31.21875" bestFit="1" customWidth="1"/>
    <col min="8530" max="8530" width="25.6640625" bestFit="1" customWidth="1"/>
    <col min="8531" max="8531" width="31.5546875" bestFit="1" customWidth="1"/>
    <col min="8532" max="8532" width="37.6640625" bestFit="1" customWidth="1"/>
    <col min="8533" max="8533" width="32.109375" bestFit="1" customWidth="1"/>
    <col min="8534" max="8534" width="22.77734375" bestFit="1" customWidth="1"/>
    <col min="8535" max="8535" width="28.88671875" bestFit="1" customWidth="1"/>
    <col min="8536" max="8536" width="23.33203125" bestFit="1" customWidth="1"/>
    <col min="8537" max="8537" width="25.44140625" bestFit="1" customWidth="1"/>
    <col min="8538" max="8538" width="31.6640625" bestFit="1" customWidth="1"/>
    <col min="8539" max="8539" width="26" bestFit="1" customWidth="1"/>
    <col min="8540" max="8540" width="27.77734375" bestFit="1" customWidth="1"/>
    <col min="8541" max="8541" width="33.88671875" bestFit="1" customWidth="1"/>
    <col min="8542" max="8542" width="28.33203125" bestFit="1" customWidth="1"/>
    <col min="8543" max="8543" width="30.33203125" bestFit="1" customWidth="1"/>
    <col min="8544" max="8544" width="36.5546875" bestFit="1" customWidth="1"/>
    <col min="8545" max="8545" width="30.88671875" bestFit="1" customWidth="1"/>
    <col min="8546" max="8546" width="25.109375" bestFit="1" customWidth="1"/>
    <col min="8547" max="8547" width="31.21875" bestFit="1" customWidth="1"/>
    <col min="8548" max="8548" width="25.6640625" bestFit="1" customWidth="1"/>
    <col min="8549" max="8549" width="31.5546875" bestFit="1" customWidth="1"/>
    <col min="8550" max="8550" width="37.6640625" bestFit="1" customWidth="1"/>
    <col min="8551" max="8551" width="32.109375" bestFit="1" customWidth="1"/>
    <col min="8552" max="8552" width="22.77734375" bestFit="1" customWidth="1"/>
    <col min="8553" max="8553" width="28.88671875" bestFit="1" customWidth="1"/>
    <col min="8554" max="8554" width="23.33203125" bestFit="1" customWidth="1"/>
    <col min="8555" max="8555" width="25.44140625" bestFit="1" customWidth="1"/>
    <col min="8556" max="8556" width="31.6640625" bestFit="1" customWidth="1"/>
    <col min="8557" max="8557" width="26" bestFit="1" customWidth="1"/>
    <col min="8558" max="8558" width="27.77734375" bestFit="1" customWidth="1"/>
    <col min="8559" max="8559" width="33.88671875" bestFit="1" customWidth="1"/>
    <col min="8560" max="8560" width="28.33203125" bestFit="1" customWidth="1"/>
    <col min="8561" max="8561" width="30.33203125" bestFit="1" customWidth="1"/>
    <col min="8562" max="8562" width="36.5546875" bestFit="1" customWidth="1"/>
    <col min="8563" max="8563" width="30.88671875" bestFit="1" customWidth="1"/>
    <col min="8564" max="8564" width="25.109375" bestFit="1" customWidth="1"/>
    <col min="8565" max="8565" width="31.21875" bestFit="1" customWidth="1"/>
    <col min="8566" max="8566" width="25.6640625" bestFit="1" customWidth="1"/>
    <col min="8567" max="8567" width="31.5546875" bestFit="1" customWidth="1"/>
    <col min="8568" max="8568" width="37.6640625" bestFit="1" customWidth="1"/>
    <col min="8569" max="8569" width="32.109375" bestFit="1" customWidth="1"/>
    <col min="8570" max="8570" width="22.77734375" bestFit="1" customWidth="1"/>
    <col min="8571" max="8571" width="28.88671875" bestFit="1" customWidth="1"/>
    <col min="8572" max="8572" width="23.33203125" bestFit="1" customWidth="1"/>
    <col min="8573" max="8573" width="25.44140625" bestFit="1" customWidth="1"/>
    <col min="8574" max="8574" width="31.6640625" bestFit="1" customWidth="1"/>
    <col min="8575" max="8575" width="26" bestFit="1" customWidth="1"/>
    <col min="8576" max="8576" width="27.77734375" bestFit="1" customWidth="1"/>
    <col min="8577" max="8577" width="33.88671875" bestFit="1" customWidth="1"/>
    <col min="8578" max="8578" width="28.33203125" bestFit="1" customWidth="1"/>
    <col min="8579" max="8579" width="30.33203125" bestFit="1" customWidth="1"/>
    <col min="8580" max="8580" width="36.5546875" bestFit="1" customWidth="1"/>
    <col min="8581" max="8581" width="30.88671875" bestFit="1" customWidth="1"/>
    <col min="8582" max="8582" width="25.109375" bestFit="1" customWidth="1"/>
    <col min="8583" max="8583" width="31.21875" bestFit="1" customWidth="1"/>
    <col min="8584" max="8584" width="25.6640625" bestFit="1" customWidth="1"/>
    <col min="8585" max="8585" width="31.5546875" bestFit="1" customWidth="1"/>
    <col min="8586" max="8586" width="37.6640625" bestFit="1" customWidth="1"/>
    <col min="8587" max="8587" width="32.109375" bestFit="1" customWidth="1"/>
    <col min="8588" max="8588" width="22.77734375" bestFit="1" customWidth="1"/>
    <col min="8589" max="8589" width="28.88671875" bestFit="1" customWidth="1"/>
    <col min="8590" max="8590" width="23.33203125" bestFit="1" customWidth="1"/>
    <col min="8591" max="8591" width="25.44140625" bestFit="1" customWidth="1"/>
    <col min="8592" max="8592" width="31.6640625" bestFit="1" customWidth="1"/>
    <col min="8593" max="8593" width="26" bestFit="1" customWidth="1"/>
    <col min="8594" max="8594" width="27.77734375" bestFit="1" customWidth="1"/>
    <col min="8595" max="8595" width="33.88671875" bestFit="1" customWidth="1"/>
    <col min="8596" max="8596" width="28.33203125" bestFit="1" customWidth="1"/>
    <col min="8597" max="8597" width="30.33203125" bestFit="1" customWidth="1"/>
    <col min="8598" max="8598" width="36.5546875" bestFit="1" customWidth="1"/>
    <col min="8599" max="8599" width="30.88671875" bestFit="1" customWidth="1"/>
    <col min="8600" max="8600" width="25.109375" bestFit="1" customWidth="1"/>
    <col min="8601" max="8601" width="31.21875" bestFit="1" customWidth="1"/>
    <col min="8602" max="8602" width="25.6640625" bestFit="1" customWidth="1"/>
    <col min="8603" max="8603" width="31.5546875" bestFit="1" customWidth="1"/>
    <col min="8604" max="8604" width="37.6640625" bestFit="1" customWidth="1"/>
    <col min="8605" max="8605" width="32.109375" bestFit="1" customWidth="1"/>
    <col min="8606" max="8606" width="22.77734375" bestFit="1" customWidth="1"/>
    <col min="8607" max="8607" width="28.88671875" bestFit="1" customWidth="1"/>
    <col min="8608" max="8608" width="23.33203125" bestFit="1" customWidth="1"/>
    <col min="8609" max="8609" width="25.44140625" bestFit="1" customWidth="1"/>
    <col min="8610" max="8610" width="31.6640625" bestFit="1" customWidth="1"/>
    <col min="8611" max="8611" width="26" bestFit="1" customWidth="1"/>
    <col min="8612" max="8612" width="27.77734375" bestFit="1" customWidth="1"/>
    <col min="8613" max="8613" width="33.88671875" bestFit="1" customWidth="1"/>
    <col min="8614" max="8614" width="28.33203125" bestFit="1" customWidth="1"/>
    <col min="8615" max="8615" width="30.33203125" bestFit="1" customWidth="1"/>
    <col min="8616" max="8616" width="36.5546875" bestFit="1" customWidth="1"/>
    <col min="8617" max="8617" width="30.88671875" bestFit="1" customWidth="1"/>
    <col min="8618" max="8618" width="25.109375" bestFit="1" customWidth="1"/>
    <col min="8619" max="8619" width="31.21875" bestFit="1" customWidth="1"/>
    <col min="8620" max="8620" width="25.6640625" bestFit="1" customWidth="1"/>
    <col min="8621" max="8621" width="31.5546875" bestFit="1" customWidth="1"/>
    <col min="8622" max="8622" width="37.6640625" bestFit="1" customWidth="1"/>
    <col min="8623" max="8623" width="32.109375" bestFit="1" customWidth="1"/>
    <col min="8624" max="8624" width="22.77734375" bestFit="1" customWidth="1"/>
    <col min="8625" max="8625" width="28.88671875" bestFit="1" customWidth="1"/>
    <col min="8626" max="8626" width="23.33203125" bestFit="1" customWidth="1"/>
    <col min="8627" max="8627" width="25.44140625" bestFit="1" customWidth="1"/>
    <col min="8628" max="8628" width="31.6640625" bestFit="1" customWidth="1"/>
    <col min="8629" max="8629" width="26" bestFit="1" customWidth="1"/>
    <col min="8630" max="8630" width="26.77734375" bestFit="1" customWidth="1"/>
    <col min="8631" max="8631" width="32.88671875" bestFit="1" customWidth="1"/>
    <col min="8632" max="8632" width="27.33203125" bestFit="1" customWidth="1"/>
    <col min="8633" max="8633" width="30.33203125" bestFit="1" customWidth="1"/>
    <col min="8634" max="8634" width="36.5546875" bestFit="1" customWidth="1"/>
    <col min="8635" max="8635" width="30.88671875" bestFit="1" customWidth="1"/>
    <col min="8636" max="8636" width="25.109375" bestFit="1" customWidth="1"/>
    <col min="8637" max="8637" width="31.21875" bestFit="1" customWidth="1"/>
    <col min="8638" max="8638" width="25.6640625" bestFit="1" customWidth="1"/>
    <col min="8639" max="8639" width="31.5546875" bestFit="1" customWidth="1"/>
    <col min="8640" max="8640" width="37.6640625" bestFit="1" customWidth="1"/>
    <col min="8641" max="8641" width="32.109375" bestFit="1" customWidth="1"/>
    <col min="8642" max="8642" width="22.77734375" bestFit="1" customWidth="1"/>
    <col min="8643" max="8643" width="28.88671875" bestFit="1" customWidth="1"/>
    <col min="8644" max="8644" width="23.33203125" bestFit="1" customWidth="1"/>
    <col min="8645" max="8645" width="25.44140625" bestFit="1" customWidth="1"/>
    <col min="8646" max="8646" width="31.6640625" bestFit="1" customWidth="1"/>
    <col min="8647" max="8647" width="26" bestFit="1" customWidth="1"/>
    <col min="8648" max="8648" width="27.77734375" bestFit="1" customWidth="1"/>
    <col min="8649" max="8649" width="33.88671875" bestFit="1" customWidth="1"/>
    <col min="8650" max="8650" width="28.33203125" bestFit="1" customWidth="1"/>
    <col min="8651" max="8651" width="30.33203125" bestFit="1" customWidth="1"/>
    <col min="8652" max="8652" width="36.5546875" bestFit="1" customWidth="1"/>
    <col min="8653" max="8653" width="30.88671875" bestFit="1" customWidth="1"/>
    <col min="8654" max="8654" width="25.109375" bestFit="1" customWidth="1"/>
    <col min="8655" max="8655" width="31.21875" bestFit="1" customWidth="1"/>
    <col min="8656" max="8656" width="25.6640625" bestFit="1" customWidth="1"/>
    <col min="8657" max="8657" width="31.5546875" bestFit="1" customWidth="1"/>
    <col min="8658" max="8658" width="37.6640625" bestFit="1" customWidth="1"/>
    <col min="8659" max="8659" width="32.109375" bestFit="1" customWidth="1"/>
    <col min="8660" max="8660" width="22.77734375" bestFit="1" customWidth="1"/>
    <col min="8661" max="8661" width="28.88671875" bestFit="1" customWidth="1"/>
    <col min="8662" max="8662" width="23.33203125" bestFit="1" customWidth="1"/>
    <col min="8663" max="8663" width="25.44140625" bestFit="1" customWidth="1"/>
    <col min="8664" max="8664" width="31.6640625" bestFit="1" customWidth="1"/>
    <col min="8665" max="8665" width="26" bestFit="1" customWidth="1"/>
    <col min="8666" max="8666" width="27.77734375" bestFit="1" customWidth="1"/>
    <col min="8667" max="8667" width="33.88671875" bestFit="1" customWidth="1"/>
    <col min="8668" max="8668" width="28.33203125" bestFit="1" customWidth="1"/>
    <col min="8669" max="8669" width="30.33203125" bestFit="1" customWidth="1"/>
    <col min="8670" max="8670" width="36.5546875" bestFit="1" customWidth="1"/>
    <col min="8671" max="8671" width="30.88671875" bestFit="1" customWidth="1"/>
    <col min="8672" max="8672" width="25.109375" bestFit="1" customWidth="1"/>
    <col min="8673" max="8673" width="31.21875" bestFit="1" customWidth="1"/>
    <col min="8674" max="8674" width="25.6640625" bestFit="1" customWidth="1"/>
    <col min="8675" max="8675" width="31.5546875" bestFit="1" customWidth="1"/>
    <col min="8676" max="8676" width="37.6640625" bestFit="1" customWidth="1"/>
    <col min="8677" max="8677" width="32.109375" bestFit="1" customWidth="1"/>
    <col min="8678" max="8678" width="22.77734375" bestFit="1" customWidth="1"/>
    <col min="8679" max="8679" width="28.88671875" bestFit="1" customWidth="1"/>
    <col min="8680" max="8680" width="23.33203125" bestFit="1" customWidth="1"/>
    <col min="8681" max="8681" width="25.44140625" bestFit="1" customWidth="1"/>
    <col min="8682" max="8682" width="31.6640625" bestFit="1" customWidth="1"/>
    <col min="8683" max="8683" width="26" bestFit="1" customWidth="1"/>
    <col min="8684" max="8684" width="27.77734375" bestFit="1" customWidth="1"/>
    <col min="8685" max="8685" width="33.88671875" bestFit="1" customWidth="1"/>
    <col min="8686" max="8686" width="28.33203125" bestFit="1" customWidth="1"/>
    <col min="8687" max="8687" width="30.33203125" bestFit="1" customWidth="1"/>
    <col min="8688" max="8688" width="36.5546875" bestFit="1" customWidth="1"/>
    <col min="8689" max="8689" width="30.88671875" bestFit="1" customWidth="1"/>
    <col min="8690" max="8690" width="25.109375" bestFit="1" customWidth="1"/>
    <col min="8691" max="8691" width="31.21875" bestFit="1" customWidth="1"/>
    <col min="8692" max="8692" width="25.6640625" bestFit="1" customWidth="1"/>
    <col min="8693" max="8693" width="31.5546875" bestFit="1" customWidth="1"/>
    <col min="8694" max="8694" width="37.6640625" bestFit="1" customWidth="1"/>
    <col min="8695" max="8695" width="32.109375" bestFit="1" customWidth="1"/>
    <col min="8696" max="8696" width="22.77734375" bestFit="1" customWidth="1"/>
    <col min="8697" max="8697" width="28.88671875" bestFit="1" customWidth="1"/>
    <col min="8698" max="8698" width="23.33203125" bestFit="1" customWidth="1"/>
    <col min="8699" max="8699" width="25.44140625" bestFit="1" customWidth="1"/>
    <col min="8700" max="8700" width="31.6640625" bestFit="1" customWidth="1"/>
    <col min="8701" max="8701" width="26" bestFit="1" customWidth="1"/>
    <col min="8702" max="8702" width="27.77734375" bestFit="1" customWidth="1"/>
    <col min="8703" max="8703" width="33.88671875" bestFit="1" customWidth="1"/>
    <col min="8704" max="8704" width="28.33203125" bestFit="1" customWidth="1"/>
    <col min="8705" max="8705" width="30.33203125" bestFit="1" customWidth="1"/>
    <col min="8706" max="8706" width="36.5546875" bestFit="1" customWidth="1"/>
    <col min="8707" max="8707" width="30.88671875" bestFit="1" customWidth="1"/>
    <col min="8708" max="8708" width="25.109375" bestFit="1" customWidth="1"/>
    <col min="8709" max="8709" width="31.21875" bestFit="1" customWidth="1"/>
    <col min="8710" max="8710" width="25.6640625" bestFit="1" customWidth="1"/>
    <col min="8711" max="8711" width="31.5546875" bestFit="1" customWidth="1"/>
    <col min="8712" max="8712" width="37.6640625" bestFit="1" customWidth="1"/>
    <col min="8713" max="8713" width="32.109375" bestFit="1" customWidth="1"/>
    <col min="8714" max="8714" width="22.77734375" bestFit="1" customWidth="1"/>
    <col min="8715" max="8715" width="28.88671875" bestFit="1" customWidth="1"/>
    <col min="8716" max="8716" width="23.33203125" bestFit="1" customWidth="1"/>
    <col min="8717" max="8717" width="25.44140625" bestFit="1" customWidth="1"/>
    <col min="8718" max="8718" width="31.6640625" bestFit="1" customWidth="1"/>
    <col min="8719" max="8719" width="26" bestFit="1" customWidth="1"/>
    <col min="8720" max="8720" width="27.77734375" bestFit="1" customWidth="1"/>
    <col min="8721" max="8721" width="33.88671875" bestFit="1" customWidth="1"/>
    <col min="8722" max="8722" width="28.33203125" bestFit="1" customWidth="1"/>
    <col min="8723" max="8723" width="30.33203125" bestFit="1" customWidth="1"/>
    <col min="8724" max="8724" width="36.5546875" bestFit="1" customWidth="1"/>
    <col min="8725" max="8725" width="30.88671875" bestFit="1" customWidth="1"/>
    <col min="8726" max="8726" width="25.109375" bestFit="1" customWidth="1"/>
    <col min="8727" max="8727" width="31.21875" bestFit="1" customWidth="1"/>
    <col min="8728" max="8728" width="25.6640625" bestFit="1" customWidth="1"/>
    <col min="8729" max="8729" width="31.5546875" bestFit="1" customWidth="1"/>
    <col min="8730" max="8730" width="37.6640625" bestFit="1" customWidth="1"/>
    <col min="8731" max="8731" width="32.109375" bestFit="1" customWidth="1"/>
    <col min="8732" max="8732" width="22.77734375" bestFit="1" customWidth="1"/>
    <col min="8733" max="8733" width="28.88671875" bestFit="1" customWidth="1"/>
    <col min="8734" max="8734" width="23.33203125" bestFit="1" customWidth="1"/>
    <col min="8735" max="8735" width="25.44140625" bestFit="1" customWidth="1"/>
    <col min="8736" max="8736" width="31.6640625" bestFit="1" customWidth="1"/>
    <col min="8737" max="8737" width="26" bestFit="1" customWidth="1"/>
    <col min="8738" max="8738" width="27.77734375" bestFit="1" customWidth="1"/>
    <col min="8739" max="8739" width="33.88671875" bestFit="1" customWidth="1"/>
    <col min="8740" max="8740" width="28.33203125" bestFit="1" customWidth="1"/>
    <col min="8741" max="8741" width="30.33203125" bestFit="1" customWidth="1"/>
    <col min="8742" max="8742" width="36.5546875" bestFit="1" customWidth="1"/>
    <col min="8743" max="8743" width="30.88671875" bestFit="1" customWidth="1"/>
    <col min="8744" max="8744" width="25.109375" bestFit="1" customWidth="1"/>
    <col min="8745" max="8745" width="31.21875" bestFit="1" customWidth="1"/>
    <col min="8746" max="8746" width="25.6640625" bestFit="1" customWidth="1"/>
    <col min="8747" max="8747" width="31.5546875" bestFit="1" customWidth="1"/>
    <col min="8748" max="8748" width="37.6640625" bestFit="1" customWidth="1"/>
    <col min="8749" max="8749" width="32.109375" bestFit="1" customWidth="1"/>
    <col min="8750" max="8750" width="22.77734375" bestFit="1" customWidth="1"/>
    <col min="8751" max="8751" width="28.88671875" bestFit="1" customWidth="1"/>
    <col min="8752" max="8752" width="23.33203125" bestFit="1" customWidth="1"/>
    <col min="8753" max="8753" width="25.44140625" bestFit="1" customWidth="1"/>
    <col min="8754" max="8754" width="31.6640625" bestFit="1" customWidth="1"/>
    <col min="8755" max="8755" width="26" bestFit="1" customWidth="1"/>
    <col min="8756" max="8756" width="27.77734375" bestFit="1" customWidth="1"/>
    <col min="8757" max="8757" width="33.88671875" bestFit="1" customWidth="1"/>
    <col min="8758" max="8758" width="28.33203125" bestFit="1" customWidth="1"/>
    <col min="8759" max="8759" width="30.33203125" bestFit="1" customWidth="1"/>
    <col min="8760" max="8760" width="36.5546875" bestFit="1" customWidth="1"/>
    <col min="8761" max="8761" width="30.88671875" bestFit="1" customWidth="1"/>
    <col min="8762" max="8762" width="25.109375" bestFit="1" customWidth="1"/>
    <col min="8763" max="8763" width="31.21875" bestFit="1" customWidth="1"/>
    <col min="8764" max="8764" width="25.6640625" bestFit="1" customWidth="1"/>
    <col min="8765" max="8765" width="31.5546875" bestFit="1" customWidth="1"/>
    <col min="8766" max="8766" width="37.6640625" bestFit="1" customWidth="1"/>
    <col min="8767" max="8767" width="32.109375" bestFit="1" customWidth="1"/>
    <col min="8768" max="8768" width="22.77734375" bestFit="1" customWidth="1"/>
    <col min="8769" max="8769" width="28.88671875" bestFit="1" customWidth="1"/>
    <col min="8770" max="8770" width="23.33203125" bestFit="1" customWidth="1"/>
    <col min="8771" max="8771" width="25.44140625" bestFit="1" customWidth="1"/>
    <col min="8772" max="8772" width="31.6640625" bestFit="1" customWidth="1"/>
    <col min="8773" max="8773" width="26" bestFit="1" customWidth="1"/>
    <col min="8774" max="8774" width="27.77734375" bestFit="1" customWidth="1"/>
    <col min="8775" max="8775" width="33.88671875" bestFit="1" customWidth="1"/>
    <col min="8776" max="8776" width="28.33203125" bestFit="1" customWidth="1"/>
    <col min="8777" max="8777" width="30.33203125" bestFit="1" customWidth="1"/>
    <col min="8778" max="8778" width="36.5546875" bestFit="1" customWidth="1"/>
    <col min="8779" max="8779" width="30.88671875" bestFit="1" customWidth="1"/>
    <col min="8780" max="8780" width="25.109375" bestFit="1" customWidth="1"/>
    <col min="8781" max="8781" width="31.21875" bestFit="1" customWidth="1"/>
    <col min="8782" max="8782" width="25.6640625" bestFit="1" customWidth="1"/>
    <col min="8783" max="8783" width="31.5546875" bestFit="1" customWidth="1"/>
    <col min="8784" max="8784" width="37.6640625" bestFit="1" customWidth="1"/>
    <col min="8785" max="8785" width="32.109375" bestFit="1" customWidth="1"/>
    <col min="8786" max="8786" width="22.77734375" bestFit="1" customWidth="1"/>
    <col min="8787" max="8787" width="28.88671875" bestFit="1" customWidth="1"/>
    <col min="8788" max="8788" width="23.33203125" bestFit="1" customWidth="1"/>
    <col min="8789" max="8789" width="25.44140625" bestFit="1" customWidth="1"/>
    <col min="8790" max="8790" width="31.6640625" bestFit="1" customWidth="1"/>
    <col min="8791" max="8791" width="26" bestFit="1" customWidth="1"/>
    <col min="8792" max="8792" width="27.77734375" bestFit="1" customWidth="1"/>
    <col min="8793" max="8793" width="33.88671875" bestFit="1" customWidth="1"/>
    <col min="8794" max="8794" width="28.33203125" bestFit="1" customWidth="1"/>
    <col min="8795" max="8795" width="30.33203125" bestFit="1" customWidth="1"/>
    <col min="8796" max="8796" width="36.5546875" bestFit="1" customWidth="1"/>
    <col min="8797" max="8797" width="30.88671875" bestFit="1" customWidth="1"/>
    <col min="8798" max="8798" width="25.109375" bestFit="1" customWidth="1"/>
    <col min="8799" max="8799" width="31.21875" bestFit="1" customWidth="1"/>
    <col min="8800" max="8800" width="25.6640625" bestFit="1" customWidth="1"/>
    <col min="8801" max="8801" width="31.5546875" bestFit="1" customWidth="1"/>
    <col min="8802" max="8802" width="37.6640625" bestFit="1" customWidth="1"/>
    <col min="8803" max="8803" width="32.109375" bestFit="1" customWidth="1"/>
    <col min="8804" max="8804" width="22.77734375" bestFit="1" customWidth="1"/>
    <col min="8805" max="8805" width="28.88671875" bestFit="1" customWidth="1"/>
    <col min="8806" max="8806" width="23.33203125" bestFit="1" customWidth="1"/>
    <col min="8807" max="8807" width="25.44140625" bestFit="1" customWidth="1"/>
    <col min="8808" max="8808" width="31.6640625" bestFit="1" customWidth="1"/>
    <col min="8809" max="8809" width="26" bestFit="1" customWidth="1"/>
    <col min="8810" max="8810" width="27.77734375" bestFit="1" customWidth="1"/>
    <col min="8811" max="8811" width="33.88671875" bestFit="1" customWidth="1"/>
    <col min="8812" max="8812" width="28.33203125" bestFit="1" customWidth="1"/>
    <col min="8813" max="8813" width="30.33203125" bestFit="1" customWidth="1"/>
    <col min="8814" max="8814" width="36.5546875" bestFit="1" customWidth="1"/>
    <col min="8815" max="8815" width="30.88671875" bestFit="1" customWidth="1"/>
    <col min="8816" max="8816" width="25.109375" bestFit="1" customWidth="1"/>
    <col min="8817" max="8817" width="31.21875" bestFit="1" customWidth="1"/>
    <col min="8818" max="8818" width="25.6640625" bestFit="1" customWidth="1"/>
    <col min="8819" max="8819" width="31.5546875" bestFit="1" customWidth="1"/>
    <col min="8820" max="8820" width="37.6640625" bestFit="1" customWidth="1"/>
    <col min="8821" max="8821" width="32.109375" bestFit="1" customWidth="1"/>
    <col min="8822" max="8822" width="22.77734375" bestFit="1" customWidth="1"/>
    <col min="8823" max="8823" width="28.88671875" bestFit="1" customWidth="1"/>
    <col min="8824" max="8824" width="23.33203125" bestFit="1" customWidth="1"/>
    <col min="8825" max="8825" width="25.44140625" bestFit="1" customWidth="1"/>
    <col min="8826" max="8826" width="31.6640625" bestFit="1" customWidth="1"/>
    <col min="8827" max="8827" width="26" bestFit="1" customWidth="1"/>
    <col min="8828" max="8828" width="27.77734375" bestFit="1" customWidth="1"/>
    <col min="8829" max="8829" width="33.88671875" bestFit="1" customWidth="1"/>
    <col min="8830" max="8830" width="28.33203125" bestFit="1" customWidth="1"/>
    <col min="8831" max="8831" width="30.33203125" bestFit="1" customWidth="1"/>
    <col min="8832" max="8832" width="36.5546875" bestFit="1" customWidth="1"/>
    <col min="8833" max="8833" width="30.88671875" bestFit="1" customWidth="1"/>
    <col min="8834" max="8834" width="25.109375" bestFit="1" customWidth="1"/>
    <col min="8835" max="8835" width="31.21875" bestFit="1" customWidth="1"/>
    <col min="8836" max="8836" width="25.6640625" bestFit="1" customWidth="1"/>
    <col min="8837" max="8837" width="31.5546875" bestFit="1" customWidth="1"/>
    <col min="8838" max="8838" width="37.6640625" bestFit="1" customWidth="1"/>
    <col min="8839" max="8839" width="32.109375" bestFit="1" customWidth="1"/>
    <col min="8840" max="8840" width="22.77734375" bestFit="1" customWidth="1"/>
    <col min="8841" max="8841" width="28.88671875" bestFit="1" customWidth="1"/>
    <col min="8842" max="8842" width="23.33203125" bestFit="1" customWidth="1"/>
    <col min="8843" max="8843" width="25.44140625" bestFit="1" customWidth="1"/>
    <col min="8844" max="8844" width="31.6640625" bestFit="1" customWidth="1"/>
    <col min="8845" max="8845" width="26" bestFit="1" customWidth="1"/>
    <col min="8846" max="8846" width="27.77734375" bestFit="1" customWidth="1"/>
    <col min="8847" max="8847" width="33.88671875" bestFit="1" customWidth="1"/>
    <col min="8848" max="8848" width="28.33203125" bestFit="1" customWidth="1"/>
    <col min="8849" max="8849" width="30.33203125" bestFit="1" customWidth="1"/>
    <col min="8850" max="8850" width="36.5546875" bestFit="1" customWidth="1"/>
    <col min="8851" max="8851" width="30.88671875" bestFit="1" customWidth="1"/>
    <col min="8852" max="8852" width="25.109375" bestFit="1" customWidth="1"/>
    <col min="8853" max="8853" width="31.21875" bestFit="1" customWidth="1"/>
    <col min="8854" max="8854" width="25.6640625" bestFit="1" customWidth="1"/>
    <col min="8855" max="8855" width="31.5546875" bestFit="1" customWidth="1"/>
    <col min="8856" max="8856" width="37.6640625" bestFit="1" customWidth="1"/>
    <col min="8857" max="8857" width="32.109375" bestFit="1" customWidth="1"/>
    <col min="8858" max="8858" width="22.77734375" bestFit="1" customWidth="1"/>
    <col min="8859" max="8859" width="28.88671875" bestFit="1" customWidth="1"/>
    <col min="8860" max="8860" width="23.33203125" bestFit="1" customWidth="1"/>
    <col min="8861" max="8861" width="25.44140625" bestFit="1" customWidth="1"/>
    <col min="8862" max="8862" width="31.6640625" bestFit="1" customWidth="1"/>
    <col min="8863" max="8863" width="26" bestFit="1" customWidth="1"/>
    <col min="8864" max="8864" width="27.77734375" bestFit="1" customWidth="1"/>
    <col min="8865" max="8865" width="33.88671875" bestFit="1" customWidth="1"/>
    <col min="8866" max="8866" width="28.33203125" bestFit="1" customWidth="1"/>
    <col min="8867" max="8867" width="30.33203125" bestFit="1" customWidth="1"/>
    <col min="8868" max="8868" width="36.5546875" bestFit="1" customWidth="1"/>
    <col min="8869" max="8869" width="30.88671875" bestFit="1" customWidth="1"/>
    <col min="8870" max="8870" width="25.109375" bestFit="1" customWidth="1"/>
    <col min="8871" max="8871" width="31.21875" bestFit="1" customWidth="1"/>
    <col min="8872" max="8872" width="25.6640625" bestFit="1" customWidth="1"/>
    <col min="8873" max="8873" width="31.5546875" bestFit="1" customWidth="1"/>
    <col min="8874" max="8874" width="37.6640625" bestFit="1" customWidth="1"/>
    <col min="8875" max="8875" width="32.109375" bestFit="1" customWidth="1"/>
    <col min="8876" max="8876" width="22.77734375" bestFit="1" customWidth="1"/>
    <col min="8877" max="8877" width="28.88671875" bestFit="1" customWidth="1"/>
    <col min="8878" max="8878" width="23.33203125" bestFit="1" customWidth="1"/>
    <col min="8879" max="8879" width="25.44140625" bestFit="1" customWidth="1"/>
    <col min="8880" max="8880" width="31.6640625" bestFit="1" customWidth="1"/>
    <col min="8881" max="8881" width="26" bestFit="1" customWidth="1"/>
    <col min="8882" max="8882" width="27.77734375" bestFit="1" customWidth="1"/>
    <col min="8883" max="8883" width="33.88671875" bestFit="1" customWidth="1"/>
    <col min="8884" max="8884" width="28.33203125" bestFit="1" customWidth="1"/>
    <col min="8885" max="8885" width="30.33203125" bestFit="1" customWidth="1"/>
    <col min="8886" max="8886" width="36.5546875" bestFit="1" customWidth="1"/>
    <col min="8887" max="8887" width="30.88671875" bestFit="1" customWidth="1"/>
    <col min="8888" max="8888" width="25.109375" bestFit="1" customWidth="1"/>
    <col min="8889" max="8889" width="31.21875" bestFit="1" customWidth="1"/>
    <col min="8890" max="8890" width="25.6640625" bestFit="1" customWidth="1"/>
    <col min="8891" max="8891" width="31.5546875" bestFit="1" customWidth="1"/>
    <col min="8892" max="8892" width="37.6640625" bestFit="1" customWidth="1"/>
    <col min="8893" max="8893" width="32.109375" bestFit="1" customWidth="1"/>
    <col min="8894" max="8894" width="22.77734375" bestFit="1" customWidth="1"/>
    <col min="8895" max="8895" width="28.88671875" bestFit="1" customWidth="1"/>
    <col min="8896" max="8896" width="23.33203125" bestFit="1" customWidth="1"/>
    <col min="8897" max="8897" width="25.44140625" bestFit="1" customWidth="1"/>
    <col min="8898" max="8898" width="31.6640625" bestFit="1" customWidth="1"/>
    <col min="8899" max="8899" width="26" bestFit="1" customWidth="1"/>
    <col min="8900" max="8900" width="27.77734375" bestFit="1" customWidth="1"/>
    <col min="8901" max="8901" width="33.88671875" bestFit="1" customWidth="1"/>
    <col min="8902" max="8902" width="28.33203125" bestFit="1" customWidth="1"/>
    <col min="8903" max="8903" width="30.33203125" bestFit="1" customWidth="1"/>
    <col min="8904" max="8904" width="36.5546875" bestFit="1" customWidth="1"/>
    <col min="8905" max="8905" width="30.88671875" bestFit="1" customWidth="1"/>
    <col min="8906" max="8906" width="25.109375" bestFit="1" customWidth="1"/>
    <col min="8907" max="8907" width="31.21875" bestFit="1" customWidth="1"/>
    <col min="8908" max="8908" width="25.6640625" bestFit="1" customWidth="1"/>
    <col min="8909" max="8909" width="31.5546875" bestFit="1" customWidth="1"/>
    <col min="8910" max="8910" width="37.6640625" bestFit="1" customWidth="1"/>
    <col min="8911" max="8911" width="32.109375" bestFit="1" customWidth="1"/>
    <col min="8912" max="8912" width="22.77734375" bestFit="1" customWidth="1"/>
    <col min="8913" max="8913" width="28.88671875" bestFit="1" customWidth="1"/>
    <col min="8914" max="8914" width="23.33203125" bestFit="1" customWidth="1"/>
    <col min="8915" max="8915" width="25.44140625" bestFit="1" customWidth="1"/>
    <col min="8916" max="8916" width="31.6640625" bestFit="1" customWidth="1"/>
    <col min="8917" max="8917" width="26" bestFit="1" customWidth="1"/>
    <col min="8918" max="8918" width="27.77734375" bestFit="1" customWidth="1"/>
    <col min="8919" max="8919" width="33.88671875" bestFit="1" customWidth="1"/>
    <col min="8920" max="8920" width="28.33203125" bestFit="1" customWidth="1"/>
    <col min="8921" max="8921" width="30.33203125" bestFit="1" customWidth="1"/>
    <col min="8922" max="8922" width="36.5546875" bestFit="1" customWidth="1"/>
    <col min="8923" max="8923" width="30.88671875" bestFit="1" customWidth="1"/>
    <col min="8924" max="8924" width="25.109375" bestFit="1" customWidth="1"/>
    <col min="8925" max="8925" width="31.21875" bestFit="1" customWidth="1"/>
    <col min="8926" max="8926" width="25.6640625" bestFit="1" customWidth="1"/>
    <col min="8927" max="8927" width="31.5546875" bestFit="1" customWidth="1"/>
    <col min="8928" max="8928" width="37.6640625" bestFit="1" customWidth="1"/>
    <col min="8929" max="8929" width="32.109375" bestFit="1" customWidth="1"/>
    <col min="8930" max="8930" width="22.77734375" bestFit="1" customWidth="1"/>
    <col min="8931" max="8931" width="28.88671875" bestFit="1" customWidth="1"/>
    <col min="8932" max="8932" width="23.33203125" bestFit="1" customWidth="1"/>
    <col min="8933" max="8933" width="25.44140625" bestFit="1" customWidth="1"/>
    <col min="8934" max="8934" width="31.6640625" bestFit="1" customWidth="1"/>
    <col min="8935" max="8935" width="26" bestFit="1" customWidth="1"/>
    <col min="8936" max="8936" width="27.77734375" bestFit="1" customWidth="1"/>
    <col min="8937" max="8937" width="33.88671875" bestFit="1" customWidth="1"/>
    <col min="8938" max="8938" width="28.33203125" bestFit="1" customWidth="1"/>
    <col min="8939" max="8939" width="30.33203125" bestFit="1" customWidth="1"/>
    <col min="8940" max="8940" width="36.5546875" bestFit="1" customWidth="1"/>
    <col min="8941" max="8941" width="30.88671875" bestFit="1" customWidth="1"/>
    <col min="8942" max="8942" width="25.109375" bestFit="1" customWidth="1"/>
    <col min="8943" max="8943" width="31.21875" bestFit="1" customWidth="1"/>
    <col min="8944" max="8944" width="25.6640625" bestFit="1" customWidth="1"/>
    <col min="8945" max="8945" width="31.5546875" bestFit="1" customWidth="1"/>
    <col min="8946" max="8946" width="37.6640625" bestFit="1" customWidth="1"/>
    <col min="8947" max="8947" width="32.109375" bestFit="1" customWidth="1"/>
    <col min="8948" max="8948" width="22.77734375" bestFit="1" customWidth="1"/>
    <col min="8949" max="8949" width="28.88671875" bestFit="1" customWidth="1"/>
    <col min="8950" max="8950" width="23.33203125" bestFit="1" customWidth="1"/>
    <col min="8951" max="8951" width="25.44140625" bestFit="1" customWidth="1"/>
    <col min="8952" max="8952" width="31.6640625" bestFit="1" customWidth="1"/>
    <col min="8953" max="8953" width="26" bestFit="1" customWidth="1"/>
    <col min="8954" max="8954" width="27.77734375" bestFit="1" customWidth="1"/>
    <col min="8955" max="8955" width="33.88671875" bestFit="1" customWidth="1"/>
    <col min="8956" max="8956" width="28.33203125" bestFit="1" customWidth="1"/>
    <col min="8957" max="8957" width="30.33203125" bestFit="1" customWidth="1"/>
    <col min="8958" max="8958" width="36.5546875" bestFit="1" customWidth="1"/>
    <col min="8959" max="8959" width="30.88671875" bestFit="1" customWidth="1"/>
    <col min="8960" max="8960" width="25.109375" bestFit="1" customWidth="1"/>
    <col min="8961" max="8961" width="31.21875" bestFit="1" customWidth="1"/>
    <col min="8962" max="8962" width="25.6640625" bestFit="1" customWidth="1"/>
    <col min="8963" max="8963" width="31.5546875" bestFit="1" customWidth="1"/>
    <col min="8964" max="8964" width="37.6640625" bestFit="1" customWidth="1"/>
    <col min="8965" max="8965" width="32.109375" bestFit="1" customWidth="1"/>
    <col min="8966" max="8966" width="22.77734375" bestFit="1" customWidth="1"/>
    <col min="8967" max="8967" width="28.88671875" bestFit="1" customWidth="1"/>
    <col min="8968" max="8968" width="23.33203125" bestFit="1" customWidth="1"/>
    <col min="8969" max="8969" width="25.44140625" bestFit="1" customWidth="1"/>
    <col min="8970" max="8970" width="31.6640625" bestFit="1" customWidth="1"/>
    <col min="8971" max="8971" width="26" bestFit="1" customWidth="1"/>
    <col min="8972" max="8972" width="27.77734375" bestFit="1" customWidth="1"/>
    <col min="8973" max="8973" width="33.88671875" bestFit="1" customWidth="1"/>
    <col min="8974" max="8974" width="28.33203125" bestFit="1" customWidth="1"/>
    <col min="8975" max="8975" width="30.33203125" bestFit="1" customWidth="1"/>
    <col min="8976" max="8976" width="36.5546875" bestFit="1" customWidth="1"/>
    <col min="8977" max="8977" width="30.88671875" bestFit="1" customWidth="1"/>
    <col min="8978" max="8978" width="25.109375" bestFit="1" customWidth="1"/>
    <col min="8979" max="8979" width="31.21875" bestFit="1" customWidth="1"/>
    <col min="8980" max="8980" width="25.6640625" bestFit="1" customWidth="1"/>
    <col min="8981" max="8981" width="31.5546875" bestFit="1" customWidth="1"/>
    <col min="8982" max="8982" width="37.6640625" bestFit="1" customWidth="1"/>
    <col min="8983" max="8983" width="32.109375" bestFit="1" customWidth="1"/>
    <col min="8984" max="8984" width="22.77734375" bestFit="1" customWidth="1"/>
    <col min="8985" max="8985" width="28.88671875" bestFit="1" customWidth="1"/>
    <col min="8986" max="8986" width="23.33203125" bestFit="1" customWidth="1"/>
    <col min="8987" max="8987" width="25.44140625" bestFit="1" customWidth="1"/>
    <col min="8988" max="8988" width="31.6640625" bestFit="1" customWidth="1"/>
    <col min="8989" max="8989" width="26" bestFit="1" customWidth="1"/>
    <col min="8990" max="8990" width="27.77734375" bestFit="1" customWidth="1"/>
    <col min="8991" max="8991" width="33.88671875" bestFit="1" customWidth="1"/>
    <col min="8992" max="8992" width="28.33203125" bestFit="1" customWidth="1"/>
    <col min="8993" max="8993" width="30.33203125" bestFit="1" customWidth="1"/>
    <col min="8994" max="8994" width="36.5546875" bestFit="1" customWidth="1"/>
    <col min="8995" max="8995" width="30.88671875" bestFit="1" customWidth="1"/>
    <col min="8996" max="8996" width="25.109375" bestFit="1" customWidth="1"/>
    <col min="8997" max="8997" width="31.21875" bestFit="1" customWidth="1"/>
    <col min="8998" max="8998" width="25.6640625" bestFit="1" customWidth="1"/>
    <col min="8999" max="8999" width="31.5546875" bestFit="1" customWidth="1"/>
    <col min="9000" max="9000" width="37.6640625" bestFit="1" customWidth="1"/>
    <col min="9001" max="9001" width="32.109375" bestFit="1" customWidth="1"/>
    <col min="9002" max="9002" width="22.77734375" bestFit="1" customWidth="1"/>
    <col min="9003" max="9003" width="28.88671875" bestFit="1" customWidth="1"/>
    <col min="9004" max="9004" width="23.33203125" bestFit="1" customWidth="1"/>
    <col min="9005" max="9005" width="25.44140625" bestFit="1" customWidth="1"/>
    <col min="9006" max="9006" width="31.6640625" bestFit="1" customWidth="1"/>
    <col min="9007" max="9007" width="26" bestFit="1" customWidth="1"/>
    <col min="9008" max="9008" width="26.77734375" bestFit="1" customWidth="1"/>
    <col min="9009" max="9009" width="32.88671875" bestFit="1" customWidth="1"/>
    <col min="9010" max="9010" width="27.33203125" bestFit="1" customWidth="1"/>
    <col min="9011" max="9011" width="30.33203125" bestFit="1" customWidth="1"/>
    <col min="9012" max="9012" width="36.5546875" bestFit="1" customWidth="1"/>
    <col min="9013" max="9013" width="30.88671875" bestFit="1" customWidth="1"/>
    <col min="9014" max="9014" width="25.109375" bestFit="1" customWidth="1"/>
    <col min="9015" max="9015" width="31.21875" bestFit="1" customWidth="1"/>
    <col min="9016" max="9016" width="25.6640625" bestFit="1" customWidth="1"/>
    <col min="9017" max="9017" width="31.5546875" bestFit="1" customWidth="1"/>
    <col min="9018" max="9018" width="37.6640625" bestFit="1" customWidth="1"/>
    <col min="9019" max="9019" width="32.109375" bestFit="1" customWidth="1"/>
    <col min="9020" max="9020" width="22.77734375" bestFit="1" customWidth="1"/>
    <col min="9021" max="9021" width="28.88671875" bestFit="1" customWidth="1"/>
    <col min="9022" max="9022" width="23.33203125" bestFit="1" customWidth="1"/>
    <col min="9023" max="9023" width="25.44140625" bestFit="1" customWidth="1"/>
    <col min="9024" max="9024" width="31.6640625" bestFit="1" customWidth="1"/>
    <col min="9025" max="9025" width="26" bestFit="1" customWidth="1"/>
    <col min="9026" max="9026" width="27.77734375" bestFit="1" customWidth="1"/>
    <col min="9027" max="9027" width="33.88671875" bestFit="1" customWidth="1"/>
    <col min="9028" max="9028" width="28.33203125" bestFit="1" customWidth="1"/>
    <col min="9029" max="9029" width="30.33203125" bestFit="1" customWidth="1"/>
    <col min="9030" max="9030" width="36.5546875" bestFit="1" customWidth="1"/>
    <col min="9031" max="9031" width="30.88671875" bestFit="1" customWidth="1"/>
    <col min="9032" max="9032" width="25.109375" bestFit="1" customWidth="1"/>
    <col min="9033" max="9033" width="31.21875" bestFit="1" customWidth="1"/>
    <col min="9034" max="9034" width="25.6640625" bestFit="1" customWidth="1"/>
    <col min="9035" max="9035" width="31.5546875" bestFit="1" customWidth="1"/>
    <col min="9036" max="9036" width="37.6640625" bestFit="1" customWidth="1"/>
    <col min="9037" max="9037" width="32.109375" bestFit="1" customWidth="1"/>
    <col min="9038" max="9038" width="22.77734375" bestFit="1" customWidth="1"/>
    <col min="9039" max="9039" width="28.88671875" bestFit="1" customWidth="1"/>
    <col min="9040" max="9040" width="23.33203125" bestFit="1" customWidth="1"/>
    <col min="9041" max="9041" width="25.44140625" bestFit="1" customWidth="1"/>
    <col min="9042" max="9042" width="31.6640625" bestFit="1" customWidth="1"/>
    <col min="9043" max="9043" width="26" bestFit="1" customWidth="1"/>
    <col min="9044" max="9044" width="27.77734375" bestFit="1" customWidth="1"/>
    <col min="9045" max="9045" width="33.88671875" bestFit="1" customWidth="1"/>
    <col min="9046" max="9046" width="28.33203125" bestFit="1" customWidth="1"/>
    <col min="9047" max="9047" width="30.33203125" bestFit="1" customWidth="1"/>
    <col min="9048" max="9048" width="36.5546875" bestFit="1" customWidth="1"/>
    <col min="9049" max="9049" width="30.88671875" bestFit="1" customWidth="1"/>
    <col min="9050" max="9050" width="25.109375" bestFit="1" customWidth="1"/>
    <col min="9051" max="9051" width="31.21875" bestFit="1" customWidth="1"/>
    <col min="9052" max="9052" width="25.6640625" bestFit="1" customWidth="1"/>
    <col min="9053" max="9053" width="31.5546875" bestFit="1" customWidth="1"/>
    <col min="9054" max="9054" width="37.6640625" bestFit="1" customWidth="1"/>
    <col min="9055" max="9055" width="32.109375" bestFit="1" customWidth="1"/>
    <col min="9056" max="9056" width="22.77734375" bestFit="1" customWidth="1"/>
    <col min="9057" max="9057" width="28.88671875" bestFit="1" customWidth="1"/>
    <col min="9058" max="9058" width="23.33203125" bestFit="1" customWidth="1"/>
    <col min="9059" max="9059" width="25.44140625" bestFit="1" customWidth="1"/>
    <col min="9060" max="9060" width="31.6640625" bestFit="1" customWidth="1"/>
    <col min="9061" max="9061" width="26" bestFit="1" customWidth="1"/>
    <col min="9062" max="9062" width="27.77734375" bestFit="1" customWidth="1"/>
    <col min="9063" max="9063" width="33.88671875" bestFit="1" customWidth="1"/>
    <col min="9064" max="9064" width="28.33203125" bestFit="1" customWidth="1"/>
    <col min="9065" max="9065" width="30.33203125" bestFit="1" customWidth="1"/>
    <col min="9066" max="9066" width="36.5546875" bestFit="1" customWidth="1"/>
    <col min="9067" max="9067" width="30.88671875" bestFit="1" customWidth="1"/>
    <col min="9068" max="9068" width="25.109375" bestFit="1" customWidth="1"/>
    <col min="9069" max="9069" width="31.21875" bestFit="1" customWidth="1"/>
    <col min="9070" max="9070" width="25.6640625" bestFit="1" customWidth="1"/>
    <col min="9071" max="9071" width="31.5546875" bestFit="1" customWidth="1"/>
    <col min="9072" max="9072" width="37.6640625" bestFit="1" customWidth="1"/>
    <col min="9073" max="9073" width="32.109375" bestFit="1" customWidth="1"/>
    <col min="9074" max="9074" width="22.77734375" bestFit="1" customWidth="1"/>
    <col min="9075" max="9075" width="28.88671875" bestFit="1" customWidth="1"/>
    <col min="9076" max="9076" width="23.33203125" bestFit="1" customWidth="1"/>
    <col min="9077" max="9077" width="25.44140625" bestFit="1" customWidth="1"/>
    <col min="9078" max="9078" width="31.6640625" bestFit="1" customWidth="1"/>
    <col min="9079" max="9079" width="26" bestFit="1" customWidth="1"/>
    <col min="9080" max="9080" width="27.77734375" bestFit="1" customWidth="1"/>
    <col min="9081" max="9081" width="33.88671875" bestFit="1" customWidth="1"/>
    <col min="9082" max="9082" width="28.33203125" bestFit="1" customWidth="1"/>
    <col min="9083" max="9083" width="30.33203125" bestFit="1" customWidth="1"/>
    <col min="9084" max="9084" width="36.5546875" bestFit="1" customWidth="1"/>
    <col min="9085" max="9085" width="30.88671875" bestFit="1" customWidth="1"/>
    <col min="9086" max="9086" width="25.109375" bestFit="1" customWidth="1"/>
    <col min="9087" max="9087" width="31.21875" bestFit="1" customWidth="1"/>
    <col min="9088" max="9088" width="25.6640625" bestFit="1" customWidth="1"/>
    <col min="9089" max="9089" width="31.5546875" bestFit="1" customWidth="1"/>
    <col min="9090" max="9090" width="37.6640625" bestFit="1" customWidth="1"/>
    <col min="9091" max="9091" width="32.109375" bestFit="1" customWidth="1"/>
    <col min="9092" max="9092" width="22.77734375" bestFit="1" customWidth="1"/>
    <col min="9093" max="9093" width="28.88671875" bestFit="1" customWidth="1"/>
    <col min="9094" max="9094" width="23.33203125" bestFit="1" customWidth="1"/>
    <col min="9095" max="9095" width="25.44140625" bestFit="1" customWidth="1"/>
    <col min="9096" max="9096" width="31.6640625" bestFit="1" customWidth="1"/>
    <col min="9097" max="9097" width="26" bestFit="1" customWidth="1"/>
    <col min="9098" max="9098" width="27.77734375" bestFit="1" customWidth="1"/>
    <col min="9099" max="9099" width="33.88671875" bestFit="1" customWidth="1"/>
    <col min="9100" max="9100" width="28.33203125" bestFit="1" customWidth="1"/>
    <col min="9101" max="9101" width="30.33203125" bestFit="1" customWidth="1"/>
    <col min="9102" max="9102" width="36.5546875" bestFit="1" customWidth="1"/>
    <col min="9103" max="9103" width="30.88671875" bestFit="1" customWidth="1"/>
    <col min="9104" max="9104" width="25.109375" bestFit="1" customWidth="1"/>
    <col min="9105" max="9105" width="31.21875" bestFit="1" customWidth="1"/>
    <col min="9106" max="9106" width="25.6640625" bestFit="1" customWidth="1"/>
    <col min="9107" max="9107" width="31.5546875" bestFit="1" customWidth="1"/>
    <col min="9108" max="9108" width="37.6640625" bestFit="1" customWidth="1"/>
    <col min="9109" max="9109" width="32.109375" bestFit="1" customWidth="1"/>
    <col min="9110" max="9110" width="22.77734375" bestFit="1" customWidth="1"/>
    <col min="9111" max="9111" width="28.88671875" bestFit="1" customWidth="1"/>
    <col min="9112" max="9112" width="23.33203125" bestFit="1" customWidth="1"/>
    <col min="9113" max="9113" width="25.44140625" bestFit="1" customWidth="1"/>
    <col min="9114" max="9114" width="31.6640625" bestFit="1" customWidth="1"/>
    <col min="9115" max="9115" width="26" bestFit="1" customWidth="1"/>
    <col min="9116" max="9116" width="27.77734375" bestFit="1" customWidth="1"/>
    <col min="9117" max="9117" width="33.88671875" bestFit="1" customWidth="1"/>
    <col min="9118" max="9118" width="28.33203125" bestFit="1" customWidth="1"/>
    <col min="9119" max="9119" width="30.33203125" bestFit="1" customWidth="1"/>
    <col min="9120" max="9120" width="36.5546875" bestFit="1" customWidth="1"/>
    <col min="9121" max="9121" width="30.88671875" bestFit="1" customWidth="1"/>
    <col min="9122" max="9122" width="25.109375" bestFit="1" customWidth="1"/>
    <col min="9123" max="9123" width="31.21875" bestFit="1" customWidth="1"/>
    <col min="9124" max="9124" width="25.6640625" bestFit="1" customWidth="1"/>
    <col min="9125" max="9125" width="31.5546875" bestFit="1" customWidth="1"/>
    <col min="9126" max="9126" width="37.6640625" bestFit="1" customWidth="1"/>
    <col min="9127" max="9127" width="32.109375" bestFit="1" customWidth="1"/>
    <col min="9128" max="9128" width="22.77734375" bestFit="1" customWidth="1"/>
    <col min="9129" max="9129" width="28.88671875" bestFit="1" customWidth="1"/>
    <col min="9130" max="9130" width="23.33203125" bestFit="1" customWidth="1"/>
    <col min="9131" max="9131" width="25.44140625" bestFit="1" customWidth="1"/>
    <col min="9132" max="9132" width="31.6640625" bestFit="1" customWidth="1"/>
    <col min="9133" max="9133" width="26" bestFit="1" customWidth="1"/>
    <col min="9134" max="9134" width="27.77734375" bestFit="1" customWidth="1"/>
    <col min="9135" max="9135" width="33.88671875" bestFit="1" customWidth="1"/>
    <col min="9136" max="9136" width="28.33203125" bestFit="1" customWidth="1"/>
    <col min="9137" max="9137" width="30.33203125" bestFit="1" customWidth="1"/>
    <col min="9138" max="9138" width="36.5546875" bestFit="1" customWidth="1"/>
    <col min="9139" max="9139" width="30.88671875" bestFit="1" customWidth="1"/>
    <col min="9140" max="9140" width="25.109375" bestFit="1" customWidth="1"/>
    <col min="9141" max="9141" width="31.21875" bestFit="1" customWidth="1"/>
    <col min="9142" max="9142" width="25.6640625" bestFit="1" customWidth="1"/>
    <col min="9143" max="9143" width="31.5546875" bestFit="1" customWidth="1"/>
    <col min="9144" max="9144" width="37.6640625" bestFit="1" customWidth="1"/>
    <col min="9145" max="9145" width="32.109375" bestFit="1" customWidth="1"/>
    <col min="9146" max="9146" width="22.77734375" bestFit="1" customWidth="1"/>
    <col min="9147" max="9147" width="28.88671875" bestFit="1" customWidth="1"/>
    <col min="9148" max="9148" width="23.33203125" bestFit="1" customWidth="1"/>
    <col min="9149" max="9149" width="25.44140625" bestFit="1" customWidth="1"/>
    <col min="9150" max="9150" width="31.6640625" bestFit="1" customWidth="1"/>
    <col min="9151" max="9151" width="26" bestFit="1" customWidth="1"/>
    <col min="9152" max="9152" width="27.77734375" bestFit="1" customWidth="1"/>
    <col min="9153" max="9153" width="33.88671875" bestFit="1" customWidth="1"/>
    <col min="9154" max="9154" width="28.33203125" bestFit="1" customWidth="1"/>
    <col min="9155" max="9155" width="30.33203125" bestFit="1" customWidth="1"/>
    <col min="9156" max="9156" width="36.5546875" bestFit="1" customWidth="1"/>
    <col min="9157" max="9157" width="30.88671875" bestFit="1" customWidth="1"/>
    <col min="9158" max="9158" width="25.109375" bestFit="1" customWidth="1"/>
    <col min="9159" max="9159" width="31.21875" bestFit="1" customWidth="1"/>
    <col min="9160" max="9160" width="25.6640625" bestFit="1" customWidth="1"/>
    <col min="9161" max="9161" width="31.5546875" bestFit="1" customWidth="1"/>
    <col min="9162" max="9162" width="37.6640625" bestFit="1" customWidth="1"/>
    <col min="9163" max="9163" width="32.109375" bestFit="1" customWidth="1"/>
    <col min="9164" max="9164" width="22.77734375" bestFit="1" customWidth="1"/>
    <col min="9165" max="9165" width="28.88671875" bestFit="1" customWidth="1"/>
    <col min="9166" max="9166" width="23.33203125" bestFit="1" customWidth="1"/>
    <col min="9167" max="9167" width="25.44140625" bestFit="1" customWidth="1"/>
    <col min="9168" max="9168" width="31.6640625" bestFit="1" customWidth="1"/>
    <col min="9169" max="9169" width="26" bestFit="1" customWidth="1"/>
    <col min="9170" max="9170" width="27.77734375" bestFit="1" customWidth="1"/>
    <col min="9171" max="9171" width="33.88671875" bestFit="1" customWidth="1"/>
    <col min="9172" max="9172" width="28.33203125" bestFit="1" customWidth="1"/>
    <col min="9173" max="9173" width="30.33203125" bestFit="1" customWidth="1"/>
    <col min="9174" max="9174" width="36.5546875" bestFit="1" customWidth="1"/>
    <col min="9175" max="9175" width="30.88671875" bestFit="1" customWidth="1"/>
    <col min="9176" max="9176" width="25.109375" bestFit="1" customWidth="1"/>
    <col min="9177" max="9177" width="31.21875" bestFit="1" customWidth="1"/>
    <col min="9178" max="9178" width="25.6640625" bestFit="1" customWidth="1"/>
    <col min="9179" max="9179" width="31.5546875" bestFit="1" customWidth="1"/>
    <col min="9180" max="9180" width="37.6640625" bestFit="1" customWidth="1"/>
    <col min="9181" max="9181" width="32.109375" bestFit="1" customWidth="1"/>
    <col min="9182" max="9182" width="22.77734375" bestFit="1" customWidth="1"/>
    <col min="9183" max="9183" width="28.88671875" bestFit="1" customWidth="1"/>
    <col min="9184" max="9184" width="23.33203125" bestFit="1" customWidth="1"/>
    <col min="9185" max="9185" width="25.44140625" bestFit="1" customWidth="1"/>
    <col min="9186" max="9186" width="31.6640625" bestFit="1" customWidth="1"/>
    <col min="9187" max="9187" width="26" bestFit="1" customWidth="1"/>
    <col min="9188" max="9188" width="27.77734375" bestFit="1" customWidth="1"/>
    <col min="9189" max="9189" width="33.88671875" bestFit="1" customWidth="1"/>
    <col min="9190" max="9190" width="28.33203125" bestFit="1" customWidth="1"/>
    <col min="9191" max="9191" width="30.33203125" bestFit="1" customWidth="1"/>
    <col min="9192" max="9192" width="36.5546875" bestFit="1" customWidth="1"/>
    <col min="9193" max="9193" width="30.88671875" bestFit="1" customWidth="1"/>
    <col min="9194" max="9194" width="25.109375" bestFit="1" customWidth="1"/>
    <col min="9195" max="9195" width="31.21875" bestFit="1" customWidth="1"/>
    <col min="9196" max="9196" width="25.6640625" bestFit="1" customWidth="1"/>
    <col min="9197" max="9197" width="31.5546875" bestFit="1" customWidth="1"/>
    <col min="9198" max="9198" width="37.6640625" bestFit="1" customWidth="1"/>
    <col min="9199" max="9199" width="32.109375" bestFit="1" customWidth="1"/>
    <col min="9200" max="9200" width="22.77734375" bestFit="1" customWidth="1"/>
    <col min="9201" max="9201" width="28.88671875" bestFit="1" customWidth="1"/>
    <col min="9202" max="9202" width="23.33203125" bestFit="1" customWidth="1"/>
    <col min="9203" max="9203" width="25.44140625" bestFit="1" customWidth="1"/>
    <col min="9204" max="9204" width="31.6640625" bestFit="1" customWidth="1"/>
    <col min="9205" max="9205" width="26" bestFit="1" customWidth="1"/>
    <col min="9206" max="9206" width="27.77734375" bestFit="1" customWidth="1"/>
    <col min="9207" max="9207" width="33.88671875" bestFit="1" customWidth="1"/>
    <col min="9208" max="9208" width="28.33203125" bestFit="1" customWidth="1"/>
    <col min="9209" max="9209" width="30.33203125" bestFit="1" customWidth="1"/>
    <col min="9210" max="9210" width="36.5546875" bestFit="1" customWidth="1"/>
    <col min="9211" max="9211" width="30.88671875" bestFit="1" customWidth="1"/>
    <col min="9212" max="9212" width="25.109375" bestFit="1" customWidth="1"/>
    <col min="9213" max="9213" width="31.21875" bestFit="1" customWidth="1"/>
    <col min="9214" max="9214" width="25.6640625" bestFit="1" customWidth="1"/>
    <col min="9215" max="9215" width="31.5546875" bestFit="1" customWidth="1"/>
    <col min="9216" max="9216" width="37.6640625" bestFit="1" customWidth="1"/>
    <col min="9217" max="9217" width="32.109375" bestFit="1" customWidth="1"/>
    <col min="9218" max="9218" width="22.77734375" bestFit="1" customWidth="1"/>
    <col min="9219" max="9219" width="28.88671875" bestFit="1" customWidth="1"/>
    <col min="9220" max="9220" width="23.33203125" bestFit="1" customWidth="1"/>
    <col min="9221" max="9221" width="25.44140625" bestFit="1" customWidth="1"/>
    <col min="9222" max="9222" width="31.6640625" bestFit="1" customWidth="1"/>
    <col min="9223" max="9223" width="26" bestFit="1" customWidth="1"/>
    <col min="9224" max="9224" width="27.77734375" bestFit="1" customWidth="1"/>
    <col min="9225" max="9225" width="33.88671875" bestFit="1" customWidth="1"/>
    <col min="9226" max="9226" width="28.33203125" bestFit="1" customWidth="1"/>
    <col min="9227" max="9227" width="30.33203125" bestFit="1" customWidth="1"/>
    <col min="9228" max="9228" width="36.5546875" bestFit="1" customWidth="1"/>
    <col min="9229" max="9229" width="30.88671875" bestFit="1" customWidth="1"/>
    <col min="9230" max="9230" width="25.109375" bestFit="1" customWidth="1"/>
    <col min="9231" max="9231" width="31.21875" bestFit="1" customWidth="1"/>
    <col min="9232" max="9232" width="25.6640625" bestFit="1" customWidth="1"/>
    <col min="9233" max="9233" width="31.5546875" bestFit="1" customWidth="1"/>
    <col min="9234" max="9234" width="37.6640625" bestFit="1" customWidth="1"/>
    <col min="9235" max="9235" width="32.109375" bestFit="1" customWidth="1"/>
    <col min="9236" max="9236" width="22.77734375" bestFit="1" customWidth="1"/>
    <col min="9237" max="9237" width="28.88671875" bestFit="1" customWidth="1"/>
    <col min="9238" max="9238" width="23.33203125" bestFit="1" customWidth="1"/>
    <col min="9239" max="9239" width="25.44140625" bestFit="1" customWidth="1"/>
    <col min="9240" max="9240" width="31.6640625" bestFit="1" customWidth="1"/>
    <col min="9241" max="9241" width="26" bestFit="1" customWidth="1"/>
    <col min="9242" max="9242" width="27.77734375" bestFit="1" customWidth="1"/>
    <col min="9243" max="9243" width="33.88671875" bestFit="1" customWidth="1"/>
    <col min="9244" max="9244" width="28.33203125" bestFit="1" customWidth="1"/>
    <col min="9245" max="9245" width="30.33203125" bestFit="1" customWidth="1"/>
    <col min="9246" max="9246" width="36.5546875" bestFit="1" customWidth="1"/>
    <col min="9247" max="9247" width="30.88671875" bestFit="1" customWidth="1"/>
    <col min="9248" max="9248" width="25.109375" bestFit="1" customWidth="1"/>
    <col min="9249" max="9249" width="31.21875" bestFit="1" customWidth="1"/>
    <col min="9250" max="9250" width="25.6640625" bestFit="1" customWidth="1"/>
    <col min="9251" max="9251" width="31.5546875" bestFit="1" customWidth="1"/>
    <col min="9252" max="9252" width="37.6640625" bestFit="1" customWidth="1"/>
    <col min="9253" max="9253" width="32.109375" bestFit="1" customWidth="1"/>
    <col min="9254" max="9254" width="22.77734375" bestFit="1" customWidth="1"/>
    <col min="9255" max="9255" width="28.88671875" bestFit="1" customWidth="1"/>
    <col min="9256" max="9256" width="23.33203125" bestFit="1" customWidth="1"/>
    <col min="9257" max="9257" width="25.44140625" bestFit="1" customWidth="1"/>
    <col min="9258" max="9258" width="31.6640625" bestFit="1" customWidth="1"/>
    <col min="9259" max="9259" width="26" bestFit="1" customWidth="1"/>
    <col min="9260" max="9260" width="27.77734375" bestFit="1" customWidth="1"/>
    <col min="9261" max="9261" width="33.88671875" bestFit="1" customWidth="1"/>
    <col min="9262" max="9262" width="28.33203125" bestFit="1" customWidth="1"/>
    <col min="9263" max="9263" width="30.33203125" bestFit="1" customWidth="1"/>
    <col min="9264" max="9264" width="36.5546875" bestFit="1" customWidth="1"/>
    <col min="9265" max="9265" width="30.88671875" bestFit="1" customWidth="1"/>
    <col min="9266" max="9266" width="25.109375" bestFit="1" customWidth="1"/>
    <col min="9267" max="9267" width="31.21875" bestFit="1" customWidth="1"/>
    <col min="9268" max="9268" width="25.6640625" bestFit="1" customWidth="1"/>
    <col min="9269" max="9269" width="31.5546875" bestFit="1" customWidth="1"/>
    <col min="9270" max="9270" width="37.6640625" bestFit="1" customWidth="1"/>
    <col min="9271" max="9271" width="32.109375" bestFit="1" customWidth="1"/>
    <col min="9272" max="9272" width="22.77734375" bestFit="1" customWidth="1"/>
    <col min="9273" max="9273" width="28.88671875" bestFit="1" customWidth="1"/>
    <col min="9274" max="9274" width="23.33203125" bestFit="1" customWidth="1"/>
    <col min="9275" max="9275" width="25.44140625" bestFit="1" customWidth="1"/>
    <col min="9276" max="9276" width="31.6640625" bestFit="1" customWidth="1"/>
    <col min="9277" max="9277" width="26" bestFit="1" customWidth="1"/>
    <col min="9278" max="9278" width="27.77734375" bestFit="1" customWidth="1"/>
    <col min="9279" max="9279" width="33.88671875" bestFit="1" customWidth="1"/>
    <col min="9280" max="9280" width="28.33203125" bestFit="1" customWidth="1"/>
    <col min="9281" max="9281" width="30.33203125" bestFit="1" customWidth="1"/>
    <col min="9282" max="9282" width="36.5546875" bestFit="1" customWidth="1"/>
    <col min="9283" max="9283" width="30.88671875" bestFit="1" customWidth="1"/>
    <col min="9284" max="9284" width="25.109375" bestFit="1" customWidth="1"/>
    <col min="9285" max="9285" width="31.21875" bestFit="1" customWidth="1"/>
    <col min="9286" max="9286" width="25.6640625" bestFit="1" customWidth="1"/>
    <col min="9287" max="9287" width="31.5546875" bestFit="1" customWidth="1"/>
    <col min="9288" max="9288" width="37.6640625" bestFit="1" customWidth="1"/>
    <col min="9289" max="9289" width="32.109375" bestFit="1" customWidth="1"/>
    <col min="9290" max="9290" width="22.77734375" bestFit="1" customWidth="1"/>
    <col min="9291" max="9291" width="28.88671875" bestFit="1" customWidth="1"/>
    <col min="9292" max="9292" width="23.33203125" bestFit="1" customWidth="1"/>
    <col min="9293" max="9293" width="25.44140625" bestFit="1" customWidth="1"/>
    <col min="9294" max="9294" width="31.6640625" bestFit="1" customWidth="1"/>
    <col min="9295" max="9295" width="26" bestFit="1" customWidth="1"/>
    <col min="9296" max="9296" width="25.6640625" bestFit="1" customWidth="1"/>
    <col min="9297" max="9297" width="31.88671875" bestFit="1" customWidth="1"/>
    <col min="9298" max="9298" width="26.33203125" bestFit="1" customWidth="1"/>
    <col min="9299" max="9299" width="30.33203125" bestFit="1" customWidth="1"/>
    <col min="9300" max="9300" width="36.5546875" bestFit="1" customWidth="1"/>
    <col min="9301" max="9301" width="30.88671875" bestFit="1" customWidth="1"/>
    <col min="9302" max="9302" width="25.109375" bestFit="1" customWidth="1"/>
    <col min="9303" max="9303" width="31.21875" bestFit="1" customWidth="1"/>
    <col min="9304" max="9304" width="25.6640625" bestFit="1" customWidth="1"/>
    <col min="9305" max="9305" width="31.5546875" bestFit="1" customWidth="1"/>
    <col min="9306" max="9306" width="37.6640625" bestFit="1" customWidth="1"/>
    <col min="9307" max="9307" width="32.109375" bestFit="1" customWidth="1"/>
    <col min="9308" max="9308" width="22.77734375" bestFit="1" customWidth="1"/>
    <col min="9309" max="9309" width="28.88671875" bestFit="1" customWidth="1"/>
    <col min="9310" max="9310" width="23.33203125" bestFit="1" customWidth="1"/>
    <col min="9311" max="9311" width="25.44140625" bestFit="1" customWidth="1"/>
    <col min="9312" max="9312" width="31.6640625" bestFit="1" customWidth="1"/>
    <col min="9313" max="9313" width="26" bestFit="1" customWidth="1"/>
    <col min="9314" max="9314" width="27.77734375" bestFit="1" customWidth="1"/>
    <col min="9315" max="9315" width="33.88671875" bestFit="1" customWidth="1"/>
    <col min="9316" max="9316" width="28.33203125" bestFit="1" customWidth="1"/>
    <col min="9317" max="9317" width="30.33203125" bestFit="1" customWidth="1"/>
    <col min="9318" max="9318" width="36.5546875" bestFit="1" customWidth="1"/>
    <col min="9319" max="9319" width="30.88671875" bestFit="1" customWidth="1"/>
    <col min="9320" max="9320" width="25.109375" bestFit="1" customWidth="1"/>
    <col min="9321" max="9321" width="31.21875" bestFit="1" customWidth="1"/>
    <col min="9322" max="9322" width="25.6640625" bestFit="1" customWidth="1"/>
    <col min="9323" max="9323" width="31.5546875" bestFit="1" customWidth="1"/>
    <col min="9324" max="9324" width="37.6640625" bestFit="1" customWidth="1"/>
    <col min="9325" max="9325" width="32.109375" bestFit="1" customWidth="1"/>
    <col min="9326" max="9326" width="22.77734375" bestFit="1" customWidth="1"/>
    <col min="9327" max="9327" width="28.88671875" bestFit="1" customWidth="1"/>
    <col min="9328" max="9328" width="23.33203125" bestFit="1" customWidth="1"/>
    <col min="9329" max="9329" width="25.44140625" bestFit="1" customWidth="1"/>
    <col min="9330" max="9330" width="31.6640625" bestFit="1" customWidth="1"/>
    <col min="9331" max="9331" width="26" bestFit="1" customWidth="1"/>
    <col min="9332" max="9332" width="27.77734375" bestFit="1" customWidth="1"/>
    <col min="9333" max="9333" width="33.88671875" bestFit="1" customWidth="1"/>
    <col min="9334" max="9334" width="28.33203125" bestFit="1" customWidth="1"/>
    <col min="9335" max="9335" width="30.33203125" bestFit="1" customWidth="1"/>
    <col min="9336" max="9336" width="36.5546875" bestFit="1" customWidth="1"/>
    <col min="9337" max="9337" width="30.88671875" bestFit="1" customWidth="1"/>
    <col min="9338" max="9338" width="25.109375" bestFit="1" customWidth="1"/>
    <col min="9339" max="9339" width="31.21875" bestFit="1" customWidth="1"/>
    <col min="9340" max="9340" width="25.6640625" bestFit="1" customWidth="1"/>
    <col min="9341" max="9341" width="31.5546875" bestFit="1" customWidth="1"/>
    <col min="9342" max="9342" width="37.6640625" bestFit="1" customWidth="1"/>
    <col min="9343" max="9343" width="32.109375" bestFit="1" customWidth="1"/>
    <col min="9344" max="9344" width="22.77734375" bestFit="1" customWidth="1"/>
    <col min="9345" max="9345" width="28.88671875" bestFit="1" customWidth="1"/>
    <col min="9346" max="9346" width="23.33203125" bestFit="1" customWidth="1"/>
    <col min="9347" max="9347" width="25.44140625" bestFit="1" customWidth="1"/>
    <col min="9348" max="9348" width="31.6640625" bestFit="1" customWidth="1"/>
    <col min="9349" max="9349" width="26" bestFit="1" customWidth="1"/>
    <col min="9350" max="9350" width="27.77734375" bestFit="1" customWidth="1"/>
    <col min="9351" max="9351" width="33.88671875" bestFit="1" customWidth="1"/>
    <col min="9352" max="9352" width="28.33203125" bestFit="1" customWidth="1"/>
    <col min="9353" max="9353" width="30.33203125" bestFit="1" customWidth="1"/>
    <col min="9354" max="9354" width="36.5546875" bestFit="1" customWidth="1"/>
    <col min="9355" max="9355" width="30.88671875" bestFit="1" customWidth="1"/>
    <col min="9356" max="9356" width="25.109375" bestFit="1" customWidth="1"/>
    <col min="9357" max="9357" width="31.21875" bestFit="1" customWidth="1"/>
    <col min="9358" max="9358" width="25.6640625" bestFit="1" customWidth="1"/>
    <col min="9359" max="9359" width="31.5546875" bestFit="1" customWidth="1"/>
    <col min="9360" max="9360" width="37.6640625" bestFit="1" customWidth="1"/>
    <col min="9361" max="9361" width="32.109375" bestFit="1" customWidth="1"/>
    <col min="9362" max="9362" width="22.77734375" bestFit="1" customWidth="1"/>
    <col min="9363" max="9363" width="28.88671875" bestFit="1" customWidth="1"/>
    <col min="9364" max="9364" width="23.33203125" bestFit="1" customWidth="1"/>
    <col min="9365" max="9365" width="25.44140625" bestFit="1" customWidth="1"/>
    <col min="9366" max="9366" width="31.6640625" bestFit="1" customWidth="1"/>
    <col min="9367" max="9367" width="26" bestFit="1" customWidth="1"/>
    <col min="9368" max="9368" width="27.77734375" bestFit="1" customWidth="1"/>
    <col min="9369" max="9369" width="33.88671875" bestFit="1" customWidth="1"/>
    <col min="9370" max="9370" width="28.33203125" bestFit="1" customWidth="1"/>
    <col min="9371" max="9371" width="30.33203125" bestFit="1" customWidth="1"/>
    <col min="9372" max="9372" width="36.5546875" bestFit="1" customWidth="1"/>
    <col min="9373" max="9373" width="30.88671875" bestFit="1" customWidth="1"/>
    <col min="9374" max="9374" width="25.109375" bestFit="1" customWidth="1"/>
    <col min="9375" max="9375" width="31.21875" bestFit="1" customWidth="1"/>
    <col min="9376" max="9376" width="25.6640625" bestFit="1" customWidth="1"/>
    <col min="9377" max="9377" width="31.5546875" bestFit="1" customWidth="1"/>
    <col min="9378" max="9378" width="37.6640625" bestFit="1" customWidth="1"/>
    <col min="9379" max="9379" width="32.109375" bestFit="1" customWidth="1"/>
    <col min="9380" max="9380" width="22.77734375" bestFit="1" customWidth="1"/>
    <col min="9381" max="9381" width="28.88671875" bestFit="1" customWidth="1"/>
    <col min="9382" max="9382" width="23.33203125" bestFit="1" customWidth="1"/>
    <col min="9383" max="9383" width="25.44140625" bestFit="1" customWidth="1"/>
    <col min="9384" max="9384" width="31.6640625" bestFit="1" customWidth="1"/>
    <col min="9385" max="9385" width="26" bestFit="1" customWidth="1"/>
    <col min="9386" max="9386" width="27.77734375" bestFit="1" customWidth="1"/>
    <col min="9387" max="9387" width="33.88671875" bestFit="1" customWidth="1"/>
    <col min="9388" max="9388" width="28.33203125" bestFit="1" customWidth="1"/>
    <col min="9389" max="9389" width="30.33203125" bestFit="1" customWidth="1"/>
    <col min="9390" max="9390" width="36.5546875" bestFit="1" customWidth="1"/>
    <col min="9391" max="9391" width="30.88671875" bestFit="1" customWidth="1"/>
    <col min="9392" max="9392" width="25.109375" bestFit="1" customWidth="1"/>
    <col min="9393" max="9393" width="31.21875" bestFit="1" customWidth="1"/>
    <col min="9394" max="9394" width="25.6640625" bestFit="1" customWidth="1"/>
    <col min="9395" max="9395" width="31.5546875" bestFit="1" customWidth="1"/>
    <col min="9396" max="9396" width="37.6640625" bestFit="1" customWidth="1"/>
    <col min="9397" max="9397" width="32.109375" bestFit="1" customWidth="1"/>
    <col min="9398" max="9398" width="22.77734375" bestFit="1" customWidth="1"/>
    <col min="9399" max="9399" width="28.88671875" bestFit="1" customWidth="1"/>
    <col min="9400" max="9400" width="23.33203125" bestFit="1" customWidth="1"/>
    <col min="9401" max="9401" width="25.44140625" bestFit="1" customWidth="1"/>
    <col min="9402" max="9402" width="31.6640625" bestFit="1" customWidth="1"/>
    <col min="9403" max="9403" width="26" bestFit="1" customWidth="1"/>
    <col min="9404" max="9404" width="27.77734375" bestFit="1" customWidth="1"/>
    <col min="9405" max="9405" width="33.88671875" bestFit="1" customWidth="1"/>
    <col min="9406" max="9406" width="28.33203125" bestFit="1" customWidth="1"/>
    <col min="9407" max="9407" width="30.33203125" bestFit="1" customWidth="1"/>
    <col min="9408" max="9408" width="36.5546875" bestFit="1" customWidth="1"/>
    <col min="9409" max="9409" width="30.88671875" bestFit="1" customWidth="1"/>
    <col min="9410" max="9410" width="25.109375" bestFit="1" customWidth="1"/>
    <col min="9411" max="9411" width="31.21875" bestFit="1" customWidth="1"/>
    <col min="9412" max="9412" width="25.6640625" bestFit="1" customWidth="1"/>
    <col min="9413" max="9413" width="31.5546875" bestFit="1" customWidth="1"/>
    <col min="9414" max="9414" width="37.6640625" bestFit="1" customWidth="1"/>
    <col min="9415" max="9415" width="32.109375" bestFit="1" customWidth="1"/>
    <col min="9416" max="9416" width="22.77734375" bestFit="1" customWidth="1"/>
    <col min="9417" max="9417" width="28.88671875" bestFit="1" customWidth="1"/>
    <col min="9418" max="9418" width="23.33203125" bestFit="1" customWidth="1"/>
    <col min="9419" max="9419" width="25.44140625" bestFit="1" customWidth="1"/>
    <col min="9420" max="9420" width="31.6640625" bestFit="1" customWidth="1"/>
    <col min="9421" max="9421" width="26" bestFit="1" customWidth="1"/>
    <col min="9422" max="9422" width="27.77734375" bestFit="1" customWidth="1"/>
    <col min="9423" max="9423" width="33.88671875" bestFit="1" customWidth="1"/>
    <col min="9424" max="9424" width="28.33203125" bestFit="1" customWidth="1"/>
    <col min="9425" max="9425" width="30.33203125" bestFit="1" customWidth="1"/>
    <col min="9426" max="9426" width="36.5546875" bestFit="1" customWidth="1"/>
    <col min="9427" max="9427" width="30.88671875" bestFit="1" customWidth="1"/>
    <col min="9428" max="9428" width="25.109375" bestFit="1" customWidth="1"/>
    <col min="9429" max="9429" width="31.21875" bestFit="1" customWidth="1"/>
    <col min="9430" max="9430" width="25.6640625" bestFit="1" customWidth="1"/>
    <col min="9431" max="9431" width="31.5546875" bestFit="1" customWidth="1"/>
    <col min="9432" max="9432" width="37.6640625" bestFit="1" customWidth="1"/>
    <col min="9433" max="9433" width="32.109375" bestFit="1" customWidth="1"/>
    <col min="9434" max="9434" width="22.77734375" bestFit="1" customWidth="1"/>
    <col min="9435" max="9435" width="28.88671875" bestFit="1" customWidth="1"/>
    <col min="9436" max="9436" width="23.33203125" bestFit="1" customWidth="1"/>
    <col min="9437" max="9437" width="25.44140625" bestFit="1" customWidth="1"/>
    <col min="9438" max="9438" width="31.6640625" bestFit="1" customWidth="1"/>
    <col min="9439" max="9439" width="26" bestFit="1" customWidth="1"/>
    <col min="9440" max="9440" width="27.77734375" bestFit="1" customWidth="1"/>
    <col min="9441" max="9441" width="33.88671875" bestFit="1" customWidth="1"/>
    <col min="9442" max="9442" width="28.33203125" bestFit="1" customWidth="1"/>
    <col min="9443" max="9443" width="30.33203125" bestFit="1" customWidth="1"/>
    <col min="9444" max="9444" width="36.5546875" bestFit="1" customWidth="1"/>
    <col min="9445" max="9445" width="30.88671875" bestFit="1" customWidth="1"/>
    <col min="9446" max="9446" width="25.109375" bestFit="1" customWidth="1"/>
    <col min="9447" max="9447" width="31.21875" bestFit="1" customWidth="1"/>
    <col min="9448" max="9448" width="25.6640625" bestFit="1" customWidth="1"/>
    <col min="9449" max="9449" width="31.5546875" bestFit="1" customWidth="1"/>
    <col min="9450" max="9450" width="37.6640625" bestFit="1" customWidth="1"/>
    <col min="9451" max="9451" width="32.109375" bestFit="1" customWidth="1"/>
    <col min="9452" max="9452" width="22.77734375" bestFit="1" customWidth="1"/>
    <col min="9453" max="9453" width="28.88671875" bestFit="1" customWidth="1"/>
    <col min="9454" max="9454" width="23.33203125" bestFit="1" customWidth="1"/>
    <col min="9455" max="9455" width="25.44140625" bestFit="1" customWidth="1"/>
    <col min="9456" max="9456" width="31.6640625" bestFit="1" customWidth="1"/>
    <col min="9457" max="9457" width="26" bestFit="1" customWidth="1"/>
    <col min="9458" max="9458" width="27.77734375" bestFit="1" customWidth="1"/>
    <col min="9459" max="9459" width="33.88671875" bestFit="1" customWidth="1"/>
    <col min="9460" max="9460" width="28.33203125" bestFit="1" customWidth="1"/>
    <col min="9461" max="9461" width="30.33203125" bestFit="1" customWidth="1"/>
    <col min="9462" max="9462" width="36.5546875" bestFit="1" customWidth="1"/>
    <col min="9463" max="9463" width="30.88671875" bestFit="1" customWidth="1"/>
    <col min="9464" max="9464" width="25.109375" bestFit="1" customWidth="1"/>
    <col min="9465" max="9465" width="31.21875" bestFit="1" customWidth="1"/>
    <col min="9466" max="9466" width="25.6640625" bestFit="1" customWidth="1"/>
    <col min="9467" max="9467" width="31.5546875" bestFit="1" customWidth="1"/>
    <col min="9468" max="9468" width="37.6640625" bestFit="1" customWidth="1"/>
    <col min="9469" max="9469" width="32.109375" bestFit="1" customWidth="1"/>
    <col min="9470" max="9470" width="22.77734375" bestFit="1" customWidth="1"/>
    <col min="9471" max="9471" width="28.88671875" bestFit="1" customWidth="1"/>
    <col min="9472" max="9472" width="23.33203125" bestFit="1" customWidth="1"/>
    <col min="9473" max="9473" width="25.44140625" bestFit="1" customWidth="1"/>
    <col min="9474" max="9474" width="31.6640625" bestFit="1" customWidth="1"/>
    <col min="9475" max="9475" width="26" bestFit="1" customWidth="1"/>
    <col min="9476" max="9476" width="27.77734375" bestFit="1" customWidth="1"/>
    <col min="9477" max="9477" width="33.88671875" bestFit="1" customWidth="1"/>
    <col min="9478" max="9478" width="28.33203125" bestFit="1" customWidth="1"/>
    <col min="9479" max="9479" width="30.33203125" bestFit="1" customWidth="1"/>
    <col min="9480" max="9480" width="36.5546875" bestFit="1" customWidth="1"/>
    <col min="9481" max="9481" width="30.88671875" bestFit="1" customWidth="1"/>
    <col min="9482" max="9482" width="25.109375" bestFit="1" customWidth="1"/>
    <col min="9483" max="9483" width="31.21875" bestFit="1" customWidth="1"/>
    <col min="9484" max="9484" width="25.6640625" bestFit="1" customWidth="1"/>
    <col min="9485" max="9485" width="31.5546875" bestFit="1" customWidth="1"/>
    <col min="9486" max="9486" width="37.6640625" bestFit="1" customWidth="1"/>
    <col min="9487" max="9487" width="32.109375" bestFit="1" customWidth="1"/>
    <col min="9488" max="9488" width="22.77734375" bestFit="1" customWidth="1"/>
    <col min="9489" max="9489" width="28.88671875" bestFit="1" customWidth="1"/>
    <col min="9490" max="9490" width="23.33203125" bestFit="1" customWidth="1"/>
    <col min="9491" max="9491" width="25.44140625" bestFit="1" customWidth="1"/>
    <col min="9492" max="9492" width="31.6640625" bestFit="1" customWidth="1"/>
    <col min="9493" max="9493" width="26" bestFit="1" customWidth="1"/>
    <col min="9494" max="9494" width="27.77734375" bestFit="1" customWidth="1"/>
    <col min="9495" max="9495" width="33.88671875" bestFit="1" customWidth="1"/>
    <col min="9496" max="9496" width="28.33203125" bestFit="1" customWidth="1"/>
    <col min="9497" max="9497" width="30.33203125" bestFit="1" customWidth="1"/>
    <col min="9498" max="9498" width="36.5546875" bestFit="1" customWidth="1"/>
    <col min="9499" max="9499" width="30.88671875" bestFit="1" customWidth="1"/>
    <col min="9500" max="9500" width="25.109375" bestFit="1" customWidth="1"/>
    <col min="9501" max="9501" width="31.21875" bestFit="1" customWidth="1"/>
    <col min="9502" max="9502" width="25.6640625" bestFit="1" customWidth="1"/>
    <col min="9503" max="9503" width="31.5546875" bestFit="1" customWidth="1"/>
    <col min="9504" max="9504" width="37.6640625" bestFit="1" customWidth="1"/>
    <col min="9505" max="9505" width="32.109375" bestFit="1" customWidth="1"/>
    <col min="9506" max="9506" width="22.77734375" bestFit="1" customWidth="1"/>
    <col min="9507" max="9507" width="28.88671875" bestFit="1" customWidth="1"/>
    <col min="9508" max="9508" width="23.33203125" bestFit="1" customWidth="1"/>
    <col min="9509" max="9509" width="25.44140625" bestFit="1" customWidth="1"/>
    <col min="9510" max="9510" width="31.6640625" bestFit="1" customWidth="1"/>
    <col min="9511" max="9511" width="26" bestFit="1" customWidth="1"/>
    <col min="9512" max="9512" width="27.77734375" bestFit="1" customWidth="1"/>
    <col min="9513" max="9513" width="33.88671875" bestFit="1" customWidth="1"/>
    <col min="9514" max="9514" width="28.33203125" bestFit="1" customWidth="1"/>
    <col min="9515" max="9515" width="30.33203125" bestFit="1" customWidth="1"/>
    <col min="9516" max="9516" width="36.5546875" bestFit="1" customWidth="1"/>
    <col min="9517" max="9517" width="30.88671875" bestFit="1" customWidth="1"/>
    <col min="9518" max="9518" width="25.109375" bestFit="1" customWidth="1"/>
    <col min="9519" max="9519" width="31.21875" bestFit="1" customWidth="1"/>
    <col min="9520" max="9520" width="25.6640625" bestFit="1" customWidth="1"/>
    <col min="9521" max="9521" width="31.5546875" bestFit="1" customWidth="1"/>
    <col min="9522" max="9522" width="37.6640625" bestFit="1" customWidth="1"/>
    <col min="9523" max="9523" width="32.109375" bestFit="1" customWidth="1"/>
    <col min="9524" max="9524" width="22.77734375" bestFit="1" customWidth="1"/>
    <col min="9525" max="9525" width="28.88671875" bestFit="1" customWidth="1"/>
    <col min="9526" max="9526" width="23.33203125" bestFit="1" customWidth="1"/>
    <col min="9527" max="9527" width="25.44140625" bestFit="1" customWidth="1"/>
    <col min="9528" max="9528" width="31.6640625" bestFit="1" customWidth="1"/>
    <col min="9529" max="9529" width="26" bestFit="1" customWidth="1"/>
    <col min="9530" max="9530" width="27.77734375" bestFit="1" customWidth="1"/>
    <col min="9531" max="9531" width="33.88671875" bestFit="1" customWidth="1"/>
    <col min="9532" max="9532" width="28.33203125" bestFit="1" customWidth="1"/>
    <col min="9533" max="9533" width="30.33203125" bestFit="1" customWidth="1"/>
    <col min="9534" max="9534" width="36.5546875" bestFit="1" customWidth="1"/>
    <col min="9535" max="9535" width="30.88671875" bestFit="1" customWidth="1"/>
    <col min="9536" max="9536" width="25.109375" bestFit="1" customWidth="1"/>
    <col min="9537" max="9537" width="31.21875" bestFit="1" customWidth="1"/>
    <col min="9538" max="9538" width="25.6640625" bestFit="1" customWidth="1"/>
    <col min="9539" max="9539" width="31.5546875" bestFit="1" customWidth="1"/>
    <col min="9540" max="9540" width="37.6640625" bestFit="1" customWidth="1"/>
    <col min="9541" max="9541" width="32.109375" bestFit="1" customWidth="1"/>
    <col min="9542" max="9542" width="22.77734375" bestFit="1" customWidth="1"/>
    <col min="9543" max="9543" width="28.88671875" bestFit="1" customWidth="1"/>
    <col min="9544" max="9544" width="23.33203125" bestFit="1" customWidth="1"/>
    <col min="9545" max="9545" width="25.44140625" bestFit="1" customWidth="1"/>
    <col min="9546" max="9546" width="31.6640625" bestFit="1" customWidth="1"/>
    <col min="9547" max="9547" width="26" bestFit="1" customWidth="1"/>
    <col min="9548" max="9548" width="27.77734375" bestFit="1" customWidth="1"/>
    <col min="9549" max="9549" width="33.88671875" bestFit="1" customWidth="1"/>
    <col min="9550" max="9550" width="28.33203125" bestFit="1" customWidth="1"/>
    <col min="9551" max="9551" width="30.33203125" bestFit="1" customWidth="1"/>
    <col min="9552" max="9552" width="36.5546875" bestFit="1" customWidth="1"/>
    <col min="9553" max="9553" width="30.88671875" bestFit="1" customWidth="1"/>
    <col min="9554" max="9554" width="25.109375" bestFit="1" customWidth="1"/>
    <col min="9555" max="9555" width="31.21875" bestFit="1" customWidth="1"/>
    <col min="9556" max="9556" width="25.6640625" bestFit="1" customWidth="1"/>
    <col min="9557" max="9557" width="31.5546875" bestFit="1" customWidth="1"/>
    <col min="9558" max="9558" width="37.6640625" bestFit="1" customWidth="1"/>
    <col min="9559" max="9559" width="32.109375" bestFit="1" customWidth="1"/>
    <col min="9560" max="9560" width="22.77734375" bestFit="1" customWidth="1"/>
    <col min="9561" max="9561" width="28.88671875" bestFit="1" customWidth="1"/>
    <col min="9562" max="9562" width="23.33203125" bestFit="1" customWidth="1"/>
    <col min="9563" max="9563" width="25.44140625" bestFit="1" customWidth="1"/>
    <col min="9564" max="9564" width="31.6640625" bestFit="1" customWidth="1"/>
    <col min="9565" max="9565" width="26" bestFit="1" customWidth="1"/>
    <col min="9566" max="9566" width="27.77734375" bestFit="1" customWidth="1"/>
    <col min="9567" max="9567" width="33.88671875" bestFit="1" customWidth="1"/>
    <col min="9568" max="9568" width="28.33203125" bestFit="1" customWidth="1"/>
    <col min="9569" max="9569" width="30.33203125" bestFit="1" customWidth="1"/>
    <col min="9570" max="9570" width="36.5546875" bestFit="1" customWidth="1"/>
    <col min="9571" max="9571" width="30.88671875" bestFit="1" customWidth="1"/>
    <col min="9572" max="9572" width="25.109375" bestFit="1" customWidth="1"/>
    <col min="9573" max="9573" width="31.21875" bestFit="1" customWidth="1"/>
    <col min="9574" max="9574" width="25.6640625" bestFit="1" customWidth="1"/>
    <col min="9575" max="9575" width="31.5546875" bestFit="1" customWidth="1"/>
    <col min="9576" max="9576" width="37.6640625" bestFit="1" customWidth="1"/>
    <col min="9577" max="9577" width="32.109375" bestFit="1" customWidth="1"/>
    <col min="9578" max="9578" width="22.77734375" bestFit="1" customWidth="1"/>
    <col min="9579" max="9579" width="28.88671875" bestFit="1" customWidth="1"/>
    <col min="9580" max="9580" width="23.33203125" bestFit="1" customWidth="1"/>
    <col min="9581" max="9581" width="25.44140625" bestFit="1" customWidth="1"/>
    <col min="9582" max="9582" width="31.6640625" bestFit="1" customWidth="1"/>
    <col min="9583" max="9583" width="26" bestFit="1" customWidth="1"/>
    <col min="9584" max="9584" width="27.77734375" bestFit="1" customWidth="1"/>
    <col min="9585" max="9585" width="33.88671875" bestFit="1" customWidth="1"/>
    <col min="9586" max="9586" width="28.33203125" bestFit="1" customWidth="1"/>
    <col min="9587" max="9587" width="30.33203125" bestFit="1" customWidth="1"/>
    <col min="9588" max="9588" width="36.5546875" bestFit="1" customWidth="1"/>
    <col min="9589" max="9589" width="30.88671875" bestFit="1" customWidth="1"/>
    <col min="9590" max="9590" width="25.109375" bestFit="1" customWidth="1"/>
    <col min="9591" max="9591" width="31.21875" bestFit="1" customWidth="1"/>
    <col min="9592" max="9592" width="25.6640625" bestFit="1" customWidth="1"/>
    <col min="9593" max="9593" width="31.5546875" bestFit="1" customWidth="1"/>
    <col min="9594" max="9594" width="37.6640625" bestFit="1" customWidth="1"/>
    <col min="9595" max="9595" width="32.109375" bestFit="1" customWidth="1"/>
    <col min="9596" max="9596" width="22.77734375" bestFit="1" customWidth="1"/>
    <col min="9597" max="9597" width="28.88671875" bestFit="1" customWidth="1"/>
    <col min="9598" max="9598" width="23.33203125" bestFit="1" customWidth="1"/>
    <col min="9599" max="9599" width="25.44140625" bestFit="1" customWidth="1"/>
    <col min="9600" max="9600" width="31.6640625" bestFit="1" customWidth="1"/>
    <col min="9601" max="9601" width="26" bestFit="1" customWidth="1"/>
    <col min="9602" max="9602" width="27.77734375" bestFit="1" customWidth="1"/>
    <col min="9603" max="9603" width="33.88671875" bestFit="1" customWidth="1"/>
    <col min="9604" max="9604" width="28.33203125" bestFit="1" customWidth="1"/>
    <col min="9605" max="9605" width="30.33203125" bestFit="1" customWidth="1"/>
    <col min="9606" max="9606" width="36.5546875" bestFit="1" customWidth="1"/>
    <col min="9607" max="9607" width="30.88671875" bestFit="1" customWidth="1"/>
    <col min="9608" max="9608" width="25.109375" bestFit="1" customWidth="1"/>
    <col min="9609" max="9609" width="31.21875" bestFit="1" customWidth="1"/>
    <col min="9610" max="9610" width="25.6640625" bestFit="1" customWidth="1"/>
    <col min="9611" max="9611" width="31.5546875" bestFit="1" customWidth="1"/>
    <col min="9612" max="9612" width="37.6640625" bestFit="1" customWidth="1"/>
    <col min="9613" max="9613" width="32.109375" bestFit="1" customWidth="1"/>
    <col min="9614" max="9614" width="22.77734375" bestFit="1" customWidth="1"/>
    <col min="9615" max="9615" width="28.88671875" bestFit="1" customWidth="1"/>
    <col min="9616" max="9616" width="23.33203125" bestFit="1" customWidth="1"/>
    <col min="9617" max="9617" width="25.44140625" bestFit="1" customWidth="1"/>
    <col min="9618" max="9618" width="31.6640625" bestFit="1" customWidth="1"/>
    <col min="9619" max="9619" width="26" bestFit="1" customWidth="1"/>
    <col min="9620" max="9620" width="27.77734375" bestFit="1" customWidth="1"/>
    <col min="9621" max="9621" width="33.88671875" bestFit="1" customWidth="1"/>
    <col min="9622" max="9622" width="28.33203125" bestFit="1" customWidth="1"/>
    <col min="9623" max="9623" width="30.33203125" bestFit="1" customWidth="1"/>
    <col min="9624" max="9624" width="36.5546875" bestFit="1" customWidth="1"/>
    <col min="9625" max="9625" width="30.88671875" bestFit="1" customWidth="1"/>
    <col min="9626" max="9626" width="25.109375" bestFit="1" customWidth="1"/>
    <col min="9627" max="9627" width="31.21875" bestFit="1" customWidth="1"/>
    <col min="9628" max="9628" width="25.6640625" bestFit="1" customWidth="1"/>
    <col min="9629" max="9629" width="31.5546875" bestFit="1" customWidth="1"/>
    <col min="9630" max="9630" width="37.6640625" bestFit="1" customWidth="1"/>
    <col min="9631" max="9631" width="32.109375" bestFit="1" customWidth="1"/>
    <col min="9632" max="9632" width="22.77734375" bestFit="1" customWidth="1"/>
    <col min="9633" max="9633" width="28.88671875" bestFit="1" customWidth="1"/>
    <col min="9634" max="9634" width="23.33203125" bestFit="1" customWidth="1"/>
    <col min="9635" max="9635" width="25.44140625" bestFit="1" customWidth="1"/>
    <col min="9636" max="9636" width="31.6640625" bestFit="1" customWidth="1"/>
    <col min="9637" max="9637" width="26" bestFit="1" customWidth="1"/>
    <col min="9638" max="9638" width="26.77734375" bestFit="1" customWidth="1"/>
    <col min="9639" max="9639" width="32.88671875" bestFit="1" customWidth="1"/>
    <col min="9640" max="9640" width="27.33203125" bestFit="1" customWidth="1"/>
    <col min="9641" max="9641" width="30.33203125" bestFit="1" customWidth="1"/>
    <col min="9642" max="9642" width="36.5546875" bestFit="1" customWidth="1"/>
    <col min="9643" max="9643" width="30.88671875" bestFit="1" customWidth="1"/>
    <col min="9644" max="9644" width="25.109375" bestFit="1" customWidth="1"/>
    <col min="9645" max="9645" width="31.21875" bestFit="1" customWidth="1"/>
    <col min="9646" max="9646" width="25.6640625" bestFit="1" customWidth="1"/>
    <col min="9647" max="9647" width="31.5546875" bestFit="1" customWidth="1"/>
    <col min="9648" max="9648" width="37.6640625" bestFit="1" customWidth="1"/>
    <col min="9649" max="9649" width="32.109375" bestFit="1" customWidth="1"/>
    <col min="9650" max="9650" width="22.77734375" bestFit="1" customWidth="1"/>
    <col min="9651" max="9651" width="28.88671875" bestFit="1" customWidth="1"/>
    <col min="9652" max="9652" width="23.33203125" bestFit="1" customWidth="1"/>
    <col min="9653" max="9653" width="25.44140625" bestFit="1" customWidth="1"/>
    <col min="9654" max="9654" width="31.6640625" bestFit="1" customWidth="1"/>
    <col min="9655" max="9655" width="26" bestFit="1" customWidth="1"/>
    <col min="9656" max="9656" width="27.77734375" bestFit="1" customWidth="1"/>
    <col min="9657" max="9657" width="33.88671875" bestFit="1" customWidth="1"/>
    <col min="9658" max="9658" width="28.33203125" bestFit="1" customWidth="1"/>
    <col min="9659" max="9659" width="30.33203125" bestFit="1" customWidth="1"/>
    <col min="9660" max="9660" width="36.5546875" bestFit="1" customWidth="1"/>
    <col min="9661" max="9661" width="30.88671875" bestFit="1" customWidth="1"/>
    <col min="9662" max="9662" width="25.109375" bestFit="1" customWidth="1"/>
    <col min="9663" max="9663" width="31.21875" bestFit="1" customWidth="1"/>
    <col min="9664" max="9664" width="25.6640625" bestFit="1" customWidth="1"/>
    <col min="9665" max="9665" width="31.5546875" bestFit="1" customWidth="1"/>
    <col min="9666" max="9666" width="37.6640625" bestFit="1" customWidth="1"/>
    <col min="9667" max="9667" width="32.109375" bestFit="1" customWidth="1"/>
    <col min="9668" max="9668" width="22.77734375" bestFit="1" customWidth="1"/>
    <col min="9669" max="9669" width="28.88671875" bestFit="1" customWidth="1"/>
    <col min="9670" max="9670" width="23.33203125" bestFit="1" customWidth="1"/>
    <col min="9671" max="9671" width="25.44140625" bestFit="1" customWidth="1"/>
    <col min="9672" max="9672" width="31.6640625" bestFit="1" customWidth="1"/>
    <col min="9673" max="9673" width="26" bestFit="1" customWidth="1"/>
    <col min="9674" max="9674" width="27.77734375" bestFit="1" customWidth="1"/>
    <col min="9675" max="9675" width="33.88671875" bestFit="1" customWidth="1"/>
    <col min="9676" max="9676" width="28.33203125" bestFit="1" customWidth="1"/>
    <col min="9677" max="9677" width="30.33203125" bestFit="1" customWidth="1"/>
    <col min="9678" max="9678" width="36.5546875" bestFit="1" customWidth="1"/>
    <col min="9679" max="9679" width="30.88671875" bestFit="1" customWidth="1"/>
    <col min="9680" max="9680" width="25.109375" bestFit="1" customWidth="1"/>
    <col min="9681" max="9681" width="31.21875" bestFit="1" customWidth="1"/>
    <col min="9682" max="9682" width="25.6640625" bestFit="1" customWidth="1"/>
    <col min="9683" max="9683" width="31.5546875" bestFit="1" customWidth="1"/>
    <col min="9684" max="9684" width="37.6640625" bestFit="1" customWidth="1"/>
    <col min="9685" max="9685" width="32.109375" bestFit="1" customWidth="1"/>
    <col min="9686" max="9686" width="22.77734375" bestFit="1" customWidth="1"/>
    <col min="9687" max="9687" width="28.88671875" bestFit="1" customWidth="1"/>
    <col min="9688" max="9688" width="23.33203125" bestFit="1" customWidth="1"/>
    <col min="9689" max="9689" width="25.44140625" bestFit="1" customWidth="1"/>
    <col min="9690" max="9690" width="31.6640625" bestFit="1" customWidth="1"/>
    <col min="9691" max="9691" width="26" bestFit="1" customWidth="1"/>
    <col min="9692" max="9692" width="27.77734375" bestFit="1" customWidth="1"/>
    <col min="9693" max="9693" width="33.88671875" bestFit="1" customWidth="1"/>
    <col min="9694" max="9694" width="28.33203125" bestFit="1" customWidth="1"/>
    <col min="9695" max="9695" width="30.33203125" bestFit="1" customWidth="1"/>
    <col min="9696" max="9696" width="36.5546875" bestFit="1" customWidth="1"/>
    <col min="9697" max="9697" width="30.88671875" bestFit="1" customWidth="1"/>
    <col min="9698" max="9698" width="25.109375" bestFit="1" customWidth="1"/>
    <col min="9699" max="9699" width="31.21875" bestFit="1" customWidth="1"/>
    <col min="9700" max="9700" width="25.6640625" bestFit="1" customWidth="1"/>
    <col min="9701" max="9701" width="31.5546875" bestFit="1" customWidth="1"/>
    <col min="9702" max="9702" width="37.6640625" bestFit="1" customWidth="1"/>
    <col min="9703" max="9703" width="32.109375" bestFit="1" customWidth="1"/>
    <col min="9704" max="9704" width="22.77734375" bestFit="1" customWidth="1"/>
    <col min="9705" max="9705" width="28.88671875" bestFit="1" customWidth="1"/>
    <col min="9706" max="9706" width="23.33203125" bestFit="1" customWidth="1"/>
    <col min="9707" max="9707" width="25.44140625" bestFit="1" customWidth="1"/>
    <col min="9708" max="9708" width="31.6640625" bestFit="1" customWidth="1"/>
    <col min="9709" max="9709" width="26" bestFit="1" customWidth="1"/>
    <col min="9710" max="9710" width="27.77734375" bestFit="1" customWidth="1"/>
    <col min="9711" max="9711" width="33.88671875" bestFit="1" customWidth="1"/>
    <col min="9712" max="9712" width="28.33203125" bestFit="1" customWidth="1"/>
    <col min="9713" max="9713" width="30.33203125" bestFit="1" customWidth="1"/>
    <col min="9714" max="9714" width="36.5546875" bestFit="1" customWidth="1"/>
    <col min="9715" max="9715" width="30.88671875" bestFit="1" customWidth="1"/>
    <col min="9716" max="9716" width="25.109375" bestFit="1" customWidth="1"/>
    <col min="9717" max="9717" width="31.21875" bestFit="1" customWidth="1"/>
    <col min="9718" max="9718" width="25.6640625" bestFit="1" customWidth="1"/>
    <col min="9719" max="9719" width="31.5546875" bestFit="1" customWidth="1"/>
    <col min="9720" max="9720" width="37.6640625" bestFit="1" customWidth="1"/>
    <col min="9721" max="9721" width="32.109375" bestFit="1" customWidth="1"/>
    <col min="9722" max="9722" width="22.77734375" bestFit="1" customWidth="1"/>
    <col min="9723" max="9723" width="28.88671875" bestFit="1" customWidth="1"/>
    <col min="9724" max="9724" width="23.33203125" bestFit="1" customWidth="1"/>
    <col min="9725" max="9725" width="25.44140625" bestFit="1" customWidth="1"/>
    <col min="9726" max="9726" width="31.6640625" bestFit="1" customWidth="1"/>
    <col min="9727" max="9727" width="26" bestFit="1" customWidth="1"/>
    <col min="9728" max="9728" width="27.77734375" bestFit="1" customWidth="1"/>
    <col min="9729" max="9729" width="33.88671875" bestFit="1" customWidth="1"/>
    <col min="9730" max="9730" width="28.33203125" bestFit="1" customWidth="1"/>
    <col min="9731" max="9731" width="30.33203125" bestFit="1" customWidth="1"/>
    <col min="9732" max="9732" width="36.5546875" bestFit="1" customWidth="1"/>
    <col min="9733" max="9733" width="30.88671875" bestFit="1" customWidth="1"/>
    <col min="9734" max="9734" width="25.109375" bestFit="1" customWidth="1"/>
    <col min="9735" max="9735" width="31.21875" bestFit="1" customWidth="1"/>
    <col min="9736" max="9736" width="25.6640625" bestFit="1" customWidth="1"/>
    <col min="9737" max="9737" width="31.5546875" bestFit="1" customWidth="1"/>
    <col min="9738" max="9738" width="37.6640625" bestFit="1" customWidth="1"/>
    <col min="9739" max="9739" width="32.109375" bestFit="1" customWidth="1"/>
    <col min="9740" max="9740" width="22.77734375" bestFit="1" customWidth="1"/>
    <col min="9741" max="9741" width="28.88671875" bestFit="1" customWidth="1"/>
    <col min="9742" max="9742" width="23.33203125" bestFit="1" customWidth="1"/>
    <col min="9743" max="9743" width="25.44140625" bestFit="1" customWidth="1"/>
    <col min="9744" max="9744" width="31.6640625" bestFit="1" customWidth="1"/>
    <col min="9745" max="9745" width="26" bestFit="1" customWidth="1"/>
    <col min="9746" max="9746" width="27.77734375" bestFit="1" customWidth="1"/>
    <col min="9747" max="9747" width="33.88671875" bestFit="1" customWidth="1"/>
    <col min="9748" max="9748" width="28.33203125" bestFit="1" customWidth="1"/>
    <col min="9749" max="9749" width="30.33203125" bestFit="1" customWidth="1"/>
    <col min="9750" max="9750" width="36.5546875" bestFit="1" customWidth="1"/>
    <col min="9751" max="9751" width="30.88671875" bestFit="1" customWidth="1"/>
    <col min="9752" max="9752" width="25.109375" bestFit="1" customWidth="1"/>
    <col min="9753" max="9753" width="31.21875" bestFit="1" customWidth="1"/>
    <col min="9754" max="9754" width="25.6640625" bestFit="1" customWidth="1"/>
    <col min="9755" max="9755" width="31.5546875" bestFit="1" customWidth="1"/>
    <col min="9756" max="9756" width="37.6640625" bestFit="1" customWidth="1"/>
    <col min="9757" max="9757" width="32.109375" bestFit="1" customWidth="1"/>
    <col min="9758" max="9758" width="22.77734375" bestFit="1" customWidth="1"/>
    <col min="9759" max="9759" width="28.88671875" bestFit="1" customWidth="1"/>
    <col min="9760" max="9760" width="23.33203125" bestFit="1" customWidth="1"/>
    <col min="9761" max="9761" width="25.44140625" bestFit="1" customWidth="1"/>
    <col min="9762" max="9762" width="31.6640625" bestFit="1" customWidth="1"/>
    <col min="9763" max="9763" width="26" bestFit="1" customWidth="1"/>
    <col min="9764" max="9764" width="27.77734375" bestFit="1" customWidth="1"/>
    <col min="9765" max="9765" width="33.88671875" bestFit="1" customWidth="1"/>
    <col min="9766" max="9766" width="28.33203125" bestFit="1" customWidth="1"/>
    <col min="9767" max="9767" width="30.33203125" bestFit="1" customWidth="1"/>
    <col min="9768" max="9768" width="36.5546875" bestFit="1" customWidth="1"/>
    <col min="9769" max="9769" width="30.88671875" bestFit="1" customWidth="1"/>
    <col min="9770" max="9770" width="25.109375" bestFit="1" customWidth="1"/>
    <col min="9771" max="9771" width="31.21875" bestFit="1" customWidth="1"/>
    <col min="9772" max="9772" width="25.6640625" bestFit="1" customWidth="1"/>
    <col min="9773" max="9773" width="31.5546875" bestFit="1" customWidth="1"/>
    <col min="9774" max="9774" width="37.6640625" bestFit="1" customWidth="1"/>
    <col min="9775" max="9775" width="32.109375" bestFit="1" customWidth="1"/>
    <col min="9776" max="9776" width="22.77734375" bestFit="1" customWidth="1"/>
    <col min="9777" max="9777" width="28.88671875" bestFit="1" customWidth="1"/>
    <col min="9778" max="9778" width="23.33203125" bestFit="1" customWidth="1"/>
    <col min="9779" max="9779" width="25.44140625" bestFit="1" customWidth="1"/>
    <col min="9780" max="9780" width="31.6640625" bestFit="1" customWidth="1"/>
    <col min="9781" max="9781" width="26" bestFit="1" customWidth="1"/>
    <col min="9782" max="9782" width="27.77734375" bestFit="1" customWidth="1"/>
    <col min="9783" max="9783" width="33.88671875" bestFit="1" customWidth="1"/>
    <col min="9784" max="9784" width="28.33203125" bestFit="1" customWidth="1"/>
    <col min="9785" max="9785" width="30.33203125" bestFit="1" customWidth="1"/>
    <col min="9786" max="9786" width="36.5546875" bestFit="1" customWidth="1"/>
    <col min="9787" max="9787" width="30.88671875" bestFit="1" customWidth="1"/>
    <col min="9788" max="9788" width="25.109375" bestFit="1" customWidth="1"/>
    <col min="9789" max="9789" width="31.21875" bestFit="1" customWidth="1"/>
    <col min="9790" max="9790" width="25.6640625" bestFit="1" customWidth="1"/>
    <col min="9791" max="9791" width="31.5546875" bestFit="1" customWidth="1"/>
    <col min="9792" max="9792" width="37.6640625" bestFit="1" customWidth="1"/>
    <col min="9793" max="9793" width="32.109375" bestFit="1" customWidth="1"/>
    <col min="9794" max="9794" width="22.77734375" bestFit="1" customWidth="1"/>
    <col min="9795" max="9795" width="28.88671875" bestFit="1" customWidth="1"/>
    <col min="9796" max="9796" width="23.33203125" bestFit="1" customWidth="1"/>
    <col min="9797" max="9797" width="25.44140625" bestFit="1" customWidth="1"/>
    <col min="9798" max="9798" width="31.6640625" bestFit="1" customWidth="1"/>
    <col min="9799" max="9799" width="26" bestFit="1" customWidth="1"/>
    <col min="9800" max="9800" width="26.77734375" bestFit="1" customWidth="1"/>
    <col min="9801" max="9801" width="32.88671875" bestFit="1" customWidth="1"/>
    <col min="9802" max="9802" width="27.33203125" bestFit="1" customWidth="1"/>
    <col min="9803" max="9803" width="30.33203125" bestFit="1" customWidth="1"/>
    <col min="9804" max="9804" width="36.5546875" bestFit="1" customWidth="1"/>
    <col min="9805" max="9805" width="30.88671875" bestFit="1" customWidth="1"/>
    <col min="9806" max="9806" width="25.109375" bestFit="1" customWidth="1"/>
    <col min="9807" max="9807" width="31.21875" bestFit="1" customWidth="1"/>
    <col min="9808" max="9808" width="25.6640625" bestFit="1" customWidth="1"/>
    <col min="9809" max="9809" width="31.5546875" bestFit="1" customWidth="1"/>
    <col min="9810" max="9810" width="37.6640625" bestFit="1" customWidth="1"/>
    <col min="9811" max="9811" width="32.109375" bestFit="1" customWidth="1"/>
    <col min="9812" max="9812" width="22.77734375" bestFit="1" customWidth="1"/>
    <col min="9813" max="9813" width="28.88671875" bestFit="1" customWidth="1"/>
    <col min="9814" max="9814" width="23.33203125" bestFit="1" customWidth="1"/>
    <col min="9815" max="9815" width="25.44140625" bestFit="1" customWidth="1"/>
    <col min="9816" max="9816" width="31.6640625" bestFit="1" customWidth="1"/>
    <col min="9817" max="9817" width="26" bestFit="1" customWidth="1"/>
    <col min="9818" max="9818" width="27.77734375" bestFit="1" customWidth="1"/>
    <col min="9819" max="9819" width="33.88671875" bestFit="1" customWidth="1"/>
    <col min="9820" max="9820" width="28.33203125" bestFit="1" customWidth="1"/>
    <col min="9821" max="9821" width="30.33203125" bestFit="1" customWidth="1"/>
    <col min="9822" max="9822" width="36.5546875" bestFit="1" customWidth="1"/>
    <col min="9823" max="9823" width="30.88671875" bestFit="1" customWidth="1"/>
    <col min="9824" max="9824" width="25.109375" bestFit="1" customWidth="1"/>
    <col min="9825" max="9825" width="31.21875" bestFit="1" customWidth="1"/>
    <col min="9826" max="9826" width="25.6640625" bestFit="1" customWidth="1"/>
    <col min="9827" max="9827" width="31.5546875" bestFit="1" customWidth="1"/>
    <col min="9828" max="9828" width="37.6640625" bestFit="1" customWidth="1"/>
    <col min="9829" max="9829" width="32.109375" bestFit="1" customWidth="1"/>
    <col min="9830" max="9830" width="22.77734375" bestFit="1" customWidth="1"/>
    <col min="9831" max="9831" width="28.88671875" bestFit="1" customWidth="1"/>
    <col min="9832" max="9832" width="23.33203125" bestFit="1" customWidth="1"/>
    <col min="9833" max="9833" width="25.44140625" bestFit="1" customWidth="1"/>
    <col min="9834" max="9834" width="31.6640625" bestFit="1" customWidth="1"/>
    <col min="9835" max="9835" width="26" bestFit="1" customWidth="1"/>
    <col min="9836" max="9836" width="27.77734375" bestFit="1" customWidth="1"/>
    <col min="9837" max="9837" width="33.88671875" bestFit="1" customWidth="1"/>
    <col min="9838" max="9838" width="28.33203125" bestFit="1" customWidth="1"/>
    <col min="9839" max="9839" width="30.33203125" bestFit="1" customWidth="1"/>
    <col min="9840" max="9840" width="36.5546875" bestFit="1" customWidth="1"/>
    <col min="9841" max="9841" width="30.88671875" bestFit="1" customWidth="1"/>
    <col min="9842" max="9842" width="25.109375" bestFit="1" customWidth="1"/>
    <col min="9843" max="9843" width="31.21875" bestFit="1" customWidth="1"/>
    <col min="9844" max="9844" width="25.6640625" bestFit="1" customWidth="1"/>
    <col min="9845" max="9845" width="31.5546875" bestFit="1" customWidth="1"/>
    <col min="9846" max="9846" width="37.6640625" bestFit="1" customWidth="1"/>
    <col min="9847" max="9847" width="32.109375" bestFit="1" customWidth="1"/>
    <col min="9848" max="9848" width="22.77734375" bestFit="1" customWidth="1"/>
    <col min="9849" max="9849" width="28.88671875" bestFit="1" customWidth="1"/>
    <col min="9850" max="9850" width="23.33203125" bestFit="1" customWidth="1"/>
    <col min="9851" max="9851" width="25.44140625" bestFit="1" customWidth="1"/>
    <col min="9852" max="9852" width="31.6640625" bestFit="1" customWidth="1"/>
    <col min="9853" max="9853" width="26" bestFit="1" customWidth="1"/>
    <col min="9854" max="9854" width="27.77734375" bestFit="1" customWidth="1"/>
    <col min="9855" max="9855" width="33.88671875" bestFit="1" customWidth="1"/>
    <col min="9856" max="9856" width="28.33203125" bestFit="1" customWidth="1"/>
    <col min="9857" max="9857" width="30.33203125" bestFit="1" customWidth="1"/>
    <col min="9858" max="9858" width="36.5546875" bestFit="1" customWidth="1"/>
    <col min="9859" max="9859" width="30.88671875" bestFit="1" customWidth="1"/>
    <col min="9860" max="9860" width="25.109375" bestFit="1" customWidth="1"/>
    <col min="9861" max="9861" width="31.21875" bestFit="1" customWidth="1"/>
    <col min="9862" max="9862" width="25.6640625" bestFit="1" customWidth="1"/>
    <col min="9863" max="9863" width="31.5546875" bestFit="1" customWidth="1"/>
    <col min="9864" max="9864" width="37.6640625" bestFit="1" customWidth="1"/>
    <col min="9865" max="9865" width="32.109375" bestFit="1" customWidth="1"/>
    <col min="9866" max="9866" width="22.77734375" bestFit="1" customWidth="1"/>
    <col min="9867" max="9867" width="28.88671875" bestFit="1" customWidth="1"/>
    <col min="9868" max="9868" width="23.33203125" bestFit="1" customWidth="1"/>
    <col min="9869" max="9869" width="25.44140625" bestFit="1" customWidth="1"/>
    <col min="9870" max="9870" width="31.6640625" bestFit="1" customWidth="1"/>
    <col min="9871" max="9871" width="26" bestFit="1" customWidth="1"/>
    <col min="9872" max="9872" width="26.77734375" bestFit="1" customWidth="1"/>
    <col min="9873" max="9873" width="32.88671875" bestFit="1" customWidth="1"/>
    <col min="9874" max="9874" width="27.33203125" bestFit="1" customWidth="1"/>
    <col min="9875" max="9875" width="30.33203125" bestFit="1" customWidth="1"/>
    <col min="9876" max="9876" width="36.5546875" bestFit="1" customWidth="1"/>
    <col min="9877" max="9877" width="30.88671875" bestFit="1" customWidth="1"/>
    <col min="9878" max="9878" width="25.109375" bestFit="1" customWidth="1"/>
    <col min="9879" max="9879" width="31.21875" bestFit="1" customWidth="1"/>
    <col min="9880" max="9880" width="25.6640625" bestFit="1" customWidth="1"/>
    <col min="9881" max="9881" width="31.5546875" bestFit="1" customWidth="1"/>
    <col min="9882" max="9882" width="37.6640625" bestFit="1" customWidth="1"/>
    <col min="9883" max="9883" width="32.109375" bestFit="1" customWidth="1"/>
    <col min="9884" max="9884" width="22.77734375" bestFit="1" customWidth="1"/>
    <col min="9885" max="9885" width="28.88671875" bestFit="1" customWidth="1"/>
    <col min="9886" max="9886" width="23.33203125" bestFit="1" customWidth="1"/>
    <col min="9887" max="9887" width="25.44140625" bestFit="1" customWidth="1"/>
    <col min="9888" max="9888" width="31.6640625" bestFit="1" customWidth="1"/>
    <col min="9889" max="9889" width="26" bestFit="1" customWidth="1"/>
    <col min="9890" max="9890" width="26.77734375" bestFit="1" customWidth="1"/>
    <col min="9891" max="9891" width="32.88671875" bestFit="1" customWidth="1"/>
    <col min="9892" max="9892" width="27.33203125" bestFit="1" customWidth="1"/>
    <col min="9893" max="9893" width="30.33203125" bestFit="1" customWidth="1"/>
    <col min="9894" max="9894" width="36.5546875" bestFit="1" customWidth="1"/>
    <col min="9895" max="9895" width="30.88671875" bestFit="1" customWidth="1"/>
    <col min="9896" max="9896" width="25.109375" bestFit="1" customWidth="1"/>
    <col min="9897" max="9897" width="31.21875" bestFit="1" customWidth="1"/>
    <col min="9898" max="9898" width="25.6640625" bestFit="1" customWidth="1"/>
    <col min="9899" max="9899" width="31.5546875" bestFit="1" customWidth="1"/>
    <col min="9900" max="9900" width="37.6640625" bestFit="1" customWidth="1"/>
    <col min="9901" max="9901" width="32.109375" bestFit="1" customWidth="1"/>
    <col min="9902" max="9902" width="22.77734375" bestFit="1" customWidth="1"/>
    <col min="9903" max="9903" width="28.88671875" bestFit="1" customWidth="1"/>
    <col min="9904" max="9904" width="23.33203125" bestFit="1" customWidth="1"/>
    <col min="9905" max="9905" width="25.44140625" bestFit="1" customWidth="1"/>
    <col min="9906" max="9906" width="31.6640625" bestFit="1" customWidth="1"/>
    <col min="9907" max="9907" width="26" bestFit="1" customWidth="1"/>
    <col min="9908" max="9908" width="27.77734375" bestFit="1" customWidth="1"/>
    <col min="9909" max="9909" width="33.88671875" bestFit="1" customWidth="1"/>
    <col min="9910" max="9910" width="28.33203125" bestFit="1" customWidth="1"/>
    <col min="9911" max="9911" width="30.33203125" bestFit="1" customWidth="1"/>
    <col min="9912" max="9912" width="36.5546875" bestFit="1" customWidth="1"/>
    <col min="9913" max="9913" width="30.88671875" bestFit="1" customWidth="1"/>
    <col min="9914" max="9914" width="25.109375" bestFit="1" customWidth="1"/>
    <col min="9915" max="9915" width="31.21875" bestFit="1" customWidth="1"/>
    <col min="9916" max="9916" width="25.6640625" bestFit="1" customWidth="1"/>
    <col min="9917" max="9917" width="31.5546875" bestFit="1" customWidth="1"/>
    <col min="9918" max="9918" width="37.6640625" bestFit="1" customWidth="1"/>
    <col min="9919" max="9919" width="32.109375" bestFit="1" customWidth="1"/>
    <col min="9920" max="9920" width="22.77734375" bestFit="1" customWidth="1"/>
    <col min="9921" max="9921" width="28.88671875" bestFit="1" customWidth="1"/>
    <col min="9922" max="9922" width="23.33203125" bestFit="1" customWidth="1"/>
    <col min="9923" max="9923" width="25.44140625" bestFit="1" customWidth="1"/>
    <col min="9924" max="9924" width="31.6640625" bestFit="1" customWidth="1"/>
    <col min="9925" max="9925" width="26" bestFit="1" customWidth="1"/>
    <col min="9926" max="9926" width="27.77734375" bestFit="1" customWidth="1"/>
    <col min="9927" max="9927" width="33.88671875" bestFit="1" customWidth="1"/>
    <col min="9928" max="9928" width="28.33203125" bestFit="1" customWidth="1"/>
    <col min="9929" max="9929" width="30.33203125" bestFit="1" customWidth="1"/>
    <col min="9930" max="9930" width="36.5546875" bestFit="1" customWidth="1"/>
    <col min="9931" max="9931" width="30.88671875" bestFit="1" customWidth="1"/>
    <col min="9932" max="9932" width="25.109375" bestFit="1" customWidth="1"/>
    <col min="9933" max="9933" width="31.21875" bestFit="1" customWidth="1"/>
    <col min="9934" max="9934" width="25.6640625" bestFit="1" customWidth="1"/>
    <col min="9935" max="9935" width="31.5546875" bestFit="1" customWidth="1"/>
    <col min="9936" max="9936" width="37.6640625" bestFit="1" customWidth="1"/>
    <col min="9937" max="9937" width="32.109375" bestFit="1" customWidth="1"/>
    <col min="9938" max="9938" width="22.77734375" bestFit="1" customWidth="1"/>
    <col min="9939" max="9939" width="28.88671875" bestFit="1" customWidth="1"/>
    <col min="9940" max="9940" width="23.33203125" bestFit="1" customWidth="1"/>
    <col min="9941" max="9941" width="25.44140625" bestFit="1" customWidth="1"/>
    <col min="9942" max="9942" width="31.6640625" bestFit="1" customWidth="1"/>
    <col min="9943" max="9943" width="26" bestFit="1" customWidth="1"/>
    <col min="9944" max="9944" width="27.77734375" bestFit="1" customWidth="1"/>
    <col min="9945" max="9945" width="33.88671875" bestFit="1" customWidth="1"/>
    <col min="9946" max="9946" width="28.33203125" bestFit="1" customWidth="1"/>
    <col min="9947" max="9947" width="30.33203125" bestFit="1" customWidth="1"/>
    <col min="9948" max="9948" width="36.5546875" bestFit="1" customWidth="1"/>
    <col min="9949" max="9949" width="30.88671875" bestFit="1" customWidth="1"/>
    <col min="9950" max="9950" width="25.109375" bestFit="1" customWidth="1"/>
    <col min="9951" max="9951" width="31.21875" bestFit="1" customWidth="1"/>
    <col min="9952" max="9952" width="25.6640625" bestFit="1" customWidth="1"/>
    <col min="9953" max="9953" width="31.5546875" bestFit="1" customWidth="1"/>
    <col min="9954" max="9954" width="37.6640625" bestFit="1" customWidth="1"/>
    <col min="9955" max="9955" width="32.109375" bestFit="1" customWidth="1"/>
    <col min="9956" max="9956" width="22.77734375" bestFit="1" customWidth="1"/>
    <col min="9957" max="9957" width="28.88671875" bestFit="1" customWidth="1"/>
    <col min="9958" max="9958" width="23.33203125" bestFit="1" customWidth="1"/>
    <col min="9959" max="9959" width="25.44140625" bestFit="1" customWidth="1"/>
    <col min="9960" max="9960" width="31.6640625" bestFit="1" customWidth="1"/>
    <col min="9961" max="9961" width="26" bestFit="1" customWidth="1"/>
    <col min="9962" max="9962" width="27.77734375" bestFit="1" customWidth="1"/>
    <col min="9963" max="9963" width="33.88671875" bestFit="1" customWidth="1"/>
    <col min="9964" max="9964" width="28.33203125" bestFit="1" customWidth="1"/>
    <col min="9965" max="9965" width="30.33203125" bestFit="1" customWidth="1"/>
    <col min="9966" max="9966" width="36.5546875" bestFit="1" customWidth="1"/>
    <col min="9967" max="9967" width="30.88671875" bestFit="1" customWidth="1"/>
    <col min="9968" max="9968" width="25.109375" bestFit="1" customWidth="1"/>
    <col min="9969" max="9969" width="31.21875" bestFit="1" customWidth="1"/>
    <col min="9970" max="9970" width="25.6640625" bestFit="1" customWidth="1"/>
    <col min="9971" max="9971" width="31.5546875" bestFit="1" customWidth="1"/>
    <col min="9972" max="9972" width="37.6640625" bestFit="1" customWidth="1"/>
    <col min="9973" max="9973" width="32.109375" bestFit="1" customWidth="1"/>
    <col min="9974" max="9974" width="22.77734375" bestFit="1" customWidth="1"/>
    <col min="9975" max="9975" width="28.88671875" bestFit="1" customWidth="1"/>
    <col min="9976" max="9976" width="23.33203125" bestFit="1" customWidth="1"/>
    <col min="9977" max="9977" width="25.44140625" bestFit="1" customWidth="1"/>
    <col min="9978" max="9978" width="31.6640625" bestFit="1" customWidth="1"/>
    <col min="9979" max="9979" width="26" bestFit="1" customWidth="1"/>
    <col min="9980" max="9980" width="27.77734375" bestFit="1" customWidth="1"/>
    <col min="9981" max="9981" width="33.88671875" bestFit="1" customWidth="1"/>
    <col min="9982" max="9982" width="28.33203125" bestFit="1" customWidth="1"/>
    <col min="9983" max="9983" width="30.33203125" bestFit="1" customWidth="1"/>
    <col min="9984" max="9984" width="36.5546875" bestFit="1" customWidth="1"/>
    <col min="9985" max="9985" width="30.88671875" bestFit="1" customWidth="1"/>
    <col min="9986" max="9986" width="25.109375" bestFit="1" customWidth="1"/>
    <col min="9987" max="9987" width="31.21875" bestFit="1" customWidth="1"/>
    <col min="9988" max="9988" width="25.6640625" bestFit="1" customWidth="1"/>
    <col min="9989" max="9989" width="31.5546875" bestFit="1" customWidth="1"/>
    <col min="9990" max="9990" width="37.6640625" bestFit="1" customWidth="1"/>
    <col min="9991" max="9991" width="32.109375" bestFit="1" customWidth="1"/>
    <col min="9992" max="9992" width="22.77734375" bestFit="1" customWidth="1"/>
    <col min="9993" max="9993" width="28.88671875" bestFit="1" customWidth="1"/>
    <col min="9994" max="9994" width="23.33203125" bestFit="1" customWidth="1"/>
    <col min="9995" max="9995" width="25.44140625" bestFit="1" customWidth="1"/>
    <col min="9996" max="9996" width="31.6640625" bestFit="1" customWidth="1"/>
    <col min="9997" max="9997" width="26" bestFit="1" customWidth="1"/>
    <col min="9998" max="9998" width="27.77734375" bestFit="1" customWidth="1"/>
    <col min="9999" max="9999" width="33.88671875" bestFit="1" customWidth="1"/>
    <col min="10000" max="10000" width="28.33203125" bestFit="1" customWidth="1"/>
    <col min="10001" max="10001" width="30.33203125" bestFit="1" customWidth="1"/>
    <col min="10002" max="10002" width="36.5546875" bestFit="1" customWidth="1"/>
    <col min="10003" max="10003" width="30.88671875" bestFit="1" customWidth="1"/>
    <col min="10004" max="10004" width="25.109375" bestFit="1" customWidth="1"/>
    <col min="10005" max="10005" width="31.21875" bestFit="1" customWidth="1"/>
    <col min="10006" max="10006" width="25.6640625" bestFit="1" customWidth="1"/>
    <col min="10007" max="10007" width="31.5546875" bestFit="1" customWidth="1"/>
    <col min="10008" max="10008" width="37.6640625" bestFit="1" customWidth="1"/>
    <col min="10009" max="10009" width="32.109375" bestFit="1" customWidth="1"/>
    <col min="10010" max="10010" width="22.77734375" bestFit="1" customWidth="1"/>
    <col min="10011" max="10011" width="28.88671875" bestFit="1" customWidth="1"/>
    <col min="10012" max="10012" width="23.33203125" bestFit="1" customWidth="1"/>
    <col min="10013" max="10013" width="25.44140625" bestFit="1" customWidth="1"/>
    <col min="10014" max="10014" width="31.6640625" bestFit="1" customWidth="1"/>
    <col min="10015" max="10015" width="26" bestFit="1" customWidth="1"/>
    <col min="10016" max="10016" width="27.77734375" bestFit="1" customWidth="1"/>
    <col min="10017" max="10017" width="33.88671875" bestFit="1" customWidth="1"/>
    <col min="10018" max="10018" width="28.33203125" bestFit="1" customWidth="1"/>
    <col min="10019" max="10019" width="30.33203125" bestFit="1" customWidth="1"/>
    <col min="10020" max="10020" width="36.5546875" bestFit="1" customWidth="1"/>
    <col min="10021" max="10021" width="30.88671875" bestFit="1" customWidth="1"/>
    <col min="10022" max="10022" width="25.109375" bestFit="1" customWidth="1"/>
    <col min="10023" max="10023" width="31.21875" bestFit="1" customWidth="1"/>
    <col min="10024" max="10024" width="25.6640625" bestFit="1" customWidth="1"/>
    <col min="10025" max="10025" width="31.5546875" bestFit="1" customWidth="1"/>
    <col min="10026" max="10026" width="37.6640625" bestFit="1" customWidth="1"/>
    <col min="10027" max="10027" width="32.109375" bestFit="1" customWidth="1"/>
    <col min="10028" max="10028" width="22.77734375" bestFit="1" customWidth="1"/>
    <col min="10029" max="10029" width="28.88671875" bestFit="1" customWidth="1"/>
    <col min="10030" max="10030" width="23.33203125" bestFit="1" customWidth="1"/>
    <col min="10031" max="10031" width="25.44140625" bestFit="1" customWidth="1"/>
    <col min="10032" max="10032" width="31.6640625" bestFit="1" customWidth="1"/>
    <col min="10033" max="10033" width="26" bestFit="1" customWidth="1"/>
    <col min="10034" max="10034" width="27.77734375" bestFit="1" customWidth="1"/>
    <col min="10035" max="10035" width="33.88671875" bestFit="1" customWidth="1"/>
    <col min="10036" max="10036" width="28.33203125" bestFit="1" customWidth="1"/>
    <col min="10037" max="10037" width="30.33203125" bestFit="1" customWidth="1"/>
    <col min="10038" max="10038" width="36.5546875" bestFit="1" customWidth="1"/>
    <col min="10039" max="10039" width="30.88671875" bestFit="1" customWidth="1"/>
    <col min="10040" max="10040" width="25.109375" bestFit="1" customWidth="1"/>
    <col min="10041" max="10041" width="31.21875" bestFit="1" customWidth="1"/>
    <col min="10042" max="10042" width="25.6640625" bestFit="1" customWidth="1"/>
    <col min="10043" max="10043" width="31.5546875" bestFit="1" customWidth="1"/>
    <col min="10044" max="10044" width="37.6640625" bestFit="1" customWidth="1"/>
    <col min="10045" max="10045" width="32.109375" bestFit="1" customWidth="1"/>
    <col min="10046" max="10046" width="22.77734375" bestFit="1" customWidth="1"/>
    <col min="10047" max="10047" width="28.88671875" bestFit="1" customWidth="1"/>
    <col min="10048" max="10048" width="23.33203125" bestFit="1" customWidth="1"/>
    <col min="10049" max="10049" width="25.44140625" bestFit="1" customWidth="1"/>
    <col min="10050" max="10050" width="31.6640625" bestFit="1" customWidth="1"/>
    <col min="10051" max="10051" width="26" bestFit="1" customWidth="1"/>
    <col min="10052" max="10052" width="27.77734375" bestFit="1" customWidth="1"/>
    <col min="10053" max="10053" width="33.88671875" bestFit="1" customWidth="1"/>
    <col min="10054" max="10054" width="28.33203125" bestFit="1" customWidth="1"/>
    <col min="10055" max="10055" width="30.33203125" bestFit="1" customWidth="1"/>
    <col min="10056" max="10056" width="36.5546875" bestFit="1" customWidth="1"/>
    <col min="10057" max="10057" width="30.88671875" bestFit="1" customWidth="1"/>
    <col min="10058" max="10058" width="25.109375" bestFit="1" customWidth="1"/>
    <col min="10059" max="10059" width="31.21875" bestFit="1" customWidth="1"/>
    <col min="10060" max="10060" width="25.6640625" bestFit="1" customWidth="1"/>
    <col min="10061" max="10061" width="31.5546875" bestFit="1" customWidth="1"/>
    <col min="10062" max="10062" width="37.6640625" bestFit="1" customWidth="1"/>
    <col min="10063" max="10063" width="32.109375" bestFit="1" customWidth="1"/>
    <col min="10064" max="10064" width="22.77734375" bestFit="1" customWidth="1"/>
    <col min="10065" max="10065" width="28.88671875" bestFit="1" customWidth="1"/>
    <col min="10066" max="10066" width="23.33203125" bestFit="1" customWidth="1"/>
    <col min="10067" max="10067" width="25.44140625" bestFit="1" customWidth="1"/>
    <col min="10068" max="10068" width="31.6640625" bestFit="1" customWidth="1"/>
    <col min="10069" max="10069" width="26" bestFit="1" customWidth="1"/>
    <col min="10070" max="10070" width="27.77734375" bestFit="1" customWidth="1"/>
    <col min="10071" max="10071" width="33.88671875" bestFit="1" customWidth="1"/>
    <col min="10072" max="10072" width="28.33203125" bestFit="1" customWidth="1"/>
    <col min="10073" max="10073" width="30.33203125" bestFit="1" customWidth="1"/>
    <col min="10074" max="10074" width="36.5546875" bestFit="1" customWidth="1"/>
    <col min="10075" max="10075" width="30.88671875" bestFit="1" customWidth="1"/>
    <col min="10076" max="10076" width="25.109375" bestFit="1" customWidth="1"/>
    <col min="10077" max="10077" width="31.21875" bestFit="1" customWidth="1"/>
    <col min="10078" max="10078" width="25.6640625" bestFit="1" customWidth="1"/>
    <col min="10079" max="10079" width="31.5546875" bestFit="1" customWidth="1"/>
    <col min="10080" max="10080" width="37.6640625" bestFit="1" customWidth="1"/>
    <col min="10081" max="10081" width="32.109375" bestFit="1" customWidth="1"/>
    <col min="10082" max="10082" width="22.77734375" bestFit="1" customWidth="1"/>
    <col min="10083" max="10083" width="28.88671875" bestFit="1" customWidth="1"/>
    <col min="10084" max="10084" width="23.33203125" bestFit="1" customWidth="1"/>
    <col min="10085" max="10085" width="25.44140625" bestFit="1" customWidth="1"/>
    <col min="10086" max="10086" width="31.6640625" bestFit="1" customWidth="1"/>
    <col min="10087" max="10087" width="26" bestFit="1" customWidth="1"/>
    <col min="10088" max="10088" width="27.77734375" bestFit="1" customWidth="1"/>
    <col min="10089" max="10089" width="33.88671875" bestFit="1" customWidth="1"/>
    <col min="10090" max="10090" width="28.33203125" bestFit="1" customWidth="1"/>
    <col min="10091" max="10091" width="30.33203125" bestFit="1" customWidth="1"/>
    <col min="10092" max="10092" width="36.5546875" bestFit="1" customWidth="1"/>
    <col min="10093" max="10093" width="30.88671875" bestFit="1" customWidth="1"/>
    <col min="10094" max="10094" width="25.109375" bestFit="1" customWidth="1"/>
    <col min="10095" max="10095" width="31.21875" bestFit="1" customWidth="1"/>
    <col min="10096" max="10096" width="25.6640625" bestFit="1" customWidth="1"/>
    <col min="10097" max="10097" width="31.5546875" bestFit="1" customWidth="1"/>
    <col min="10098" max="10098" width="37.6640625" bestFit="1" customWidth="1"/>
    <col min="10099" max="10099" width="32.109375" bestFit="1" customWidth="1"/>
    <col min="10100" max="10100" width="22.77734375" bestFit="1" customWidth="1"/>
    <col min="10101" max="10101" width="28.88671875" bestFit="1" customWidth="1"/>
    <col min="10102" max="10102" width="23.33203125" bestFit="1" customWidth="1"/>
    <col min="10103" max="10103" width="25.44140625" bestFit="1" customWidth="1"/>
    <col min="10104" max="10104" width="31.6640625" bestFit="1" customWidth="1"/>
    <col min="10105" max="10105" width="26" bestFit="1" customWidth="1"/>
    <col min="10106" max="10106" width="27.77734375" bestFit="1" customWidth="1"/>
    <col min="10107" max="10107" width="33.88671875" bestFit="1" customWidth="1"/>
    <col min="10108" max="10108" width="28.33203125" bestFit="1" customWidth="1"/>
    <col min="10109" max="10109" width="30.33203125" bestFit="1" customWidth="1"/>
    <col min="10110" max="10110" width="36.5546875" bestFit="1" customWidth="1"/>
    <col min="10111" max="10111" width="30.88671875" bestFit="1" customWidth="1"/>
    <col min="10112" max="10112" width="25.109375" bestFit="1" customWidth="1"/>
    <col min="10113" max="10113" width="31.21875" bestFit="1" customWidth="1"/>
    <col min="10114" max="10114" width="25.6640625" bestFit="1" customWidth="1"/>
    <col min="10115" max="10115" width="31.5546875" bestFit="1" customWidth="1"/>
    <col min="10116" max="10116" width="37.6640625" bestFit="1" customWidth="1"/>
    <col min="10117" max="10117" width="32.109375" bestFit="1" customWidth="1"/>
    <col min="10118" max="10118" width="22.77734375" bestFit="1" customWidth="1"/>
    <col min="10119" max="10119" width="28.88671875" bestFit="1" customWidth="1"/>
    <col min="10120" max="10120" width="23.33203125" bestFit="1" customWidth="1"/>
    <col min="10121" max="10121" width="25.44140625" bestFit="1" customWidth="1"/>
    <col min="10122" max="10122" width="31.6640625" bestFit="1" customWidth="1"/>
    <col min="10123" max="10123" width="26" bestFit="1" customWidth="1"/>
    <col min="10124" max="10124" width="27.77734375" bestFit="1" customWidth="1"/>
    <col min="10125" max="10125" width="33.88671875" bestFit="1" customWidth="1"/>
    <col min="10126" max="10126" width="28.33203125" bestFit="1" customWidth="1"/>
    <col min="10127" max="10127" width="30.33203125" bestFit="1" customWidth="1"/>
    <col min="10128" max="10128" width="36.5546875" bestFit="1" customWidth="1"/>
    <col min="10129" max="10129" width="30.88671875" bestFit="1" customWidth="1"/>
    <col min="10130" max="10130" width="25.109375" bestFit="1" customWidth="1"/>
    <col min="10131" max="10131" width="31.21875" bestFit="1" customWidth="1"/>
    <col min="10132" max="10132" width="25.6640625" bestFit="1" customWidth="1"/>
    <col min="10133" max="10133" width="31.5546875" bestFit="1" customWidth="1"/>
    <col min="10134" max="10134" width="37.6640625" bestFit="1" customWidth="1"/>
    <col min="10135" max="10135" width="32.109375" bestFit="1" customWidth="1"/>
    <col min="10136" max="10136" width="22.77734375" bestFit="1" customWidth="1"/>
    <col min="10137" max="10137" width="28.88671875" bestFit="1" customWidth="1"/>
    <col min="10138" max="10138" width="23.33203125" bestFit="1" customWidth="1"/>
    <col min="10139" max="10139" width="25.44140625" bestFit="1" customWidth="1"/>
    <col min="10140" max="10140" width="31.6640625" bestFit="1" customWidth="1"/>
    <col min="10141" max="10141" width="26" bestFit="1" customWidth="1"/>
    <col min="10142" max="10142" width="27.77734375" bestFit="1" customWidth="1"/>
    <col min="10143" max="10143" width="33.88671875" bestFit="1" customWidth="1"/>
    <col min="10144" max="10144" width="28.33203125" bestFit="1" customWidth="1"/>
    <col min="10145" max="10145" width="30.33203125" bestFit="1" customWidth="1"/>
    <col min="10146" max="10146" width="36.5546875" bestFit="1" customWidth="1"/>
    <col min="10147" max="10147" width="30.88671875" bestFit="1" customWidth="1"/>
    <col min="10148" max="10148" width="25.109375" bestFit="1" customWidth="1"/>
    <col min="10149" max="10149" width="31.21875" bestFit="1" customWidth="1"/>
    <col min="10150" max="10150" width="25.6640625" bestFit="1" customWidth="1"/>
    <col min="10151" max="10151" width="31.5546875" bestFit="1" customWidth="1"/>
    <col min="10152" max="10152" width="37.6640625" bestFit="1" customWidth="1"/>
    <col min="10153" max="10153" width="32.109375" bestFit="1" customWidth="1"/>
    <col min="10154" max="10154" width="22.77734375" bestFit="1" customWidth="1"/>
    <col min="10155" max="10155" width="28.88671875" bestFit="1" customWidth="1"/>
    <col min="10156" max="10156" width="23.33203125" bestFit="1" customWidth="1"/>
    <col min="10157" max="10157" width="25.44140625" bestFit="1" customWidth="1"/>
    <col min="10158" max="10158" width="31.6640625" bestFit="1" customWidth="1"/>
    <col min="10159" max="10159" width="26" bestFit="1" customWidth="1"/>
    <col min="10160" max="10160" width="27.77734375" bestFit="1" customWidth="1"/>
    <col min="10161" max="10161" width="33.88671875" bestFit="1" customWidth="1"/>
    <col min="10162" max="10162" width="28.33203125" bestFit="1" customWidth="1"/>
    <col min="10163" max="10163" width="30.33203125" bestFit="1" customWidth="1"/>
    <col min="10164" max="10164" width="36.5546875" bestFit="1" customWidth="1"/>
    <col min="10165" max="10165" width="30.88671875" bestFit="1" customWidth="1"/>
    <col min="10166" max="10166" width="25.109375" bestFit="1" customWidth="1"/>
    <col min="10167" max="10167" width="31.21875" bestFit="1" customWidth="1"/>
    <col min="10168" max="10168" width="25.6640625" bestFit="1" customWidth="1"/>
    <col min="10169" max="10169" width="31.5546875" bestFit="1" customWidth="1"/>
    <col min="10170" max="10170" width="37.6640625" bestFit="1" customWidth="1"/>
    <col min="10171" max="10171" width="32.109375" bestFit="1" customWidth="1"/>
    <col min="10172" max="10172" width="22.77734375" bestFit="1" customWidth="1"/>
    <col min="10173" max="10173" width="28.88671875" bestFit="1" customWidth="1"/>
    <col min="10174" max="10174" width="23.33203125" bestFit="1" customWidth="1"/>
    <col min="10175" max="10175" width="25.44140625" bestFit="1" customWidth="1"/>
    <col min="10176" max="10176" width="31.6640625" bestFit="1" customWidth="1"/>
    <col min="10177" max="10177" width="26" bestFit="1" customWidth="1"/>
    <col min="10178" max="10178" width="27.77734375" bestFit="1" customWidth="1"/>
    <col min="10179" max="10179" width="33.88671875" bestFit="1" customWidth="1"/>
    <col min="10180" max="10180" width="28.33203125" bestFit="1" customWidth="1"/>
    <col min="10181" max="10181" width="30.33203125" bestFit="1" customWidth="1"/>
    <col min="10182" max="10182" width="36.5546875" bestFit="1" customWidth="1"/>
    <col min="10183" max="10183" width="30.88671875" bestFit="1" customWidth="1"/>
    <col min="10184" max="10184" width="25.109375" bestFit="1" customWidth="1"/>
    <col min="10185" max="10185" width="31.21875" bestFit="1" customWidth="1"/>
    <col min="10186" max="10186" width="25.6640625" bestFit="1" customWidth="1"/>
    <col min="10187" max="10187" width="31.5546875" bestFit="1" customWidth="1"/>
    <col min="10188" max="10188" width="37.6640625" bestFit="1" customWidth="1"/>
    <col min="10189" max="10189" width="32.109375" bestFit="1" customWidth="1"/>
    <col min="10190" max="10190" width="22.77734375" bestFit="1" customWidth="1"/>
    <col min="10191" max="10191" width="28.88671875" bestFit="1" customWidth="1"/>
    <col min="10192" max="10192" width="23.33203125" bestFit="1" customWidth="1"/>
    <col min="10193" max="10193" width="25.44140625" bestFit="1" customWidth="1"/>
    <col min="10194" max="10194" width="31.6640625" bestFit="1" customWidth="1"/>
    <col min="10195" max="10195" width="26" bestFit="1" customWidth="1"/>
    <col min="10196" max="10196" width="27.77734375" bestFit="1" customWidth="1"/>
    <col min="10197" max="10197" width="33.88671875" bestFit="1" customWidth="1"/>
    <col min="10198" max="10198" width="28.33203125" bestFit="1" customWidth="1"/>
    <col min="10199" max="10199" width="30.33203125" bestFit="1" customWidth="1"/>
    <col min="10200" max="10200" width="36.5546875" bestFit="1" customWidth="1"/>
    <col min="10201" max="10201" width="30.88671875" bestFit="1" customWidth="1"/>
    <col min="10202" max="10202" width="25.109375" bestFit="1" customWidth="1"/>
    <col min="10203" max="10203" width="31.21875" bestFit="1" customWidth="1"/>
    <col min="10204" max="10204" width="25.6640625" bestFit="1" customWidth="1"/>
    <col min="10205" max="10205" width="31.5546875" bestFit="1" customWidth="1"/>
    <col min="10206" max="10206" width="37.6640625" bestFit="1" customWidth="1"/>
    <col min="10207" max="10207" width="32.109375" bestFit="1" customWidth="1"/>
    <col min="10208" max="10208" width="22.77734375" bestFit="1" customWidth="1"/>
    <col min="10209" max="10209" width="28.88671875" bestFit="1" customWidth="1"/>
    <col min="10210" max="10210" width="23.33203125" bestFit="1" customWidth="1"/>
    <col min="10211" max="10211" width="25.44140625" bestFit="1" customWidth="1"/>
    <col min="10212" max="10212" width="31.6640625" bestFit="1" customWidth="1"/>
    <col min="10213" max="10213" width="26" bestFit="1" customWidth="1"/>
    <col min="10214" max="10214" width="27.77734375" bestFit="1" customWidth="1"/>
    <col min="10215" max="10215" width="33.88671875" bestFit="1" customWidth="1"/>
    <col min="10216" max="10216" width="28.33203125" bestFit="1" customWidth="1"/>
    <col min="10217" max="10217" width="30.33203125" bestFit="1" customWidth="1"/>
    <col min="10218" max="10218" width="36.5546875" bestFit="1" customWidth="1"/>
    <col min="10219" max="10219" width="30.88671875" bestFit="1" customWidth="1"/>
    <col min="10220" max="10220" width="25.109375" bestFit="1" customWidth="1"/>
    <col min="10221" max="10221" width="31.21875" bestFit="1" customWidth="1"/>
    <col min="10222" max="10222" width="25.6640625" bestFit="1" customWidth="1"/>
    <col min="10223" max="10223" width="31.5546875" bestFit="1" customWidth="1"/>
    <col min="10224" max="10224" width="37.6640625" bestFit="1" customWidth="1"/>
    <col min="10225" max="10225" width="32.109375" bestFit="1" customWidth="1"/>
    <col min="10226" max="10226" width="22.77734375" bestFit="1" customWidth="1"/>
    <col min="10227" max="10227" width="28.88671875" bestFit="1" customWidth="1"/>
    <col min="10228" max="10228" width="23.33203125" bestFit="1" customWidth="1"/>
    <col min="10229" max="10229" width="25.44140625" bestFit="1" customWidth="1"/>
    <col min="10230" max="10230" width="31.6640625" bestFit="1" customWidth="1"/>
    <col min="10231" max="10231" width="26" bestFit="1" customWidth="1"/>
    <col min="10232" max="10232" width="27.77734375" bestFit="1" customWidth="1"/>
    <col min="10233" max="10233" width="33.88671875" bestFit="1" customWidth="1"/>
    <col min="10234" max="10234" width="28.33203125" bestFit="1" customWidth="1"/>
    <col min="10235" max="10235" width="30.33203125" bestFit="1" customWidth="1"/>
    <col min="10236" max="10236" width="36.5546875" bestFit="1" customWidth="1"/>
    <col min="10237" max="10237" width="30.88671875" bestFit="1" customWidth="1"/>
    <col min="10238" max="10238" width="25.109375" bestFit="1" customWidth="1"/>
    <col min="10239" max="10239" width="31.21875" bestFit="1" customWidth="1"/>
    <col min="10240" max="10240" width="25.6640625" bestFit="1" customWidth="1"/>
    <col min="10241" max="10241" width="31.5546875" bestFit="1" customWidth="1"/>
    <col min="10242" max="10242" width="37.6640625" bestFit="1" customWidth="1"/>
    <col min="10243" max="10243" width="32.109375" bestFit="1" customWidth="1"/>
    <col min="10244" max="10244" width="22.77734375" bestFit="1" customWidth="1"/>
    <col min="10245" max="10245" width="28.88671875" bestFit="1" customWidth="1"/>
    <col min="10246" max="10246" width="23.33203125" bestFit="1" customWidth="1"/>
    <col min="10247" max="10247" width="25.44140625" bestFit="1" customWidth="1"/>
    <col min="10248" max="10248" width="31.6640625" bestFit="1" customWidth="1"/>
    <col min="10249" max="10249" width="26" bestFit="1" customWidth="1"/>
    <col min="10250" max="10250" width="27.77734375" bestFit="1" customWidth="1"/>
    <col min="10251" max="10251" width="33.88671875" bestFit="1" customWidth="1"/>
    <col min="10252" max="10252" width="28.33203125" bestFit="1" customWidth="1"/>
    <col min="10253" max="10253" width="30.33203125" bestFit="1" customWidth="1"/>
    <col min="10254" max="10254" width="36.5546875" bestFit="1" customWidth="1"/>
    <col min="10255" max="10255" width="30.88671875" bestFit="1" customWidth="1"/>
    <col min="10256" max="10256" width="25.109375" bestFit="1" customWidth="1"/>
    <col min="10257" max="10257" width="31.21875" bestFit="1" customWidth="1"/>
    <col min="10258" max="10258" width="25.6640625" bestFit="1" customWidth="1"/>
    <col min="10259" max="10259" width="31.5546875" bestFit="1" customWidth="1"/>
    <col min="10260" max="10260" width="37.6640625" bestFit="1" customWidth="1"/>
    <col min="10261" max="10261" width="32.109375" bestFit="1" customWidth="1"/>
    <col min="10262" max="10262" width="22.77734375" bestFit="1" customWidth="1"/>
    <col min="10263" max="10263" width="28.88671875" bestFit="1" customWidth="1"/>
    <col min="10264" max="10264" width="23.33203125" bestFit="1" customWidth="1"/>
    <col min="10265" max="10265" width="25.44140625" bestFit="1" customWidth="1"/>
    <col min="10266" max="10266" width="31.6640625" bestFit="1" customWidth="1"/>
    <col min="10267" max="10267" width="26" bestFit="1" customWidth="1"/>
    <col min="10268" max="10268" width="27.77734375" bestFit="1" customWidth="1"/>
    <col min="10269" max="10269" width="33.88671875" bestFit="1" customWidth="1"/>
    <col min="10270" max="10270" width="28.33203125" bestFit="1" customWidth="1"/>
    <col min="10271" max="10271" width="30.33203125" bestFit="1" customWidth="1"/>
    <col min="10272" max="10272" width="36.5546875" bestFit="1" customWidth="1"/>
    <col min="10273" max="10273" width="30.88671875" bestFit="1" customWidth="1"/>
    <col min="10274" max="10274" width="25.109375" bestFit="1" customWidth="1"/>
    <col min="10275" max="10275" width="31.21875" bestFit="1" customWidth="1"/>
    <col min="10276" max="10276" width="25.6640625" bestFit="1" customWidth="1"/>
    <col min="10277" max="10277" width="31.5546875" bestFit="1" customWidth="1"/>
    <col min="10278" max="10278" width="37.6640625" bestFit="1" customWidth="1"/>
    <col min="10279" max="10279" width="32.109375" bestFit="1" customWidth="1"/>
    <col min="10280" max="10280" width="22.77734375" bestFit="1" customWidth="1"/>
    <col min="10281" max="10281" width="28.88671875" bestFit="1" customWidth="1"/>
    <col min="10282" max="10282" width="23.33203125" bestFit="1" customWidth="1"/>
    <col min="10283" max="10283" width="25.44140625" bestFit="1" customWidth="1"/>
    <col min="10284" max="10284" width="31.6640625" bestFit="1" customWidth="1"/>
    <col min="10285" max="10285" width="26" bestFit="1" customWidth="1"/>
    <col min="10286" max="10286" width="27.77734375" bestFit="1" customWidth="1"/>
    <col min="10287" max="10287" width="33.88671875" bestFit="1" customWidth="1"/>
    <col min="10288" max="10288" width="28.33203125" bestFit="1" customWidth="1"/>
    <col min="10289" max="10289" width="30.33203125" bestFit="1" customWidth="1"/>
    <col min="10290" max="10290" width="36.5546875" bestFit="1" customWidth="1"/>
    <col min="10291" max="10291" width="30.88671875" bestFit="1" customWidth="1"/>
    <col min="10292" max="10292" width="25.109375" bestFit="1" customWidth="1"/>
    <col min="10293" max="10293" width="31.21875" bestFit="1" customWidth="1"/>
    <col min="10294" max="10294" width="25.6640625" bestFit="1" customWidth="1"/>
    <col min="10295" max="10295" width="31.5546875" bestFit="1" customWidth="1"/>
    <col min="10296" max="10296" width="37.6640625" bestFit="1" customWidth="1"/>
    <col min="10297" max="10297" width="32.109375" bestFit="1" customWidth="1"/>
    <col min="10298" max="10298" width="22.77734375" bestFit="1" customWidth="1"/>
    <col min="10299" max="10299" width="28.88671875" bestFit="1" customWidth="1"/>
    <col min="10300" max="10300" width="23.33203125" bestFit="1" customWidth="1"/>
    <col min="10301" max="10301" width="25.44140625" bestFit="1" customWidth="1"/>
    <col min="10302" max="10302" width="31.6640625" bestFit="1" customWidth="1"/>
    <col min="10303" max="10303" width="26" bestFit="1" customWidth="1"/>
    <col min="10304" max="10304" width="27.77734375" bestFit="1" customWidth="1"/>
    <col min="10305" max="10305" width="33.88671875" bestFit="1" customWidth="1"/>
    <col min="10306" max="10306" width="28.33203125" bestFit="1" customWidth="1"/>
    <col min="10307" max="10307" width="30.33203125" bestFit="1" customWidth="1"/>
    <col min="10308" max="10308" width="36.5546875" bestFit="1" customWidth="1"/>
    <col min="10309" max="10309" width="30.88671875" bestFit="1" customWidth="1"/>
    <col min="10310" max="10310" width="25.109375" bestFit="1" customWidth="1"/>
    <col min="10311" max="10311" width="31.21875" bestFit="1" customWidth="1"/>
    <col min="10312" max="10312" width="25.6640625" bestFit="1" customWidth="1"/>
    <col min="10313" max="10313" width="31.5546875" bestFit="1" customWidth="1"/>
    <col min="10314" max="10314" width="37.6640625" bestFit="1" customWidth="1"/>
    <col min="10315" max="10315" width="32.109375" bestFit="1" customWidth="1"/>
    <col min="10316" max="10316" width="22.77734375" bestFit="1" customWidth="1"/>
    <col min="10317" max="10317" width="28.88671875" bestFit="1" customWidth="1"/>
    <col min="10318" max="10318" width="23.33203125" bestFit="1" customWidth="1"/>
    <col min="10319" max="10319" width="25.44140625" bestFit="1" customWidth="1"/>
    <col min="10320" max="10320" width="31.6640625" bestFit="1" customWidth="1"/>
    <col min="10321" max="10321" width="26" bestFit="1" customWidth="1"/>
    <col min="10322" max="10322" width="26.77734375" bestFit="1" customWidth="1"/>
    <col min="10323" max="10323" width="32.88671875" bestFit="1" customWidth="1"/>
    <col min="10324" max="10324" width="27.33203125" bestFit="1" customWidth="1"/>
    <col min="10325" max="10325" width="30.33203125" bestFit="1" customWidth="1"/>
    <col min="10326" max="10326" width="36.5546875" bestFit="1" customWidth="1"/>
    <col min="10327" max="10327" width="30.88671875" bestFit="1" customWidth="1"/>
    <col min="10328" max="10328" width="25.109375" bestFit="1" customWidth="1"/>
    <col min="10329" max="10329" width="31.21875" bestFit="1" customWidth="1"/>
    <col min="10330" max="10330" width="25.6640625" bestFit="1" customWidth="1"/>
    <col min="10331" max="10331" width="31.5546875" bestFit="1" customWidth="1"/>
    <col min="10332" max="10332" width="37.6640625" bestFit="1" customWidth="1"/>
    <col min="10333" max="10333" width="32.109375" bestFit="1" customWidth="1"/>
    <col min="10334" max="10334" width="22.77734375" bestFit="1" customWidth="1"/>
    <col min="10335" max="10335" width="28.88671875" bestFit="1" customWidth="1"/>
    <col min="10336" max="10336" width="23.33203125" bestFit="1" customWidth="1"/>
    <col min="10337" max="10337" width="25.44140625" bestFit="1" customWidth="1"/>
    <col min="10338" max="10338" width="31.6640625" bestFit="1" customWidth="1"/>
    <col min="10339" max="10339" width="26" bestFit="1" customWidth="1"/>
    <col min="10340" max="10340" width="26.77734375" bestFit="1" customWidth="1"/>
    <col min="10341" max="10341" width="32.88671875" bestFit="1" customWidth="1"/>
    <col min="10342" max="10342" width="27.33203125" bestFit="1" customWidth="1"/>
    <col min="10343" max="10343" width="30.33203125" bestFit="1" customWidth="1"/>
    <col min="10344" max="10344" width="36.5546875" bestFit="1" customWidth="1"/>
    <col min="10345" max="10345" width="30.88671875" bestFit="1" customWidth="1"/>
    <col min="10346" max="10346" width="25.109375" bestFit="1" customWidth="1"/>
    <col min="10347" max="10347" width="31.21875" bestFit="1" customWidth="1"/>
    <col min="10348" max="10348" width="25.6640625" bestFit="1" customWidth="1"/>
    <col min="10349" max="10349" width="31.5546875" bestFit="1" customWidth="1"/>
    <col min="10350" max="10350" width="37.6640625" bestFit="1" customWidth="1"/>
    <col min="10351" max="10351" width="32.109375" bestFit="1" customWidth="1"/>
    <col min="10352" max="10352" width="22.77734375" bestFit="1" customWidth="1"/>
    <col min="10353" max="10353" width="28.88671875" bestFit="1" customWidth="1"/>
    <col min="10354" max="10354" width="23.33203125" bestFit="1" customWidth="1"/>
    <col min="10355" max="10355" width="25.44140625" bestFit="1" customWidth="1"/>
    <col min="10356" max="10356" width="31.6640625" bestFit="1" customWidth="1"/>
    <col min="10357" max="10357" width="26" bestFit="1" customWidth="1"/>
    <col min="10358" max="10358" width="26.77734375" bestFit="1" customWidth="1"/>
    <col min="10359" max="10359" width="32.88671875" bestFit="1" customWidth="1"/>
    <col min="10360" max="10360" width="27.33203125" bestFit="1" customWidth="1"/>
    <col min="10361" max="10361" width="30.33203125" bestFit="1" customWidth="1"/>
    <col min="10362" max="10362" width="36.5546875" bestFit="1" customWidth="1"/>
    <col min="10363" max="10363" width="30.88671875" bestFit="1" customWidth="1"/>
    <col min="10364" max="10364" width="25.109375" bestFit="1" customWidth="1"/>
    <col min="10365" max="10365" width="31.21875" bestFit="1" customWidth="1"/>
    <col min="10366" max="10366" width="25.6640625" bestFit="1" customWidth="1"/>
    <col min="10367" max="10367" width="31.5546875" bestFit="1" customWidth="1"/>
    <col min="10368" max="10368" width="37.6640625" bestFit="1" customWidth="1"/>
    <col min="10369" max="10369" width="32.109375" bestFit="1" customWidth="1"/>
    <col min="10370" max="10370" width="22.77734375" bestFit="1" customWidth="1"/>
    <col min="10371" max="10371" width="28.88671875" bestFit="1" customWidth="1"/>
    <col min="10372" max="10372" width="23.33203125" bestFit="1" customWidth="1"/>
    <col min="10373" max="10373" width="25.44140625" bestFit="1" customWidth="1"/>
    <col min="10374" max="10374" width="31.6640625" bestFit="1" customWidth="1"/>
    <col min="10375" max="10375" width="26" bestFit="1" customWidth="1"/>
    <col min="10376" max="10376" width="27.77734375" bestFit="1" customWidth="1"/>
    <col min="10377" max="10377" width="33.88671875" bestFit="1" customWidth="1"/>
    <col min="10378" max="10378" width="28.33203125" bestFit="1" customWidth="1"/>
    <col min="10379" max="10379" width="30.33203125" bestFit="1" customWidth="1"/>
    <col min="10380" max="10380" width="36.5546875" bestFit="1" customWidth="1"/>
    <col min="10381" max="10381" width="30.88671875" bestFit="1" customWidth="1"/>
    <col min="10382" max="10382" width="25.109375" bestFit="1" customWidth="1"/>
    <col min="10383" max="10383" width="31.21875" bestFit="1" customWidth="1"/>
    <col min="10384" max="10384" width="25.6640625" bestFit="1" customWidth="1"/>
    <col min="10385" max="10385" width="31.5546875" bestFit="1" customWidth="1"/>
    <col min="10386" max="10386" width="37.6640625" bestFit="1" customWidth="1"/>
    <col min="10387" max="10387" width="32.109375" bestFit="1" customWidth="1"/>
    <col min="10388" max="10388" width="22.77734375" bestFit="1" customWidth="1"/>
    <col min="10389" max="10389" width="28.88671875" bestFit="1" customWidth="1"/>
    <col min="10390" max="10390" width="23.33203125" bestFit="1" customWidth="1"/>
    <col min="10391" max="10391" width="25.44140625" bestFit="1" customWidth="1"/>
    <col min="10392" max="10392" width="31.6640625" bestFit="1" customWidth="1"/>
    <col min="10393" max="10393" width="26" bestFit="1" customWidth="1"/>
    <col min="10394" max="10394" width="27.77734375" bestFit="1" customWidth="1"/>
    <col min="10395" max="10395" width="33.88671875" bestFit="1" customWidth="1"/>
    <col min="10396" max="10396" width="28.33203125" bestFit="1" customWidth="1"/>
    <col min="10397" max="10397" width="30.33203125" bestFit="1" customWidth="1"/>
    <col min="10398" max="10398" width="36.5546875" bestFit="1" customWidth="1"/>
    <col min="10399" max="10399" width="30.88671875" bestFit="1" customWidth="1"/>
    <col min="10400" max="10400" width="25.109375" bestFit="1" customWidth="1"/>
    <col min="10401" max="10401" width="31.21875" bestFit="1" customWidth="1"/>
    <col min="10402" max="10402" width="25.6640625" bestFit="1" customWidth="1"/>
    <col min="10403" max="10403" width="31.5546875" bestFit="1" customWidth="1"/>
    <col min="10404" max="10404" width="37.6640625" bestFit="1" customWidth="1"/>
    <col min="10405" max="10405" width="32.109375" bestFit="1" customWidth="1"/>
    <col min="10406" max="10406" width="22.77734375" bestFit="1" customWidth="1"/>
    <col min="10407" max="10407" width="28.88671875" bestFit="1" customWidth="1"/>
    <col min="10408" max="10408" width="23.33203125" bestFit="1" customWidth="1"/>
    <col min="10409" max="10409" width="25.44140625" bestFit="1" customWidth="1"/>
    <col min="10410" max="10410" width="31.6640625" bestFit="1" customWidth="1"/>
    <col min="10411" max="10411" width="26" bestFit="1" customWidth="1"/>
    <col min="10412" max="10412" width="27.77734375" bestFit="1" customWidth="1"/>
    <col min="10413" max="10413" width="33.88671875" bestFit="1" customWidth="1"/>
    <col min="10414" max="10414" width="28.33203125" bestFit="1" customWidth="1"/>
    <col min="10415" max="10415" width="30.33203125" bestFit="1" customWidth="1"/>
    <col min="10416" max="10416" width="36.5546875" bestFit="1" customWidth="1"/>
    <col min="10417" max="10417" width="30.88671875" bestFit="1" customWidth="1"/>
    <col min="10418" max="10418" width="25.109375" bestFit="1" customWidth="1"/>
    <col min="10419" max="10419" width="31.21875" bestFit="1" customWidth="1"/>
    <col min="10420" max="10420" width="25.6640625" bestFit="1" customWidth="1"/>
    <col min="10421" max="10421" width="31.5546875" bestFit="1" customWidth="1"/>
    <col min="10422" max="10422" width="37.6640625" bestFit="1" customWidth="1"/>
    <col min="10423" max="10423" width="32.109375" bestFit="1" customWidth="1"/>
    <col min="10424" max="10424" width="22.77734375" bestFit="1" customWidth="1"/>
    <col min="10425" max="10425" width="28.88671875" bestFit="1" customWidth="1"/>
    <col min="10426" max="10426" width="23.33203125" bestFit="1" customWidth="1"/>
    <col min="10427" max="10427" width="25.44140625" bestFit="1" customWidth="1"/>
    <col min="10428" max="10428" width="31.6640625" bestFit="1" customWidth="1"/>
    <col min="10429" max="10429" width="26" bestFit="1" customWidth="1"/>
    <col min="10430" max="10430" width="27.77734375" bestFit="1" customWidth="1"/>
    <col min="10431" max="10431" width="33.88671875" bestFit="1" customWidth="1"/>
    <col min="10432" max="10432" width="28.33203125" bestFit="1" customWidth="1"/>
    <col min="10433" max="10433" width="30.33203125" bestFit="1" customWidth="1"/>
    <col min="10434" max="10434" width="36.5546875" bestFit="1" customWidth="1"/>
    <col min="10435" max="10435" width="30.88671875" bestFit="1" customWidth="1"/>
    <col min="10436" max="10436" width="25.109375" bestFit="1" customWidth="1"/>
    <col min="10437" max="10437" width="31.21875" bestFit="1" customWidth="1"/>
    <col min="10438" max="10438" width="25.6640625" bestFit="1" customWidth="1"/>
    <col min="10439" max="10439" width="31.5546875" bestFit="1" customWidth="1"/>
    <col min="10440" max="10440" width="37.6640625" bestFit="1" customWidth="1"/>
    <col min="10441" max="10441" width="32.109375" bestFit="1" customWidth="1"/>
    <col min="10442" max="10442" width="22.77734375" bestFit="1" customWidth="1"/>
    <col min="10443" max="10443" width="28.88671875" bestFit="1" customWidth="1"/>
    <col min="10444" max="10444" width="23.33203125" bestFit="1" customWidth="1"/>
    <col min="10445" max="10445" width="25.44140625" bestFit="1" customWidth="1"/>
    <col min="10446" max="10446" width="31.6640625" bestFit="1" customWidth="1"/>
    <col min="10447" max="10447" width="26" bestFit="1" customWidth="1"/>
    <col min="10448" max="10448" width="27.77734375" bestFit="1" customWidth="1"/>
    <col min="10449" max="10449" width="33.88671875" bestFit="1" customWidth="1"/>
    <col min="10450" max="10450" width="28.33203125" bestFit="1" customWidth="1"/>
    <col min="10451" max="10451" width="30.33203125" bestFit="1" customWidth="1"/>
    <col min="10452" max="10452" width="36.5546875" bestFit="1" customWidth="1"/>
    <col min="10453" max="10453" width="30.88671875" bestFit="1" customWidth="1"/>
    <col min="10454" max="10454" width="25.109375" bestFit="1" customWidth="1"/>
    <col min="10455" max="10455" width="31.21875" bestFit="1" customWidth="1"/>
    <col min="10456" max="10456" width="25.6640625" bestFit="1" customWidth="1"/>
    <col min="10457" max="10457" width="31.5546875" bestFit="1" customWidth="1"/>
    <col min="10458" max="10458" width="37.6640625" bestFit="1" customWidth="1"/>
    <col min="10459" max="10459" width="32.109375" bestFit="1" customWidth="1"/>
    <col min="10460" max="10460" width="22.77734375" bestFit="1" customWidth="1"/>
    <col min="10461" max="10461" width="28.88671875" bestFit="1" customWidth="1"/>
    <col min="10462" max="10462" width="23.33203125" bestFit="1" customWidth="1"/>
    <col min="10463" max="10463" width="25.44140625" bestFit="1" customWidth="1"/>
    <col min="10464" max="10464" width="31.6640625" bestFit="1" customWidth="1"/>
    <col min="10465" max="10465" width="26" bestFit="1" customWidth="1"/>
    <col min="10466" max="10466" width="27.77734375" bestFit="1" customWidth="1"/>
    <col min="10467" max="10467" width="33.88671875" bestFit="1" customWidth="1"/>
    <col min="10468" max="10468" width="28.33203125" bestFit="1" customWidth="1"/>
    <col min="10469" max="10469" width="30.33203125" bestFit="1" customWidth="1"/>
    <col min="10470" max="10470" width="36.5546875" bestFit="1" customWidth="1"/>
    <col min="10471" max="10471" width="30.88671875" bestFit="1" customWidth="1"/>
    <col min="10472" max="10472" width="25.109375" bestFit="1" customWidth="1"/>
    <col min="10473" max="10473" width="31.21875" bestFit="1" customWidth="1"/>
    <col min="10474" max="10474" width="25.6640625" bestFit="1" customWidth="1"/>
    <col min="10475" max="10475" width="31.5546875" bestFit="1" customWidth="1"/>
    <col min="10476" max="10476" width="37.6640625" bestFit="1" customWidth="1"/>
    <col min="10477" max="10477" width="32.109375" bestFit="1" customWidth="1"/>
    <col min="10478" max="10478" width="22.77734375" bestFit="1" customWidth="1"/>
    <col min="10479" max="10479" width="28.88671875" bestFit="1" customWidth="1"/>
    <col min="10480" max="10480" width="23.33203125" bestFit="1" customWidth="1"/>
    <col min="10481" max="10481" width="25.44140625" bestFit="1" customWidth="1"/>
    <col min="10482" max="10482" width="31.6640625" bestFit="1" customWidth="1"/>
    <col min="10483" max="10483" width="26" bestFit="1" customWidth="1"/>
    <col min="10484" max="10484" width="27.77734375" bestFit="1" customWidth="1"/>
    <col min="10485" max="10485" width="33.88671875" bestFit="1" customWidth="1"/>
    <col min="10486" max="10486" width="28.33203125" bestFit="1" customWidth="1"/>
    <col min="10487" max="10487" width="30.33203125" bestFit="1" customWidth="1"/>
    <col min="10488" max="10488" width="36.5546875" bestFit="1" customWidth="1"/>
    <col min="10489" max="10489" width="30.88671875" bestFit="1" customWidth="1"/>
    <col min="10490" max="10490" width="25.109375" bestFit="1" customWidth="1"/>
    <col min="10491" max="10491" width="31.21875" bestFit="1" customWidth="1"/>
    <col min="10492" max="10492" width="25.6640625" bestFit="1" customWidth="1"/>
    <col min="10493" max="10493" width="31.5546875" bestFit="1" customWidth="1"/>
    <col min="10494" max="10494" width="37.6640625" bestFit="1" customWidth="1"/>
    <col min="10495" max="10495" width="32.109375" bestFit="1" customWidth="1"/>
    <col min="10496" max="10496" width="22.77734375" bestFit="1" customWidth="1"/>
    <col min="10497" max="10497" width="28.88671875" bestFit="1" customWidth="1"/>
    <col min="10498" max="10498" width="23.33203125" bestFit="1" customWidth="1"/>
    <col min="10499" max="10499" width="25.44140625" bestFit="1" customWidth="1"/>
    <col min="10500" max="10500" width="31.6640625" bestFit="1" customWidth="1"/>
    <col min="10501" max="10501" width="26" bestFit="1" customWidth="1"/>
    <col min="10502" max="10502" width="27.77734375" bestFit="1" customWidth="1"/>
    <col min="10503" max="10503" width="33.88671875" bestFit="1" customWidth="1"/>
    <col min="10504" max="10504" width="28.33203125" bestFit="1" customWidth="1"/>
    <col min="10505" max="10505" width="30.33203125" bestFit="1" customWidth="1"/>
    <col min="10506" max="10506" width="36.5546875" bestFit="1" customWidth="1"/>
    <col min="10507" max="10507" width="30.88671875" bestFit="1" customWidth="1"/>
    <col min="10508" max="10508" width="25.109375" bestFit="1" customWidth="1"/>
    <col min="10509" max="10509" width="31.21875" bestFit="1" customWidth="1"/>
    <col min="10510" max="10510" width="25.6640625" bestFit="1" customWidth="1"/>
    <col min="10511" max="10511" width="31.5546875" bestFit="1" customWidth="1"/>
    <col min="10512" max="10512" width="37.6640625" bestFit="1" customWidth="1"/>
    <col min="10513" max="10513" width="32.109375" bestFit="1" customWidth="1"/>
    <col min="10514" max="10514" width="22.77734375" bestFit="1" customWidth="1"/>
    <col min="10515" max="10515" width="28.88671875" bestFit="1" customWidth="1"/>
    <col min="10516" max="10516" width="23.33203125" bestFit="1" customWidth="1"/>
    <col min="10517" max="10517" width="25.44140625" bestFit="1" customWidth="1"/>
    <col min="10518" max="10518" width="31.6640625" bestFit="1" customWidth="1"/>
    <col min="10519" max="10519" width="26" bestFit="1" customWidth="1"/>
    <col min="10520" max="10520" width="27.77734375" bestFit="1" customWidth="1"/>
    <col min="10521" max="10521" width="33.88671875" bestFit="1" customWidth="1"/>
    <col min="10522" max="10522" width="28.33203125" bestFit="1" customWidth="1"/>
    <col min="10523" max="10523" width="30.33203125" bestFit="1" customWidth="1"/>
    <col min="10524" max="10524" width="36.5546875" bestFit="1" customWidth="1"/>
    <col min="10525" max="10525" width="30.88671875" bestFit="1" customWidth="1"/>
    <col min="10526" max="10526" width="25.109375" bestFit="1" customWidth="1"/>
    <col min="10527" max="10527" width="31.21875" bestFit="1" customWidth="1"/>
    <col min="10528" max="10528" width="25.6640625" bestFit="1" customWidth="1"/>
    <col min="10529" max="10529" width="31.5546875" bestFit="1" customWidth="1"/>
    <col min="10530" max="10530" width="37.6640625" bestFit="1" customWidth="1"/>
    <col min="10531" max="10531" width="32.109375" bestFit="1" customWidth="1"/>
    <col min="10532" max="10532" width="22.77734375" bestFit="1" customWidth="1"/>
    <col min="10533" max="10533" width="28.88671875" bestFit="1" customWidth="1"/>
    <col min="10534" max="10534" width="23.33203125" bestFit="1" customWidth="1"/>
    <col min="10535" max="10535" width="25.44140625" bestFit="1" customWidth="1"/>
    <col min="10536" max="10536" width="31.6640625" bestFit="1" customWidth="1"/>
    <col min="10537" max="10537" width="26" bestFit="1" customWidth="1"/>
    <col min="10538" max="10538" width="27.77734375" bestFit="1" customWidth="1"/>
    <col min="10539" max="10539" width="33.88671875" bestFit="1" customWidth="1"/>
    <col min="10540" max="10540" width="28.33203125" bestFit="1" customWidth="1"/>
    <col min="10541" max="10541" width="30.33203125" bestFit="1" customWidth="1"/>
    <col min="10542" max="10542" width="36.5546875" bestFit="1" customWidth="1"/>
    <col min="10543" max="10543" width="30.88671875" bestFit="1" customWidth="1"/>
    <col min="10544" max="10544" width="25.109375" bestFit="1" customWidth="1"/>
    <col min="10545" max="10545" width="31.21875" bestFit="1" customWidth="1"/>
    <col min="10546" max="10546" width="25.6640625" bestFit="1" customWidth="1"/>
    <col min="10547" max="10547" width="31.5546875" bestFit="1" customWidth="1"/>
    <col min="10548" max="10548" width="37.6640625" bestFit="1" customWidth="1"/>
    <col min="10549" max="10549" width="32.109375" bestFit="1" customWidth="1"/>
    <col min="10550" max="10550" width="22.77734375" bestFit="1" customWidth="1"/>
    <col min="10551" max="10551" width="28.88671875" bestFit="1" customWidth="1"/>
    <col min="10552" max="10552" width="23.33203125" bestFit="1" customWidth="1"/>
    <col min="10553" max="10553" width="25.44140625" bestFit="1" customWidth="1"/>
    <col min="10554" max="10554" width="31.6640625" bestFit="1" customWidth="1"/>
    <col min="10555" max="10555" width="26" bestFit="1" customWidth="1"/>
    <col min="10556" max="10556" width="27.77734375" bestFit="1" customWidth="1"/>
    <col min="10557" max="10557" width="33.88671875" bestFit="1" customWidth="1"/>
    <col min="10558" max="10558" width="28.33203125" bestFit="1" customWidth="1"/>
    <col min="10559" max="10559" width="30.33203125" bestFit="1" customWidth="1"/>
    <col min="10560" max="10560" width="36.5546875" bestFit="1" customWidth="1"/>
    <col min="10561" max="10561" width="30.88671875" bestFit="1" customWidth="1"/>
    <col min="10562" max="10562" width="25.109375" bestFit="1" customWidth="1"/>
    <col min="10563" max="10563" width="31.21875" bestFit="1" customWidth="1"/>
    <col min="10564" max="10564" width="25.6640625" bestFit="1" customWidth="1"/>
    <col min="10565" max="10565" width="31.5546875" bestFit="1" customWidth="1"/>
    <col min="10566" max="10566" width="37.6640625" bestFit="1" customWidth="1"/>
    <col min="10567" max="10567" width="32.109375" bestFit="1" customWidth="1"/>
    <col min="10568" max="10568" width="22.77734375" bestFit="1" customWidth="1"/>
    <col min="10569" max="10569" width="28.88671875" bestFit="1" customWidth="1"/>
    <col min="10570" max="10570" width="23.33203125" bestFit="1" customWidth="1"/>
    <col min="10571" max="10571" width="25.44140625" bestFit="1" customWidth="1"/>
    <col min="10572" max="10572" width="31.6640625" bestFit="1" customWidth="1"/>
    <col min="10573" max="10573" width="26" bestFit="1" customWidth="1"/>
    <col min="10574" max="10574" width="27.77734375" bestFit="1" customWidth="1"/>
    <col min="10575" max="10575" width="33.88671875" bestFit="1" customWidth="1"/>
    <col min="10576" max="10576" width="28.33203125" bestFit="1" customWidth="1"/>
    <col min="10577" max="10577" width="30.33203125" bestFit="1" customWidth="1"/>
    <col min="10578" max="10578" width="36.5546875" bestFit="1" customWidth="1"/>
    <col min="10579" max="10579" width="30.88671875" bestFit="1" customWidth="1"/>
    <col min="10580" max="10580" width="25.109375" bestFit="1" customWidth="1"/>
    <col min="10581" max="10581" width="31.21875" bestFit="1" customWidth="1"/>
    <col min="10582" max="10582" width="25.6640625" bestFit="1" customWidth="1"/>
    <col min="10583" max="10583" width="31.5546875" bestFit="1" customWidth="1"/>
    <col min="10584" max="10584" width="37.6640625" bestFit="1" customWidth="1"/>
    <col min="10585" max="10585" width="32.109375" bestFit="1" customWidth="1"/>
    <col min="10586" max="10586" width="22.77734375" bestFit="1" customWidth="1"/>
    <col min="10587" max="10587" width="28.88671875" bestFit="1" customWidth="1"/>
    <col min="10588" max="10588" width="23.33203125" bestFit="1" customWidth="1"/>
    <col min="10589" max="10589" width="25.44140625" bestFit="1" customWidth="1"/>
    <col min="10590" max="10590" width="31.6640625" bestFit="1" customWidth="1"/>
    <col min="10591" max="10591" width="26" bestFit="1" customWidth="1"/>
    <col min="10592" max="10592" width="27.77734375" bestFit="1" customWidth="1"/>
    <col min="10593" max="10593" width="33.88671875" bestFit="1" customWidth="1"/>
    <col min="10594" max="10594" width="28.33203125" bestFit="1" customWidth="1"/>
    <col min="10595" max="10595" width="30.33203125" bestFit="1" customWidth="1"/>
    <col min="10596" max="10596" width="36.5546875" bestFit="1" customWidth="1"/>
    <col min="10597" max="10597" width="30.88671875" bestFit="1" customWidth="1"/>
    <col min="10598" max="10598" width="25.109375" bestFit="1" customWidth="1"/>
    <col min="10599" max="10599" width="31.21875" bestFit="1" customWidth="1"/>
    <col min="10600" max="10600" width="25.6640625" bestFit="1" customWidth="1"/>
    <col min="10601" max="10601" width="31.5546875" bestFit="1" customWidth="1"/>
    <col min="10602" max="10602" width="37.6640625" bestFit="1" customWidth="1"/>
    <col min="10603" max="10603" width="32.109375" bestFit="1" customWidth="1"/>
    <col min="10604" max="10604" width="22.77734375" bestFit="1" customWidth="1"/>
    <col min="10605" max="10605" width="28.88671875" bestFit="1" customWidth="1"/>
    <col min="10606" max="10606" width="23.33203125" bestFit="1" customWidth="1"/>
    <col min="10607" max="10607" width="25.44140625" bestFit="1" customWidth="1"/>
    <col min="10608" max="10608" width="31.6640625" bestFit="1" customWidth="1"/>
    <col min="10609" max="10609" width="26" bestFit="1" customWidth="1"/>
    <col min="10610" max="10610" width="27.77734375" bestFit="1" customWidth="1"/>
    <col min="10611" max="10611" width="33.88671875" bestFit="1" customWidth="1"/>
    <col min="10612" max="10612" width="28.33203125" bestFit="1" customWidth="1"/>
    <col min="10613" max="10613" width="30.33203125" bestFit="1" customWidth="1"/>
    <col min="10614" max="10614" width="36.5546875" bestFit="1" customWidth="1"/>
    <col min="10615" max="10615" width="30.88671875" bestFit="1" customWidth="1"/>
    <col min="10616" max="10616" width="25.109375" bestFit="1" customWidth="1"/>
    <col min="10617" max="10617" width="31.21875" bestFit="1" customWidth="1"/>
    <col min="10618" max="10618" width="25.6640625" bestFit="1" customWidth="1"/>
    <col min="10619" max="10619" width="31.5546875" bestFit="1" customWidth="1"/>
    <col min="10620" max="10620" width="37.6640625" bestFit="1" customWidth="1"/>
    <col min="10621" max="10621" width="32.109375" bestFit="1" customWidth="1"/>
    <col min="10622" max="10622" width="22.77734375" bestFit="1" customWidth="1"/>
    <col min="10623" max="10623" width="28.88671875" bestFit="1" customWidth="1"/>
    <col min="10624" max="10624" width="23.33203125" bestFit="1" customWidth="1"/>
    <col min="10625" max="10625" width="25.44140625" bestFit="1" customWidth="1"/>
    <col min="10626" max="10626" width="31.6640625" bestFit="1" customWidth="1"/>
    <col min="10627" max="10627" width="26" bestFit="1" customWidth="1"/>
    <col min="10628" max="10628" width="26.77734375" bestFit="1" customWidth="1"/>
    <col min="10629" max="10629" width="32.88671875" bestFit="1" customWidth="1"/>
    <col min="10630" max="10630" width="27.33203125" bestFit="1" customWidth="1"/>
    <col min="10631" max="10631" width="30.33203125" bestFit="1" customWidth="1"/>
    <col min="10632" max="10632" width="36.5546875" bestFit="1" customWidth="1"/>
    <col min="10633" max="10633" width="30.88671875" bestFit="1" customWidth="1"/>
    <col min="10634" max="10634" width="25.109375" bestFit="1" customWidth="1"/>
    <col min="10635" max="10635" width="31.21875" bestFit="1" customWidth="1"/>
    <col min="10636" max="10636" width="25.6640625" bestFit="1" customWidth="1"/>
    <col min="10637" max="10637" width="31.5546875" bestFit="1" customWidth="1"/>
    <col min="10638" max="10638" width="37.6640625" bestFit="1" customWidth="1"/>
    <col min="10639" max="10639" width="32.109375" bestFit="1" customWidth="1"/>
    <col min="10640" max="10640" width="22.77734375" bestFit="1" customWidth="1"/>
    <col min="10641" max="10641" width="28.88671875" bestFit="1" customWidth="1"/>
    <col min="10642" max="10642" width="23.33203125" bestFit="1" customWidth="1"/>
    <col min="10643" max="10643" width="25.44140625" bestFit="1" customWidth="1"/>
    <col min="10644" max="10644" width="31.6640625" bestFit="1" customWidth="1"/>
    <col min="10645" max="10645" width="26" bestFit="1" customWidth="1"/>
    <col min="10646" max="10646" width="27.77734375" bestFit="1" customWidth="1"/>
    <col min="10647" max="10647" width="33.88671875" bestFit="1" customWidth="1"/>
    <col min="10648" max="10648" width="28.33203125" bestFit="1" customWidth="1"/>
    <col min="10649" max="10649" width="30.33203125" bestFit="1" customWidth="1"/>
    <col min="10650" max="10650" width="36.5546875" bestFit="1" customWidth="1"/>
    <col min="10651" max="10651" width="30.88671875" bestFit="1" customWidth="1"/>
    <col min="10652" max="10652" width="25.109375" bestFit="1" customWidth="1"/>
    <col min="10653" max="10653" width="31.21875" bestFit="1" customWidth="1"/>
    <col min="10654" max="10654" width="25.6640625" bestFit="1" customWidth="1"/>
    <col min="10655" max="10655" width="31.5546875" bestFit="1" customWidth="1"/>
    <col min="10656" max="10656" width="37.6640625" bestFit="1" customWidth="1"/>
    <col min="10657" max="10657" width="32.109375" bestFit="1" customWidth="1"/>
    <col min="10658" max="10658" width="22.77734375" bestFit="1" customWidth="1"/>
    <col min="10659" max="10659" width="28.88671875" bestFit="1" customWidth="1"/>
    <col min="10660" max="10660" width="23.33203125" bestFit="1" customWidth="1"/>
    <col min="10661" max="10661" width="25.44140625" bestFit="1" customWidth="1"/>
    <col min="10662" max="10662" width="31.6640625" bestFit="1" customWidth="1"/>
    <col min="10663" max="10663" width="26" bestFit="1" customWidth="1"/>
    <col min="10664" max="10664" width="27.77734375" bestFit="1" customWidth="1"/>
    <col min="10665" max="10665" width="33.88671875" bestFit="1" customWidth="1"/>
    <col min="10666" max="10666" width="28.33203125" bestFit="1" customWidth="1"/>
    <col min="10667" max="10667" width="30.33203125" bestFit="1" customWidth="1"/>
    <col min="10668" max="10668" width="36.5546875" bestFit="1" customWidth="1"/>
    <col min="10669" max="10669" width="30.88671875" bestFit="1" customWidth="1"/>
    <col min="10670" max="10670" width="25.109375" bestFit="1" customWidth="1"/>
    <col min="10671" max="10671" width="31.21875" bestFit="1" customWidth="1"/>
    <col min="10672" max="10672" width="25.6640625" bestFit="1" customWidth="1"/>
    <col min="10673" max="10673" width="31.5546875" bestFit="1" customWidth="1"/>
    <col min="10674" max="10674" width="37.6640625" bestFit="1" customWidth="1"/>
    <col min="10675" max="10675" width="32.109375" bestFit="1" customWidth="1"/>
    <col min="10676" max="10676" width="22.77734375" bestFit="1" customWidth="1"/>
    <col min="10677" max="10677" width="28.88671875" bestFit="1" customWidth="1"/>
    <col min="10678" max="10678" width="23.33203125" bestFit="1" customWidth="1"/>
    <col min="10679" max="10679" width="25.44140625" bestFit="1" customWidth="1"/>
    <col min="10680" max="10680" width="31.6640625" bestFit="1" customWidth="1"/>
    <col min="10681" max="10681" width="26" bestFit="1" customWidth="1"/>
    <col min="10682" max="10682" width="27.77734375" bestFit="1" customWidth="1"/>
    <col min="10683" max="10683" width="33.88671875" bestFit="1" customWidth="1"/>
    <col min="10684" max="10684" width="28.33203125" bestFit="1" customWidth="1"/>
    <col min="10685" max="10685" width="30.33203125" bestFit="1" customWidth="1"/>
    <col min="10686" max="10686" width="36.5546875" bestFit="1" customWidth="1"/>
    <col min="10687" max="10687" width="30.88671875" bestFit="1" customWidth="1"/>
    <col min="10688" max="10688" width="25.109375" bestFit="1" customWidth="1"/>
    <col min="10689" max="10689" width="31.21875" bestFit="1" customWidth="1"/>
    <col min="10690" max="10690" width="25.6640625" bestFit="1" customWidth="1"/>
    <col min="10691" max="10691" width="31.5546875" bestFit="1" customWidth="1"/>
    <col min="10692" max="10692" width="37.6640625" bestFit="1" customWidth="1"/>
    <col min="10693" max="10693" width="32.109375" bestFit="1" customWidth="1"/>
    <col min="10694" max="10694" width="22.77734375" bestFit="1" customWidth="1"/>
    <col min="10695" max="10695" width="28.88671875" bestFit="1" customWidth="1"/>
    <col min="10696" max="10696" width="23.33203125" bestFit="1" customWidth="1"/>
    <col min="10697" max="10697" width="25.44140625" bestFit="1" customWidth="1"/>
    <col min="10698" max="10698" width="31.6640625" bestFit="1" customWidth="1"/>
    <col min="10699" max="10699" width="26" bestFit="1" customWidth="1"/>
    <col min="10700" max="10700" width="27.77734375" bestFit="1" customWidth="1"/>
    <col min="10701" max="10701" width="33.88671875" bestFit="1" customWidth="1"/>
    <col min="10702" max="10702" width="28.33203125" bestFit="1" customWidth="1"/>
    <col min="10703" max="10703" width="30.33203125" bestFit="1" customWidth="1"/>
    <col min="10704" max="10704" width="36.5546875" bestFit="1" customWidth="1"/>
    <col min="10705" max="10705" width="30.88671875" bestFit="1" customWidth="1"/>
    <col min="10706" max="10706" width="25.109375" bestFit="1" customWidth="1"/>
    <col min="10707" max="10707" width="31.21875" bestFit="1" customWidth="1"/>
    <col min="10708" max="10708" width="25.6640625" bestFit="1" customWidth="1"/>
    <col min="10709" max="10709" width="31.5546875" bestFit="1" customWidth="1"/>
    <col min="10710" max="10710" width="37.6640625" bestFit="1" customWidth="1"/>
    <col min="10711" max="10711" width="32.109375" bestFit="1" customWidth="1"/>
    <col min="10712" max="10712" width="22.77734375" bestFit="1" customWidth="1"/>
    <col min="10713" max="10713" width="28.88671875" bestFit="1" customWidth="1"/>
    <col min="10714" max="10714" width="23.33203125" bestFit="1" customWidth="1"/>
    <col min="10715" max="10715" width="25.44140625" bestFit="1" customWidth="1"/>
    <col min="10716" max="10716" width="31.6640625" bestFit="1" customWidth="1"/>
    <col min="10717" max="10717" width="26" bestFit="1" customWidth="1"/>
    <col min="10718" max="10718" width="27.77734375" bestFit="1" customWidth="1"/>
    <col min="10719" max="10719" width="33.88671875" bestFit="1" customWidth="1"/>
    <col min="10720" max="10720" width="28.33203125" bestFit="1" customWidth="1"/>
    <col min="10721" max="10721" width="30.33203125" bestFit="1" customWidth="1"/>
    <col min="10722" max="10722" width="36.5546875" bestFit="1" customWidth="1"/>
    <col min="10723" max="10723" width="30.88671875" bestFit="1" customWidth="1"/>
    <col min="10724" max="10724" width="25.109375" bestFit="1" customWidth="1"/>
    <col min="10725" max="10725" width="31.21875" bestFit="1" customWidth="1"/>
    <col min="10726" max="10726" width="25.6640625" bestFit="1" customWidth="1"/>
    <col min="10727" max="10727" width="31.5546875" bestFit="1" customWidth="1"/>
    <col min="10728" max="10728" width="37.6640625" bestFit="1" customWidth="1"/>
    <col min="10729" max="10729" width="32.109375" bestFit="1" customWidth="1"/>
    <col min="10730" max="10730" width="22.77734375" bestFit="1" customWidth="1"/>
    <col min="10731" max="10731" width="28.88671875" bestFit="1" customWidth="1"/>
    <col min="10732" max="10732" width="23.33203125" bestFit="1" customWidth="1"/>
    <col min="10733" max="10733" width="25.44140625" bestFit="1" customWidth="1"/>
    <col min="10734" max="10734" width="31.6640625" bestFit="1" customWidth="1"/>
    <col min="10735" max="10735" width="26" bestFit="1" customWidth="1"/>
    <col min="10736" max="10736" width="27.77734375" bestFit="1" customWidth="1"/>
    <col min="10737" max="10737" width="33.88671875" bestFit="1" customWidth="1"/>
    <col min="10738" max="10738" width="28.33203125" bestFit="1" customWidth="1"/>
    <col min="10739" max="10739" width="30.33203125" bestFit="1" customWidth="1"/>
    <col min="10740" max="10740" width="36.5546875" bestFit="1" customWidth="1"/>
    <col min="10741" max="10741" width="30.88671875" bestFit="1" customWidth="1"/>
    <col min="10742" max="10742" width="25.109375" bestFit="1" customWidth="1"/>
    <col min="10743" max="10743" width="31.21875" bestFit="1" customWidth="1"/>
    <col min="10744" max="10744" width="25.6640625" bestFit="1" customWidth="1"/>
    <col min="10745" max="10745" width="31.5546875" bestFit="1" customWidth="1"/>
    <col min="10746" max="10746" width="37.6640625" bestFit="1" customWidth="1"/>
    <col min="10747" max="10747" width="32.109375" bestFit="1" customWidth="1"/>
    <col min="10748" max="10748" width="22.77734375" bestFit="1" customWidth="1"/>
    <col min="10749" max="10749" width="28.88671875" bestFit="1" customWidth="1"/>
    <col min="10750" max="10750" width="23.33203125" bestFit="1" customWidth="1"/>
    <col min="10751" max="10751" width="25.44140625" bestFit="1" customWidth="1"/>
    <col min="10752" max="10752" width="31.6640625" bestFit="1" customWidth="1"/>
    <col min="10753" max="10753" width="26" bestFit="1" customWidth="1"/>
    <col min="10754" max="10754" width="26.77734375" bestFit="1" customWidth="1"/>
    <col min="10755" max="10755" width="32.88671875" bestFit="1" customWidth="1"/>
    <col min="10756" max="10756" width="27.33203125" bestFit="1" customWidth="1"/>
    <col min="10757" max="10757" width="30.33203125" bestFit="1" customWidth="1"/>
    <col min="10758" max="10758" width="36.5546875" bestFit="1" customWidth="1"/>
    <col min="10759" max="10759" width="30.88671875" bestFit="1" customWidth="1"/>
    <col min="10760" max="10760" width="25.109375" bestFit="1" customWidth="1"/>
    <col min="10761" max="10761" width="31.21875" bestFit="1" customWidth="1"/>
    <col min="10762" max="10762" width="25.6640625" bestFit="1" customWidth="1"/>
    <col min="10763" max="10763" width="31.5546875" bestFit="1" customWidth="1"/>
    <col min="10764" max="10764" width="37.6640625" bestFit="1" customWidth="1"/>
    <col min="10765" max="10765" width="32.109375" bestFit="1" customWidth="1"/>
    <col min="10766" max="10766" width="22.77734375" bestFit="1" customWidth="1"/>
    <col min="10767" max="10767" width="28.88671875" bestFit="1" customWidth="1"/>
    <col min="10768" max="10768" width="23.33203125" bestFit="1" customWidth="1"/>
    <col min="10769" max="10769" width="25.44140625" bestFit="1" customWidth="1"/>
    <col min="10770" max="10770" width="31.6640625" bestFit="1" customWidth="1"/>
    <col min="10771" max="10771" width="26" bestFit="1" customWidth="1"/>
    <col min="10772" max="10772" width="27.77734375" bestFit="1" customWidth="1"/>
    <col min="10773" max="10773" width="33.88671875" bestFit="1" customWidth="1"/>
    <col min="10774" max="10774" width="28.33203125" bestFit="1" customWidth="1"/>
    <col min="10775" max="10775" width="30.33203125" bestFit="1" customWidth="1"/>
    <col min="10776" max="10776" width="36.5546875" bestFit="1" customWidth="1"/>
    <col min="10777" max="10777" width="30.88671875" bestFit="1" customWidth="1"/>
    <col min="10778" max="10778" width="25.109375" bestFit="1" customWidth="1"/>
    <col min="10779" max="10779" width="31.21875" bestFit="1" customWidth="1"/>
    <col min="10780" max="10780" width="25.6640625" bestFit="1" customWidth="1"/>
    <col min="10781" max="10781" width="31.5546875" bestFit="1" customWidth="1"/>
    <col min="10782" max="10782" width="37.6640625" bestFit="1" customWidth="1"/>
    <col min="10783" max="10783" width="32.109375" bestFit="1" customWidth="1"/>
    <col min="10784" max="10784" width="22.77734375" bestFit="1" customWidth="1"/>
    <col min="10785" max="10785" width="28.88671875" bestFit="1" customWidth="1"/>
    <col min="10786" max="10786" width="23.33203125" bestFit="1" customWidth="1"/>
    <col min="10787" max="10787" width="25.44140625" bestFit="1" customWidth="1"/>
    <col min="10788" max="10788" width="31.6640625" bestFit="1" customWidth="1"/>
    <col min="10789" max="10789" width="26" bestFit="1" customWidth="1"/>
    <col min="10790" max="10790" width="27.77734375" bestFit="1" customWidth="1"/>
    <col min="10791" max="10791" width="33.88671875" bestFit="1" customWidth="1"/>
    <col min="10792" max="10792" width="28.33203125" bestFit="1" customWidth="1"/>
    <col min="10793" max="10793" width="30.33203125" bestFit="1" customWidth="1"/>
    <col min="10794" max="10794" width="36.5546875" bestFit="1" customWidth="1"/>
    <col min="10795" max="10795" width="30.88671875" bestFit="1" customWidth="1"/>
    <col min="10796" max="10796" width="25.109375" bestFit="1" customWidth="1"/>
    <col min="10797" max="10797" width="31.21875" bestFit="1" customWidth="1"/>
    <col min="10798" max="10798" width="25.6640625" bestFit="1" customWidth="1"/>
    <col min="10799" max="10799" width="31.5546875" bestFit="1" customWidth="1"/>
    <col min="10800" max="10800" width="37.6640625" bestFit="1" customWidth="1"/>
    <col min="10801" max="10801" width="32.109375" bestFit="1" customWidth="1"/>
    <col min="10802" max="10802" width="22.77734375" bestFit="1" customWidth="1"/>
    <col min="10803" max="10803" width="28.88671875" bestFit="1" customWidth="1"/>
    <col min="10804" max="10804" width="23.33203125" bestFit="1" customWidth="1"/>
    <col min="10805" max="10805" width="25.44140625" bestFit="1" customWidth="1"/>
    <col min="10806" max="10806" width="31.6640625" bestFit="1" customWidth="1"/>
    <col min="10807" max="10807" width="26" bestFit="1" customWidth="1"/>
    <col min="10808" max="10808" width="27.77734375" bestFit="1" customWidth="1"/>
    <col min="10809" max="10809" width="33.88671875" bestFit="1" customWidth="1"/>
    <col min="10810" max="10810" width="28.33203125" bestFit="1" customWidth="1"/>
    <col min="10811" max="10811" width="30.33203125" bestFit="1" customWidth="1"/>
    <col min="10812" max="10812" width="36.5546875" bestFit="1" customWidth="1"/>
    <col min="10813" max="10813" width="30.88671875" bestFit="1" customWidth="1"/>
    <col min="10814" max="10814" width="25.109375" bestFit="1" customWidth="1"/>
    <col min="10815" max="10815" width="31.21875" bestFit="1" customWidth="1"/>
    <col min="10816" max="10816" width="25.6640625" bestFit="1" customWidth="1"/>
    <col min="10817" max="10817" width="31.5546875" bestFit="1" customWidth="1"/>
    <col min="10818" max="10818" width="37.6640625" bestFit="1" customWidth="1"/>
    <col min="10819" max="10819" width="32.109375" bestFit="1" customWidth="1"/>
    <col min="10820" max="10820" width="22.77734375" bestFit="1" customWidth="1"/>
    <col min="10821" max="10821" width="28.88671875" bestFit="1" customWidth="1"/>
    <col min="10822" max="10822" width="23.33203125" bestFit="1" customWidth="1"/>
    <col min="10823" max="10823" width="25.44140625" bestFit="1" customWidth="1"/>
    <col min="10824" max="10824" width="31.6640625" bestFit="1" customWidth="1"/>
    <col min="10825" max="10825" width="26" bestFit="1" customWidth="1"/>
    <col min="10826" max="10826" width="27.77734375" bestFit="1" customWidth="1"/>
    <col min="10827" max="10827" width="33.88671875" bestFit="1" customWidth="1"/>
    <col min="10828" max="10828" width="28.33203125" bestFit="1" customWidth="1"/>
    <col min="10829" max="10829" width="30.33203125" bestFit="1" customWidth="1"/>
    <col min="10830" max="10830" width="36.5546875" bestFit="1" customWidth="1"/>
    <col min="10831" max="10831" width="30.88671875" bestFit="1" customWidth="1"/>
    <col min="10832" max="10832" width="25.109375" bestFit="1" customWidth="1"/>
    <col min="10833" max="10833" width="31.21875" bestFit="1" customWidth="1"/>
    <col min="10834" max="10834" width="25.6640625" bestFit="1" customWidth="1"/>
    <col min="10835" max="10835" width="31.5546875" bestFit="1" customWidth="1"/>
    <col min="10836" max="10836" width="37.6640625" bestFit="1" customWidth="1"/>
    <col min="10837" max="10837" width="32.109375" bestFit="1" customWidth="1"/>
    <col min="10838" max="10838" width="22.77734375" bestFit="1" customWidth="1"/>
    <col min="10839" max="10839" width="28.88671875" bestFit="1" customWidth="1"/>
    <col min="10840" max="10840" width="23.33203125" bestFit="1" customWidth="1"/>
    <col min="10841" max="10841" width="25.44140625" bestFit="1" customWidth="1"/>
    <col min="10842" max="10842" width="31.6640625" bestFit="1" customWidth="1"/>
    <col min="10843" max="10843" width="26" bestFit="1" customWidth="1"/>
    <col min="10844" max="10844" width="27.77734375" bestFit="1" customWidth="1"/>
    <col min="10845" max="10845" width="33.88671875" bestFit="1" customWidth="1"/>
    <col min="10846" max="10846" width="28.33203125" bestFit="1" customWidth="1"/>
    <col min="10847" max="10847" width="30.33203125" bestFit="1" customWidth="1"/>
    <col min="10848" max="10848" width="36.5546875" bestFit="1" customWidth="1"/>
    <col min="10849" max="10849" width="30.88671875" bestFit="1" customWidth="1"/>
    <col min="10850" max="10850" width="25.109375" bestFit="1" customWidth="1"/>
    <col min="10851" max="10851" width="31.21875" bestFit="1" customWidth="1"/>
    <col min="10852" max="10852" width="25.6640625" bestFit="1" customWidth="1"/>
    <col min="10853" max="10853" width="31.5546875" bestFit="1" customWidth="1"/>
    <col min="10854" max="10854" width="37.6640625" bestFit="1" customWidth="1"/>
    <col min="10855" max="10855" width="32.109375" bestFit="1" customWidth="1"/>
    <col min="10856" max="10856" width="22.77734375" bestFit="1" customWidth="1"/>
    <col min="10857" max="10857" width="28.88671875" bestFit="1" customWidth="1"/>
    <col min="10858" max="10858" width="23.33203125" bestFit="1" customWidth="1"/>
    <col min="10859" max="10859" width="25.44140625" bestFit="1" customWidth="1"/>
    <col min="10860" max="10860" width="31.6640625" bestFit="1" customWidth="1"/>
    <col min="10861" max="10861" width="26" bestFit="1" customWidth="1"/>
    <col min="10862" max="10862" width="26.77734375" bestFit="1" customWidth="1"/>
    <col min="10863" max="10863" width="32.88671875" bestFit="1" customWidth="1"/>
    <col min="10864" max="10864" width="27.33203125" bestFit="1" customWidth="1"/>
    <col min="10865" max="10865" width="30.33203125" bestFit="1" customWidth="1"/>
    <col min="10866" max="10866" width="36.5546875" bestFit="1" customWidth="1"/>
    <col min="10867" max="10867" width="30.88671875" bestFit="1" customWidth="1"/>
    <col min="10868" max="10868" width="25.109375" bestFit="1" customWidth="1"/>
    <col min="10869" max="10869" width="31.21875" bestFit="1" customWidth="1"/>
    <col min="10870" max="10870" width="25.6640625" bestFit="1" customWidth="1"/>
    <col min="10871" max="10871" width="31.5546875" bestFit="1" customWidth="1"/>
    <col min="10872" max="10872" width="37.6640625" bestFit="1" customWidth="1"/>
    <col min="10873" max="10873" width="32.109375" bestFit="1" customWidth="1"/>
    <col min="10874" max="10874" width="22.77734375" bestFit="1" customWidth="1"/>
    <col min="10875" max="10875" width="28.88671875" bestFit="1" customWidth="1"/>
    <col min="10876" max="10876" width="23.33203125" bestFit="1" customWidth="1"/>
    <col min="10877" max="10877" width="25.44140625" bestFit="1" customWidth="1"/>
    <col min="10878" max="10878" width="31.6640625" bestFit="1" customWidth="1"/>
    <col min="10879" max="10879" width="26" bestFit="1" customWidth="1"/>
    <col min="10880" max="10880" width="27.77734375" bestFit="1" customWidth="1"/>
    <col min="10881" max="10881" width="33.88671875" bestFit="1" customWidth="1"/>
    <col min="10882" max="10882" width="28.33203125" bestFit="1" customWidth="1"/>
    <col min="10883" max="10883" width="30.33203125" bestFit="1" customWidth="1"/>
    <col min="10884" max="10884" width="36.5546875" bestFit="1" customWidth="1"/>
    <col min="10885" max="10885" width="30.88671875" bestFit="1" customWidth="1"/>
    <col min="10886" max="10886" width="25.109375" bestFit="1" customWidth="1"/>
    <col min="10887" max="10887" width="31.21875" bestFit="1" customWidth="1"/>
    <col min="10888" max="10888" width="25.6640625" bestFit="1" customWidth="1"/>
    <col min="10889" max="10889" width="31.5546875" bestFit="1" customWidth="1"/>
    <col min="10890" max="10890" width="37.6640625" bestFit="1" customWidth="1"/>
    <col min="10891" max="10891" width="32.109375" bestFit="1" customWidth="1"/>
    <col min="10892" max="10892" width="22.77734375" bestFit="1" customWidth="1"/>
    <col min="10893" max="10893" width="28.88671875" bestFit="1" customWidth="1"/>
    <col min="10894" max="10894" width="23.33203125" bestFit="1" customWidth="1"/>
    <col min="10895" max="10895" width="25.44140625" bestFit="1" customWidth="1"/>
    <col min="10896" max="10896" width="31.6640625" bestFit="1" customWidth="1"/>
    <col min="10897" max="10897" width="26" bestFit="1" customWidth="1"/>
    <col min="10898" max="10898" width="27.77734375" bestFit="1" customWidth="1"/>
    <col min="10899" max="10899" width="33.88671875" bestFit="1" customWidth="1"/>
    <col min="10900" max="10900" width="28.33203125" bestFit="1" customWidth="1"/>
    <col min="10901" max="10901" width="30.33203125" bestFit="1" customWidth="1"/>
    <col min="10902" max="10902" width="36.5546875" bestFit="1" customWidth="1"/>
    <col min="10903" max="10903" width="30.88671875" bestFit="1" customWidth="1"/>
    <col min="10904" max="10904" width="25.109375" bestFit="1" customWidth="1"/>
    <col min="10905" max="10905" width="31.21875" bestFit="1" customWidth="1"/>
    <col min="10906" max="10906" width="25.6640625" bestFit="1" customWidth="1"/>
    <col min="10907" max="10907" width="31.5546875" bestFit="1" customWidth="1"/>
    <col min="10908" max="10908" width="37.6640625" bestFit="1" customWidth="1"/>
    <col min="10909" max="10909" width="32.109375" bestFit="1" customWidth="1"/>
    <col min="10910" max="10910" width="22.77734375" bestFit="1" customWidth="1"/>
    <col min="10911" max="10911" width="28.88671875" bestFit="1" customWidth="1"/>
    <col min="10912" max="10912" width="23.33203125" bestFit="1" customWidth="1"/>
    <col min="10913" max="10913" width="25.44140625" bestFit="1" customWidth="1"/>
    <col min="10914" max="10914" width="31.6640625" bestFit="1" customWidth="1"/>
    <col min="10915" max="10915" width="26" bestFit="1" customWidth="1"/>
    <col min="10916" max="10916" width="27.77734375" bestFit="1" customWidth="1"/>
    <col min="10917" max="10917" width="33.88671875" bestFit="1" customWidth="1"/>
    <col min="10918" max="10918" width="28.33203125" bestFit="1" customWidth="1"/>
    <col min="10919" max="10919" width="30.33203125" bestFit="1" customWidth="1"/>
    <col min="10920" max="10920" width="36.5546875" bestFit="1" customWidth="1"/>
    <col min="10921" max="10921" width="30.88671875" bestFit="1" customWidth="1"/>
    <col min="10922" max="10922" width="25.109375" bestFit="1" customWidth="1"/>
    <col min="10923" max="10923" width="31.21875" bestFit="1" customWidth="1"/>
    <col min="10924" max="10924" width="25.6640625" bestFit="1" customWidth="1"/>
    <col min="10925" max="10925" width="31.5546875" bestFit="1" customWidth="1"/>
    <col min="10926" max="10926" width="37.6640625" bestFit="1" customWidth="1"/>
    <col min="10927" max="10927" width="32.109375" bestFit="1" customWidth="1"/>
    <col min="10928" max="10928" width="22.77734375" bestFit="1" customWidth="1"/>
    <col min="10929" max="10929" width="28.88671875" bestFit="1" customWidth="1"/>
    <col min="10930" max="10930" width="23.33203125" bestFit="1" customWidth="1"/>
    <col min="10931" max="10931" width="25.44140625" bestFit="1" customWidth="1"/>
    <col min="10932" max="10932" width="31.6640625" bestFit="1" customWidth="1"/>
    <col min="10933" max="10933" width="26" bestFit="1" customWidth="1"/>
    <col min="10934" max="10934" width="27.77734375" bestFit="1" customWidth="1"/>
    <col min="10935" max="10935" width="33.88671875" bestFit="1" customWidth="1"/>
    <col min="10936" max="10936" width="28.33203125" bestFit="1" customWidth="1"/>
    <col min="10937" max="10937" width="30.33203125" bestFit="1" customWidth="1"/>
    <col min="10938" max="10938" width="36.5546875" bestFit="1" customWidth="1"/>
    <col min="10939" max="10939" width="30.88671875" bestFit="1" customWidth="1"/>
    <col min="10940" max="10940" width="25.109375" bestFit="1" customWidth="1"/>
    <col min="10941" max="10941" width="31.21875" bestFit="1" customWidth="1"/>
    <col min="10942" max="10942" width="25.6640625" bestFit="1" customWidth="1"/>
    <col min="10943" max="10943" width="31.5546875" bestFit="1" customWidth="1"/>
    <col min="10944" max="10944" width="37.6640625" bestFit="1" customWidth="1"/>
    <col min="10945" max="10945" width="32.109375" bestFit="1" customWidth="1"/>
    <col min="10946" max="10946" width="22.77734375" bestFit="1" customWidth="1"/>
    <col min="10947" max="10947" width="28.88671875" bestFit="1" customWidth="1"/>
    <col min="10948" max="10948" width="23.33203125" bestFit="1" customWidth="1"/>
    <col min="10949" max="10949" width="25.44140625" bestFit="1" customWidth="1"/>
    <col min="10950" max="10950" width="31.6640625" bestFit="1" customWidth="1"/>
    <col min="10951" max="10951" width="26" bestFit="1" customWidth="1"/>
    <col min="10952" max="10952" width="27.77734375" bestFit="1" customWidth="1"/>
    <col min="10953" max="10953" width="33.88671875" bestFit="1" customWidth="1"/>
    <col min="10954" max="10954" width="28.33203125" bestFit="1" customWidth="1"/>
    <col min="10955" max="10955" width="30.33203125" bestFit="1" customWidth="1"/>
    <col min="10956" max="10956" width="36.5546875" bestFit="1" customWidth="1"/>
    <col min="10957" max="10957" width="30.88671875" bestFit="1" customWidth="1"/>
    <col min="10958" max="10958" width="25.109375" bestFit="1" customWidth="1"/>
    <col min="10959" max="10959" width="31.21875" bestFit="1" customWidth="1"/>
    <col min="10960" max="10960" width="25.6640625" bestFit="1" customWidth="1"/>
    <col min="10961" max="10961" width="31.5546875" bestFit="1" customWidth="1"/>
    <col min="10962" max="10962" width="37.6640625" bestFit="1" customWidth="1"/>
    <col min="10963" max="10963" width="32.109375" bestFit="1" customWidth="1"/>
    <col min="10964" max="10964" width="22.77734375" bestFit="1" customWidth="1"/>
    <col min="10965" max="10965" width="28.88671875" bestFit="1" customWidth="1"/>
    <col min="10966" max="10966" width="23.33203125" bestFit="1" customWidth="1"/>
    <col min="10967" max="10967" width="25.44140625" bestFit="1" customWidth="1"/>
    <col min="10968" max="10968" width="31.6640625" bestFit="1" customWidth="1"/>
    <col min="10969" max="10969" width="26" bestFit="1" customWidth="1"/>
    <col min="10970" max="10970" width="27.77734375" bestFit="1" customWidth="1"/>
    <col min="10971" max="10971" width="33.88671875" bestFit="1" customWidth="1"/>
    <col min="10972" max="10972" width="28.33203125" bestFit="1" customWidth="1"/>
    <col min="10973" max="10973" width="30.33203125" bestFit="1" customWidth="1"/>
    <col min="10974" max="10974" width="36.5546875" bestFit="1" customWidth="1"/>
    <col min="10975" max="10975" width="30.88671875" bestFit="1" customWidth="1"/>
    <col min="10976" max="10976" width="25.109375" bestFit="1" customWidth="1"/>
    <col min="10977" max="10977" width="31.21875" bestFit="1" customWidth="1"/>
    <col min="10978" max="10978" width="25.6640625" bestFit="1" customWidth="1"/>
    <col min="10979" max="10979" width="31.5546875" bestFit="1" customWidth="1"/>
    <col min="10980" max="10980" width="37.6640625" bestFit="1" customWidth="1"/>
    <col min="10981" max="10981" width="32.109375" bestFit="1" customWidth="1"/>
    <col min="10982" max="10982" width="22.77734375" bestFit="1" customWidth="1"/>
    <col min="10983" max="10983" width="28.88671875" bestFit="1" customWidth="1"/>
    <col min="10984" max="10984" width="23.33203125" bestFit="1" customWidth="1"/>
    <col min="10985" max="10985" width="25.44140625" bestFit="1" customWidth="1"/>
    <col min="10986" max="10986" width="31.6640625" bestFit="1" customWidth="1"/>
    <col min="10987" max="10987" width="26" bestFit="1" customWidth="1"/>
    <col min="10988" max="10988" width="27.77734375" bestFit="1" customWidth="1"/>
    <col min="10989" max="10989" width="33.88671875" bestFit="1" customWidth="1"/>
    <col min="10990" max="10990" width="28.33203125" bestFit="1" customWidth="1"/>
    <col min="10991" max="10991" width="30.33203125" bestFit="1" customWidth="1"/>
    <col min="10992" max="10992" width="36.5546875" bestFit="1" customWidth="1"/>
    <col min="10993" max="10993" width="30.88671875" bestFit="1" customWidth="1"/>
    <col min="10994" max="10994" width="25.109375" bestFit="1" customWidth="1"/>
    <col min="10995" max="10995" width="31.21875" bestFit="1" customWidth="1"/>
    <col min="10996" max="10996" width="25.6640625" bestFit="1" customWidth="1"/>
    <col min="10997" max="10997" width="31.5546875" bestFit="1" customWidth="1"/>
    <col min="10998" max="10998" width="37.6640625" bestFit="1" customWidth="1"/>
    <col min="10999" max="10999" width="32.109375" bestFit="1" customWidth="1"/>
    <col min="11000" max="11000" width="22.77734375" bestFit="1" customWidth="1"/>
    <col min="11001" max="11001" width="28.88671875" bestFit="1" customWidth="1"/>
    <col min="11002" max="11002" width="23.33203125" bestFit="1" customWidth="1"/>
    <col min="11003" max="11003" width="25.44140625" bestFit="1" customWidth="1"/>
    <col min="11004" max="11004" width="31.6640625" bestFit="1" customWidth="1"/>
    <col min="11005" max="11005" width="26" bestFit="1" customWidth="1"/>
    <col min="11006" max="11006" width="27.77734375" bestFit="1" customWidth="1"/>
    <col min="11007" max="11007" width="33.88671875" bestFit="1" customWidth="1"/>
    <col min="11008" max="11008" width="28.33203125" bestFit="1" customWidth="1"/>
    <col min="11009" max="11009" width="30.33203125" bestFit="1" customWidth="1"/>
    <col min="11010" max="11010" width="36.5546875" bestFit="1" customWidth="1"/>
    <col min="11011" max="11011" width="30.88671875" bestFit="1" customWidth="1"/>
    <col min="11012" max="11012" width="25.109375" bestFit="1" customWidth="1"/>
    <col min="11013" max="11013" width="31.21875" bestFit="1" customWidth="1"/>
    <col min="11014" max="11014" width="25.6640625" bestFit="1" customWidth="1"/>
    <col min="11015" max="11015" width="31.5546875" bestFit="1" customWidth="1"/>
    <col min="11016" max="11016" width="37.6640625" bestFit="1" customWidth="1"/>
    <col min="11017" max="11017" width="32.109375" bestFit="1" customWidth="1"/>
    <col min="11018" max="11018" width="22.77734375" bestFit="1" customWidth="1"/>
    <col min="11019" max="11019" width="28.88671875" bestFit="1" customWidth="1"/>
    <col min="11020" max="11020" width="23.33203125" bestFit="1" customWidth="1"/>
    <col min="11021" max="11021" width="25.44140625" bestFit="1" customWidth="1"/>
    <col min="11022" max="11022" width="31.6640625" bestFit="1" customWidth="1"/>
    <col min="11023" max="11023" width="26" bestFit="1" customWidth="1"/>
    <col min="11024" max="11024" width="27.77734375" bestFit="1" customWidth="1"/>
    <col min="11025" max="11025" width="33.88671875" bestFit="1" customWidth="1"/>
    <col min="11026" max="11026" width="28.33203125" bestFit="1" customWidth="1"/>
    <col min="11027" max="11027" width="30.33203125" bestFit="1" customWidth="1"/>
    <col min="11028" max="11028" width="36.5546875" bestFit="1" customWidth="1"/>
    <col min="11029" max="11029" width="30.88671875" bestFit="1" customWidth="1"/>
    <col min="11030" max="11030" width="25.109375" bestFit="1" customWidth="1"/>
    <col min="11031" max="11031" width="31.21875" bestFit="1" customWidth="1"/>
    <col min="11032" max="11032" width="25.6640625" bestFit="1" customWidth="1"/>
    <col min="11033" max="11033" width="31.5546875" bestFit="1" customWidth="1"/>
    <col min="11034" max="11034" width="37.6640625" bestFit="1" customWidth="1"/>
    <col min="11035" max="11035" width="32.109375" bestFit="1" customWidth="1"/>
    <col min="11036" max="11036" width="22.77734375" bestFit="1" customWidth="1"/>
    <col min="11037" max="11037" width="28.88671875" bestFit="1" customWidth="1"/>
    <col min="11038" max="11038" width="23.33203125" bestFit="1" customWidth="1"/>
    <col min="11039" max="11039" width="25.44140625" bestFit="1" customWidth="1"/>
    <col min="11040" max="11040" width="31.6640625" bestFit="1" customWidth="1"/>
    <col min="11041" max="11041" width="26" bestFit="1" customWidth="1"/>
    <col min="11042" max="11042" width="27.77734375" bestFit="1" customWidth="1"/>
    <col min="11043" max="11043" width="33.88671875" bestFit="1" customWidth="1"/>
    <col min="11044" max="11044" width="28.33203125" bestFit="1" customWidth="1"/>
    <col min="11045" max="11045" width="30.33203125" bestFit="1" customWidth="1"/>
    <col min="11046" max="11046" width="36.5546875" bestFit="1" customWidth="1"/>
    <col min="11047" max="11047" width="30.88671875" bestFit="1" customWidth="1"/>
    <col min="11048" max="11048" width="25.109375" bestFit="1" customWidth="1"/>
    <col min="11049" max="11049" width="31.21875" bestFit="1" customWidth="1"/>
    <col min="11050" max="11050" width="25.6640625" bestFit="1" customWidth="1"/>
    <col min="11051" max="11051" width="31.5546875" bestFit="1" customWidth="1"/>
    <col min="11052" max="11052" width="37.6640625" bestFit="1" customWidth="1"/>
    <col min="11053" max="11053" width="32.109375" bestFit="1" customWidth="1"/>
    <col min="11054" max="11054" width="22.77734375" bestFit="1" customWidth="1"/>
    <col min="11055" max="11055" width="28.88671875" bestFit="1" customWidth="1"/>
    <col min="11056" max="11056" width="23.33203125" bestFit="1" customWidth="1"/>
    <col min="11057" max="11057" width="25.44140625" bestFit="1" customWidth="1"/>
    <col min="11058" max="11058" width="31.6640625" bestFit="1" customWidth="1"/>
    <col min="11059" max="11059" width="26" bestFit="1" customWidth="1"/>
    <col min="11060" max="11060" width="27.77734375" bestFit="1" customWidth="1"/>
    <col min="11061" max="11061" width="33.88671875" bestFit="1" customWidth="1"/>
    <col min="11062" max="11062" width="28.33203125" bestFit="1" customWidth="1"/>
    <col min="11063" max="11063" width="30.33203125" bestFit="1" customWidth="1"/>
    <col min="11064" max="11064" width="36.5546875" bestFit="1" customWidth="1"/>
    <col min="11065" max="11065" width="30.88671875" bestFit="1" customWidth="1"/>
    <col min="11066" max="11066" width="25.109375" bestFit="1" customWidth="1"/>
    <col min="11067" max="11067" width="31.21875" bestFit="1" customWidth="1"/>
    <col min="11068" max="11068" width="25.6640625" bestFit="1" customWidth="1"/>
    <col min="11069" max="11069" width="31.5546875" bestFit="1" customWidth="1"/>
    <col min="11070" max="11070" width="37.6640625" bestFit="1" customWidth="1"/>
    <col min="11071" max="11071" width="32.109375" bestFit="1" customWidth="1"/>
    <col min="11072" max="11072" width="22.77734375" bestFit="1" customWidth="1"/>
    <col min="11073" max="11073" width="28.88671875" bestFit="1" customWidth="1"/>
    <col min="11074" max="11074" width="23.33203125" bestFit="1" customWidth="1"/>
    <col min="11075" max="11075" width="25.44140625" bestFit="1" customWidth="1"/>
    <col min="11076" max="11076" width="31.6640625" bestFit="1" customWidth="1"/>
    <col min="11077" max="11077" width="26" bestFit="1" customWidth="1"/>
    <col min="11078" max="11078" width="27.77734375" bestFit="1" customWidth="1"/>
    <col min="11079" max="11079" width="33.88671875" bestFit="1" customWidth="1"/>
    <col min="11080" max="11080" width="28.33203125" bestFit="1" customWidth="1"/>
    <col min="11081" max="11081" width="30.33203125" bestFit="1" customWidth="1"/>
    <col min="11082" max="11082" width="36.5546875" bestFit="1" customWidth="1"/>
    <col min="11083" max="11083" width="30.88671875" bestFit="1" customWidth="1"/>
    <col min="11084" max="11084" width="25.109375" bestFit="1" customWidth="1"/>
    <col min="11085" max="11085" width="31.21875" bestFit="1" customWidth="1"/>
    <col min="11086" max="11086" width="25.6640625" bestFit="1" customWidth="1"/>
    <col min="11087" max="11087" width="31.5546875" bestFit="1" customWidth="1"/>
    <col min="11088" max="11088" width="37.6640625" bestFit="1" customWidth="1"/>
    <col min="11089" max="11089" width="32.109375" bestFit="1" customWidth="1"/>
    <col min="11090" max="11090" width="22.77734375" bestFit="1" customWidth="1"/>
    <col min="11091" max="11091" width="28.88671875" bestFit="1" customWidth="1"/>
    <col min="11092" max="11092" width="23.33203125" bestFit="1" customWidth="1"/>
    <col min="11093" max="11093" width="25.44140625" bestFit="1" customWidth="1"/>
    <col min="11094" max="11094" width="31.6640625" bestFit="1" customWidth="1"/>
    <col min="11095" max="11095" width="26" bestFit="1" customWidth="1"/>
    <col min="11096" max="11096" width="27.77734375" bestFit="1" customWidth="1"/>
    <col min="11097" max="11097" width="33.88671875" bestFit="1" customWidth="1"/>
    <col min="11098" max="11098" width="28.33203125" bestFit="1" customWidth="1"/>
    <col min="11099" max="11099" width="30.33203125" bestFit="1" customWidth="1"/>
    <col min="11100" max="11100" width="36.5546875" bestFit="1" customWidth="1"/>
    <col min="11101" max="11101" width="30.88671875" bestFit="1" customWidth="1"/>
    <col min="11102" max="11102" width="25.109375" bestFit="1" customWidth="1"/>
    <col min="11103" max="11103" width="31.21875" bestFit="1" customWidth="1"/>
    <col min="11104" max="11104" width="25.6640625" bestFit="1" customWidth="1"/>
    <col min="11105" max="11105" width="31.5546875" bestFit="1" customWidth="1"/>
    <col min="11106" max="11106" width="37.6640625" bestFit="1" customWidth="1"/>
    <col min="11107" max="11107" width="32.109375" bestFit="1" customWidth="1"/>
    <col min="11108" max="11108" width="22.77734375" bestFit="1" customWidth="1"/>
    <col min="11109" max="11109" width="28.88671875" bestFit="1" customWidth="1"/>
    <col min="11110" max="11110" width="23.33203125" bestFit="1" customWidth="1"/>
    <col min="11111" max="11111" width="25.44140625" bestFit="1" customWidth="1"/>
    <col min="11112" max="11112" width="31.6640625" bestFit="1" customWidth="1"/>
    <col min="11113" max="11113" width="26" bestFit="1" customWidth="1"/>
    <col min="11114" max="11114" width="27.77734375" bestFit="1" customWidth="1"/>
    <col min="11115" max="11115" width="33.88671875" bestFit="1" customWidth="1"/>
    <col min="11116" max="11116" width="28.33203125" bestFit="1" customWidth="1"/>
    <col min="11117" max="11117" width="30.33203125" bestFit="1" customWidth="1"/>
    <col min="11118" max="11118" width="36.5546875" bestFit="1" customWidth="1"/>
    <col min="11119" max="11119" width="30.88671875" bestFit="1" customWidth="1"/>
    <col min="11120" max="11120" width="25.109375" bestFit="1" customWidth="1"/>
    <col min="11121" max="11121" width="31.21875" bestFit="1" customWidth="1"/>
    <col min="11122" max="11122" width="25.6640625" bestFit="1" customWidth="1"/>
    <col min="11123" max="11123" width="31.5546875" bestFit="1" customWidth="1"/>
    <col min="11124" max="11124" width="37.6640625" bestFit="1" customWidth="1"/>
    <col min="11125" max="11125" width="32.109375" bestFit="1" customWidth="1"/>
    <col min="11126" max="11126" width="22.77734375" bestFit="1" customWidth="1"/>
    <col min="11127" max="11127" width="28.88671875" bestFit="1" customWidth="1"/>
    <col min="11128" max="11128" width="23.33203125" bestFit="1" customWidth="1"/>
    <col min="11129" max="11129" width="25.44140625" bestFit="1" customWidth="1"/>
    <col min="11130" max="11130" width="31.6640625" bestFit="1" customWidth="1"/>
    <col min="11131" max="11131" width="26" bestFit="1" customWidth="1"/>
    <col min="11132" max="11132" width="27.77734375" bestFit="1" customWidth="1"/>
    <col min="11133" max="11133" width="33.88671875" bestFit="1" customWidth="1"/>
    <col min="11134" max="11134" width="28.33203125" bestFit="1" customWidth="1"/>
    <col min="11135" max="11135" width="30.33203125" bestFit="1" customWidth="1"/>
    <col min="11136" max="11136" width="36.5546875" bestFit="1" customWidth="1"/>
    <col min="11137" max="11137" width="30.88671875" bestFit="1" customWidth="1"/>
    <col min="11138" max="11138" width="25.109375" bestFit="1" customWidth="1"/>
    <col min="11139" max="11139" width="31.21875" bestFit="1" customWidth="1"/>
    <col min="11140" max="11140" width="25.6640625" bestFit="1" customWidth="1"/>
    <col min="11141" max="11141" width="31.5546875" bestFit="1" customWidth="1"/>
    <col min="11142" max="11142" width="37.6640625" bestFit="1" customWidth="1"/>
    <col min="11143" max="11143" width="32.109375" bestFit="1" customWidth="1"/>
    <col min="11144" max="11144" width="22.77734375" bestFit="1" customWidth="1"/>
    <col min="11145" max="11145" width="28.88671875" bestFit="1" customWidth="1"/>
    <col min="11146" max="11146" width="23.33203125" bestFit="1" customWidth="1"/>
    <col min="11147" max="11147" width="25.44140625" bestFit="1" customWidth="1"/>
    <col min="11148" max="11148" width="31.6640625" bestFit="1" customWidth="1"/>
    <col min="11149" max="11149" width="26" bestFit="1" customWidth="1"/>
    <col min="11150" max="11150" width="27.77734375" bestFit="1" customWidth="1"/>
    <col min="11151" max="11151" width="33.88671875" bestFit="1" customWidth="1"/>
    <col min="11152" max="11152" width="28.33203125" bestFit="1" customWidth="1"/>
    <col min="11153" max="11153" width="30.33203125" bestFit="1" customWidth="1"/>
    <col min="11154" max="11154" width="36.5546875" bestFit="1" customWidth="1"/>
    <col min="11155" max="11155" width="30.88671875" bestFit="1" customWidth="1"/>
    <col min="11156" max="11156" width="25.109375" bestFit="1" customWidth="1"/>
    <col min="11157" max="11157" width="31.21875" bestFit="1" customWidth="1"/>
    <col min="11158" max="11158" width="25.6640625" bestFit="1" customWidth="1"/>
    <col min="11159" max="11159" width="31.5546875" bestFit="1" customWidth="1"/>
    <col min="11160" max="11160" width="37.6640625" bestFit="1" customWidth="1"/>
    <col min="11161" max="11161" width="32.109375" bestFit="1" customWidth="1"/>
    <col min="11162" max="11162" width="22.77734375" bestFit="1" customWidth="1"/>
    <col min="11163" max="11163" width="28.88671875" bestFit="1" customWidth="1"/>
    <col min="11164" max="11164" width="23.33203125" bestFit="1" customWidth="1"/>
    <col min="11165" max="11165" width="25.44140625" bestFit="1" customWidth="1"/>
    <col min="11166" max="11166" width="31.6640625" bestFit="1" customWidth="1"/>
    <col min="11167" max="11167" width="26" bestFit="1" customWidth="1"/>
    <col min="11168" max="11168" width="27.77734375" bestFit="1" customWidth="1"/>
    <col min="11169" max="11169" width="33.88671875" bestFit="1" customWidth="1"/>
    <col min="11170" max="11170" width="28.33203125" bestFit="1" customWidth="1"/>
    <col min="11171" max="11171" width="30.33203125" bestFit="1" customWidth="1"/>
    <col min="11172" max="11172" width="36.5546875" bestFit="1" customWidth="1"/>
    <col min="11173" max="11173" width="30.88671875" bestFit="1" customWidth="1"/>
    <col min="11174" max="11174" width="25.109375" bestFit="1" customWidth="1"/>
    <col min="11175" max="11175" width="31.21875" bestFit="1" customWidth="1"/>
    <col min="11176" max="11176" width="25.6640625" bestFit="1" customWidth="1"/>
    <col min="11177" max="11177" width="31.5546875" bestFit="1" customWidth="1"/>
    <col min="11178" max="11178" width="37.6640625" bestFit="1" customWidth="1"/>
    <col min="11179" max="11179" width="32.109375" bestFit="1" customWidth="1"/>
    <col min="11180" max="11180" width="22.77734375" bestFit="1" customWidth="1"/>
    <col min="11181" max="11181" width="28.88671875" bestFit="1" customWidth="1"/>
    <col min="11182" max="11182" width="23.33203125" bestFit="1" customWidth="1"/>
    <col min="11183" max="11183" width="25.44140625" bestFit="1" customWidth="1"/>
    <col min="11184" max="11184" width="31.6640625" bestFit="1" customWidth="1"/>
    <col min="11185" max="11185" width="26" bestFit="1" customWidth="1"/>
    <col min="11186" max="11186" width="27.77734375" bestFit="1" customWidth="1"/>
    <col min="11187" max="11187" width="33.88671875" bestFit="1" customWidth="1"/>
    <col min="11188" max="11188" width="28.33203125" bestFit="1" customWidth="1"/>
    <col min="11189" max="11189" width="30.33203125" bestFit="1" customWidth="1"/>
    <col min="11190" max="11190" width="36.5546875" bestFit="1" customWidth="1"/>
    <col min="11191" max="11191" width="30.88671875" bestFit="1" customWidth="1"/>
    <col min="11192" max="11192" width="25.109375" bestFit="1" customWidth="1"/>
    <col min="11193" max="11193" width="31.21875" bestFit="1" customWidth="1"/>
    <col min="11194" max="11194" width="25.6640625" bestFit="1" customWidth="1"/>
    <col min="11195" max="11195" width="31.5546875" bestFit="1" customWidth="1"/>
    <col min="11196" max="11196" width="37.6640625" bestFit="1" customWidth="1"/>
    <col min="11197" max="11197" width="32.109375" bestFit="1" customWidth="1"/>
    <col min="11198" max="11198" width="22.77734375" bestFit="1" customWidth="1"/>
    <col min="11199" max="11199" width="28.88671875" bestFit="1" customWidth="1"/>
    <col min="11200" max="11200" width="23.33203125" bestFit="1" customWidth="1"/>
    <col min="11201" max="11201" width="25.44140625" bestFit="1" customWidth="1"/>
    <col min="11202" max="11202" width="31.6640625" bestFit="1" customWidth="1"/>
    <col min="11203" max="11203" width="26" bestFit="1" customWidth="1"/>
    <col min="11204" max="11204" width="27.77734375" bestFit="1" customWidth="1"/>
    <col min="11205" max="11205" width="33.88671875" bestFit="1" customWidth="1"/>
    <col min="11206" max="11206" width="28.33203125" bestFit="1" customWidth="1"/>
    <col min="11207" max="11207" width="30.33203125" bestFit="1" customWidth="1"/>
    <col min="11208" max="11208" width="36.5546875" bestFit="1" customWidth="1"/>
    <col min="11209" max="11209" width="30.88671875" bestFit="1" customWidth="1"/>
    <col min="11210" max="11210" width="25.109375" bestFit="1" customWidth="1"/>
    <col min="11211" max="11211" width="31.21875" bestFit="1" customWidth="1"/>
    <col min="11212" max="11212" width="25.6640625" bestFit="1" customWidth="1"/>
    <col min="11213" max="11213" width="31.5546875" bestFit="1" customWidth="1"/>
    <col min="11214" max="11214" width="37.6640625" bestFit="1" customWidth="1"/>
    <col min="11215" max="11215" width="32.109375" bestFit="1" customWidth="1"/>
    <col min="11216" max="11216" width="22.77734375" bestFit="1" customWidth="1"/>
    <col min="11217" max="11217" width="28.88671875" bestFit="1" customWidth="1"/>
    <col min="11218" max="11218" width="23.33203125" bestFit="1" customWidth="1"/>
    <col min="11219" max="11219" width="25.44140625" bestFit="1" customWidth="1"/>
    <col min="11220" max="11220" width="31.6640625" bestFit="1" customWidth="1"/>
    <col min="11221" max="11221" width="26" bestFit="1" customWidth="1"/>
    <col min="11222" max="11222" width="27.77734375" bestFit="1" customWidth="1"/>
    <col min="11223" max="11223" width="33.88671875" bestFit="1" customWidth="1"/>
    <col min="11224" max="11224" width="28.33203125" bestFit="1" customWidth="1"/>
    <col min="11225" max="11225" width="30.33203125" bestFit="1" customWidth="1"/>
    <col min="11226" max="11226" width="36.5546875" bestFit="1" customWidth="1"/>
    <col min="11227" max="11227" width="30.88671875" bestFit="1" customWidth="1"/>
    <col min="11228" max="11228" width="25.109375" bestFit="1" customWidth="1"/>
    <col min="11229" max="11229" width="31.21875" bestFit="1" customWidth="1"/>
    <col min="11230" max="11230" width="25.6640625" bestFit="1" customWidth="1"/>
    <col min="11231" max="11231" width="31.5546875" bestFit="1" customWidth="1"/>
    <col min="11232" max="11232" width="37.6640625" bestFit="1" customWidth="1"/>
    <col min="11233" max="11233" width="32.109375" bestFit="1" customWidth="1"/>
    <col min="11234" max="11234" width="22.77734375" bestFit="1" customWidth="1"/>
    <col min="11235" max="11235" width="28.88671875" bestFit="1" customWidth="1"/>
    <col min="11236" max="11236" width="23.33203125" bestFit="1" customWidth="1"/>
    <col min="11237" max="11237" width="25.44140625" bestFit="1" customWidth="1"/>
    <col min="11238" max="11238" width="31.6640625" bestFit="1" customWidth="1"/>
    <col min="11239" max="11239" width="26" bestFit="1" customWidth="1"/>
    <col min="11240" max="11240" width="27.77734375" bestFit="1" customWidth="1"/>
    <col min="11241" max="11241" width="33.88671875" bestFit="1" customWidth="1"/>
    <col min="11242" max="11242" width="28.33203125" bestFit="1" customWidth="1"/>
    <col min="11243" max="11243" width="30.33203125" bestFit="1" customWidth="1"/>
    <col min="11244" max="11244" width="36.5546875" bestFit="1" customWidth="1"/>
    <col min="11245" max="11245" width="30.88671875" bestFit="1" customWidth="1"/>
    <col min="11246" max="11246" width="25.109375" bestFit="1" customWidth="1"/>
    <col min="11247" max="11247" width="31.21875" bestFit="1" customWidth="1"/>
    <col min="11248" max="11248" width="25.6640625" bestFit="1" customWidth="1"/>
    <col min="11249" max="11249" width="31.5546875" bestFit="1" customWidth="1"/>
    <col min="11250" max="11250" width="37.6640625" bestFit="1" customWidth="1"/>
    <col min="11251" max="11251" width="32.109375" bestFit="1" customWidth="1"/>
    <col min="11252" max="11252" width="22.77734375" bestFit="1" customWidth="1"/>
    <col min="11253" max="11253" width="28.88671875" bestFit="1" customWidth="1"/>
    <col min="11254" max="11254" width="23.33203125" bestFit="1" customWidth="1"/>
    <col min="11255" max="11255" width="25.44140625" bestFit="1" customWidth="1"/>
    <col min="11256" max="11256" width="31.6640625" bestFit="1" customWidth="1"/>
    <col min="11257" max="11257" width="26" bestFit="1" customWidth="1"/>
    <col min="11258" max="11258" width="27.77734375" bestFit="1" customWidth="1"/>
    <col min="11259" max="11259" width="33.88671875" bestFit="1" customWidth="1"/>
    <col min="11260" max="11260" width="28.33203125" bestFit="1" customWidth="1"/>
    <col min="11261" max="11261" width="30.33203125" bestFit="1" customWidth="1"/>
    <col min="11262" max="11262" width="36.5546875" bestFit="1" customWidth="1"/>
    <col min="11263" max="11263" width="30.88671875" bestFit="1" customWidth="1"/>
    <col min="11264" max="11264" width="25.109375" bestFit="1" customWidth="1"/>
    <col min="11265" max="11265" width="31.21875" bestFit="1" customWidth="1"/>
    <col min="11266" max="11266" width="25.6640625" bestFit="1" customWidth="1"/>
    <col min="11267" max="11267" width="31.5546875" bestFit="1" customWidth="1"/>
    <col min="11268" max="11268" width="37.6640625" bestFit="1" customWidth="1"/>
    <col min="11269" max="11269" width="32.109375" bestFit="1" customWidth="1"/>
    <col min="11270" max="11270" width="22.77734375" bestFit="1" customWidth="1"/>
    <col min="11271" max="11271" width="28.88671875" bestFit="1" customWidth="1"/>
    <col min="11272" max="11272" width="23.33203125" bestFit="1" customWidth="1"/>
    <col min="11273" max="11273" width="25.44140625" bestFit="1" customWidth="1"/>
    <col min="11274" max="11274" width="31.6640625" bestFit="1" customWidth="1"/>
    <col min="11275" max="11275" width="26" bestFit="1" customWidth="1"/>
    <col min="11276" max="11276" width="27.77734375" bestFit="1" customWidth="1"/>
    <col min="11277" max="11277" width="33.88671875" bestFit="1" customWidth="1"/>
    <col min="11278" max="11278" width="28.33203125" bestFit="1" customWidth="1"/>
    <col min="11279" max="11279" width="30.33203125" bestFit="1" customWidth="1"/>
    <col min="11280" max="11280" width="36.5546875" bestFit="1" customWidth="1"/>
    <col min="11281" max="11281" width="30.88671875" bestFit="1" customWidth="1"/>
    <col min="11282" max="11282" width="25.109375" bestFit="1" customWidth="1"/>
    <col min="11283" max="11283" width="31.21875" bestFit="1" customWidth="1"/>
    <col min="11284" max="11284" width="25.6640625" bestFit="1" customWidth="1"/>
    <col min="11285" max="11285" width="31.5546875" bestFit="1" customWidth="1"/>
    <col min="11286" max="11286" width="37.6640625" bestFit="1" customWidth="1"/>
    <col min="11287" max="11287" width="32.109375" bestFit="1" customWidth="1"/>
    <col min="11288" max="11288" width="22.77734375" bestFit="1" customWidth="1"/>
    <col min="11289" max="11289" width="28.88671875" bestFit="1" customWidth="1"/>
    <col min="11290" max="11290" width="23.33203125" bestFit="1" customWidth="1"/>
    <col min="11291" max="11291" width="25.44140625" bestFit="1" customWidth="1"/>
    <col min="11292" max="11292" width="31.6640625" bestFit="1" customWidth="1"/>
    <col min="11293" max="11293" width="26" bestFit="1" customWidth="1"/>
    <col min="11294" max="11294" width="27.77734375" bestFit="1" customWidth="1"/>
    <col min="11295" max="11295" width="33.88671875" bestFit="1" customWidth="1"/>
    <col min="11296" max="11296" width="28.33203125" bestFit="1" customWidth="1"/>
    <col min="11297" max="11297" width="30.33203125" bestFit="1" customWidth="1"/>
    <col min="11298" max="11298" width="36.5546875" bestFit="1" customWidth="1"/>
    <col min="11299" max="11299" width="30.88671875" bestFit="1" customWidth="1"/>
    <col min="11300" max="11300" width="25.109375" bestFit="1" customWidth="1"/>
    <col min="11301" max="11301" width="31.21875" bestFit="1" customWidth="1"/>
    <col min="11302" max="11302" width="25.6640625" bestFit="1" customWidth="1"/>
    <col min="11303" max="11303" width="31.5546875" bestFit="1" customWidth="1"/>
    <col min="11304" max="11304" width="37.6640625" bestFit="1" customWidth="1"/>
    <col min="11305" max="11305" width="32.109375" bestFit="1" customWidth="1"/>
    <col min="11306" max="11306" width="22.77734375" bestFit="1" customWidth="1"/>
    <col min="11307" max="11307" width="28.88671875" bestFit="1" customWidth="1"/>
    <col min="11308" max="11308" width="23.33203125" bestFit="1" customWidth="1"/>
    <col min="11309" max="11309" width="25.44140625" bestFit="1" customWidth="1"/>
    <col min="11310" max="11310" width="31.6640625" bestFit="1" customWidth="1"/>
    <col min="11311" max="11311" width="26" bestFit="1" customWidth="1"/>
    <col min="11312" max="11312" width="27.77734375" bestFit="1" customWidth="1"/>
    <col min="11313" max="11313" width="33.88671875" bestFit="1" customWidth="1"/>
    <col min="11314" max="11314" width="28.33203125" bestFit="1" customWidth="1"/>
    <col min="11315" max="11315" width="30.33203125" bestFit="1" customWidth="1"/>
    <col min="11316" max="11316" width="36.5546875" bestFit="1" customWidth="1"/>
    <col min="11317" max="11317" width="30.88671875" bestFit="1" customWidth="1"/>
    <col min="11318" max="11318" width="25.109375" bestFit="1" customWidth="1"/>
    <col min="11319" max="11319" width="31.21875" bestFit="1" customWidth="1"/>
    <col min="11320" max="11320" width="25.6640625" bestFit="1" customWidth="1"/>
    <col min="11321" max="11321" width="31.5546875" bestFit="1" customWidth="1"/>
    <col min="11322" max="11322" width="37.6640625" bestFit="1" customWidth="1"/>
    <col min="11323" max="11323" width="32.109375" bestFit="1" customWidth="1"/>
    <col min="11324" max="11324" width="22.77734375" bestFit="1" customWidth="1"/>
    <col min="11325" max="11325" width="28.88671875" bestFit="1" customWidth="1"/>
    <col min="11326" max="11326" width="23.33203125" bestFit="1" customWidth="1"/>
    <col min="11327" max="11327" width="25.44140625" bestFit="1" customWidth="1"/>
    <col min="11328" max="11328" width="31.6640625" bestFit="1" customWidth="1"/>
    <col min="11329" max="11329" width="26" bestFit="1" customWidth="1"/>
    <col min="11330" max="11330" width="27.77734375" bestFit="1" customWidth="1"/>
    <col min="11331" max="11331" width="33.88671875" bestFit="1" customWidth="1"/>
    <col min="11332" max="11332" width="28.33203125" bestFit="1" customWidth="1"/>
    <col min="11333" max="11333" width="30.33203125" bestFit="1" customWidth="1"/>
    <col min="11334" max="11334" width="36.5546875" bestFit="1" customWidth="1"/>
    <col min="11335" max="11335" width="30.88671875" bestFit="1" customWidth="1"/>
    <col min="11336" max="11336" width="25.109375" bestFit="1" customWidth="1"/>
    <col min="11337" max="11337" width="31.21875" bestFit="1" customWidth="1"/>
    <col min="11338" max="11338" width="25.6640625" bestFit="1" customWidth="1"/>
    <col min="11339" max="11339" width="31.5546875" bestFit="1" customWidth="1"/>
    <col min="11340" max="11340" width="37.6640625" bestFit="1" customWidth="1"/>
    <col min="11341" max="11341" width="32.109375" bestFit="1" customWidth="1"/>
    <col min="11342" max="11342" width="22.77734375" bestFit="1" customWidth="1"/>
    <col min="11343" max="11343" width="28.88671875" bestFit="1" customWidth="1"/>
    <col min="11344" max="11344" width="23.33203125" bestFit="1" customWidth="1"/>
    <col min="11345" max="11345" width="25.44140625" bestFit="1" customWidth="1"/>
    <col min="11346" max="11346" width="31.6640625" bestFit="1" customWidth="1"/>
    <col min="11347" max="11347" width="26" bestFit="1" customWidth="1"/>
    <col min="11348" max="11348" width="27.77734375" bestFit="1" customWidth="1"/>
    <col min="11349" max="11349" width="33.88671875" bestFit="1" customWidth="1"/>
    <col min="11350" max="11350" width="28.33203125" bestFit="1" customWidth="1"/>
    <col min="11351" max="11351" width="30.33203125" bestFit="1" customWidth="1"/>
    <col min="11352" max="11352" width="36.5546875" bestFit="1" customWidth="1"/>
    <col min="11353" max="11353" width="30.88671875" bestFit="1" customWidth="1"/>
    <col min="11354" max="11354" width="25.109375" bestFit="1" customWidth="1"/>
    <col min="11355" max="11355" width="31.21875" bestFit="1" customWidth="1"/>
    <col min="11356" max="11356" width="25.6640625" bestFit="1" customWidth="1"/>
    <col min="11357" max="11357" width="31.5546875" bestFit="1" customWidth="1"/>
    <col min="11358" max="11358" width="37.6640625" bestFit="1" customWidth="1"/>
    <col min="11359" max="11359" width="32.109375" bestFit="1" customWidth="1"/>
    <col min="11360" max="11360" width="22.77734375" bestFit="1" customWidth="1"/>
    <col min="11361" max="11361" width="28.88671875" bestFit="1" customWidth="1"/>
    <col min="11362" max="11362" width="23.33203125" bestFit="1" customWidth="1"/>
    <col min="11363" max="11363" width="25.44140625" bestFit="1" customWidth="1"/>
    <col min="11364" max="11364" width="31.6640625" bestFit="1" customWidth="1"/>
    <col min="11365" max="11365" width="26" bestFit="1" customWidth="1"/>
    <col min="11366" max="11366" width="26.77734375" bestFit="1" customWidth="1"/>
    <col min="11367" max="11367" width="32.88671875" bestFit="1" customWidth="1"/>
    <col min="11368" max="11368" width="27.33203125" bestFit="1" customWidth="1"/>
    <col min="11369" max="11369" width="30.33203125" bestFit="1" customWidth="1"/>
    <col min="11370" max="11370" width="36.5546875" bestFit="1" customWidth="1"/>
    <col min="11371" max="11371" width="30.88671875" bestFit="1" customWidth="1"/>
    <col min="11372" max="11372" width="25.109375" bestFit="1" customWidth="1"/>
    <col min="11373" max="11373" width="31.21875" bestFit="1" customWidth="1"/>
    <col min="11374" max="11374" width="25.6640625" bestFit="1" customWidth="1"/>
    <col min="11375" max="11375" width="31.5546875" bestFit="1" customWidth="1"/>
    <col min="11376" max="11376" width="37.6640625" bestFit="1" customWidth="1"/>
    <col min="11377" max="11377" width="32.109375" bestFit="1" customWidth="1"/>
    <col min="11378" max="11378" width="22.77734375" bestFit="1" customWidth="1"/>
    <col min="11379" max="11379" width="28.88671875" bestFit="1" customWidth="1"/>
    <col min="11380" max="11380" width="23.33203125" bestFit="1" customWidth="1"/>
    <col min="11381" max="11381" width="25.44140625" bestFit="1" customWidth="1"/>
    <col min="11382" max="11382" width="31.6640625" bestFit="1" customWidth="1"/>
    <col min="11383" max="11383" width="26" bestFit="1" customWidth="1"/>
    <col min="11384" max="11384" width="26.77734375" bestFit="1" customWidth="1"/>
    <col min="11385" max="11385" width="32.88671875" bestFit="1" customWidth="1"/>
    <col min="11386" max="11386" width="27.33203125" bestFit="1" customWidth="1"/>
    <col min="11387" max="11387" width="30.33203125" bestFit="1" customWidth="1"/>
    <col min="11388" max="11388" width="36.5546875" bestFit="1" customWidth="1"/>
    <col min="11389" max="11389" width="30.88671875" bestFit="1" customWidth="1"/>
    <col min="11390" max="11390" width="25.109375" bestFit="1" customWidth="1"/>
    <col min="11391" max="11391" width="31.21875" bestFit="1" customWidth="1"/>
    <col min="11392" max="11392" width="25.6640625" bestFit="1" customWidth="1"/>
    <col min="11393" max="11393" width="31.5546875" bestFit="1" customWidth="1"/>
    <col min="11394" max="11394" width="37.6640625" bestFit="1" customWidth="1"/>
    <col min="11395" max="11395" width="32.109375" bestFit="1" customWidth="1"/>
    <col min="11396" max="11396" width="22.77734375" bestFit="1" customWidth="1"/>
    <col min="11397" max="11397" width="28.88671875" bestFit="1" customWidth="1"/>
    <col min="11398" max="11398" width="23.33203125" bestFit="1" customWidth="1"/>
    <col min="11399" max="11399" width="25.44140625" bestFit="1" customWidth="1"/>
    <col min="11400" max="11400" width="31.6640625" bestFit="1" customWidth="1"/>
    <col min="11401" max="11401" width="26" bestFit="1" customWidth="1"/>
    <col min="11402" max="11402" width="27.77734375" bestFit="1" customWidth="1"/>
    <col min="11403" max="11403" width="33.88671875" bestFit="1" customWidth="1"/>
    <col min="11404" max="11404" width="28.33203125" bestFit="1" customWidth="1"/>
    <col min="11405" max="11405" width="30.33203125" bestFit="1" customWidth="1"/>
    <col min="11406" max="11406" width="36.5546875" bestFit="1" customWidth="1"/>
    <col min="11407" max="11407" width="30.88671875" bestFit="1" customWidth="1"/>
    <col min="11408" max="11408" width="25.109375" bestFit="1" customWidth="1"/>
    <col min="11409" max="11409" width="31.21875" bestFit="1" customWidth="1"/>
    <col min="11410" max="11410" width="25.6640625" bestFit="1" customWidth="1"/>
    <col min="11411" max="11411" width="31.5546875" bestFit="1" customWidth="1"/>
    <col min="11412" max="11412" width="37.6640625" bestFit="1" customWidth="1"/>
    <col min="11413" max="11413" width="32.109375" bestFit="1" customWidth="1"/>
    <col min="11414" max="11414" width="22.77734375" bestFit="1" customWidth="1"/>
    <col min="11415" max="11415" width="28.88671875" bestFit="1" customWidth="1"/>
    <col min="11416" max="11416" width="23.33203125" bestFit="1" customWidth="1"/>
    <col min="11417" max="11417" width="25.44140625" bestFit="1" customWidth="1"/>
    <col min="11418" max="11418" width="31.6640625" bestFit="1" customWidth="1"/>
    <col min="11419" max="11419" width="26" bestFit="1" customWidth="1"/>
    <col min="11420" max="11420" width="27.77734375" bestFit="1" customWidth="1"/>
    <col min="11421" max="11421" width="33.88671875" bestFit="1" customWidth="1"/>
    <col min="11422" max="11422" width="28.33203125" bestFit="1" customWidth="1"/>
    <col min="11423" max="11423" width="30.33203125" bestFit="1" customWidth="1"/>
    <col min="11424" max="11424" width="36.5546875" bestFit="1" customWidth="1"/>
    <col min="11425" max="11425" width="30.88671875" bestFit="1" customWidth="1"/>
    <col min="11426" max="11426" width="25.109375" bestFit="1" customWidth="1"/>
    <col min="11427" max="11427" width="31.21875" bestFit="1" customWidth="1"/>
    <col min="11428" max="11428" width="25.6640625" bestFit="1" customWidth="1"/>
    <col min="11429" max="11429" width="31.5546875" bestFit="1" customWidth="1"/>
    <col min="11430" max="11430" width="37.6640625" bestFit="1" customWidth="1"/>
    <col min="11431" max="11431" width="32.109375" bestFit="1" customWidth="1"/>
    <col min="11432" max="11432" width="22.77734375" bestFit="1" customWidth="1"/>
    <col min="11433" max="11433" width="28.88671875" bestFit="1" customWidth="1"/>
    <col min="11434" max="11434" width="23.33203125" bestFit="1" customWidth="1"/>
    <col min="11435" max="11435" width="25.44140625" bestFit="1" customWidth="1"/>
    <col min="11436" max="11436" width="31.6640625" bestFit="1" customWidth="1"/>
    <col min="11437" max="11437" width="26" bestFit="1" customWidth="1"/>
    <col min="11438" max="11438" width="27.77734375" bestFit="1" customWidth="1"/>
    <col min="11439" max="11439" width="33.88671875" bestFit="1" customWidth="1"/>
    <col min="11440" max="11440" width="28.33203125" bestFit="1" customWidth="1"/>
    <col min="11441" max="11441" width="30.33203125" bestFit="1" customWidth="1"/>
    <col min="11442" max="11442" width="36.5546875" bestFit="1" customWidth="1"/>
    <col min="11443" max="11443" width="30.88671875" bestFit="1" customWidth="1"/>
    <col min="11444" max="11444" width="25.109375" bestFit="1" customWidth="1"/>
    <col min="11445" max="11445" width="31.21875" bestFit="1" customWidth="1"/>
    <col min="11446" max="11446" width="25.6640625" bestFit="1" customWidth="1"/>
    <col min="11447" max="11447" width="31.5546875" bestFit="1" customWidth="1"/>
    <col min="11448" max="11448" width="37.6640625" bestFit="1" customWidth="1"/>
    <col min="11449" max="11449" width="32.109375" bestFit="1" customWidth="1"/>
    <col min="11450" max="11450" width="22.77734375" bestFit="1" customWidth="1"/>
    <col min="11451" max="11451" width="28.88671875" bestFit="1" customWidth="1"/>
    <col min="11452" max="11452" width="23.33203125" bestFit="1" customWidth="1"/>
    <col min="11453" max="11453" width="25.44140625" bestFit="1" customWidth="1"/>
    <col min="11454" max="11454" width="31.6640625" bestFit="1" customWidth="1"/>
    <col min="11455" max="11455" width="26" bestFit="1" customWidth="1"/>
    <col min="11456" max="11456" width="27.77734375" bestFit="1" customWidth="1"/>
    <col min="11457" max="11457" width="33.88671875" bestFit="1" customWidth="1"/>
    <col min="11458" max="11458" width="28.33203125" bestFit="1" customWidth="1"/>
    <col min="11459" max="11459" width="30.33203125" bestFit="1" customWidth="1"/>
    <col min="11460" max="11460" width="36.5546875" bestFit="1" customWidth="1"/>
    <col min="11461" max="11461" width="30.88671875" bestFit="1" customWidth="1"/>
    <col min="11462" max="11462" width="25.109375" bestFit="1" customWidth="1"/>
    <col min="11463" max="11463" width="31.21875" bestFit="1" customWidth="1"/>
    <col min="11464" max="11464" width="25.6640625" bestFit="1" customWidth="1"/>
    <col min="11465" max="11465" width="31.5546875" bestFit="1" customWidth="1"/>
    <col min="11466" max="11466" width="37.6640625" bestFit="1" customWidth="1"/>
    <col min="11467" max="11467" width="32.109375" bestFit="1" customWidth="1"/>
    <col min="11468" max="11468" width="22.77734375" bestFit="1" customWidth="1"/>
    <col min="11469" max="11469" width="28.88671875" bestFit="1" customWidth="1"/>
    <col min="11470" max="11470" width="23.33203125" bestFit="1" customWidth="1"/>
    <col min="11471" max="11471" width="25.44140625" bestFit="1" customWidth="1"/>
    <col min="11472" max="11472" width="31.6640625" bestFit="1" customWidth="1"/>
    <col min="11473" max="11473" width="26" bestFit="1" customWidth="1"/>
    <col min="11474" max="11474" width="27.77734375" bestFit="1" customWidth="1"/>
    <col min="11475" max="11475" width="33.88671875" bestFit="1" customWidth="1"/>
    <col min="11476" max="11476" width="28.33203125" bestFit="1" customWidth="1"/>
    <col min="11477" max="11477" width="30.33203125" bestFit="1" customWidth="1"/>
    <col min="11478" max="11478" width="36.5546875" bestFit="1" customWidth="1"/>
    <col min="11479" max="11479" width="30.88671875" bestFit="1" customWidth="1"/>
    <col min="11480" max="11480" width="25.109375" bestFit="1" customWidth="1"/>
    <col min="11481" max="11481" width="31.21875" bestFit="1" customWidth="1"/>
    <col min="11482" max="11482" width="25.6640625" bestFit="1" customWidth="1"/>
    <col min="11483" max="11483" width="31.5546875" bestFit="1" customWidth="1"/>
    <col min="11484" max="11484" width="37.6640625" bestFit="1" customWidth="1"/>
    <col min="11485" max="11485" width="32.109375" bestFit="1" customWidth="1"/>
    <col min="11486" max="11486" width="22.77734375" bestFit="1" customWidth="1"/>
    <col min="11487" max="11487" width="28.88671875" bestFit="1" customWidth="1"/>
    <col min="11488" max="11488" width="23.33203125" bestFit="1" customWidth="1"/>
    <col min="11489" max="11489" width="25.44140625" bestFit="1" customWidth="1"/>
    <col min="11490" max="11490" width="31.6640625" bestFit="1" customWidth="1"/>
    <col min="11491" max="11491" width="26" bestFit="1" customWidth="1"/>
    <col min="11492" max="11492" width="27.77734375" bestFit="1" customWidth="1"/>
    <col min="11493" max="11493" width="33.88671875" bestFit="1" customWidth="1"/>
    <col min="11494" max="11494" width="28.33203125" bestFit="1" customWidth="1"/>
    <col min="11495" max="11495" width="30.33203125" bestFit="1" customWidth="1"/>
    <col min="11496" max="11496" width="36.5546875" bestFit="1" customWidth="1"/>
    <col min="11497" max="11497" width="30.88671875" bestFit="1" customWidth="1"/>
    <col min="11498" max="11498" width="25.109375" bestFit="1" customWidth="1"/>
    <col min="11499" max="11499" width="31.21875" bestFit="1" customWidth="1"/>
    <col min="11500" max="11500" width="25.6640625" bestFit="1" customWidth="1"/>
    <col min="11501" max="11501" width="31.5546875" bestFit="1" customWidth="1"/>
    <col min="11502" max="11502" width="37.6640625" bestFit="1" customWidth="1"/>
    <col min="11503" max="11503" width="32.109375" bestFit="1" customWidth="1"/>
    <col min="11504" max="11504" width="22.77734375" bestFit="1" customWidth="1"/>
    <col min="11505" max="11505" width="28.88671875" bestFit="1" customWidth="1"/>
    <col min="11506" max="11506" width="23.33203125" bestFit="1" customWidth="1"/>
    <col min="11507" max="11507" width="25.44140625" bestFit="1" customWidth="1"/>
    <col min="11508" max="11508" width="31.6640625" bestFit="1" customWidth="1"/>
    <col min="11509" max="11509" width="26" bestFit="1" customWidth="1"/>
    <col min="11510" max="11510" width="27.77734375" bestFit="1" customWidth="1"/>
    <col min="11511" max="11511" width="33.88671875" bestFit="1" customWidth="1"/>
    <col min="11512" max="11512" width="28.33203125" bestFit="1" customWidth="1"/>
    <col min="11513" max="11513" width="30.33203125" bestFit="1" customWidth="1"/>
    <col min="11514" max="11514" width="36.5546875" bestFit="1" customWidth="1"/>
    <col min="11515" max="11515" width="30.88671875" bestFit="1" customWidth="1"/>
    <col min="11516" max="11516" width="25.109375" bestFit="1" customWidth="1"/>
    <col min="11517" max="11517" width="31.21875" bestFit="1" customWidth="1"/>
    <col min="11518" max="11518" width="25.6640625" bestFit="1" customWidth="1"/>
    <col min="11519" max="11519" width="31.5546875" bestFit="1" customWidth="1"/>
    <col min="11520" max="11520" width="37.6640625" bestFit="1" customWidth="1"/>
    <col min="11521" max="11521" width="32.109375" bestFit="1" customWidth="1"/>
    <col min="11522" max="11522" width="22.77734375" bestFit="1" customWidth="1"/>
    <col min="11523" max="11523" width="28.88671875" bestFit="1" customWidth="1"/>
    <col min="11524" max="11524" width="23.33203125" bestFit="1" customWidth="1"/>
    <col min="11525" max="11525" width="25.44140625" bestFit="1" customWidth="1"/>
    <col min="11526" max="11526" width="31.6640625" bestFit="1" customWidth="1"/>
    <col min="11527" max="11527" width="26" bestFit="1" customWidth="1"/>
    <col min="11528" max="11528" width="27.77734375" bestFit="1" customWidth="1"/>
    <col min="11529" max="11529" width="33.88671875" bestFit="1" customWidth="1"/>
    <col min="11530" max="11530" width="28.33203125" bestFit="1" customWidth="1"/>
    <col min="11531" max="11531" width="30.33203125" bestFit="1" customWidth="1"/>
    <col min="11532" max="11532" width="36.5546875" bestFit="1" customWidth="1"/>
    <col min="11533" max="11533" width="30.88671875" bestFit="1" customWidth="1"/>
    <col min="11534" max="11534" width="25.109375" bestFit="1" customWidth="1"/>
    <col min="11535" max="11535" width="31.21875" bestFit="1" customWidth="1"/>
    <col min="11536" max="11536" width="25.6640625" bestFit="1" customWidth="1"/>
    <col min="11537" max="11537" width="31.5546875" bestFit="1" customWidth="1"/>
    <col min="11538" max="11538" width="37.6640625" bestFit="1" customWidth="1"/>
    <col min="11539" max="11539" width="32.109375" bestFit="1" customWidth="1"/>
    <col min="11540" max="11540" width="22.77734375" bestFit="1" customWidth="1"/>
    <col min="11541" max="11541" width="28.88671875" bestFit="1" customWidth="1"/>
    <col min="11542" max="11542" width="23.33203125" bestFit="1" customWidth="1"/>
    <col min="11543" max="11543" width="25.44140625" bestFit="1" customWidth="1"/>
    <col min="11544" max="11544" width="31.6640625" bestFit="1" customWidth="1"/>
    <col min="11545" max="11545" width="26" bestFit="1" customWidth="1"/>
    <col min="11546" max="11546" width="27.77734375" bestFit="1" customWidth="1"/>
    <col min="11547" max="11547" width="33.88671875" bestFit="1" customWidth="1"/>
    <col min="11548" max="11548" width="28.33203125" bestFit="1" customWidth="1"/>
    <col min="11549" max="11549" width="30.33203125" bestFit="1" customWidth="1"/>
    <col min="11550" max="11550" width="36.5546875" bestFit="1" customWidth="1"/>
    <col min="11551" max="11551" width="30.88671875" bestFit="1" customWidth="1"/>
    <col min="11552" max="11552" width="25.109375" bestFit="1" customWidth="1"/>
    <col min="11553" max="11553" width="31.21875" bestFit="1" customWidth="1"/>
    <col min="11554" max="11554" width="25.6640625" bestFit="1" customWidth="1"/>
    <col min="11555" max="11555" width="31.5546875" bestFit="1" customWidth="1"/>
    <col min="11556" max="11556" width="37.6640625" bestFit="1" customWidth="1"/>
    <col min="11557" max="11557" width="32.109375" bestFit="1" customWidth="1"/>
    <col min="11558" max="11558" width="22.77734375" bestFit="1" customWidth="1"/>
    <col min="11559" max="11559" width="28.88671875" bestFit="1" customWidth="1"/>
    <col min="11560" max="11560" width="23.33203125" bestFit="1" customWidth="1"/>
    <col min="11561" max="11561" width="25.44140625" bestFit="1" customWidth="1"/>
    <col min="11562" max="11562" width="31.6640625" bestFit="1" customWidth="1"/>
    <col min="11563" max="11563" width="26" bestFit="1" customWidth="1"/>
    <col min="11564" max="11564" width="27.77734375" bestFit="1" customWidth="1"/>
    <col min="11565" max="11565" width="33.88671875" bestFit="1" customWidth="1"/>
    <col min="11566" max="11566" width="28.33203125" bestFit="1" customWidth="1"/>
    <col min="11567" max="11567" width="30.33203125" bestFit="1" customWidth="1"/>
    <col min="11568" max="11568" width="36.5546875" bestFit="1" customWidth="1"/>
    <col min="11569" max="11569" width="30.88671875" bestFit="1" customWidth="1"/>
    <col min="11570" max="11570" width="25.109375" bestFit="1" customWidth="1"/>
    <col min="11571" max="11571" width="31.21875" bestFit="1" customWidth="1"/>
    <col min="11572" max="11572" width="25.6640625" bestFit="1" customWidth="1"/>
    <col min="11573" max="11573" width="31.5546875" bestFit="1" customWidth="1"/>
    <col min="11574" max="11574" width="37.6640625" bestFit="1" customWidth="1"/>
    <col min="11575" max="11575" width="32.109375" bestFit="1" customWidth="1"/>
    <col min="11576" max="11576" width="22.77734375" bestFit="1" customWidth="1"/>
    <col min="11577" max="11577" width="28.88671875" bestFit="1" customWidth="1"/>
    <col min="11578" max="11578" width="23.33203125" bestFit="1" customWidth="1"/>
    <col min="11579" max="11579" width="25.44140625" bestFit="1" customWidth="1"/>
    <col min="11580" max="11580" width="31.6640625" bestFit="1" customWidth="1"/>
    <col min="11581" max="11581" width="26" bestFit="1" customWidth="1"/>
    <col min="11582" max="11582" width="27.77734375" bestFit="1" customWidth="1"/>
    <col min="11583" max="11583" width="33.88671875" bestFit="1" customWidth="1"/>
    <col min="11584" max="11584" width="28.33203125" bestFit="1" customWidth="1"/>
    <col min="11585" max="11585" width="30.33203125" bestFit="1" customWidth="1"/>
    <col min="11586" max="11586" width="36.5546875" bestFit="1" customWidth="1"/>
    <col min="11587" max="11587" width="30.88671875" bestFit="1" customWidth="1"/>
    <col min="11588" max="11588" width="25.109375" bestFit="1" customWidth="1"/>
    <col min="11589" max="11589" width="31.21875" bestFit="1" customWidth="1"/>
    <col min="11590" max="11590" width="25.6640625" bestFit="1" customWidth="1"/>
    <col min="11591" max="11591" width="31.5546875" bestFit="1" customWidth="1"/>
    <col min="11592" max="11592" width="37.6640625" bestFit="1" customWidth="1"/>
    <col min="11593" max="11593" width="32.109375" bestFit="1" customWidth="1"/>
    <col min="11594" max="11594" width="22.77734375" bestFit="1" customWidth="1"/>
    <col min="11595" max="11595" width="28.88671875" bestFit="1" customWidth="1"/>
    <col min="11596" max="11596" width="23.33203125" bestFit="1" customWidth="1"/>
    <col min="11597" max="11597" width="25.44140625" bestFit="1" customWidth="1"/>
    <col min="11598" max="11598" width="31.6640625" bestFit="1" customWidth="1"/>
    <col min="11599" max="11599" width="26" bestFit="1" customWidth="1"/>
    <col min="11600" max="11600" width="27.77734375" bestFit="1" customWidth="1"/>
    <col min="11601" max="11601" width="33.88671875" bestFit="1" customWidth="1"/>
    <col min="11602" max="11602" width="28.33203125" bestFit="1" customWidth="1"/>
    <col min="11603" max="11603" width="30.33203125" bestFit="1" customWidth="1"/>
    <col min="11604" max="11604" width="36.5546875" bestFit="1" customWidth="1"/>
    <col min="11605" max="11605" width="30.88671875" bestFit="1" customWidth="1"/>
    <col min="11606" max="11606" width="25.109375" bestFit="1" customWidth="1"/>
    <col min="11607" max="11607" width="31.21875" bestFit="1" customWidth="1"/>
    <col min="11608" max="11608" width="25.6640625" bestFit="1" customWidth="1"/>
    <col min="11609" max="11609" width="31.5546875" bestFit="1" customWidth="1"/>
    <col min="11610" max="11610" width="37.6640625" bestFit="1" customWidth="1"/>
    <col min="11611" max="11611" width="32.109375" bestFit="1" customWidth="1"/>
    <col min="11612" max="11612" width="22.77734375" bestFit="1" customWidth="1"/>
    <col min="11613" max="11613" width="28.88671875" bestFit="1" customWidth="1"/>
    <col min="11614" max="11614" width="23.33203125" bestFit="1" customWidth="1"/>
    <col min="11615" max="11615" width="25.44140625" bestFit="1" customWidth="1"/>
    <col min="11616" max="11616" width="31.6640625" bestFit="1" customWidth="1"/>
    <col min="11617" max="11617" width="26" bestFit="1" customWidth="1"/>
    <col min="11618" max="11618" width="27.77734375" bestFit="1" customWidth="1"/>
    <col min="11619" max="11619" width="33.88671875" bestFit="1" customWidth="1"/>
    <col min="11620" max="11620" width="28.33203125" bestFit="1" customWidth="1"/>
    <col min="11621" max="11621" width="30.33203125" bestFit="1" customWidth="1"/>
    <col min="11622" max="11622" width="36.5546875" bestFit="1" customWidth="1"/>
    <col min="11623" max="11623" width="30.88671875" bestFit="1" customWidth="1"/>
    <col min="11624" max="11624" width="25.109375" bestFit="1" customWidth="1"/>
    <col min="11625" max="11625" width="31.21875" bestFit="1" customWidth="1"/>
    <col min="11626" max="11626" width="25.6640625" bestFit="1" customWidth="1"/>
    <col min="11627" max="11627" width="31.5546875" bestFit="1" customWidth="1"/>
    <col min="11628" max="11628" width="37.6640625" bestFit="1" customWidth="1"/>
    <col min="11629" max="11629" width="32.109375" bestFit="1" customWidth="1"/>
    <col min="11630" max="11630" width="22.77734375" bestFit="1" customWidth="1"/>
    <col min="11631" max="11631" width="28.88671875" bestFit="1" customWidth="1"/>
    <col min="11632" max="11632" width="23.33203125" bestFit="1" customWidth="1"/>
    <col min="11633" max="11633" width="25.44140625" bestFit="1" customWidth="1"/>
    <col min="11634" max="11634" width="31.6640625" bestFit="1" customWidth="1"/>
    <col min="11635" max="11635" width="26" bestFit="1" customWidth="1"/>
    <col min="11636" max="11636" width="26.77734375" bestFit="1" customWidth="1"/>
    <col min="11637" max="11637" width="32.88671875" bestFit="1" customWidth="1"/>
    <col min="11638" max="11638" width="27.33203125" bestFit="1" customWidth="1"/>
    <col min="11639" max="11639" width="30.33203125" bestFit="1" customWidth="1"/>
    <col min="11640" max="11640" width="36.5546875" bestFit="1" customWidth="1"/>
    <col min="11641" max="11641" width="30.88671875" bestFit="1" customWidth="1"/>
    <col min="11642" max="11642" width="25.109375" bestFit="1" customWidth="1"/>
    <col min="11643" max="11643" width="31.21875" bestFit="1" customWidth="1"/>
    <col min="11644" max="11644" width="25.6640625" bestFit="1" customWidth="1"/>
    <col min="11645" max="11645" width="31.5546875" bestFit="1" customWidth="1"/>
    <col min="11646" max="11646" width="37.6640625" bestFit="1" customWidth="1"/>
    <col min="11647" max="11647" width="32.109375" bestFit="1" customWidth="1"/>
    <col min="11648" max="11648" width="22.77734375" bestFit="1" customWidth="1"/>
    <col min="11649" max="11649" width="28.88671875" bestFit="1" customWidth="1"/>
    <col min="11650" max="11650" width="23.33203125" bestFit="1" customWidth="1"/>
    <col min="11651" max="11651" width="25.44140625" bestFit="1" customWidth="1"/>
    <col min="11652" max="11652" width="31.6640625" bestFit="1" customWidth="1"/>
    <col min="11653" max="11653" width="26" bestFit="1" customWidth="1"/>
    <col min="11654" max="11654" width="27.77734375" bestFit="1" customWidth="1"/>
    <col min="11655" max="11655" width="33.88671875" bestFit="1" customWidth="1"/>
    <col min="11656" max="11656" width="28.33203125" bestFit="1" customWidth="1"/>
    <col min="11657" max="11657" width="30.33203125" bestFit="1" customWidth="1"/>
    <col min="11658" max="11658" width="36.5546875" bestFit="1" customWidth="1"/>
    <col min="11659" max="11659" width="30.88671875" bestFit="1" customWidth="1"/>
    <col min="11660" max="11660" width="25.109375" bestFit="1" customWidth="1"/>
    <col min="11661" max="11661" width="31.21875" bestFit="1" customWidth="1"/>
    <col min="11662" max="11662" width="25.6640625" bestFit="1" customWidth="1"/>
    <col min="11663" max="11663" width="31.5546875" bestFit="1" customWidth="1"/>
    <col min="11664" max="11664" width="37.6640625" bestFit="1" customWidth="1"/>
    <col min="11665" max="11665" width="32.109375" bestFit="1" customWidth="1"/>
    <col min="11666" max="11666" width="22.77734375" bestFit="1" customWidth="1"/>
    <col min="11667" max="11667" width="28.88671875" bestFit="1" customWidth="1"/>
    <col min="11668" max="11668" width="23.33203125" bestFit="1" customWidth="1"/>
    <col min="11669" max="11669" width="25.44140625" bestFit="1" customWidth="1"/>
    <col min="11670" max="11670" width="31.6640625" bestFit="1" customWidth="1"/>
    <col min="11671" max="11671" width="26" bestFit="1" customWidth="1"/>
    <col min="11672" max="11672" width="27.77734375" bestFit="1" customWidth="1"/>
    <col min="11673" max="11673" width="33.88671875" bestFit="1" customWidth="1"/>
    <col min="11674" max="11674" width="28.33203125" bestFit="1" customWidth="1"/>
    <col min="11675" max="11675" width="30.33203125" bestFit="1" customWidth="1"/>
    <col min="11676" max="11676" width="36.5546875" bestFit="1" customWidth="1"/>
    <col min="11677" max="11677" width="30.88671875" bestFit="1" customWidth="1"/>
    <col min="11678" max="11678" width="25.109375" bestFit="1" customWidth="1"/>
    <col min="11679" max="11679" width="31.21875" bestFit="1" customWidth="1"/>
    <col min="11680" max="11680" width="25.6640625" bestFit="1" customWidth="1"/>
    <col min="11681" max="11681" width="31.5546875" bestFit="1" customWidth="1"/>
    <col min="11682" max="11682" width="37.6640625" bestFit="1" customWidth="1"/>
    <col min="11683" max="11683" width="32.109375" bestFit="1" customWidth="1"/>
    <col min="11684" max="11684" width="22.77734375" bestFit="1" customWidth="1"/>
    <col min="11685" max="11685" width="28.88671875" bestFit="1" customWidth="1"/>
    <col min="11686" max="11686" width="23.33203125" bestFit="1" customWidth="1"/>
    <col min="11687" max="11687" width="25.44140625" bestFit="1" customWidth="1"/>
    <col min="11688" max="11688" width="31.6640625" bestFit="1" customWidth="1"/>
    <col min="11689" max="11689" width="26" bestFit="1" customWidth="1"/>
    <col min="11690" max="11690" width="27.77734375" bestFit="1" customWidth="1"/>
    <col min="11691" max="11691" width="33.88671875" bestFit="1" customWidth="1"/>
    <col min="11692" max="11692" width="28.33203125" bestFit="1" customWidth="1"/>
    <col min="11693" max="11693" width="30.33203125" bestFit="1" customWidth="1"/>
    <col min="11694" max="11694" width="36.5546875" bestFit="1" customWidth="1"/>
    <col min="11695" max="11695" width="30.88671875" bestFit="1" customWidth="1"/>
    <col min="11696" max="11696" width="25.109375" bestFit="1" customWidth="1"/>
    <col min="11697" max="11697" width="31.21875" bestFit="1" customWidth="1"/>
    <col min="11698" max="11698" width="25.6640625" bestFit="1" customWidth="1"/>
    <col min="11699" max="11699" width="31.5546875" bestFit="1" customWidth="1"/>
    <col min="11700" max="11700" width="37.6640625" bestFit="1" customWidth="1"/>
    <col min="11701" max="11701" width="32.109375" bestFit="1" customWidth="1"/>
    <col min="11702" max="11702" width="22.77734375" bestFit="1" customWidth="1"/>
    <col min="11703" max="11703" width="28.88671875" bestFit="1" customWidth="1"/>
    <col min="11704" max="11704" width="23.33203125" bestFit="1" customWidth="1"/>
    <col min="11705" max="11705" width="25.44140625" bestFit="1" customWidth="1"/>
    <col min="11706" max="11706" width="31.6640625" bestFit="1" customWidth="1"/>
    <col min="11707" max="11707" width="26" bestFit="1" customWidth="1"/>
    <col min="11708" max="11708" width="27.77734375" bestFit="1" customWidth="1"/>
    <col min="11709" max="11709" width="33.88671875" bestFit="1" customWidth="1"/>
    <col min="11710" max="11710" width="28.33203125" bestFit="1" customWidth="1"/>
    <col min="11711" max="11711" width="30.33203125" bestFit="1" customWidth="1"/>
    <col min="11712" max="11712" width="36.5546875" bestFit="1" customWidth="1"/>
    <col min="11713" max="11713" width="30.88671875" bestFit="1" customWidth="1"/>
    <col min="11714" max="11714" width="25.109375" bestFit="1" customWidth="1"/>
    <col min="11715" max="11715" width="31.21875" bestFit="1" customWidth="1"/>
    <col min="11716" max="11716" width="25.6640625" bestFit="1" customWidth="1"/>
    <col min="11717" max="11717" width="31.5546875" bestFit="1" customWidth="1"/>
    <col min="11718" max="11718" width="37.6640625" bestFit="1" customWidth="1"/>
    <col min="11719" max="11719" width="32.109375" bestFit="1" customWidth="1"/>
    <col min="11720" max="11720" width="22.77734375" bestFit="1" customWidth="1"/>
    <col min="11721" max="11721" width="28.88671875" bestFit="1" customWidth="1"/>
    <col min="11722" max="11722" width="23.33203125" bestFit="1" customWidth="1"/>
    <col min="11723" max="11723" width="25.44140625" bestFit="1" customWidth="1"/>
    <col min="11724" max="11724" width="31.6640625" bestFit="1" customWidth="1"/>
    <col min="11725" max="11725" width="26" bestFit="1" customWidth="1"/>
    <col min="11726" max="11726" width="27.77734375" bestFit="1" customWidth="1"/>
    <col min="11727" max="11727" width="33.88671875" bestFit="1" customWidth="1"/>
    <col min="11728" max="11728" width="28.33203125" bestFit="1" customWidth="1"/>
    <col min="11729" max="11729" width="30.33203125" bestFit="1" customWidth="1"/>
    <col min="11730" max="11730" width="36.5546875" bestFit="1" customWidth="1"/>
    <col min="11731" max="11731" width="30.88671875" bestFit="1" customWidth="1"/>
    <col min="11732" max="11732" width="25.109375" bestFit="1" customWidth="1"/>
    <col min="11733" max="11733" width="31.21875" bestFit="1" customWidth="1"/>
    <col min="11734" max="11734" width="25.6640625" bestFit="1" customWidth="1"/>
    <col min="11735" max="11735" width="31.5546875" bestFit="1" customWidth="1"/>
    <col min="11736" max="11736" width="37.6640625" bestFit="1" customWidth="1"/>
    <col min="11737" max="11737" width="32.109375" bestFit="1" customWidth="1"/>
    <col min="11738" max="11738" width="22.77734375" bestFit="1" customWidth="1"/>
    <col min="11739" max="11739" width="28.88671875" bestFit="1" customWidth="1"/>
    <col min="11740" max="11740" width="23.33203125" bestFit="1" customWidth="1"/>
    <col min="11741" max="11741" width="25.44140625" bestFit="1" customWidth="1"/>
    <col min="11742" max="11742" width="31.6640625" bestFit="1" customWidth="1"/>
    <col min="11743" max="11743" width="26" bestFit="1" customWidth="1"/>
    <col min="11744" max="11744" width="27.77734375" bestFit="1" customWidth="1"/>
    <col min="11745" max="11745" width="33.88671875" bestFit="1" customWidth="1"/>
    <col min="11746" max="11746" width="28.33203125" bestFit="1" customWidth="1"/>
    <col min="11747" max="11747" width="30.33203125" bestFit="1" customWidth="1"/>
    <col min="11748" max="11748" width="36.5546875" bestFit="1" customWidth="1"/>
    <col min="11749" max="11749" width="30.88671875" bestFit="1" customWidth="1"/>
    <col min="11750" max="11750" width="25.109375" bestFit="1" customWidth="1"/>
    <col min="11751" max="11751" width="31.21875" bestFit="1" customWidth="1"/>
    <col min="11752" max="11752" width="25.6640625" bestFit="1" customWidth="1"/>
    <col min="11753" max="11753" width="31.5546875" bestFit="1" customWidth="1"/>
    <col min="11754" max="11754" width="37.6640625" bestFit="1" customWidth="1"/>
    <col min="11755" max="11755" width="32.109375" bestFit="1" customWidth="1"/>
    <col min="11756" max="11756" width="22.77734375" bestFit="1" customWidth="1"/>
    <col min="11757" max="11757" width="28.88671875" bestFit="1" customWidth="1"/>
    <col min="11758" max="11758" width="23.33203125" bestFit="1" customWidth="1"/>
    <col min="11759" max="11759" width="25.44140625" bestFit="1" customWidth="1"/>
    <col min="11760" max="11760" width="31.6640625" bestFit="1" customWidth="1"/>
    <col min="11761" max="11761" width="26" bestFit="1" customWidth="1"/>
    <col min="11762" max="11762" width="27.77734375" bestFit="1" customWidth="1"/>
    <col min="11763" max="11763" width="33.88671875" bestFit="1" customWidth="1"/>
    <col min="11764" max="11764" width="28.33203125" bestFit="1" customWidth="1"/>
    <col min="11765" max="11765" width="30.33203125" bestFit="1" customWidth="1"/>
    <col min="11766" max="11766" width="36.5546875" bestFit="1" customWidth="1"/>
    <col min="11767" max="11767" width="30.88671875" bestFit="1" customWidth="1"/>
    <col min="11768" max="11768" width="25.109375" bestFit="1" customWidth="1"/>
    <col min="11769" max="11769" width="31.21875" bestFit="1" customWidth="1"/>
    <col min="11770" max="11770" width="25.6640625" bestFit="1" customWidth="1"/>
    <col min="11771" max="11771" width="31.5546875" bestFit="1" customWidth="1"/>
    <col min="11772" max="11772" width="37.6640625" bestFit="1" customWidth="1"/>
    <col min="11773" max="11773" width="32.109375" bestFit="1" customWidth="1"/>
    <col min="11774" max="11774" width="22.77734375" bestFit="1" customWidth="1"/>
    <col min="11775" max="11775" width="28.88671875" bestFit="1" customWidth="1"/>
    <col min="11776" max="11776" width="23.33203125" bestFit="1" customWidth="1"/>
    <col min="11777" max="11777" width="25.44140625" bestFit="1" customWidth="1"/>
    <col min="11778" max="11778" width="31.6640625" bestFit="1" customWidth="1"/>
    <col min="11779" max="11779" width="26" bestFit="1" customWidth="1"/>
    <col min="11780" max="11780" width="27.77734375" bestFit="1" customWidth="1"/>
    <col min="11781" max="11781" width="33.88671875" bestFit="1" customWidth="1"/>
    <col min="11782" max="11782" width="28.33203125" bestFit="1" customWidth="1"/>
    <col min="11783" max="11783" width="30.33203125" bestFit="1" customWidth="1"/>
    <col min="11784" max="11784" width="36.5546875" bestFit="1" customWidth="1"/>
    <col min="11785" max="11785" width="30.88671875" bestFit="1" customWidth="1"/>
    <col min="11786" max="11786" width="25.109375" bestFit="1" customWidth="1"/>
    <col min="11787" max="11787" width="31.21875" bestFit="1" customWidth="1"/>
    <col min="11788" max="11788" width="25.6640625" bestFit="1" customWidth="1"/>
    <col min="11789" max="11789" width="31.5546875" bestFit="1" customWidth="1"/>
    <col min="11790" max="11790" width="37.6640625" bestFit="1" customWidth="1"/>
    <col min="11791" max="11791" width="32.109375" bestFit="1" customWidth="1"/>
    <col min="11792" max="11792" width="22.77734375" bestFit="1" customWidth="1"/>
    <col min="11793" max="11793" width="28.88671875" bestFit="1" customWidth="1"/>
    <col min="11794" max="11794" width="23.33203125" bestFit="1" customWidth="1"/>
    <col min="11795" max="11795" width="25.44140625" bestFit="1" customWidth="1"/>
    <col min="11796" max="11796" width="31.6640625" bestFit="1" customWidth="1"/>
    <col min="11797" max="11797" width="26" bestFit="1" customWidth="1"/>
    <col min="11798" max="11798" width="27.77734375" bestFit="1" customWidth="1"/>
    <col min="11799" max="11799" width="33.88671875" bestFit="1" customWidth="1"/>
    <col min="11800" max="11800" width="28.33203125" bestFit="1" customWidth="1"/>
    <col min="11801" max="11801" width="30.33203125" bestFit="1" customWidth="1"/>
    <col min="11802" max="11802" width="36.5546875" bestFit="1" customWidth="1"/>
    <col min="11803" max="11803" width="30.88671875" bestFit="1" customWidth="1"/>
    <col min="11804" max="11804" width="25.109375" bestFit="1" customWidth="1"/>
    <col min="11805" max="11805" width="31.21875" bestFit="1" customWidth="1"/>
    <col min="11806" max="11806" width="25.6640625" bestFit="1" customWidth="1"/>
    <col min="11807" max="11807" width="31.5546875" bestFit="1" customWidth="1"/>
    <col min="11808" max="11808" width="37.6640625" bestFit="1" customWidth="1"/>
    <col min="11809" max="11809" width="32.109375" bestFit="1" customWidth="1"/>
    <col min="11810" max="11810" width="22.77734375" bestFit="1" customWidth="1"/>
    <col min="11811" max="11811" width="28.88671875" bestFit="1" customWidth="1"/>
    <col min="11812" max="11812" width="23.33203125" bestFit="1" customWidth="1"/>
    <col min="11813" max="11813" width="25.44140625" bestFit="1" customWidth="1"/>
    <col min="11814" max="11814" width="31.6640625" bestFit="1" customWidth="1"/>
    <col min="11815" max="11815" width="26" bestFit="1" customWidth="1"/>
    <col min="11816" max="11816" width="27.77734375" bestFit="1" customWidth="1"/>
    <col min="11817" max="11817" width="33.88671875" bestFit="1" customWidth="1"/>
    <col min="11818" max="11818" width="28.33203125" bestFit="1" customWidth="1"/>
    <col min="11819" max="11819" width="30.33203125" bestFit="1" customWidth="1"/>
    <col min="11820" max="11820" width="36.5546875" bestFit="1" customWidth="1"/>
    <col min="11821" max="11821" width="30.88671875" bestFit="1" customWidth="1"/>
    <col min="11822" max="11822" width="25.109375" bestFit="1" customWidth="1"/>
    <col min="11823" max="11823" width="31.21875" bestFit="1" customWidth="1"/>
    <col min="11824" max="11824" width="25.6640625" bestFit="1" customWidth="1"/>
    <col min="11825" max="11825" width="31.5546875" bestFit="1" customWidth="1"/>
    <col min="11826" max="11826" width="37.6640625" bestFit="1" customWidth="1"/>
    <col min="11827" max="11827" width="32.109375" bestFit="1" customWidth="1"/>
    <col min="11828" max="11828" width="22.77734375" bestFit="1" customWidth="1"/>
    <col min="11829" max="11829" width="28.88671875" bestFit="1" customWidth="1"/>
    <col min="11830" max="11830" width="23.33203125" bestFit="1" customWidth="1"/>
    <col min="11831" max="11831" width="25.44140625" bestFit="1" customWidth="1"/>
    <col min="11832" max="11832" width="31.6640625" bestFit="1" customWidth="1"/>
    <col min="11833" max="11833" width="26" bestFit="1" customWidth="1"/>
    <col min="11834" max="11834" width="27.77734375" bestFit="1" customWidth="1"/>
    <col min="11835" max="11835" width="33.88671875" bestFit="1" customWidth="1"/>
    <col min="11836" max="11836" width="28.33203125" bestFit="1" customWidth="1"/>
    <col min="11837" max="11837" width="30.33203125" bestFit="1" customWidth="1"/>
    <col min="11838" max="11838" width="36.5546875" bestFit="1" customWidth="1"/>
    <col min="11839" max="11839" width="30.88671875" bestFit="1" customWidth="1"/>
    <col min="11840" max="11840" width="25.109375" bestFit="1" customWidth="1"/>
    <col min="11841" max="11841" width="31.21875" bestFit="1" customWidth="1"/>
    <col min="11842" max="11842" width="25.6640625" bestFit="1" customWidth="1"/>
    <col min="11843" max="11843" width="31.5546875" bestFit="1" customWidth="1"/>
    <col min="11844" max="11844" width="37.6640625" bestFit="1" customWidth="1"/>
    <col min="11845" max="11845" width="32.109375" bestFit="1" customWidth="1"/>
    <col min="11846" max="11846" width="22.77734375" bestFit="1" customWidth="1"/>
    <col min="11847" max="11847" width="28.88671875" bestFit="1" customWidth="1"/>
    <col min="11848" max="11848" width="23.33203125" bestFit="1" customWidth="1"/>
    <col min="11849" max="11849" width="25.44140625" bestFit="1" customWidth="1"/>
    <col min="11850" max="11850" width="31.6640625" bestFit="1" customWidth="1"/>
    <col min="11851" max="11851" width="26" bestFit="1" customWidth="1"/>
    <col min="11852" max="11852" width="27.77734375" bestFit="1" customWidth="1"/>
    <col min="11853" max="11853" width="33.88671875" bestFit="1" customWidth="1"/>
    <col min="11854" max="11854" width="28.33203125" bestFit="1" customWidth="1"/>
    <col min="11855" max="11855" width="30.33203125" bestFit="1" customWidth="1"/>
    <col min="11856" max="11856" width="36.5546875" bestFit="1" customWidth="1"/>
    <col min="11857" max="11857" width="30.88671875" bestFit="1" customWidth="1"/>
    <col min="11858" max="11858" width="25.109375" bestFit="1" customWidth="1"/>
    <col min="11859" max="11859" width="31.21875" bestFit="1" customWidth="1"/>
    <col min="11860" max="11860" width="25.6640625" bestFit="1" customWidth="1"/>
    <col min="11861" max="11861" width="31.5546875" bestFit="1" customWidth="1"/>
    <col min="11862" max="11862" width="37.6640625" bestFit="1" customWidth="1"/>
    <col min="11863" max="11863" width="32.109375" bestFit="1" customWidth="1"/>
    <col min="11864" max="11864" width="22.77734375" bestFit="1" customWidth="1"/>
    <col min="11865" max="11865" width="28.88671875" bestFit="1" customWidth="1"/>
    <col min="11866" max="11866" width="23.33203125" bestFit="1" customWidth="1"/>
    <col min="11867" max="11867" width="25.44140625" bestFit="1" customWidth="1"/>
    <col min="11868" max="11868" width="31.6640625" bestFit="1" customWidth="1"/>
    <col min="11869" max="11869" width="26" bestFit="1" customWidth="1"/>
    <col min="11870" max="11870" width="27.77734375" bestFit="1" customWidth="1"/>
    <col min="11871" max="11871" width="33.88671875" bestFit="1" customWidth="1"/>
    <col min="11872" max="11872" width="28.33203125" bestFit="1" customWidth="1"/>
    <col min="11873" max="11873" width="30.33203125" bestFit="1" customWidth="1"/>
    <col min="11874" max="11874" width="36.5546875" bestFit="1" customWidth="1"/>
    <col min="11875" max="11875" width="30.88671875" bestFit="1" customWidth="1"/>
    <col min="11876" max="11876" width="25.109375" bestFit="1" customWidth="1"/>
    <col min="11877" max="11877" width="31.21875" bestFit="1" customWidth="1"/>
    <col min="11878" max="11878" width="25.6640625" bestFit="1" customWidth="1"/>
    <col min="11879" max="11879" width="31.5546875" bestFit="1" customWidth="1"/>
    <col min="11880" max="11880" width="37.6640625" bestFit="1" customWidth="1"/>
    <col min="11881" max="11881" width="32.109375" bestFit="1" customWidth="1"/>
    <col min="11882" max="11882" width="22.77734375" bestFit="1" customWidth="1"/>
    <col min="11883" max="11883" width="28.88671875" bestFit="1" customWidth="1"/>
    <col min="11884" max="11884" width="23.33203125" bestFit="1" customWidth="1"/>
    <col min="11885" max="11885" width="25.44140625" bestFit="1" customWidth="1"/>
    <col min="11886" max="11886" width="31.6640625" bestFit="1" customWidth="1"/>
    <col min="11887" max="11887" width="26" bestFit="1" customWidth="1"/>
    <col min="11888" max="11888" width="27.77734375" bestFit="1" customWidth="1"/>
    <col min="11889" max="11889" width="33.88671875" bestFit="1" customWidth="1"/>
    <col min="11890" max="11890" width="28.33203125" bestFit="1" customWidth="1"/>
    <col min="11891" max="11891" width="30.33203125" bestFit="1" customWidth="1"/>
    <col min="11892" max="11892" width="36.5546875" bestFit="1" customWidth="1"/>
    <col min="11893" max="11893" width="30.88671875" bestFit="1" customWidth="1"/>
    <col min="11894" max="11894" width="25.109375" bestFit="1" customWidth="1"/>
    <col min="11895" max="11895" width="31.21875" bestFit="1" customWidth="1"/>
    <col min="11896" max="11896" width="25.6640625" bestFit="1" customWidth="1"/>
    <col min="11897" max="11897" width="31.5546875" bestFit="1" customWidth="1"/>
    <col min="11898" max="11898" width="37.6640625" bestFit="1" customWidth="1"/>
    <col min="11899" max="11899" width="32.109375" bestFit="1" customWidth="1"/>
    <col min="11900" max="11900" width="22.77734375" bestFit="1" customWidth="1"/>
    <col min="11901" max="11901" width="28.88671875" bestFit="1" customWidth="1"/>
    <col min="11902" max="11902" width="23.33203125" bestFit="1" customWidth="1"/>
    <col min="11903" max="11903" width="25.44140625" bestFit="1" customWidth="1"/>
    <col min="11904" max="11904" width="31.6640625" bestFit="1" customWidth="1"/>
    <col min="11905" max="11905" width="26" bestFit="1" customWidth="1"/>
    <col min="11906" max="11906" width="26.77734375" bestFit="1" customWidth="1"/>
    <col min="11907" max="11907" width="32.88671875" bestFit="1" customWidth="1"/>
    <col min="11908" max="11908" width="27.33203125" bestFit="1" customWidth="1"/>
    <col min="11909" max="11909" width="30.33203125" bestFit="1" customWidth="1"/>
    <col min="11910" max="11910" width="36.5546875" bestFit="1" customWidth="1"/>
    <col min="11911" max="11911" width="30.88671875" bestFit="1" customWidth="1"/>
    <col min="11912" max="11912" width="25.109375" bestFit="1" customWidth="1"/>
    <col min="11913" max="11913" width="31.21875" bestFit="1" customWidth="1"/>
    <col min="11914" max="11914" width="25.6640625" bestFit="1" customWidth="1"/>
    <col min="11915" max="11915" width="31.5546875" bestFit="1" customWidth="1"/>
    <col min="11916" max="11916" width="37.6640625" bestFit="1" customWidth="1"/>
    <col min="11917" max="11917" width="32.109375" bestFit="1" customWidth="1"/>
    <col min="11918" max="11918" width="22.77734375" bestFit="1" customWidth="1"/>
    <col min="11919" max="11919" width="28.88671875" bestFit="1" customWidth="1"/>
    <col min="11920" max="11920" width="23.33203125" bestFit="1" customWidth="1"/>
    <col min="11921" max="11921" width="25.44140625" bestFit="1" customWidth="1"/>
    <col min="11922" max="11922" width="31.6640625" bestFit="1" customWidth="1"/>
    <col min="11923" max="11923" width="26" bestFit="1" customWidth="1"/>
    <col min="11924" max="11924" width="27.77734375" bestFit="1" customWidth="1"/>
    <col min="11925" max="11925" width="33.88671875" bestFit="1" customWidth="1"/>
    <col min="11926" max="11926" width="28.33203125" bestFit="1" customWidth="1"/>
    <col min="11927" max="11927" width="30.33203125" bestFit="1" customWidth="1"/>
    <col min="11928" max="11928" width="36.5546875" bestFit="1" customWidth="1"/>
    <col min="11929" max="11929" width="30.88671875" bestFit="1" customWidth="1"/>
    <col min="11930" max="11930" width="25.109375" bestFit="1" customWidth="1"/>
    <col min="11931" max="11931" width="31.21875" bestFit="1" customWidth="1"/>
    <col min="11932" max="11932" width="25.6640625" bestFit="1" customWidth="1"/>
    <col min="11933" max="11933" width="31.5546875" bestFit="1" customWidth="1"/>
    <col min="11934" max="11934" width="37.6640625" bestFit="1" customWidth="1"/>
    <col min="11935" max="11935" width="32.109375" bestFit="1" customWidth="1"/>
    <col min="11936" max="11936" width="22.77734375" bestFit="1" customWidth="1"/>
    <col min="11937" max="11937" width="28.88671875" bestFit="1" customWidth="1"/>
    <col min="11938" max="11938" width="23.33203125" bestFit="1" customWidth="1"/>
    <col min="11939" max="11939" width="25.44140625" bestFit="1" customWidth="1"/>
    <col min="11940" max="11940" width="31.6640625" bestFit="1" customWidth="1"/>
    <col min="11941" max="11941" width="26" bestFit="1" customWidth="1"/>
    <col min="11942" max="11942" width="27.77734375" bestFit="1" customWidth="1"/>
    <col min="11943" max="11943" width="33.88671875" bestFit="1" customWidth="1"/>
    <col min="11944" max="11944" width="28.33203125" bestFit="1" customWidth="1"/>
    <col min="11945" max="11945" width="30.33203125" bestFit="1" customWidth="1"/>
    <col min="11946" max="11946" width="36.5546875" bestFit="1" customWidth="1"/>
    <col min="11947" max="11947" width="30.88671875" bestFit="1" customWidth="1"/>
    <col min="11948" max="11948" width="25.109375" bestFit="1" customWidth="1"/>
    <col min="11949" max="11949" width="31.21875" bestFit="1" customWidth="1"/>
    <col min="11950" max="11950" width="25.6640625" bestFit="1" customWidth="1"/>
    <col min="11951" max="11951" width="31.5546875" bestFit="1" customWidth="1"/>
    <col min="11952" max="11952" width="37.6640625" bestFit="1" customWidth="1"/>
    <col min="11953" max="11953" width="32.109375" bestFit="1" customWidth="1"/>
    <col min="11954" max="11954" width="22.77734375" bestFit="1" customWidth="1"/>
    <col min="11955" max="11955" width="28.88671875" bestFit="1" customWidth="1"/>
    <col min="11956" max="11956" width="23.33203125" bestFit="1" customWidth="1"/>
    <col min="11957" max="11957" width="25.44140625" bestFit="1" customWidth="1"/>
    <col min="11958" max="11958" width="31.6640625" bestFit="1" customWidth="1"/>
    <col min="11959" max="11959" width="26" bestFit="1" customWidth="1"/>
    <col min="11960" max="11960" width="27.77734375" bestFit="1" customWidth="1"/>
    <col min="11961" max="11961" width="33.88671875" bestFit="1" customWidth="1"/>
    <col min="11962" max="11962" width="28.33203125" bestFit="1" customWidth="1"/>
    <col min="11963" max="11963" width="30.33203125" bestFit="1" customWidth="1"/>
    <col min="11964" max="11964" width="36.5546875" bestFit="1" customWidth="1"/>
    <col min="11965" max="11965" width="30.88671875" bestFit="1" customWidth="1"/>
    <col min="11966" max="11966" width="25.109375" bestFit="1" customWidth="1"/>
    <col min="11967" max="11967" width="31.21875" bestFit="1" customWidth="1"/>
    <col min="11968" max="11968" width="25.6640625" bestFit="1" customWidth="1"/>
    <col min="11969" max="11969" width="31.5546875" bestFit="1" customWidth="1"/>
    <col min="11970" max="11970" width="37.6640625" bestFit="1" customWidth="1"/>
    <col min="11971" max="11971" width="32.109375" bestFit="1" customWidth="1"/>
    <col min="11972" max="11972" width="22.77734375" bestFit="1" customWidth="1"/>
    <col min="11973" max="11973" width="28.88671875" bestFit="1" customWidth="1"/>
    <col min="11974" max="11974" width="23.33203125" bestFit="1" customWidth="1"/>
    <col min="11975" max="11975" width="25.44140625" bestFit="1" customWidth="1"/>
    <col min="11976" max="11976" width="31.6640625" bestFit="1" customWidth="1"/>
    <col min="11977" max="11977" width="26" bestFit="1" customWidth="1"/>
    <col min="11978" max="11978" width="27.77734375" bestFit="1" customWidth="1"/>
    <col min="11979" max="11979" width="33.88671875" bestFit="1" customWidth="1"/>
    <col min="11980" max="11980" width="28.33203125" bestFit="1" customWidth="1"/>
    <col min="11981" max="11981" width="30.33203125" bestFit="1" customWidth="1"/>
    <col min="11982" max="11982" width="36.5546875" bestFit="1" customWidth="1"/>
    <col min="11983" max="11983" width="30.88671875" bestFit="1" customWidth="1"/>
    <col min="11984" max="11984" width="25.109375" bestFit="1" customWidth="1"/>
    <col min="11985" max="11985" width="31.21875" bestFit="1" customWidth="1"/>
    <col min="11986" max="11986" width="25.6640625" bestFit="1" customWidth="1"/>
    <col min="11987" max="11987" width="31.5546875" bestFit="1" customWidth="1"/>
    <col min="11988" max="11988" width="37.6640625" bestFit="1" customWidth="1"/>
    <col min="11989" max="11989" width="32.109375" bestFit="1" customWidth="1"/>
    <col min="11990" max="11990" width="22.77734375" bestFit="1" customWidth="1"/>
    <col min="11991" max="11991" width="28.88671875" bestFit="1" customWidth="1"/>
    <col min="11992" max="11992" width="23.33203125" bestFit="1" customWidth="1"/>
    <col min="11993" max="11993" width="25.44140625" bestFit="1" customWidth="1"/>
    <col min="11994" max="11994" width="31.6640625" bestFit="1" customWidth="1"/>
    <col min="11995" max="11995" width="26" bestFit="1" customWidth="1"/>
    <col min="11996" max="11996" width="27.77734375" bestFit="1" customWidth="1"/>
    <col min="11997" max="11997" width="33.88671875" bestFit="1" customWidth="1"/>
    <col min="11998" max="11998" width="28.33203125" bestFit="1" customWidth="1"/>
    <col min="11999" max="11999" width="30.33203125" bestFit="1" customWidth="1"/>
    <col min="12000" max="12000" width="36.5546875" bestFit="1" customWidth="1"/>
    <col min="12001" max="12001" width="30.88671875" bestFit="1" customWidth="1"/>
    <col min="12002" max="12002" width="25.109375" bestFit="1" customWidth="1"/>
    <col min="12003" max="12003" width="31.21875" bestFit="1" customWidth="1"/>
    <col min="12004" max="12004" width="25.6640625" bestFit="1" customWidth="1"/>
    <col min="12005" max="12005" width="31.5546875" bestFit="1" customWidth="1"/>
    <col min="12006" max="12006" width="37.6640625" bestFit="1" customWidth="1"/>
    <col min="12007" max="12007" width="32.109375" bestFit="1" customWidth="1"/>
    <col min="12008" max="12008" width="22.77734375" bestFit="1" customWidth="1"/>
    <col min="12009" max="12009" width="28.88671875" bestFit="1" customWidth="1"/>
    <col min="12010" max="12010" width="23.33203125" bestFit="1" customWidth="1"/>
    <col min="12011" max="12011" width="25.44140625" bestFit="1" customWidth="1"/>
    <col min="12012" max="12012" width="31.6640625" bestFit="1" customWidth="1"/>
    <col min="12013" max="12013" width="26" bestFit="1" customWidth="1"/>
    <col min="12014" max="12014" width="27.77734375" bestFit="1" customWidth="1"/>
    <col min="12015" max="12015" width="33.88671875" bestFit="1" customWidth="1"/>
    <col min="12016" max="12016" width="28.33203125" bestFit="1" customWidth="1"/>
    <col min="12017" max="12017" width="30.33203125" bestFit="1" customWidth="1"/>
    <col min="12018" max="12018" width="36.5546875" bestFit="1" customWidth="1"/>
    <col min="12019" max="12019" width="30.88671875" bestFit="1" customWidth="1"/>
    <col min="12020" max="12020" width="25.109375" bestFit="1" customWidth="1"/>
    <col min="12021" max="12021" width="31.21875" bestFit="1" customWidth="1"/>
    <col min="12022" max="12022" width="25.6640625" bestFit="1" customWidth="1"/>
    <col min="12023" max="12023" width="31.5546875" bestFit="1" customWidth="1"/>
    <col min="12024" max="12024" width="37.6640625" bestFit="1" customWidth="1"/>
    <col min="12025" max="12025" width="32.109375" bestFit="1" customWidth="1"/>
    <col min="12026" max="12026" width="22.77734375" bestFit="1" customWidth="1"/>
    <col min="12027" max="12027" width="28.88671875" bestFit="1" customWidth="1"/>
    <col min="12028" max="12028" width="23.33203125" bestFit="1" customWidth="1"/>
    <col min="12029" max="12029" width="25.44140625" bestFit="1" customWidth="1"/>
    <col min="12030" max="12030" width="31.6640625" bestFit="1" customWidth="1"/>
    <col min="12031" max="12031" width="26" bestFit="1" customWidth="1"/>
    <col min="12032" max="12032" width="27.77734375" bestFit="1" customWidth="1"/>
    <col min="12033" max="12033" width="33.88671875" bestFit="1" customWidth="1"/>
    <col min="12034" max="12034" width="28.33203125" bestFit="1" customWidth="1"/>
    <col min="12035" max="12035" width="30.33203125" bestFit="1" customWidth="1"/>
    <col min="12036" max="12036" width="36.5546875" bestFit="1" customWidth="1"/>
    <col min="12037" max="12037" width="30.88671875" bestFit="1" customWidth="1"/>
    <col min="12038" max="12038" width="25.109375" bestFit="1" customWidth="1"/>
    <col min="12039" max="12039" width="31.21875" bestFit="1" customWidth="1"/>
    <col min="12040" max="12040" width="25.6640625" bestFit="1" customWidth="1"/>
    <col min="12041" max="12041" width="31.5546875" bestFit="1" customWidth="1"/>
    <col min="12042" max="12042" width="37.6640625" bestFit="1" customWidth="1"/>
    <col min="12043" max="12043" width="32.109375" bestFit="1" customWidth="1"/>
    <col min="12044" max="12044" width="22.77734375" bestFit="1" customWidth="1"/>
    <col min="12045" max="12045" width="28.88671875" bestFit="1" customWidth="1"/>
    <col min="12046" max="12046" width="23.33203125" bestFit="1" customWidth="1"/>
    <col min="12047" max="12047" width="25.44140625" bestFit="1" customWidth="1"/>
    <col min="12048" max="12048" width="31.6640625" bestFit="1" customWidth="1"/>
    <col min="12049" max="12049" width="26" bestFit="1" customWidth="1"/>
    <col min="12050" max="12050" width="27.77734375" bestFit="1" customWidth="1"/>
    <col min="12051" max="12051" width="33.88671875" bestFit="1" customWidth="1"/>
    <col min="12052" max="12052" width="28.33203125" bestFit="1" customWidth="1"/>
    <col min="12053" max="12053" width="30.33203125" bestFit="1" customWidth="1"/>
    <col min="12054" max="12054" width="36.5546875" bestFit="1" customWidth="1"/>
    <col min="12055" max="12055" width="30.88671875" bestFit="1" customWidth="1"/>
    <col min="12056" max="12056" width="25.109375" bestFit="1" customWidth="1"/>
    <col min="12057" max="12057" width="31.21875" bestFit="1" customWidth="1"/>
    <col min="12058" max="12058" width="25.6640625" bestFit="1" customWidth="1"/>
    <col min="12059" max="12059" width="31.5546875" bestFit="1" customWidth="1"/>
    <col min="12060" max="12060" width="37.6640625" bestFit="1" customWidth="1"/>
    <col min="12061" max="12061" width="32.109375" bestFit="1" customWidth="1"/>
    <col min="12062" max="12062" width="22.77734375" bestFit="1" customWidth="1"/>
    <col min="12063" max="12063" width="28.88671875" bestFit="1" customWidth="1"/>
    <col min="12064" max="12064" width="23.33203125" bestFit="1" customWidth="1"/>
    <col min="12065" max="12065" width="25.44140625" bestFit="1" customWidth="1"/>
    <col min="12066" max="12066" width="31.6640625" bestFit="1" customWidth="1"/>
    <col min="12067" max="12067" width="26" bestFit="1" customWidth="1"/>
    <col min="12068" max="12068" width="27.77734375" bestFit="1" customWidth="1"/>
    <col min="12069" max="12069" width="33.88671875" bestFit="1" customWidth="1"/>
    <col min="12070" max="12070" width="28.33203125" bestFit="1" customWidth="1"/>
    <col min="12071" max="12071" width="30.33203125" bestFit="1" customWidth="1"/>
    <col min="12072" max="12072" width="36.5546875" bestFit="1" customWidth="1"/>
    <col min="12073" max="12073" width="30.88671875" bestFit="1" customWidth="1"/>
    <col min="12074" max="12074" width="25.109375" bestFit="1" customWidth="1"/>
    <col min="12075" max="12075" width="31.21875" bestFit="1" customWidth="1"/>
    <col min="12076" max="12076" width="25.6640625" bestFit="1" customWidth="1"/>
    <col min="12077" max="12077" width="31.5546875" bestFit="1" customWidth="1"/>
    <col min="12078" max="12078" width="37.6640625" bestFit="1" customWidth="1"/>
    <col min="12079" max="12079" width="32.109375" bestFit="1" customWidth="1"/>
    <col min="12080" max="12080" width="22.77734375" bestFit="1" customWidth="1"/>
    <col min="12081" max="12081" width="28.88671875" bestFit="1" customWidth="1"/>
    <col min="12082" max="12082" width="23.33203125" bestFit="1" customWidth="1"/>
    <col min="12083" max="12083" width="25.44140625" bestFit="1" customWidth="1"/>
    <col min="12084" max="12084" width="31.6640625" bestFit="1" customWidth="1"/>
    <col min="12085" max="12085" width="26" bestFit="1" customWidth="1"/>
    <col min="12086" max="12086" width="27.77734375" bestFit="1" customWidth="1"/>
    <col min="12087" max="12087" width="33.88671875" bestFit="1" customWidth="1"/>
    <col min="12088" max="12088" width="28.33203125" bestFit="1" customWidth="1"/>
    <col min="12089" max="12089" width="30.33203125" bestFit="1" customWidth="1"/>
    <col min="12090" max="12090" width="36.5546875" bestFit="1" customWidth="1"/>
    <col min="12091" max="12091" width="30.88671875" bestFit="1" customWidth="1"/>
    <col min="12092" max="12092" width="25.109375" bestFit="1" customWidth="1"/>
    <col min="12093" max="12093" width="31.21875" bestFit="1" customWidth="1"/>
    <col min="12094" max="12094" width="25.6640625" bestFit="1" customWidth="1"/>
    <col min="12095" max="12095" width="31.5546875" bestFit="1" customWidth="1"/>
    <col min="12096" max="12096" width="37.6640625" bestFit="1" customWidth="1"/>
    <col min="12097" max="12097" width="32.109375" bestFit="1" customWidth="1"/>
    <col min="12098" max="12098" width="22.77734375" bestFit="1" customWidth="1"/>
    <col min="12099" max="12099" width="28.88671875" bestFit="1" customWidth="1"/>
    <col min="12100" max="12100" width="23.33203125" bestFit="1" customWidth="1"/>
    <col min="12101" max="12101" width="25.44140625" bestFit="1" customWidth="1"/>
    <col min="12102" max="12102" width="31.6640625" bestFit="1" customWidth="1"/>
    <col min="12103" max="12103" width="26" bestFit="1" customWidth="1"/>
    <col min="12104" max="12104" width="27.77734375" bestFit="1" customWidth="1"/>
    <col min="12105" max="12105" width="33.88671875" bestFit="1" customWidth="1"/>
    <col min="12106" max="12106" width="28.33203125" bestFit="1" customWidth="1"/>
    <col min="12107" max="12107" width="30.33203125" bestFit="1" customWidth="1"/>
    <col min="12108" max="12108" width="36.5546875" bestFit="1" customWidth="1"/>
    <col min="12109" max="12109" width="30.88671875" bestFit="1" customWidth="1"/>
    <col min="12110" max="12110" width="25.109375" bestFit="1" customWidth="1"/>
    <col min="12111" max="12111" width="31.21875" bestFit="1" customWidth="1"/>
    <col min="12112" max="12112" width="25.6640625" bestFit="1" customWidth="1"/>
    <col min="12113" max="12113" width="31.5546875" bestFit="1" customWidth="1"/>
    <col min="12114" max="12114" width="37.6640625" bestFit="1" customWidth="1"/>
    <col min="12115" max="12115" width="32.109375" bestFit="1" customWidth="1"/>
    <col min="12116" max="12116" width="22.77734375" bestFit="1" customWidth="1"/>
    <col min="12117" max="12117" width="28.88671875" bestFit="1" customWidth="1"/>
    <col min="12118" max="12118" width="23.33203125" bestFit="1" customWidth="1"/>
    <col min="12119" max="12119" width="25.44140625" bestFit="1" customWidth="1"/>
    <col min="12120" max="12120" width="31.6640625" bestFit="1" customWidth="1"/>
    <col min="12121" max="12121" width="26" bestFit="1" customWidth="1"/>
    <col min="12122" max="12122" width="27.77734375" bestFit="1" customWidth="1"/>
    <col min="12123" max="12123" width="33.88671875" bestFit="1" customWidth="1"/>
    <col min="12124" max="12124" width="28.33203125" bestFit="1" customWidth="1"/>
    <col min="12125" max="12125" width="30.33203125" bestFit="1" customWidth="1"/>
    <col min="12126" max="12126" width="36.5546875" bestFit="1" customWidth="1"/>
    <col min="12127" max="12127" width="30.88671875" bestFit="1" customWidth="1"/>
    <col min="12128" max="12128" width="25.109375" bestFit="1" customWidth="1"/>
    <col min="12129" max="12129" width="31.21875" bestFit="1" customWidth="1"/>
    <col min="12130" max="12130" width="25.6640625" bestFit="1" customWidth="1"/>
    <col min="12131" max="12131" width="31.5546875" bestFit="1" customWidth="1"/>
    <col min="12132" max="12132" width="37.6640625" bestFit="1" customWidth="1"/>
    <col min="12133" max="12133" width="32.109375" bestFit="1" customWidth="1"/>
    <col min="12134" max="12134" width="22.77734375" bestFit="1" customWidth="1"/>
    <col min="12135" max="12135" width="28.88671875" bestFit="1" customWidth="1"/>
    <col min="12136" max="12136" width="23.33203125" bestFit="1" customWidth="1"/>
    <col min="12137" max="12137" width="25.44140625" bestFit="1" customWidth="1"/>
    <col min="12138" max="12138" width="31.6640625" bestFit="1" customWidth="1"/>
    <col min="12139" max="12139" width="26" bestFit="1" customWidth="1"/>
    <col min="12140" max="12140" width="27.77734375" bestFit="1" customWidth="1"/>
    <col min="12141" max="12141" width="33.88671875" bestFit="1" customWidth="1"/>
    <col min="12142" max="12142" width="28.33203125" bestFit="1" customWidth="1"/>
    <col min="12143" max="12143" width="30.33203125" bestFit="1" customWidth="1"/>
    <col min="12144" max="12144" width="36.5546875" bestFit="1" customWidth="1"/>
    <col min="12145" max="12145" width="30.88671875" bestFit="1" customWidth="1"/>
    <col min="12146" max="12146" width="25.109375" bestFit="1" customWidth="1"/>
    <col min="12147" max="12147" width="31.21875" bestFit="1" customWidth="1"/>
    <col min="12148" max="12148" width="25.6640625" bestFit="1" customWidth="1"/>
    <col min="12149" max="12149" width="31.5546875" bestFit="1" customWidth="1"/>
    <col min="12150" max="12150" width="37.6640625" bestFit="1" customWidth="1"/>
    <col min="12151" max="12151" width="32.109375" bestFit="1" customWidth="1"/>
    <col min="12152" max="12152" width="22.77734375" bestFit="1" customWidth="1"/>
    <col min="12153" max="12153" width="28.88671875" bestFit="1" customWidth="1"/>
    <col min="12154" max="12154" width="23.33203125" bestFit="1" customWidth="1"/>
    <col min="12155" max="12155" width="25.44140625" bestFit="1" customWidth="1"/>
    <col min="12156" max="12156" width="31.6640625" bestFit="1" customWidth="1"/>
    <col min="12157" max="12157" width="26" bestFit="1" customWidth="1"/>
    <col min="12158" max="12158" width="26.77734375" bestFit="1" customWidth="1"/>
    <col min="12159" max="12159" width="32.88671875" bestFit="1" customWidth="1"/>
    <col min="12160" max="12160" width="27.33203125" bestFit="1" customWidth="1"/>
    <col min="12161" max="12161" width="30.33203125" bestFit="1" customWidth="1"/>
    <col min="12162" max="12162" width="36.5546875" bestFit="1" customWidth="1"/>
    <col min="12163" max="12163" width="30.88671875" bestFit="1" customWidth="1"/>
    <col min="12164" max="12164" width="25.109375" bestFit="1" customWidth="1"/>
    <col min="12165" max="12165" width="31.21875" bestFit="1" customWidth="1"/>
    <col min="12166" max="12166" width="25.6640625" bestFit="1" customWidth="1"/>
    <col min="12167" max="12167" width="31.5546875" bestFit="1" customWidth="1"/>
    <col min="12168" max="12168" width="37.6640625" bestFit="1" customWidth="1"/>
    <col min="12169" max="12169" width="32.109375" bestFit="1" customWidth="1"/>
    <col min="12170" max="12170" width="22.77734375" bestFit="1" customWidth="1"/>
    <col min="12171" max="12171" width="28.88671875" bestFit="1" customWidth="1"/>
    <col min="12172" max="12172" width="23.33203125" bestFit="1" customWidth="1"/>
    <col min="12173" max="12173" width="25.44140625" bestFit="1" customWidth="1"/>
    <col min="12174" max="12174" width="31.6640625" bestFit="1" customWidth="1"/>
    <col min="12175" max="12175" width="26" bestFit="1" customWidth="1"/>
    <col min="12176" max="12176" width="27.77734375" bestFit="1" customWidth="1"/>
    <col min="12177" max="12177" width="33.88671875" bestFit="1" customWidth="1"/>
    <col min="12178" max="12178" width="28.33203125" bestFit="1" customWidth="1"/>
    <col min="12179" max="12179" width="30.33203125" bestFit="1" customWidth="1"/>
    <col min="12180" max="12180" width="36.5546875" bestFit="1" customWidth="1"/>
    <col min="12181" max="12181" width="30.88671875" bestFit="1" customWidth="1"/>
    <col min="12182" max="12182" width="25.109375" bestFit="1" customWidth="1"/>
    <col min="12183" max="12183" width="31.21875" bestFit="1" customWidth="1"/>
    <col min="12184" max="12184" width="25.6640625" bestFit="1" customWidth="1"/>
    <col min="12185" max="12185" width="31.5546875" bestFit="1" customWidth="1"/>
    <col min="12186" max="12186" width="37.6640625" bestFit="1" customWidth="1"/>
    <col min="12187" max="12187" width="32.109375" bestFit="1" customWidth="1"/>
    <col min="12188" max="12188" width="22.77734375" bestFit="1" customWidth="1"/>
    <col min="12189" max="12189" width="28.88671875" bestFit="1" customWidth="1"/>
    <col min="12190" max="12190" width="23.33203125" bestFit="1" customWidth="1"/>
    <col min="12191" max="12191" width="25.44140625" bestFit="1" customWidth="1"/>
    <col min="12192" max="12192" width="31.6640625" bestFit="1" customWidth="1"/>
    <col min="12193" max="12193" width="26" bestFit="1" customWidth="1"/>
    <col min="12194" max="12194" width="27.77734375" bestFit="1" customWidth="1"/>
    <col min="12195" max="12195" width="33.88671875" bestFit="1" customWidth="1"/>
    <col min="12196" max="12196" width="28.33203125" bestFit="1" customWidth="1"/>
    <col min="12197" max="12197" width="30.33203125" bestFit="1" customWidth="1"/>
    <col min="12198" max="12198" width="36.5546875" bestFit="1" customWidth="1"/>
    <col min="12199" max="12199" width="30.88671875" bestFit="1" customWidth="1"/>
    <col min="12200" max="12200" width="25.109375" bestFit="1" customWidth="1"/>
    <col min="12201" max="12201" width="31.21875" bestFit="1" customWidth="1"/>
    <col min="12202" max="12202" width="25.6640625" bestFit="1" customWidth="1"/>
    <col min="12203" max="12203" width="31.5546875" bestFit="1" customWidth="1"/>
    <col min="12204" max="12204" width="37.6640625" bestFit="1" customWidth="1"/>
    <col min="12205" max="12205" width="32.109375" bestFit="1" customWidth="1"/>
    <col min="12206" max="12206" width="22.77734375" bestFit="1" customWidth="1"/>
    <col min="12207" max="12207" width="28.88671875" bestFit="1" customWidth="1"/>
    <col min="12208" max="12208" width="23.33203125" bestFit="1" customWidth="1"/>
    <col min="12209" max="12209" width="25.44140625" bestFit="1" customWidth="1"/>
    <col min="12210" max="12210" width="31.6640625" bestFit="1" customWidth="1"/>
    <col min="12211" max="12211" width="26" bestFit="1" customWidth="1"/>
    <col min="12212" max="12212" width="27.77734375" bestFit="1" customWidth="1"/>
    <col min="12213" max="12213" width="33.88671875" bestFit="1" customWidth="1"/>
    <col min="12214" max="12214" width="28.33203125" bestFit="1" customWidth="1"/>
    <col min="12215" max="12215" width="30.33203125" bestFit="1" customWidth="1"/>
    <col min="12216" max="12216" width="36.5546875" bestFit="1" customWidth="1"/>
    <col min="12217" max="12217" width="30.88671875" bestFit="1" customWidth="1"/>
    <col min="12218" max="12218" width="25.109375" bestFit="1" customWidth="1"/>
    <col min="12219" max="12219" width="31.21875" bestFit="1" customWidth="1"/>
    <col min="12220" max="12220" width="25.6640625" bestFit="1" customWidth="1"/>
    <col min="12221" max="12221" width="31.5546875" bestFit="1" customWidth="1"/>
    <col min="12222" max="12222" width="37.6640625" bestFit="1" customWidth="1"/>
    <col min="12223" max="12223" width="32.109375" bestFit="1" customWidth="1"/>
    <col min="12224" max="12224" width="22.77734375" bestFit="1" customWidth="1"/>
    <col min="12225" max="12225" width="28.88671875" bestFit="1" customWidth="1"/>
    <col min="12226" max="12226" width="23.33203125" bestFit="1" customWidth="1"/>
    <col min="12227" max="12227" width="25.44140625" bestFit="1" customWidth="1"/>
    <col min="12228" max="12228" width="31.6640625" bestFit="1" customWidth="1"/>
    <col min="12229" max="12229" width="26" bestFit="1" customWidth="1"/>
    <col min="12230" max="12230" width="26.77734375" bestFit="1" customWidth="1"/>
    <col min="12231" max="12231" width="32.88671875" bestFit="1" customWidth="1"/>
    <col min="12232" max="12232" width="27.33203125" bestFit="1" customWidth="1"/>
    <col min="12233" max="12233" width="30.33203125" bestFit="1" customWidth="1"/>
    <col min="12234" max="12234" width="36.5546875" bestFit="1" customWidth="1"/>
    <col min="12235" max="12235" width="30.88671875" bestFit="1" customWidth="1"/>
    <col min="12236" max="12236" width="25.109375" bestFit="1" customWidth="1"/>
    <col min="12237" max="12237" width="31.21875" bestFit="1" customWidth="1"/>
    <col min="12238" max="12238" width="25.6640625" bestFit="1" customWidth="1"/>
    <col min="12239" max="12239" width="31.5546875" bestFit="1" customWidth="1"/>
    <col min="12240" max="12240" width="37.6640625" bestFit="1" customWidth="1"/>
    <col min="12241" max="12241" width="32.109375" bestFit="1" customWidth="1"/>
    <col min="12242" max="12242" width="22.77734375" bestFit="1" customWidth="1"/>
    <col min="12243" max="12243" width="28.88671875" bestFit="1" customWidth="1"/>
    <col min="12244" max="12244" width="23.33203125" bestFit="1" customWidth="1"/>
    <col min="12245" max="12245" width="25.44140625" bestFit="1" customWidth="1"/>
    <col min="12246" max="12246" width="31.6640625" bestFit="1" customWidth="1"/>
    <col min="12247" max="12247" width="26" bestFit="1" customWidth="1"/>
    <col min="12248" max="12248" width="27.77734375" bestFit="1" customWidth="1"/>
    <col min="12249" max="12249" width="33.88671875" bestFit="1" customWidth="1"/>
    <col min="12250" max="12250" width="28.33203125" bestFit="1" customWidth="1"/>
    <col min="12251" max="12251" width="30.33203125" bestFit="1" customWidth="1"/>
    <col min="12252" max="12252" width="36.5546875" bestFit="1" customWidth="1"/>
    <col min="12253" max="12253" width="30.88671875" bestFit="1" customWidth="1"/>
    <col min="12254" max="12254" width="25.109375" bestFit="1" customWidth="1"/>
    <col min="12255" max="12255" width="31.21875" bestFit="1" customWidth="1"/>
    <col min="12256" max="12256" width="25.6640625" bestFit="1" customWidth="1"/>
    <col min="12257" max="12257" width="31.5546875" bestFit="1" customWidth="1"/>
    <col min="12258" max="12258" width="37.6640625" bestFit="1" customWidth="1"/>
    <col min="12259" max="12259" width="32.109375" bestFit="1" customWidth="1"/>
    <col min="12260" max="12260" width="22.77734375" bestFit="1" customWidth="1"/>
    <col min="12261" max="12261" width="28.88671875" bestFit="1" customWidth="1"/>
    <col min="12262" max="12262" width="23.33203125" bestFit="1" customWidth="1"/>
    <col min="12263" max="12263" width="25.44140625" bestFit="1" customWidth="1"/>
    <col min="12264" max="12264" width="31.6640625" bestFit="1" customWidth="1"/>
    <col min="12265" max="12265" width="26" bestFit="1" customWidth="1"/>
    <col min="12266" max="12266" width="27.77734375" bestFit="1" customWidth="1"/>
    <col min="12267" max="12267" width="33.88671875" bestFit="1" customWidth="1"/>
    <col min="12268" max="12268" width="28.33203125" bestFit="1" customWidth="1"/>
    <col min="12269" max="12269" width="30.33203125" bestFit="1" customWidth="1"/>
    <col min="12270" max="12270" width="36.5546875" bestFit="1" customWidth="1"/>
    <col min="12271" max="12271" width="30.88671875" bestFit="1" customWidth="1"/>
    <col min="12272" max="12272" width="25.109375" bestFit="1" customWidth="1"/>
    <col min="12273" max="12273" width="31.21875" bestFit="1" customWidth="1"/>
    <col min="12274" max="12274" width="25.6640625" bestFit="1" customWidth="1"/>
    <col min="12275" max="12275" width="31.5546875" bestFit="1" customWidth="1"/>
    <col min="12276" max="12276" width="37.6640625" bestFit="1" customWidth="1"/>
    <col min="12277" max="12277" width="32.109375" bestFit="1" customWidth="1"/>
    <col min="12278" max="12278" width="22.77734375" bestFit="1" customWidth="1"/>
    <col min="12279" max="12279" width="28.88671875" bestFit="1" customWidth="1"/>
    <col min="12280" max="12280" width="23.33203125" bestFit="1" customWidth="1"/>
    <col min="12281" max="12281" width="25.44140625" bestFit="1" customWidth="1"/>
    <col min="12282" max="12282" width="31.6640625" bestFit="1" customWidth="1"/>
    <col min="12283" max="12283" width="26" bestFit="1" customWidth="1"/>
    <col min="12284" max="12284" width="27.77734375" bestFit="1" customWidth="1"/>
    <col min="12285" max="12285" width="33.88671875" bestFit="1" customWidth="1"/>
    <col min="12286" max="12286" width="28.33203125" bestFit="1" customWidth="1"/>
    <col min="12287" max="12287" width="30.33203125" bestFit="1" customWidth="1"/>
    <col min="12288" max="12288" width="36.5546875" bestFit="1" customWidth="1"/>
    <col min="12289" max="12289" width="30.88671875" bestFit="1" customWidth="1"/>
    <col min="12290" max="12290" width="25.109375" bestFit="1" customWidth="1"/>
    <col min="12291" max="12291" width="31.21875" bestFit="1" customWidth="1"/>
    <col min="12292" max="12292" width="25.6640625" bestFit="1" customWidth="1"/>
    <col min="12293" max="12293" width="31.5546875" bestFit="1" customWidth="1"/>
    <col min="12294" max="12294" width="37.6640625" bestFit="1" customWidth="1"/>
    <col min="12295" max="12295" width="32.109375" bestFit="1" customWidth="1"/>
    <col min="12296" max="12296" width="22.77734375" bestFit="1" customWidth="1"/>
    <col min="12297" max="12297" width="28.88671875" bestFit="1" customWidth="1"/>
    <col min="12298" max="12298" width="23.33203125" bestFit="1" customWidth="1"/>
    <col min="12299" max="12299" width="25.44140625" bestFit="1" customWidth="1"/>
    <col min="12300" max="12300" width="31.6640625" bestFit="1" customWidth="1"/>
    <col min="12301" max="12301" width="26" bestFit="1" customWidth="1"/>
    <col min="12302" max="12302" width="27.77734375" bestFit="1" customWidth="1"/>
    <col min="12303" max="12303" width="33.88671875" bestFit="1" customWidth="1"/>
    <col min="12304" max="12304" width="28.33203125" bestFit="1" customWidth="1"/>
    <col min="12305" max="12305" width="30.33203125" bestFit="1" customWidth="1"/>
    <col min="12306" max="12306" width="36.5546875" bestFit="1" customWidth="1"/>
    <col min="12307" max="12307" width="30.88671875" bestFit="1" customWidth="1"/>
    <col min="12308" max="12308" width="25.109375" bestFit="1" customWidth="1"/>
    <col min="12309" max="12309" width="31.21875" bestFit="1" customWidth="1"/>
    <col min="12310" max="12310" width="25.6640625" bestFit="1" customWidth="1"/>
    <col min="12311" max="12311" width="31.5546875" bestFit="1" customWidth="1"/>
    <col min="12312" max="12312" width="37.6640625" bestFit="1" customWidth="1"/>
    <col min="12313" max="12313" width="32.109375" bestFit="1" customWidth="1"/>
    <col min="12314" max="12314" width="22.77734375" bestFit="1" customWidth="1"/>
    <col min="12315" max="12315" width="28.88671875" bestFit="1" customWidth="1"/>
    <col min="12316" max="12316" width="23.33203125" bestFit="1" customWidth="1"/>
    <col min="12317" max="12317" width="25.44140625" bestFit="1" customWidth="1"/>
    <col min="12318" max="12318" width="31.6640625" bestFit="1" customWidth="1"/>
    <col min="12319" max="12319" width="26" bestFit="1" customWidth="1"/>
    <col min="12320" max="12320" width="26.77734375" bestFit="1" customWidth="1"/>
    <col min="12321" max="12321" width="32.88671875" bestFit="1" customWidth="1"/>
    <col min="12322" max="12322" width="27.33203125" bestFit="1" customWidth="1"/>
    <col min="12323" max="12323" width="30.33203125" bestFit="1" customWidth="1"/>
    <col min="12324" max="12324" width="36.5546875" bestFit="1" customWidth="1"/>
    <col min="12325" max="12325" width="30.88671875" bestFit="1" customWidth="1"/>
    <col min="12326" max="12326" width="25.109375" bestFit="1" customWidth="1"/>
    <col min="12327" max="12327" width="31.21875" bestFit="1" customWidth="1"/>
    <col min="12328" max="12328" width="25.6640625" bestFit="1" customWidth="1"/>
    <col min="12329" max="12329" width="31.5546875" bestFit="1" customWidth="1"/>
    <col min="12330" max="12330" width="37.6640625" bestFit="1" customWidth="1"/>
    <col min="12331" max="12331" width="32.109375" bestFit="1" customWidth="1"/>
    <col min="12332" max="12332" width="22.77734375" bestFit="1" customWidth="1"/>
    <col min="12333" max="12333" width="28.88671875" bestFit="1" customWidth="1"/>
    <col min="12334" max="12334" width="23.33203125" bestFit="1" customWidth="1"/>
    <col min="12335" max="12335" width="25.44140625" bestFit="1" customWidth="1"/>
    <col min="12336" max="12336" width="31.6640625" bestFit="1" customWidth="1"/>
    <col min="12337" max="12337" width="26" bestFit="1" customWidth="1"/>
    <col min="12338" max="12338" width="27.77734375" bestFit="1" customWidth="1"/>
    <col min="12339" max="12339" width="33.88671875" bestFit="1" customWidth="1"/>
    <col min="12340" max="12340" width="28.33203125" bestFit="1" customWidth="1"/>
    <col min="12341" max="12341" width="30.33203125" bestFit="1" customWidth="1"/>
    <col min="12342" max="12342" width="36.5546875" bestFit="1" customWidth="1"/>
    <col min="12343" max="12343" width="30.88671875" bestFit="1" customWidth="1"/>
    <col min="12344" max="12344" width="25.109375" bestFit="1" customWidth="1"/>
    <col min="12345" max="12345" width="31.21875" bestFit="1" customWidth="1"/>
    <col min="12346" max="12346" width="25.6640625" bestFit="1" customWidth="1"/>
    <col min="12347" max="12347" width="31.5546875" bestFit="1" customWidth="1"/>
    <col min="12348" max="12348" width="37.6640625" bestFit="1" customWidth="1"/>
    <col min="12349" max="12349" width="32.109375" bestFit="1" customWidth="1"/>
    <col min="12350" max="12350" width="22.77734375" bestFit="1" customWidth="1"/>
    <col min="12351" max="12351" width="28.88671875" bestFit="1" customWidth="1"/>
    <col min="12352" max="12352" width="23.33203125" bestFit="1" customWidth="1"/>
    <col min="12353" max="12353" width="25.44140625" bestFit="1" customWidth="1"/>
    <col min="12354" max="12354" width="31.6640625" bestFit="1" customWidth="1"/>
    <col min="12355" max="12355" width="26" bestFit="1" customWidth="1"/>
    <col min="12356" max="12356" width="27.77734375" bestFit="1" customWidth="1"/>
    <col min="12357" max="12357" width="33.88671875" bestFit="1" customWidth="1"/>
    <col min="12358" max="12358" width="28.33203125" bestFit="1" customWidth="1"/>
    <col min="12359" max="12359" width="30.33203125" bestFit="1" customWidth="1"/>
    <col min="12360" max="12360" width="36.5546875" bestFit="1" customWidth="1"/>
    <col min="12361" max="12361" width="30.88671875" bestFit="1" customWidth="1"/>
    <col min="12362" max="12362" width="25.109375" bestFit="1" customWidth="1"/>
    <col min="12363" max="12363" width="31.21875" bestFit="1" customWidth="1"/>
    <col min="12364" max="12364" width="25.6640625" bestFit="1" customWidth="1"/>
    <col min="12365" max="12365" width="31.5546875" bestFit="1" customWidth="1"/>
    <col min="12366" max="12366" width="37.6640625" bestFit="1" customWidth="1"/>
    <col min="12367" max="12367" width="32.109375" bestFit="1" customWidth="1"/>
    <col min="12368" max="12368" width="22.77734375" bestFit="1" customWidth="1"/>
    <col min="12369" max="12369" width="28.88671875" bestFit="1" customWidth="1"/>
    <col min="12370" max="12370" width="23.33203125" bestFit="1" customWidth="1"/>
    <col min="12371" max="12371" width="25.44140625" bestFit="1" customWidth="1"/>
    <col min="12372" max="12372" width="31.6640625" bestFit="1" customWidth="1"/>
    <col min="12373" max="12373" width="26" bestFit="1" customWidth="1"/>
    <col min="12374" max="12374" width="27.77734375" bestFit="1" customWidth="1"/>
    <col min="12375" max="12375" width="33.88671875" bestFit="1" customWidth="1"/>
    <col min="12376" max="12376" width="28.33203125" bestFit="1" customWidth="1"/>
    <col min="12377" max="12377" width="30.33203125" bestFit="1" customWidth="1"/>
    <col min="12378" max="12378" width="36.5546875" bestFit="1" customWidth="1"/>
    <col min="12379" max="12379" width="30.88671875" bestFit="1" customWidth="1"/>
    <col min="12380" max="12380" width="25.109375" bestFit="1" customWidth="1"/>
    <col min="12381" max="12381" width="31.21875" bestFit="1" customWidth="1"/>
    <col min="12382" max="12382" width="25.6640625" bestFit="1" customWidth="1"/>
    <col min="12383" max="12383" width="31.5546875" bestFit="1" customWidth="1"/>
    <col min="12384" max="12384" width="37.6640625" bestFit="1" customWidth="1"/>
    <col min="12385" max="12385" width="32.109375" bestFit="1" customWidth="1"/>
    <col min="12386" max="12386" width="22.77734375" bestFit="1" customWidth="1"/>
    <col min="12387" max="12387" width="28.88671875" bestFit="1" customWidth="1"/>
    <col min="12388" max="12388" width="23.33203125" bestFit="1" customWidth="1"/>
    <col min="12389" max="12389" width="25.44140625" bestFit="1" customWidth="1"/>
    <col min="12390" max="12390" width="31.6640625" bestFit="1" customWidth="1"/>
    <col min="12391" max="12391" width="26" bestFit="1" customWidth="1"/>
    <col min="12392" max="12392" width="27.77734375" bestFit="1" customWidth="1"/>
    <col min="12393" max="12393" width="33.88671875" bestFit="1" customWidth="1"/>
    <col min="12394" max="12394" width="28.33203125" bestFit="1" customWidth="1"/>
    <col min="12395" max="12395" width="30.33203125" bestFit="1" customWidth="1"/>
    <col min="12396" max="12396" width="36.5546875" bestFit="1" customWidth="1"/>
    <col min="12397" max="12397" width="30.88671875" bestFit="1" customWidth="1"/>
    <col min="12398" max="12398" width="25.109375" bestFit="1" customWidth="1"/>
    <col min="12399" max="12399" width="31.21875" bestFit="1" customWidth="1"/>
    <col min="12400" max="12400" width="25.6640625" bestFit="1" customWidth="1"/>
    <col min="12401" max="12401" width="31.5546875" bestFit="1" customWidth="1"/>
    <col min="12402" max="12402" width="37.6640625" bestFit="1" customWidth="1"/>
    <col min="12403" max="12403" width="32.109375" bestFit="1" customWidth="1"/>
    <col min="12404" max="12404" width="22.77734375" bestFit="1" customWidth="1"/>
    <col min="12405" max="12405" width="28.88671875" bestFit="1" customWidth="1"/>
    <col min="12406" max="12406" width="23.33203125" bestFit="1" customWidth="1"/>
    <col min="12407" max="12407" width="25.44140625" bestFit="1" customWidth="1"/>
    <col min="12408" max="12408" width="31.6640625" bestFit="1" customWidth="1"/>
    <col min="12409" max="12409" width="26" bestFit="1" customWidth="1"/>
    <col min="12410" max="12410" width="27.77734375" bestFit="1" customWidth="1"/>
    <col min="12411" max="12411" width="33.88671875" bestFit="1" customWidth="1"/>
    <col min="12412" max="12412" width="28.33203125" bestFit="1" customWidth="1"/>
    <col min="12413" max="12413" width="30.33203125" bestFit="1" customWidth="1"/>
    <col min="12414" max="12414" width="36.5546875" bestFit="1" customWidth="1"/>
    <col min="12415" max="12415" width="30.88671875" bestFit="1" customWidth="1"/>
    <col min="12416" max="12416" width="25.109375" bestFit="1" customWidth="1"/>
    <col min="12417" max="12417" width="31.21875" bestFit="1" customWidth="1"/>
    <col min="12418" max="12418" width="25.6640625" bestFit="1" customWidth="1"/>
    <col min="12419" max="12419" width="31.5546875" bestFit="1" customWidth="1"/>
    <col min="12420" max="12420" width="37.6640625" bestFit="1" customWidth="1"/>
    <col min="12421" max="12421" width="32.109375" bestFit="1" customWidth="1"/>
    <col min="12422" max="12422" width="22.77734375" bestFit="1" customWidth="1"/>
    <col min="12423" max="12423" width="28.88671875" bestFit="1" customWidth="1"/>
    <col min="12424" max="12424" width="23.33203125" bestFit="1" customWidth="1"/>
    <col min="12425" max="12425" width="25.44140625" bestFit="1" customWidth="1"/>
    <col min="12426" max="12426" width="31.6640625" bestFit="1" customWidth="1"/>
    <col min="12427" max="12427" width="26" bestFit="1" customWidth="1"/>
    <col min="12428" max="12428" width="27.77734375" bestFit="1" customWidth="1"/>
    <col min="12429" max="12429" width="33.88671875" bestFit="1" customWidth="1"/>
    <col min="12430" max="12430" width="28.33203125" bestFit="1" customWidth="1"/>
    <col min="12431" max="12431" width="30.33203125" bestFit="1" customWidth="1"/>
    <col min="12432" max="12432" width="36.5546875" bestFit="1" customWidth="1"/>
    <col min="12433" max="12433" width="30.88671875" bestFit="1" customWidth="1"/>
    <col min="12434" max="12434" width="25.109375" bestFit="1" customWidth="1"/>
    <col min="12435" max="12435" width="31.21875" bestFit="1" customWidth="1"/>
    <col min="12436" max="12436" width="25.6640625" bestFit="1" customWidth="1"/>
    <col min="12437" max="12437" width="31.5546875" bestFit="1" customWidth="1"/>
    <col min="12438" max="12438" width="37.6640625" bestFit="1" customWidth="1"/>
    <col min="12439" max="12439" width="32.109375" bestFit="1" customWidth="1"/>
    <col min="12440" max="12440" width="22.77734375" bestFit="1" customWidth="1"/>
    <col min="12441" max="12441" width="28.88671875" bestFit="1" customWidth="1"/>
    <col min="12442" max="12442" width="23.33203125" bestFit="1" customWidth="1"/>
    <col min="12443" max="12443" width="25.44140625" bestFit="1" customWidth="1"/>
    <col min="12444" max="12444" width="31.6640625" bestFit="1" customWidth="1"/>
    <col min="12445" max="12445" width="26" bestFit="1" customWidth="1"/>
    <col min="12446" max="12446" width="27.77734375" bestFit="1" customWidth="1"/>
    <col min="12447" max="12447" width="33.88671875" bestFit="1" customWidth="1"/>
    <col min="12448" max="12448" width="28.33203125" bestFit="1" customWidth="1"/>
    <col min="12449" max="12449" width="30.33203125" bestFit="1" customWidth="1"/>
    <col min="12450" max="12450" width="36.5546875" bestFit="1" customWidth="1"/>
    <col min="12451" max="12451" width="30.88671875" bestFit="1" customWidth="1"/>
    <col min="12452" max="12452" width="25.109375" bestFit="1" customWidth="1"/>
    <col min="12453" max="12453" width="31.21875" bestFit="1" customWidth="1"/>
    <col min="12454" max="12454" width="25.6640625" bestFit="1" customWidth="1"/>
    <col min="12455" max="12455" width="31.5546875" bestFit="1" customWidth="1"/>
    <col min="12456" max="12456" width="37.6640625" bestFit="1" customWidth="1"/>
    <col min="12457" max="12457" width="32.109375" bestFit="1" customWidth="1"/>
    <col min="12458" max="12458" width="22.77734375" bestFit="1" customWidth="1"/>
    <col min="12459" max="12459" width="28.88671875" bestFit="1" customWidth="1"/>
    <col min="12460" max="12460" width="23.33203125" bestFit="1" customWidth="1"/>
    <col min="12461" max="12461" width="25.44140625" bestFit="1" customWidth="1"/>
    <col min="12462" max="12462" width="31.6640625" bestFit="1" customWidth="1"/>
    <col min="12463" max="12463" width="26" bestFit="1" customWidth="1"/>
    <col min="12464" max="12464" width="27.77734375" bestFit="1" customWidth="1"/>
    <col min="12465" max="12465" width="33.88671875" bestFit="1" customWidth="1"/>
    <col min="12466" max="12466" width="28.33203125" bestFit="1" customWidth="1"/>
    <col min="12467" max="12467" width="30.33203125" bestFit="1" customWidth="1"/>
    <col min="12468" max="12468" width="36.5546875" bestFit="1" customWidth="1"/>
    <col min="12469" max="12469" width="30.88671875" bestFit="1" customWidth="1"/>
    <col min="12470" max="12470" width="25.109375" bestFit="1" customWidth="1"/>
    <col min="12471" max="12471" width="31.21875" bestFit="1" customWidth="1"/>
    <col min="12472" max="12472" width="25.6640625" bestFit="1" customWidth="1"/>
    <col min="12473" max="12473" width="31.5546875" bestFit="1" customWidth="1"/>
    <col min="12474" max="12474" width="37.6640625" bestFit="1" customWidth="1"/>
    <col min="12475" max="12475" width="32.109375" bestFit="1" customWidth="1"/>
    <col min="12476" max="12476" width="22.77734375" bestFit="1" customWidth="1"/>
    <col min="12477" max="12477" width="28.88671875" bestFit="1" customWidth="1"/>
    <col min="12478" max="12478" width="23.33203125" bestFit="1" customWidth="1"/>
    <col min="12479" max="12479" width="25.44140625" bestFit="1" customWidth="1"/>
    <col min="12480" max="12480" width="31.6640625" bestFit="1" customWidth="1"/>
    <col min="12481" max="12481" width="26" bestFit="1" customWidth="1"/>
    <col min="12482" max="12482" width="27.77734375" bestFit="1" customWidth="1"/>
    <col min="12483" max="12483" width="33.88671875" bestFit="1" customWidth="1"/>
    <col min="12484" max="12484" width="28.33203125" bestFit="1" customWidth="1"/>
    <col min="12485" max="12485" width="30.33203125" bestFit="1" customWidth="1"/>
    <col min="12486" max="12486" width="36.5546875" bestFit="1" customWidth="1"/>
    <col min="12487" max="12487" width="30.88671875" bestFit="1" customWidth="1"/>
    <col min="12488" max="12488" width="25.109375" bestFit="1" customWidth="1"/>
    <col min="12489" max="12489" width="31.21875" bestFit="1" customWidth="1"/>
    <col min="12490" max="12490" width="25.6640625" bestFit="1" customWidth="1"/>
    <col min="12491" max="12491" width="31.5546875" bestFit="1" customWidth="1"/>
    <col min="12492" max="12492" width="37.6640625" bestFit="1" customWidth="1"/>
    <col min="12493" max="12493" width="32.109375" bestFit="1" customWidth="1"/>
    <col min="12494" max="12494" width="22.77734375" bestFit="1" customWidth="1"/>
    <col min="12495" max="12495" width="28.88671875" bestFit="1" customWidth="1"/>
    <col min="12496" max="12496" width="23.33203125" bestFit="1" customWidth="1"/>
    <col min="12497" max="12497" width="25.44140625" bestFit="1" customWidth="1"/>
    <col min="12498" max="12498" width="31.6640625" bestFit="1" customWidth="1"/>
    <col min="12499" max="12499" width="26" bestFit="1" customWidth="1"/>
    <col min="12500" max="12500" width="27.77734375" bestFit="1" customWidth="1"/>
    <col min="12501" max="12501" width="33.88671875" bestFit="1" customWidth="1"/>
    <col min="12502" max="12502" width="28.33203125" bestFit="1" customWidth="1"/>
    <col min="12503" max="12503" width="30.33203125" bestFit="1" customWidth="1"/>
    <col min="12504" max="12504" width="36.5546875" bestFit="1" customWidth="1"/>
    <col min="12505" max="12505" width="30.88671875" bestFit="1" customWidth="1"/>
    <col min="12506" max="12506" width="25.109375" bestFit="1" customWidth="1"/>
    <col min="12507" max="12507" width="31.21875" bestFit="1" customWidth="1"/>
    <col min="12508" max="12508" width="25.6640625" bestFit="1" customWidth="1"/>
    <col min="12509" max="12509" width="31.5546875" bestFit="1" customWidth="1"/>
    <col min="12510" max="12510" width="37.6640625" bestFit="1" customWidth="1"/>
    <col min="12511" max="12511" width="32.109375" bestFit="1" customWidth="1"/>
    <col min="12512" max="12512" width="22.77734375" bestFit="1" customWidth="1"/>
    <col min="12513" max="12513" width="28.88671875" bestFit="1" customWidth="1"/>
    <col min="12514" max="12514" width="23.33203125" bestFit="1" customWidth="1"/>
    <col min="12515" max="12515" width="25.44140625" bestFit="1" customWidth="1"/>
    <col min="12516" max="12516" width="31.6640625" bestFit="1" customWidth="1"/>
    <col min="12517" max="12517" width="26" bestFit="1" customWidth="1"/>
    <col min="12518" max="12518" width="27.77734375" bestFit="1" customWidth="1"/>
    <col min="12519" max="12519" width="33.88671875" bestFit="1" customWidth="1"/>
    <col min="12520" max="12520" width="28.33203125" bestFit="1" customWidth="1"/>
    <col min="12521" max="12521" width="30.33203125" bestFit="1" customWidth="1"/>
    <col min="12522" max="12522" width="36.5546875" bestFit="1" customWidth="1"/>
    <col min="12523" max="12523" width="30.88671875" bestFit="1" customWidth="1"/>
    <col min="12524" max="12524" width="25.109375" bestFit="1" customWidth="1"/>
    <col min="12525" max="12525" width="31.21875" bestFit="1" customWidth="1"/>
    <col min="12526" max="12526" width="25.6640625" bestFit="1" customWidth="1"/>
    <col min="12527" max="12527" width="31.5546875" bestFit="1" customWidth="1"/>
    <col min="12528" max="12528" width="37.6640625" bestFit="1" customWidth="1"/>
    <col min="12529" max="12529" width="32.109375" bestFit="1" customWidth="1"/>
    <col min="12530" max="12530" width="22.77734375" bestFit="1" customWidth="1"/>
    <col min="12531" max="12531" width="28.88671875" bestFit="1" customWidth="1"/>
    <col min="12532" max="12532" width="23.33203125" bestFit="1" customWidth="1"/>
    <col min="12533" max="12533" width="25.44140625" bestFit="1" customWidth="1"/>
    <col min="12534" max="12534" width="31.6640625" bestFit="1" customWidth="1"/>
    <col min="12535" max="12535" width="26" bestFit="1" customWidth="1"/>
    <col min="12536" max="12536" width="27.77734375" bestFit="1" customWidth="1"/>
    <col min="12537" max="12537" width="33.88671875" bestFit="1" customWidth="1"/>
    <col min="12538" max="12538" width="28.33203125" bestFit="1" customWidth="1"/>
    <col min="12539" max="12539" width="30.33203125" bestFit="1" customWidth="1"/>
    <col min="12540" max="12540" width="36.5546875" bestFit="1" customWidth="1"/>
    <col min="12541" max="12541" width="30.88671875" bestFit="1" customWidth="1"/>
    <col min="12542" max="12542" width="25.109375" bestFit="1" customWidth="1"/>
    <col min="12543" max="12543" width="31.21875" bestFit="1" customWidth="1"/>
    <col min="12544" max="12544" width="25.6640625" bestFit="1" customWidth="1"/>
    <col min="12545" max="12545" width="31.5546875" bestFit="1" customWidth="1"/>
    <col min="12546" max="12546" width="37.6640625" bestFit="1" customWidth="1"/>
    <col min="12547" max="12547" width="32.109375" bestFit="1" customWidth="1"/>
    <col min="12548" max="12548" width="22.77734375" bestFit="1" customWidth="1"/>
    <col min="12549" max="12549" width="28.88671875" bestFit="1" customWidth="1"/>
    <col min="12550" max="12550" width="23.33203125" bestFit="1" customWidth="1"/>
    <col min="12551" max="12551" width="25.44140625" bestFit="1" customWidth="1"/>
    <col min="12552" max="12552" width="31.6640625" bestFit="1" customWidth="1"/>
    <col min="12553" max="12553" width="26" bestFit="1" customWidth="1"/>
    <col min="12554" max="12554" width="25.6640625" bestFit="1" customWidth="1"/>
    <col min="12555" max="12555" width="31.88671875" bestFit="1" customWidth="1"/>
    <col min="12556" max="12556" width="26.33203125" bestFit="1" customWidth="1"/>
    <col min="12557" max="12557" width="30.33203125" bestFit="1" customWidth="1"/>
    <col min="12558" max="12558" width="36.5546875" bestFit="1" customWidth="1"/>
    <col min="12559" max="12559" width="30.88671875" bestFit="1" customWidth="1"/>
    <col min="12560" max="12560" width="25.109375" bestFit="1" customWidth="1"/>
    <col min="12561" max="12561" width="31.21875" bestFit="1" customWidth="1"/>
    <col min="12562" max="12562" width="25.6640625" bestFit="1" customWidth="1"/>
    <col min="12563" max="12563" width="31.5546875" bestFit="1" customWidth="1"/>
    <col min="12564" max="12564" width="37.6640625" bestFit="1" customWidth="1"/>
    <col min="12565" max="12565" width="32.109375" bestFit="1" customWidth="1"/>
    <col min="12566" max="12566" width="22.77734375" bestFit="1" customWidth="1"/>
    <col min="12567" max="12567" width="28.88671875" bestFit="1" customWidth="1"/>
    <col min="12568" max="12568" width="23.33203125" bestFit="1" customWidth="1"/>
    <col min="12569" max="12569" width="25.44140625" bestFit="1" customWidth="1"/>
    <col min="12570" max="12570" width="31.6640625" bestFit="1" customWidth="1"/>
    <col min="12571" max="12571" width="26" bestFit="1" customWidth="1"/>
    <col min="12572" max="12572" width="27.77734375" bestFit="1" customWidth="1"/>
    <col min="12573" max="12573" width="33.88671875" bestFit="1" customWidth="1"/>
    <col min="12574" max="12574" width="28.33203125" bestFit="1" customWidth="1"/>
    <col min="12575" max="12575" width="30.33203125" bestFit="1" customWidth="1"/>
    <col min="12576" max="12576" width="36.5546875" bestFit="1" customWidth="1"/>
    <col min="12577" max="12577" width="30.88671875" bestFit="1" customWidth="1"/>
    <col min="12578" max="12578" width="25.109375" bestFit="1" customWidth="1"/>
    <col min="12579" max="12579" width="31.21875" bestFit="1" customWidth="1"/>
    <col min="12580" max="12580" width="25.6640625" bestFit="1" customWidth="1"/>
    <col min="12581" max="12581" width="31.5546875" bestFit="1" customWidth="1"/>
    <col min="12582" max="12582" width="37.6640625" bestFit="1" customWidth="1"/>
    <col min="12583" max="12583" width="32.109375" bestFit="1" customWidth="1"/>
    <col min="12584" max="12584" width="22.77734375" bestFit="1" customWidth="1"/>
    <col min="12585" max="12585" width="28.88671875" bestFit="1" customWidth="1"/>
    <col min="12586" max="12586" width="23.33203125" bestFit="1" customWidth="1"/>
    <col min="12587" max="12587" width="25.44140625" bestFit="1" customWidth="1"/>
    <col min="12588" max="12588" width="31.6640625" bestFit="1" customWidth="1"/>
    <col min="12589" max="12589" width="26" bestFit="1" customWidth="1"/>
    <col min="12590" max="12590" width="27.77734375" bestFit="1" customWidth="1"/>
    <col min="12591" max="12591" width="33.88671875" bestFit="1" customWidth="1"/>
    <col min="12592" max="12592" width="28.33203125" bestFit="1" customWidth="1"/>
    <col min="12593" max="12593" width="30.33203125" bestFit="1" customWidth="1"/>
    <col min="12594" max="12594" width="36.5546875" bestFit="1" customWidth="1"/>
    <col min="12595" max="12595" width="30.88671875" bestFit="1" customWidth="1"/>
    <col min="12596" max="12596" width="25.109375" bestFit="1" customWidth="1"/>
    <col min="12597" max="12597" width="31.21875" bestFit="1" customWidth="1"/>
    <col min="12598" max="12598" width="25.6640625" bestFit="1" customWidth="1"/>
    <col min="12599" max="12599" width="31.5546875" bestFit="1" customWidth="1"/>
    <col min="12600" max="12600" width="37.6640625" bestFit="1" customWidth="1"/>
    <col min="12601" max="12601" width="32.109375" bestFit="1" customWidth="1"/>
    <col min="12602" max="12602" width="22.77734375" bestFit="1" customWidth="1"/>
    <col min="12603" max="12603" width="28.88671875" bestFit="1" customWidth="1"/>
    <col min="12604" max="12604" width="23.33203125" bestFit="1" customWidth="1"/>
    <col min="12605" max="12605" width="25.44140625" bestFit="1" customWidth="1"/>
    <col min="12606" max="12606" width="31.6640625" bestFit="1" customWidth="1"/>
    <col min="12607" max="12607" width="26" bestFit="1" customWidth="1"/>
    <col min="12608" max="12608" width="27.77734375" bestFit="1" customWidth="1"/>
    <col min="12609" max="12609" width="33.88671875" bestFit="1" customWidth="1"/>
    <col min="12610" max="12610" width="28.33203125" bestFit="1" customWidth="1"/>
    <col min="12611" max="12611" width="30.33203125" bestFit="1" customWidth="1"/>
    <col min="12612" max="12612" width="36.5546875" bestFit="1" customWidth="1"/>
    <col min="12613" max="12613" width="30.88671875" bestFit="1" customWidth="1"/>
    <col min="12614" max="12614" width="25.109375" bestFit="1" customWidth="1"/>
    <col min="12615" max="12615" width="31.21875" bestFit="1" customWidth="1"/>
    <col min="12616" max="12616" width="25.6640625" bestFit="1" customWidth="1"/>
    <col min="12617" max="12617" width="31.5546875" bestFit="1" customWidth="1"/>
    <col min="12618" max="12618" width="37.6640625" bestFit="1" customWidth="1"/>
    <col min="12619" max="12619" width="32.109375" bestFit="1" customWidth="1"/>
    <col min="12620" max="12620" width="22.77734375" bestFit="1" customWidth="1"/>
    <col min="12621" max="12621" width="28.88671875" bestFit="1" customWidth="1"/>
    <col min="12622" max="12622" width="23.33203125" bestFit="1" customWidth="1"/>
    <col min="12623" max="12623" width="25.44140625" bestFit="1" customWidth="1"/>
    <col min="12624" max="12624" width="31.6640625" bestFit="1" customWidth="1"/>
    <col min="12625" max="12625" width="26" bestFit="1" customWidth="1"/>
    <col min="12626" max="12626" width="27.77734375" bestFit="1" customWidth="1"/>
    <col min="12627" max="12627" width="33.88671875" bestFit="1" customWidth="1"/>
    <col min="12628" max="12628" width="28.33203125" bestFit="1" customWidth="1"/>
    <col min="12629" max="12629" width="30.33203125" bestFit="1" customWidth="1"/>
    <col min="12630" max="12630" width="36.5546875" bestFit="1" customWidth="1"/>
    <col min="12631" max="12631" width="30.88671875" bestFit="1" customWidth="1"/>
    <col min="12632" max="12632" width="25.109375" bestFit="1" customWidth="1"/>
    <col min="12633" max="12633" width="31.21875" bestFit="1" customWidth="1"/>
    <col min="12634" max="12634" width="25.6640625" bestFit="1" customWidth="1"/>
    <col min="12635" max="12635" width="31.5546875" bestFit="1" customWidth="1"/>
    <col min="12636" max="12636" width="37.6640625" bestFit="1" customWidth="1"/>
    <col min="12637" max="12637" width="32.109375" bestFit="1" customWidth="1"/>
    <col min="12638" max="12638" width="22.77734375" bestFit="1" customWidth="1"/>
    <col min="12639" max="12639" width="28.88671875" bestFit="1" customWidth="1"/>
    <col min="12640" max="12640" width="23.33203125" bestFit="1" customWidth="1"/>
    <col min="12641" max="12641" width="25.44140625" bestFit="1" customWidth="1"/>
    <col min="12642" max="12642" width="31.6640625" bestFit="1" customWidth="1"/>
    <col min="12643" max="12643" width="26" bestFit="1" customWidth="1"/>
    <col min="12644" max="12644" width="27.77734375" bestFit="1" customWidth="1"/>
    <col min="12645" max="12645" width="33.88671875" bestFit="1" customWidth="1"/>
    <col min="12646" max="12646" width="28.33203125" bestFit="1" customWidth="1"/>
    <col min="12647" max="12647" width="30.33203125" bestFit="1" customWidth="1"/>
    <col min="12648" max="12648" width="36.5546875" bestFit="1" customWidth="1"/>
    <col min="12649" max="12649" width="30.88671875" bestFit="1" customWidth="1"/>
    <col min="12650" max="12650" width="25.109375" bestFit="1" customWidth="1"/>
    <col min="12651" max="12651" width="31.21875" bestFit="1" customWidth="1"/>
    <col min="12652" max="12652" width="25.6640625" bestFit="1" customWidth="1"/>
    <col min="12653" max="12653" width="31.5546875" bestFit="1" customWidth="1"/>
    <col min="12654" max="12654" width="37.6640625" bestFit="1" customWidth="1"/>
    <col min="12655" max="12655" width="32.109375" bestFit="1" customWidth="1"/>
    <col min="12656" max="12656" width="22.77734375" bestFit="1" customWidth="1"/>
    <col min="12657" max="12657" width="28.88671875" bestFit="1" customWidth="1"/>
    <col min="12658" max="12658" width="23.33203125" bestFit="1" customWidth="1"/>
    <col min="12659" max="12659" width="25.44140625" bestFit="1" customWidth="1"/>
    <col min="12660" max="12660" width="31.6640625" bestFit="1" customWidth="1"/>
    <col min="12661" max="12661" width="26" bestFit="1" customWidth="1"/>
    <col min="12662" max="12662" width="27.77734375" bestFit="1" customWidth="1"/>
    <col min="12663" max="12663" width="33.88671875" bestFit="1" customWidth="1"/>
    <col min="12664" max="12664" width="28.33203125" bestFit="1" customWidth="1"/>
    <col min="12665" max="12665" width="30.33203125" bestFit="1" customWidth="1"/>
    <col min="12666" max="12666" width="36.5546875" bestFit="1" customWidth="1"/>
    <col min="12667" max="12667" width="30.88671875" bestFit="1" customWidth="1"/>
    <col min="12668" max="12668" width="25.109375" bestFit="1" customWidth="1"/>
    <col min="12669" max="12669" width="31.21875" bestFit="1" customWidth="1"/>
    <col min="12670" max="12670" width="25.6640625" bestFit="1" customWidth="1"/>
    <col min="12671" max="12671" width="31.5546875" bestFit="1" customWidth="1"/>
    <col min="12672" max="12672" width="37.6640625" bestFit="1" customWidth="1"/>
    <col min="12673" max="12673" width="32.109375" bestFit="1" customWidth="1"/>
    <col min="12674" max="12674" width="22.77734375" bestFit="1" customWidth="1"/>
    <col min="12675" max="12675" width="28.88671875" bestFit="1" customWidth="1"/>
    <col min="12676" max="12676" width="23.33203125" bestFit="1" customWidth="1"/>
    <col min="12677" max="12677" width="25.44140625" bestFit="1" customWidth="1"/>
    <col min="12678" max="12678" width="31.6640625" bestFit="1" customWidth="1"/>
    <col min="12679" max="12679" width="26" bestFit="1" customWidth="1"/>
    <col min="12680" max="12680" width="27.77734375" bestFit="1" customWidth="1"/>
    <col min="12681" max="12681" width="33.88671875" bestFit="1" customWidth="1"/>
    <col min="12682" max="12682" width="28.33203125" bestFit="1" customWidth="1"/>
    <col min="12683" max="12683" width="30.33203125" bestFit="1" customWidth="1"/>
    <col min="12684" max="12684" width="36.5546875" bestFit="1" customWidth="1"/>
    <col min="12685" max="12685" width="30.88671875" bestFit="1" customWidth="1"/>
    <col min="12686" max="12686" width="25.109375" bestFit="1" customWidth="1"/>
    <col min="12687" max="12687" width="31.21875" bestFit="1" customWidth="1"/>
    <col min="12688" max="12688" width="25.6640625" bestFit="1" customWidth="1"/>
    <col min="12689" max="12689" width="31.5546875" bestFit="1" customWidth="1"/>
    <col min="12690" max="12690" width="37.6640625" bestFit="1" customWidth="1"/>
    <col min="12691" max="12691" width="32.109375" bestFit="1" customWidth="1"/>
    <col min="12692" max="12692" width="22.77734375" bestFit="1" customWidth="1"/>
    <col min="12693" max="12693" width="28.88671875" bestFit="1" customWidth="1"/>
    <col min="12694" max="12694" width="23.33203125" bestFit="1" customWidth="1"/>
    <col min="12695" max="12695" width="25.44140625" bestFit="1" customWidth="1"/>
    <col min="12696" max="12696" width="31.6640625" bestFit="1" customWidth="1"/>
    <col min="12697" max="12697" width="26" bestFit="1" customWidth="1"/>
    <col min="12698" max="12698" width="27.77734375" bestFit="1" customWidth="1"/>
    <col min="12699" max="12699" width="33.88671875" bestFit="1" customWidth="1"/>
    <col min="12700" max="12700" width="28.33203125" bestFit="1" customWidth="1"/>
    <col min="12701" max="12701" width="30.33203125" bestFit="1" customWidth="1"/>
    <col min="12702" max="12702" width="36.5546875" bestFit="1" customWidth="1"/>
    <col min="12703" max="12703" width="30.88671875" bestFit="1" customWidth="1"/>
    <col min="12704" max="12704" width="25.109375" bestFit="1" customWidth="1"/>
    <col min="12705" max="12705" width="31.21875" bestFit="1" customWidth="1"/>
    <col min="12706" max="12706" width="25.6640625" bestFit="1" customWidth="1"/>
    <col min="12707" max="12707" width="31.5546875" bestFit="1" customWidth="1"/>
    <col min="12708" max="12708" width="37.6640625" bestFit="1" customWidth="1"/>
    <col min="12709" max="12709" width="32.109375" bestFit="1" customWidth="1"/>
    <col min="12710" max="12710" width="22.77734375" bestFit="1" customWidth="1"/>
    <col min="12711" max="12711" width="28.88671875" bestFit="1" customWidth="1"/>
    <col min="12712" max="12712" width="23.33203125" bestFit="1" customWidth="1"/>
    <col min="12713" max="12713" width="25.44140625" bestFit="1" customWidth="1"/>
    <col min="12714" max="12714" width="31.6640625" bestFit="1" customWidth="1"/>
    <col min="12715" max="12715" width="26" bestFit="1" customWidth="1"/>
    <col min="12716" max="12716" width="27.77734375" bestFit="1" customWidth="1"/>
    <col min="12717" max="12717" width="33.88671875" bestFit="1" customWidth="1"/>
    <col min="12718" max="12718" width="28.33203125" bestFit="1" customWidth="1"/>
    <col min="12719" max="12719" width="30.33203125" bestFit="1" customWidth="1"/>
    <col min="12720" max="12720" width="36.5546875" bestFit="1" customWidth="1"/>
    <col min="12721" max="12721" width="30.88671875" bestFit="1" customWidth="1"/>
    <col min="12722" max="12722" width="25.109375" bestFit="1" customWidth="1"/>
    <col min="12723" max="12723" width="31.21875" bestFit="1" customWidth="1"/>
    <col min="12724" max="12724" width="25.6640625" bestFit="1" customWidth="1"/>
    <col min="12725" max="12725" width="31.5546875" bestFit="1" customWidth="1"/>
    <col min="12726" max="12726" width="37.6640625" bestFit="1" customWidth="1"/>
    <col min="12727" max="12727" width="32.109375" bestFit="1" customWidth="1"/>
    <col min="12728" max="12728" width="22.77734375" bestFit="1" customWidth="1"/>
    <col min="12729" max="12729" width="28.88671875" bestFit="1" customWidth="1"/>
    <col min="12730" max="12730" width="23.33203125" bestFit="1" customWidth="1"/>
    <col min="12731" max="12731" width="25.44140625" bestFit="1" customWidth="1"/>
    <col min="12732" max="12732" width="31.6640625" bestFit="1" customWidth="1"/>
    <col min="12733" max="12733" width="26" bestFit="1" customWidth="1"/>
    <col min="12734" max="12734" width="27.77734375" bestFit="1" customWidth="1"/>
    <col min="12735" max="12735" width="33.88671875" bestFit="1" customWidth="1"/>
    <col min="12736" max="12736" width="28.33203125" bestFit="1" customWidth="1"/>
    <col min="12737" max="12737" width="30.33203125" bestFit="1" customWidth="1"/>
    <col min="12738" max="12738" width="36.5546875" bestFit="1" customWidth="1"/>
    <col min="12739" max="12739" width="30.88671875" bestFit="1" customWidth="1"/>
    <col min="12740" max="12740" width="25.109375" bestFit="1" customWidth="1"/>
    <col min="12741" max="12741" width="31.21875" bestFit="1" customWidth="1"/>
    <col min="12742" max="12742" width="25.6640625" bestFit="1" customWidth="1"/>
    <col min="12743" max="12743" width="31.5546875" bestFit="1" customWidth="1"/>
    <col min="12744" max="12744" width="37.6640625" bestFit="1" customWidth="1"/>
    <col min="12745" max="12745" width="32.109375" bestFit="1" customWidth="1"/>
    <col min="12746" max="12746" width="22.77734375" bestFit="1" customWidth="1"/>
    <col min="12747" max="12747" width="28.88671875" bestFit="1" customWidth="1"/>
    <col min="12748" max="12748" width="23.33203125" bestFit="1" customWidth="1"/>
    <col min="12749" max="12749" width="25.44140625" bestFit="1" customWidth="1"/>
    <col min="12750" max="12750" width="31.6640625" bestFit="1" customWidth="1"/>
    <col min="12751" max="12751" width="26" bestFit="1" customWidth="1"/>
    <col min="12752" max="12752" width="27.77734375" bestFit="1" customWidth="1"/>
    <col min="12753" max="12753" width="33.88671875" bestFit="1" customWidth="1"/>
    <col min="12754" max="12754" width="28.33203125" bestFit="1" customWidth="1"/>
    <col min="12755" max="12755" width="30.33203125" bestFit="1" customWidth="1"/>
    <col min="12756" max="12756" width="36.5546875" bestFit="1" customWidth="1"/>
    <col min="12757" max="12757" width="30.88671875" bestFit="1" customWidth="1"/>
    <col min="12758" max="12758" width="25.109375" bestFit="1" customWidth="1"/>
    <col min="12759" max="12759" width="31.21875" bestFit="1" customWidth="1"/>
    <col min="12760" max="12760" width="25.6640625" bestFit="1" customWidth="1"/>
    <col min="12761" max="12761" width="31.5546875" bestFit="1" customWidth="1"/>
    <col min="12762" max="12762" width="37.6640625" bestFit="1" customWidth="1"/>
    <col min="12763" max="12763" width="32.109375" bestFit="1" customWidth="1"/>
    <col min="12764" max="12764" width="22.77734375" bestFit="1" customWidth="1"/>
    <col min="12765" max="12765" width="28.88671875" bestFit="1" customWidth="1"/>
    <col min="12766" max="12766" width="23.33203125" bestFit="1" customWidth="1"/>
    <col min="12767" max="12767" width="25.44140625" bestFit="1" customWidth="1"/>
    <col min="12768" max="12768" width="31.6640625" bestFit="1" customWidth="1"/>
    <col min="12769" max="12769" width="26" bestFit="1" customWidth="1"/>
    <col min="12770" max="12770" width="27.77734375" bestFit="1" customWidth="1"/>
    <col min="12771" max="12771" width="33.88671875" bestFit="1" customWidth="1"/>
    <col min="12772" max="12772" width="28.33203125" bestFit="1" customWidth="1"/>
    <col min="12773" max="12773" width="30.33203125" bestFit="1" customWidth="1"/>
    <col min="12774" max="12774" width="36.5546875" bestFit="1" customWidth="1"/>
    <col min="12775" max="12775" width="30.88671875" bestFit="1" customWidth="1"/>
    <col min="12776" max="12776" width="25.109375" bestFit="1" customWidth="1"/>
    <col min="12777" max="12777" width="31.21875" bestFit="1" customWidth="1"/>
    <col min="12778" max="12778" width="25.6640625" bestFit="1" customWidth="1"/>
    <col min="12779" max="12779" width="31.5546875" bestFit="1" customWidth="1"/>
    <col min="12780" max="12780" width="37.6640625" bestFit="1" customWidth="1"/>
    <col min="12781" max="12781" width="32.109375" bestFit="1" customWidth="1"/>
    <col min="12782" max="12782" width="22.77734375" bestFit="1" customWidth="1"/>
    <col min="12783" max="12783" width="28.88671875" bestFit="1" customWidth="1"/>
    <col min="12784" max="12784" width="23.33203125" bestFit="1" customWidth="1"/>
    <col min="12785" max="12785" width="25.44140625" bestFit="1" customWidth="1"/>
    <col min="12786" max="12786" width="31.6640625" bestFit="1" customWidth="1"/>
    <col min="12787" max="12787" width="26" bestFit="1" customWidth="1"/>
    <col min="12788" max="12788" width="27.77734375" bestFit="1" customWidth="1"/>
    <col min="12789" max="12789" width="33.88671875" bestFit="1" customWidth="1"/>
    <col min="12790" max="12790" width="28.33203125" bestFit="1" customWidth="1"/>
    <col min="12791" max="12791" width="30.33203125" bestFit="1" customWidth="1"/>
    <col min="12792" max="12792" width="36.5546875" bestFit="1" customWidth="1"/>
    <col min="12793" max="12793" width="30.88671875" bestFit="1" customWidth="1"/>
    <col min="12794" max="12794" width="25.109375" bestFit="1" customWidth="1"/>
    <col min="12795" max="12795" width="31.21875" bestFit="1" customWidth="1"/>
    <col min="12796" max="12796" width="25.6640625" bestFit="1" customWidth="1"/>
    <col min="12797" max="12797" width="31.5546875" bestFit="1" customWidth="1"/>
    <col min="12798" max="12798" width="37.6640625" bestFit="1" customWidth="1"/>
    <col min="12799" max="12799" width="32.109375" bestFit="1" customWidth="1"/>
    <col min="12800" max="12800" width="22.77734375" bestFit="1" customWidth="1"/>
    <col min="12801" max="12801" width="28.88671875" bestFit="1" customWidth="1"/>
    <col min="12802" max="12802" width="23.33203125" bestFit="1" customWidth="1"/>
    <col min="12803" max="12803" width="25.44140625" bestFit="1" customWidth="1"/>
    <col min="12804" max="12804" width="31.6640625" bestFit="1" customWidth="1"/>
    <col min="12805" max="12805" width="26" bestFit="1" customWidth="1"/>
    <col min="12806" max="12806" width="27.77734375" bestFit="1" customWidth="1"/>
    <col min="12807" max="12807" width="33.88671875" bestFit="1" customWidth="1"/>
    <col min="12808" max="12808" width="28.33203125" bestFit="1" customWidth="1"/>
    <col min="12809" max="12809" width="30.33203125" bestFit="1" customWidth="1"/>
    <col min="12810" max="12810" width="36.5546875" bestFit="1" customWidth="1"/>
    <col min="12811" max="12811" width="30.88671875" bestFit="1" customWidth="1"/>
    <col min="12812" max="12812" width="25.109375" bestFit="1" customWidth="1"/>
    <col min="12813" max="12813" width="31.21875" bestFit="1" customWidth="1"/>
    <col min="12814" max="12814" width="25.6640625" bestFit="1" customWidth="1"/>
    <col min="12815" max="12815" width="31.5546875" bestFit="1" customWidth="1"/>
    <col min="12816" max="12816" width="37.6640625" bestFit="1" customWidth="1"/>
    <col min="12817" max="12817" width="32.109375" bestFit="1" customWidth="1"/>
    <col min="12818" max="12818" width="22.77734375" bestFit="1" customWidth="1"/>
    <col min="12819" max="12819" width="28.88671875" bestFit="1" customWidth="1"/>
    <col min="12820" max="12820" width="23.33203125" bestFit="1" customWidth="1"/>
    <col min="12821" max="12821" width="25.44140625" bestFit="1" customWidth="1"/>
    <col min="12822" max="12822" width="31.6640625" bestFit="1" customWidth="1"/>
    <col min="12823" max="12823" width="26" bestFit="1" customWidth="1"/>
    <col min="12824" max="12824" width="27.77734375" bestFit="1" customWidth="1"/>
    <col min="12825" max="12825" width="33.88671875" bestFit="1" customWidth="1"/>
    <col min="12826" max="12826" width="28.33203125" bestFit="1" customWidth="1"/>
    <col min="12827" max="12827" width="30.33203125" bestFit="1" customWidth="1"/>
    <col min="12828" max="12828" width="36.5546875" bestFit="1" customWidth="1"/>
    <col min="12829" max="12829" width="30.88671875" bestFit="1" customWidth="1"/>
    <col min="12830" max="12830" width="25.109375" bestFit="1" customWidth="1"/>
    <col min="12831" max="12831" width="31.21875" bestFit="1" customWidth="1"/>
    <col min="12832" max="12832" width="25.6640625" bestFit="1" customWidth="1"/>
    <col min="12833" max="12833" width="31.5546875" bestFit="1" customWidth="1"/>
    <col min="12834" max="12834" width="37.6640625" bestFit="1" customWidth="1"/>
    <col min="12835" max="12835" width="32.109375" bestFit="1" customWidth="1"/>
    <col min="12836" max="12836" width="22.77734375" bestFit="1" customWidth="1"/>
    <col min="12837" max="12837" width="28.88671875" bestFit="1" customWidth="1"/>
    <col min="12838" max="12838" width="23.33203125" bestFit="1" customWidth="1"/>
    <col min="12839" max="12839" width="25.44140625" bestFit="1" customWidth="1"/>
    <col min="12840" max="12840" width="31.6640625" bestFit="1" customWidth="1"/>
    <col min="12841" max="12841" width="26" bestFit="1" customWidth="1"/>
    <col min="12842" max="12842" width="27.77734375" bestFit="1" customWidth="1"/>
    <col min="12843" max="12843" width="33.88671875" bestFit="1" customWidth="1"/>
    <col min="12844" max="12844" width="28.33203125" bestFit="1" customWidth="1"/>
    <col min="12845" max="12845" width="30.33203125" bestFit="1" customWidth="1"/>
    <col min="12846" max="12846" width="36.5546875" bestFit="1" customWidth="1"/>
    <col min="12847" max="12847" width="30.88671875" bestFit="1" customWidth="1"/>
    <col min="12848" max="12848" width="25.109375" bestFit="1" customWidth="1"/>
    <col min="12849" max="12849" width="31.21875" bestFit="1" customWidth="1"/>
    <col min="12850" max="12850" width="25.6640625" bestFit="1" customWidth="1"/>
    <col min="12851" max="12851" width="31.5546875" bestFit="1" customWidth="1"/>
    <col min="12852" max="12852" width="37.6640625" bestFit="1" customWidth="1"/>
    <col min="12853" max="12853" width="32.109375" bestFit="1" customWidth="1"/>
    <col min="12854" max="12854" width="22.77734375" bestFit="1" customWidth="1"/>
    <col min="12855" max="12855" width="28.88671875" bestFit="1" customWidth="1"/>
    <col min="12856" max="12856" width="23.33203125" bestFit="1" customWidth="1"/>
    <col min="12857" max="12857" width="25.44140625" bestFit="1" customWidth="1"/>
    <col min="12858" max="12858" width="31.6640625" bestFit="1" customWidth="1"/>
    <col min="12859" max="12859" width="26" bestFit="1" customWidth="1"/>
    <col min="12860" max="12860" width="27.77734375" bestFit="1" customWidth="1"/>
    <col min="12861" max="12861" width="33.88671875" bestFit="1" customWidth="1"/>
    <col min="12862" max="12862" width="28.33203125" bestFit="1" customWidth="1"/>
    <col min="12863" max="12863" width="30.33203125" bestFit="1" customWidth="1"/>
    <col min="12864" max="12864" width="36.5546875" bestFit="1" customWidth="1"/>
    <col min="12865" max="12865" width="30.88671875" bestFit="1" customWidth="1"/>
    <col min="12866" max="12866" width="25.109375" bestFit="1" customWidth="1"/>
    <col min="12867" max="12867" width="31.21875" bestFit="1" customWidth="1"/>
    <col min="12868" max="12868" width="25.6640625" bestFit="1" customWidth="1"/>
    <col min="12869" max="12869" width="31.5546875" bestFit="1" customWidth="1"/>
    <col min="12870" max="12870" width="37.6640625" bestFit="1" customWidth="1"/>
    <col min="12871" max="12871" width="32.109375" bestFit="1" customWidth="1"/>
    <col min="12872" max="12872" width="22.77734375" bestFit="1" customWidth="1"/>
    <col min="12873" max="12873" width="28.88671875" bestFit="1" customWidth="1"/>
    <col min="12874" max="12874" width="23.33203125" bestFit="1" customWidth="1"/>
    <col min="12875" max="12875" width="25.44140625" bestFit="1" customWidth="1"/>
    <col min="12876" max="12876" width="31.6640625" bestFit="1" customWidth="1"/>
    <col min="12877" max="12877" width="26" bestFit="1" customWidth="1"/>
    <col min="12878" max="12878" width="27.77734375" bestFit="1" customWidth="1"/>
    <col min="12879" max="12879" width="33.88671875" bestFit="1" customWidth="1"/>
    <col min="12880" max="12880" width="28.33203125" bestFit="1" customWidth="1"/>
    <col min="12881" max="12881" width="30.33203125" bestFit="1" customWidth="1"/>
    <col min="12882" max="12882" width="36.5546875" bestFit="1" customWidth="1"/>
    <col min="12883" max="12883" width="30.88671875" bestFit="1" customWidth="1"/>
    <col min="12884" max="12884" width="25.109375" bestFit="1" customWidth="1"/>
    <col min="12885" max="12885" width="31.21875" bestFit="1" customWidth="1"/>
    <col min="12886" max="12886" width="25.6640625" bestFit="1" customWidth="1"/>
    <col min="12887" max="12887" width="31.5546875" bestFit="1" customWidth="1"/>
    <col min="12888" max="12888" width="37.6640625" bestFit="1" customWidth="1"/>
    <col min="12889" max="12889" width="32.109375" bestFit="1" customWidth="1"/>
    <col min="12890" max="12890" width="22.77734375" bestFit="1" customWidth="1"/>
    <col min="12891" max="12891" width="28.88671875" bestFit="1" customWidth="1"/>
    <col min="12892" max="12892" width="23.33203125" bestFit="1" customWidth="1"/>
    <col min="12893" max="12893" width="25.44140625" bestFit="1" customWidth="1"/>
    <col min="12894" max="12894" width="31.6640625" bestFit="1" customWidth="1"/>
    <col min="12895" max="12895" width="26" bestFit="1" customWidth="1"/>
    <col min="12896" max="12896" width="27.77734375" bestFit="1" customWidth="1"/>
    <col min="12897" max="12897" width="33.88671875" bestFit="1" customWidth="1"/>
    <col min="12898" max="12898" width="28.33203125" bestFit="1" customWidth="1"/>
    <col min="12899" max="12899" width="30.33203125" bestFit="1" customWidth="1"/>
    <col min="12900" max="12900" width="36.5546875" bestFit="1" customWidth="1"/>
    <col min="12901" max="12901" width="30.88671875" bestFit="1" customWidth="1"/>
    <col min="12902" max="12902" width="25.109375" bestFit="1" customWidth="1"/>
    <col min="12903" max="12903" width="31.21875" bestFit="1" customWidth="1"/>
    <col min="12904" max="12904" width="25.6640625" bestFit="1" customWidth="1"/>
    <col min="12905" max="12905" width="31.5546875" bestFit="1" customWidth="1"/>
    <col min="12906" max="12906" width="37.6640625" bestFit="1" customWidth="1"/>
    <col min="12907" max="12907" width="32.109375" bestFit="1" customWidth="1"/>
    <col min="12908" max="12908" width="22.77734375" bestFit="1" customWidth="1"/>
    <col min="12909" max="12909" width="28.88671875" bestFit="1" customWidth="1"/>
    <col min="12910" max="12910" width="23.33203125" bestFit="1" customWidth="1"/>
    <col min="12911" max="12911" width="25.44140625" bestFit="1" customWidth="1"/>
    <col min="12912" max="12912" width="31.6640625" bestFit="1" customWidth="1"/>
    <col min="12913" max="12913" width="26" bestFit="1" customWidth="1"/>
    <col min="12914" max="12914" width="27.77734375" bestFit="1" customWidth="1"/>
    <col min="12915" max="12915" width="33.88671875" bestFit="1" customWidth="1"/>
    <col min="12916" max="12916" width="28.33203125" bestFit="1" customWidth="1"/>
    <col min="12917" max="12917" width="30.33203125" bestFit="1" customWidth="1"/>
    <col min="12918" max="12918" width="36.5546875" bestFit="1" customWidth="1"/>
    <col min="12919" max="12919" width="30.88671875" bestFit="1" customWidth="1"/>
    <col min="12920" max="12920" width="25.109375" bestFit="1" customWidth="1"/>
    <col min="12921" max="12921" width="31.21875" bestFit="1" customWidth="1"/>
    <col min="12922" max="12922" width="25.6640625" bestFit="1" customWidth="1"/>
    <col min="12923" max="12923" width="31.5546875" bestFit="1" customWidth="1"/>
    <col min="12924" max="12924" width="37.6640625" bestFit="1" customWidth="1"/>
    <col min="12925" max="12925" width="32.109375" bestFit="1" customWidth="1"/>
    <col min="12926" max="12926" width="22.77734375" bestFit="1" customWidth="1"/>
    <col min="12927" max="12927" width="28.88671875" bestFit="1" customWidth="1"/>
    <col min="12928" max="12928" width="23.33203125" bestFit="1" customWidth="1"/>
    <col min="12929" max="12929" width="25.44140625" bestFit="1" customWidth="1"/>
    <col min="12930" max="12930" width="31.6640625" bestFit="1" customWidth="1"/>
    <col min="12931" max="12931" width="26" bestFit="1" customWidth="1"/>
    <col min="12932" max="12932" width="27.77734375" bestFit="1" customWidth="1"/>
    <col min="12933" max="12933" width="33.88671875" bestFit="1" customWidth="1"/>
    <col min="12934" max="12934" width="28.33203125" bestFit="1" customWidth="1"/>
    <col min="12935" max="12935" width="30.33203125" bestFit="1" customWidth="1"/>
    <col min="12936" max="12936" width="36.5546875" bestFit="1" customWidth="1"/>
    <col min="12937" max="12937" width="30.88671875" bestFit="1" customWidth="1"/>
    <col min="12938" max="12938" width="25.109375" bestFit="1" customWidth="1"/>
    <col min="12939" max="12939" width="31.21875" bestFit="1" customWidth="1"/>
    <col min="12940" max="12940" width="25.6640625" bestFit="1" customWidth="1"/>
    <col min="12941" max="12941" width="31.5546875" bestFit="1" customWidth="1"/>
    <col min="12942" max="12942" width="37.6640625" bestFit="1" customWidth="1"/>
    <col min="12943" max="12943" width="32.109375" bestFit="1" customWidth="1"/>
    <col min="12944" max="12944" width="22.77734375" bestFit="1" customWidth="1"/>
    <col min="12945" max="12945" width="28.88671875" bestFit="1" customWidth="1"/>
    <col min="12946" max="12946" width="23.33203125" bestFit="1" customWidth="1"/>
    <col min="12947" max="12947" width="25.44140625" bestFit="1" customWidth="1"/>
    <col min="12948" max="12948" width="31.6640625" bestFit="1" customWidth="1"/>
    <col min="12949" max="12949" width="26" bestFit="1" customWidth="1"/>
    <col min="12950" max="12950" width="27.77734375" bestFit="1" customWidth="1"/>
    <col min="12951" max="12951" width="33.88671875" bestFit="1" customWidth="1"/>
    <col min="12952" max="12952" width="28.33203125" bestFit="1" customWidth="1"/>
    <col min="12953" max="12953" width="30.33203125" bestFit="1" customWidth="1"/>
    <col min="12954" max="12954" width="36.5546875" bestFit="1" customWidth="1"/>
    <col min="12955" max="12955" width="30.88671875" bestFit="1" customWidth="1"/>
    <col min="12956" max="12956" width="25.109375" bestFit="1" customWidth="1"/>
    <col min="12957" max="12957" width="31.21875" bestFit="1" customWidth="1"/>
    <col min="12958" max="12958" width="25.6640625" bestFit="1" customWidth="1"/>
    <col min="12959" max="12959" width="31.5546875" bestFit="1" customWidth="1"/>
    <col min="12960" max="12960" width="37.6640625" bestFit="1" customWidth="1"/>
    <col min="12961" max="12961" width="32.109375" bestFit="1" customWidth="1"/>
    <col min="12962" max="12962" width="22.77734375" bestFit="1" customWidth="1"/>
    <col min="12963" max="12963" width="28.88671875" bestFit="1" customWidth="1"/>
    <col min="12964" max="12964" width="23.33203125" bestFit="1" customWidth="1"/>
    <col min="12965" max="12965" width="25.44140625" bestFit="1" customWidth="1"/>
    <col min="12966" max="12966" width="31.6640625" bestFit="1" customWidth="1"/>
    <col min="12967" max="12967" width="26" bestFit="1" customWidth="1"/>
    <col min="12968" max="12968" width="27.77734375" bestFit="1" customWidth="1"/>
    <col min="12969" max="12969" width="33.88671875" bestFit="1" customWidth="1"/>
    <col min="12970" max="12970" width="28.33203125" bestFit="1" customWidth="1"/>
    <col min="12971" max="12971" width="30.33203125" bestFit="1" customWidth="1"/>
    <col min="12972" max="12972" width="36.5546875" bestFit="1" customWidth="1"/>
    <col min="12973" max="12973" width="30.88671875" bestFit="1" customWidth="1"/>
    <col min="12974" max="12974" width="25.109375" bestFit="1" customWidth="1"/>
    <col min="12975" max="12975" width="31.21875" bestFit="1" customWidth="1"/>
    <col min="12976" max="12976" width="25.6640625" bestFit="1" customWidth="1"/>
    <col min="12977" max="12977" width="31.5546875" bestFit="1" customWidth="1"/>
    <col min="12978" max="12978" width="37.6640625" bestFit="1" customWidth="1"/>
    <col min="12979" max="12979" width="32.109375" bestFit="1" customWidth="1"/>
    <col min="12980" max="12980" width="22.77734375" bestFit="1" customWidth="1"/>
    <col min="12981" max="12981" width="28.88671875" bestFit="1" customWidth="1"/>
    <col min="12982" max="12982" width="23.33203125" bestFit="1" customWidth="1"/>
    <col min="12983" max="12983" width="25.44140625" bestFit="1" customWidth="1"/>
    <col min="12984" max="12984" width="31.6640625" bestFit="1" customWidth="1"/>
    <col min="12985" max="12985" width="26" bestFit="1" customWidth="1"/>
    <col min="12986" max="12986" width="27.77734375" bestFit="1" customWidth="1"/>
    <col min="12987" max="12987" width="33.88671875" bestFit="1" customWidth="1"/>
    <col min="12988" max="12988" width="28.33203125" bestFit="1" customWidth="1"/>
    <col min="12989" max="12989" width="30.33203125" bestFit="1" customWidth="1"/>
    <col min="12990" max="12990" width="36.5546875" bestFit="1" customWidth="1"/>
    <col min="12991" max="12991" width="30.88671875" bestFit="1" customWidth="1"/>
    <col min="12992" max="12992" width="25.109375" bestFit="1" customWidth="1"/>
    <col min="12993" max="12993" width="31.21875" bestFit="1" customWidth="1"/>
    <col min="12994" max="12994" width="25.6640625" bestFit="1" customWidth="1"/>
    <col min="12995" max="12995" width="31.5546875" bestFit="1" customWidth="1"/>
    <col min="12996" max="12996" width="37.6640625" bestFit="1" customWidth="1"/>
    <col min="12997" max="12997" width="32.109375" bestFit="1" customWidth="1"/>
    <col min="12998" max="12998" width="22.77734375" bestFit="1" customWidth="1"/>
    <col min="12999" max="12999" width="28.88671875" bestFit="1" customWidth="1"/>
    <col min="13000" max="13000" width="23.33203125" bestFit="1" customWidth="1"/>
    <col min="13001" max="13001" width="25.44140625" bestFit="1" customWidth="1"/>
    <col min="13002" max="13002" width="31.6640625" bestFit="1" customWidth="1"/>
    <col min="13003" max="13003" width="26" bestFit="1" customWidth="1"/>
    <col min="13004" max="13004" width="27.77734375" bestFit="1" customWidth="1"/>
    <col min="13005" max="13005" width="33.88671875" bestFit="1" customWidth="1"/>
    <col min="13006" max="13006" width="28.33203125" bestFit="1" customWidth="1"/>
    <col min="13007" max="13007" width="30.33203125" bestFit="1" customWidth="1"/>
    <col min="13008" max="13008" width="36.5546875" bestFit="1" customWidth="1"/>
    <col min="13009" max="13009" width="30.88671875" bestFit="1" customWidth="1"/>
    <col min="13010" max="13010" width="25.109375" bestFit="1" customWidth="1"/>
    <col min="13011" max="13011" width="31.21875" bestFit="1" customWidth="1"/>
    <col min="13012" max="13012" width="25.6640625" bestFit="1" customWidth="1"/>
    <col min="13013" max="13013" width="31.5546875" bestFit="1" customWidth="1"/>
    <col min="13014" max="13014" width="37.6640625" bestFit="1" customWidth="1"/>
    <col min="13015" max="13015" width="32.109375" bestFit="1" customWidth="1"/>
    <col min="13016" max="13016" width="22.77734375" bestFit="1" customWidth="1"/>
    <col min="13017" max="13017" width="28.88671875" bestFit="1" customWidth="1"/>
    <col min="13018" max="13018" width="23.33203125" bestFit="1" customWidth="1"/>
    <col min="13019" max="13019" width="25.44140625" bestFit="1" customWidth="1"/>
    <col min="13020" max="13020" width="31.6640625" bestFit="1" customWidth="1"/>
    <col min="13021" max="13021" width="26" bestFit="1" customWidth="1"/>
    <col min="13022" max="13022" width="27.77734375" bestFit="1" customWidth="1"/>
    <col min="13023" max="13023" width="33.88671875" bestFit="1" customWidth="1"/>
    <col min="13024" max="13024" width="28.33203125" bestFit="1" customWidth="1"/>
    <col min="13025" max="13025" width="30.33203125" bestFit="1" customWidth="1"/>
    <col min="13026" max="13026" width="36.5546875" bestFit="1" customWidth="1"/>
    <col min="13027" max="13027" width="30.88671875" bestFit="1" customWidth="1"/>
    <col min="13028" max="13028" width="25.109375" bestFit="1" customWidth="1"/>
    <col min="13029" max="13029" width="31.21875" bestFit="1" customWidth="1"/>
    <col min="13030" max="13030" width="25.6640625" bestFit="1" customWidth="1"/>
    <col min="13031" max="13031" width="31.5546875" bestFit="1" customWidth="1"/>
    <col min="13032" max="13032" width="37.6640625" bestFit="1" customWidth="1"/>
    <col min="13033" max="13033" width="32.109375" bestFit="1" customWidth="1"/>
    <col min="13034" max="13034" width="22.77734375" bestFit="1" customWidth="1"/>
    <col min="13035" max="13035" width="28.88671875" bestFit="1" customWidth="1"/>
    <col min="13036" max="13036" width="23.33203125" bestFit="1" customWidth="1"/>
    <col min="13037" max="13037" width="25.44140625" bestFit="1" customWidth="1"/>
    <col min="13038" max="13038" width="31.6640625" bestFit="1" customWidth="1"/>
    <col min="13039" max="13039" width="26" bestFit="1" customWidth="1"/>
    <col min="13040" max="13040" width="27.77734375" bestFit="1" customWidth="1"/>
    <col min="13041" max="13041" width="33.88671875" bestFit="1" customWidth="1"/>
    <col min="13042" max="13042" width="28.33203125" bestFit="1" customWidth="1"/>
    <col min="13043" max="13043" width="30.33203125" bestFit="1" customWidth="1"/>
    <col min="13044" max="13044" width="36.5546875" bestFit="1" customWidth="1"/>
    <col min="13045" max="13045" width="30.88671875" bestFit="1" customWidth="1"/>
    <col min="13046" max="13046" width="25.109375" bestFit="1" customWidth="1"/>
    <col min="13047" max="13047" width="31.21875" bestFit="1" customWidth="1"/>
    <col min="13048" max="13048" width="25.6640625" bestFit="1" customWidth="1"/>
    <col min="13049" max="13049" width="31.5546875" bestFit="1" customWidth="1"/>
    <col min="13050" max="13050" width="37.6640625" bestFit="1" customWidth="1"/>
    <col min="13051" max="13051" width="32.109375" bestFit="1" customWidth="1"/>
    <col min="13052" max="13052" width="22.77734375" bestFit="1" customWidth="1"/>
    <col min="13053" max="13053" width="28.88671875" bestFit="1" customWidth="1"/>
    <col min="13054" max="13054" width="23.33203125" bestFit="1" customWidth="1"/>
    <col min="13055" max="13055" width="25.44140625" bestFit="1" customWidth="1"/>
    <col min="13056" max="13056" width="31.6640625" bestFit="1" customWidth="1"/>
    <col min="13057" max="13057" width="26" bestFit="1" customWidth="1"/>
    <col min="13058" max="13058" width="27.77734375" bestFit="1" customWidth="1"/>
    <col min="13059" max="13059" width="33.88671875" bestFit="1" customWidth="1"/>
    <col min="13060" max="13060" width="28.33203125" bestFit="1" customWidth="1"/>
    <col min="13061" max="13061" width="30.33203125" bestFit="1" customWidth="1"/>
    <col min="13062" max="13062" width="36.5546875" bestFit="1" customWidth="1"/>
    <col min="13063" max="13063" width="30.88671875" bestFit="1" customWidth="1"/>
    <col min="13064" max="13064" width="25.109375" bestFit="1" customWidth="1"/>
    <col min="13065" max="13065" width="31.21875" bestFit="1" customWidth="1"/>
    <col min="13066" max="13066" width="25.6640625" bestFit="1" customWidth="1"/>
    <col min="13067" max="13067" width="31.5546875" bestFit="1" customWidth="1"/>
    <col min="13068" max="13068" width="37.6640625" bestFit="1" customWidth="1"/>
    <col min="13069" max="13069" width="32.109375" bestFit="1" customWidth="1"/>
    <col min="13070" max="13070" width="22.77734375" bestFit="1" customWidth="1"/>
    <col min="13071" max="13071" width="28.88671875" bestFit="1" customWidth="1"/>
    <col min="13072" max="13072" width="23.33203125" bestFit="1" customWidth="1"/>
    <col min="13073" max="13073" width="25.44140625" bestFit="1" customWidth="1"/>
    <col min="13074" max="13074" width="31.6640625" bestFit="1" customWidth="1"/>
    <col min="13075" max="13075" width="26" bestFit="1" customWidth="1"/>
    <col min="13076" max="13076" width="27.77734375" bestFit="1" customWidth="1"/>
    <col min="13077" max="13077" width="33.88671875" bestFit="1" customWidth="1"/>
    <col min="13078" max="13078" width="28.33203125" bestFit="1" customWidth="1"/>
    <col min="13079" max="13079" width="30.33203125" bestFit="1" customWidth="1"/>
    <col min="13080" max="13080" width="36.5546875" bestFit="1" customWidth="1"/>
    <col min="13081" max="13081" width="30.88671875" bestFit="1" customWidth="1"/>
    <col min="13082" max="13082" width="25.109375" bestFit="1" customWidth="1"/>
    <col min="13083" max="13083" width="31.21875" bestFit="1" customWidth="1"/>
    <col min="13084" max="13084" width="25.6640625" bestFit="1" customWidth="1"/>
    <col min="13085" max="13085" width="31.5546875" bestFit="1" customWidth="1"/>
    <col min="13086" max="13086" width="37.6640625" bestFit="1" customWidth="1"/>
    <col min="13087" max="13087" width="32.109375" bestFit="1" customWidth="1"/>
    <col min="13088" max="13088" width="22.77734375" bestFit="1" customWidth="1"/>
    <col min="13089" max="13089" width="28.88671875" bestFit="1" customWidth="1"/>
    <col min="13090" max="13090" width="23.33203125" bestFit="1" customWidth="1"/>
    <col min="13091" max="13091" width="25.44140625" bestFit="1" customWidth="1"/>
    <col min="13092" max="13092" width="31.6640625" bestFit="1" customWidth="1"/>
    <col min="13093" max="13093" width="26" bestFit="1" customWidth="1"/>
    <col min="13094" max="13094" width="27.77734375" bestFit="1" customWidth="1"/>
    <col min="13095" max="13095" width="33.88671875" bestFit="1" customWidth="1"/>
    <col min="13096" max="13096" width="28.33203125" bestFit="1" customWidth="1"/>
    <col min="13097" max="13097" width="30.33203125" bestFit="1" customWidth="1"/>
    <col min="13098" max="13098" width="36.5546875" bestFit="1" customWidth="1"/>
    <col min="13099" max="13099" width="30.88671875" bestFit="1" customWidth="1"/>
    <col min="13100" max="13100" width="25.109375" bestFit="1" customWidth="1"/>
    <col min="13101" max="13101" width="31.21875" bestFit="1" customWidth="1"/>
    <col min="13102" max="13102" width="25.6640625" bestFit="1" customWidth="1"/>
    <col min="13103" max="13103" width="31.5546875" bestFit="1" customWidth="1"/>
    <col min="13104" max="13104" width="37.6640625" bestFit="1" customWidth="1"/>
    <col min="13105" max="13105" width="32.109375" bestFit="1" customWidth="1"/>
    <col min="13106" max="13106" width="22.77734375" bestFit="1" customWidth="1"/>
    <col min="13107" max="13107" width="28.88671875" bestFit="1" customWidth="1"/>
    <col min="13108" max="13108" width="23.33203125" bestFit="1" customWidth="1"/>
    <col min="13109" max="13109" width="25.44140625" bestFit="1" customWidth="1"/>
    <col min="13110" max="13110" width="31.6640625" bestFit="1" customWidth="1"/>
    <col min="13111" max="13111" width="26" bestFit="1" customWidth="1"/>
    <col min="13112" max="13112" width="27.77734375" bestFit="1" customWidth="1"/>
    <col min="13113" max="13113" width="33.88671875" bestFit="1" customWidth="1"/>
    <col min="13114" max="13114" width="28.33203125" bestFit="1" customWidth="1"/>
    <col min="13115" max="13115" width="30.33203125" bestFit="1" customWidth="1"/>
    <col min="13116" max="13116" width="36.5546875" bestFit="1" customWidth="1"/>
    <col min="13117" max="13117" width="30.88671875" bestFit="1" customWidth="1"/>
    <col min="13118" max="13118" width="25.109375" bestFit="1" customWidth="1"/>
    <col min="13119" max="13119" width="31.21875" bestFit="1" customWidth="1"/>
    <col min="13120" max="13120" width="25.6640625" bestFit="1" customWidth="1"/>
    <col min="13121" max="13121" width="31.5546875" bestFit="1" customWidth="1"/>
    <col min="13122" max="13122" width="37.6640625" bestFit="1" customWidth="1"/>
    <col min="13123" max="13123" width="32.109375" bestFit="1" customWidth="1"/>
    <col min="13124" max="13124" width="22.77734375" bestFit="1" customWidth="1"/>
    <col min="13125" max="13125" width="28.88671875" bestFit="1" customWidth="1"/>
    <col min="13126" max="13126" width="23.33203125" bestFit="1" customWidth="1"/>
    <col min="13127" max="13127" width="25.44140625" bestFit="1" customWidth="1"/>
    <col min="13128" max="13128" width="31.6640625" bestFit="1" customWidth="1"/>
    <col min="13129" max="13129" width="26" bestFit="1" customWidth="1"/>
    <col min="13130" max="13130" width="27.77734375" bestFit="1" customWidth="1"/>
    <col min="13131" max="13131" width="33.88671875" bestFit="1" customWidth="1"/>
    <col min="13132" max="13132" width="28.33203125" bestFit="1" customWidth="1"/>
    <col min="13133" max="13133" width="30.33203125" bestFit="1" customWidth="1"/>
    <col min="13134" max="13134" width="36.5546875" bestFit="1" customWidth="1"/>
    <col min="13135" max="13135" width="30.88671875" bestFit="1" customWidth="1"/>
    <col min="13136" max="13136" width="25.109375" bestFit="1" customWidth="1"/>
    <col min="13137" max="13137" width="31.21875" bestFit="1" customWidth="1"/>
    <col min="13138" max="13138" width="25.6640625" bestFit="1" customWidth="1"/>
    <col min="13139" max="13139" width="31.5546875" bestFit="1" customWidth="1"/>
    <col min="13140" max="13140" width="37.6640625" bestFit="1" customWidth="1"/>
    <col min="13141" max="13141" width="32.109375" bestFit="1" customWidth="1"/>
    <col min="13142" max="13142" width="22.77734375" bestFit="1" customWidth="1"/>
    <col min="13143" max="13143" width="28.88671875" bestFit="1" customWidth="1"/>
    <col min="13144" max="13144" width="23.33203125" bestFit="1" customWidth="1"/>
    <col min="13145" max="13145" width="25.44140625" bestFit="1" customWidth="1"/>
    <col min="13146" max="13146" width="31.6640625" bestFit="1" customWidth="1"/>
    <col min="13147" max="13147" width="26" bestFit="1" customWidth="1"/>
    <col min="13148" max="13148" width="27.77734375" bestFit="1" customWidth="1"/>
    <col min="13149" max="13149" width="33.88671875" bestFit="1" customWidth="1"/>
    <col min="13150" max="13150" width="28.33203125" bestFit="1" customWidth="1"/>
    <col min="13151" max="13151" width="30.33203125" bestFit="1" customWidth="1"/>
    <col min="13152" max="13152" width="36.5546875" bestFit="1" customWidth="1"/>
    <col min="13153" max="13153" width="30.88671875" bestFit="1" customWidth="1"/>
    <col min="13154" max="13154" width="25.109375" bestFit="1" customWidth="1"/>
    <col min="13155" max="13155" width="31.21875" bestFit="1" customWidth="1"/>
    <col min="13156" max="13156" width="25.6640625" bestFit="1" customWidth="1"/>
    <col min="13157" max="13157" width="31.5546875" bestFit="1" customWidth="1"/>
    <col min="13158" max="13158" width="37.6640625" bestFit="1" customWidth="1"/>
    <col min="13159" max="13159" width="32.109375" bestFit="1" customWidth="1"/>
    <col min="13160" max="13160" width="22.77734375" bestFit="1" customWidth="1"/>
    <col min="13161" max="13161" width="28.88671875" bestFit="1" customWidth="1"/>
    <col min="13162" max="13162" width="23.33203125" bestFit="1" customWidth="1"/>
    <col min="13163" max="13163" width="25.44140625" bestFit="1" customWidth="1"/>
    <col min="13164" max="13164" width="31.6640625" bestFit="1" customWidth="1"/>
    <col min="13165" max="13165" width="26" bestFit="1" customWidth="1"/>
    <col min="13166" max="13166" width="27.77734375" bestFit="1" customWidth="1"/>
    <col min="13167" max="13167" width="33.88671875" bestFit="1" customWidth="1"/>
    <col min="13168" max="13168" width="28.33203125" bestFit="1" customWidth="1"/>
    <col min="13169" max="13169" width="30.33203125" bestFit="1" customWidth="1"/>
    <col min="13170" max="13170" width="36.5546875" bestFit="1" customWidth="1"/>
    <col min="13171" max="13171" width="30.88671875" bestFit="1" customWidth="1"/>
    <col min="13172" max="13172" width="25.109375" bestFit="1" customWidth="1"/>
    <col min="13173" max="13173" width="31.21875" bestFit="1" customWidth="1"/>
    <col min="13174" max="13174" width="25.6640625" bestFit="1" customWidth="1"/>
    <col min="13175" max="13175" width="31.5546875" bestFit="1" customWidth="1"/>
    <col min="13176" max="13176" width="37.6640625" bestFit="1" customWidth="1"/>
    <col min="13177" max="13177" width="32.109375" bestFit="1" customWidth="1"/>
    <col min="13178" max="13178" width="22.77734375" bestFit="1" customWidth="1"/>
    <col min="13179" max="13179" width="28.88671875" bestFit="1" customWidth="1"/>
    <col min="13180" max="13180" width="23.33203125" bestFit="1" customWidth="1"/>
    <col min="13181" max="13181" width="25.44140625" bestFit="1" customWidth="1"/>
    <col min="13182" max="13182" width="31.6640625" bestFit="1" customWidth="1"/>
    <col min="13183" max="13183" width="26" bestFit="1" customWidth="1"/>
    <col min="13184" max="13184" width="27.77734375" bestFit="1" customWidth="1"/>
    <col min="13185" max="13185" width="33.88671875" bestFit="1" customWidth="1"/>
    <col min="13186" max="13186" width="28.33203125" bestFit="1" customWidth="1"/>
    <col min="13187" max="13187" width="30.33203125" bestFit="1" customWidth="1"/>
    <col min="13188" max="13188" width="36.5546875" bestFit="1" customWidth="1"/>
    <col min="13189" max="13189" width="30.88671875" bestFit="1" customWidth="1"/>
    <col min="13190" max="13190" width="25.109375" bestFit="1" customWidth="1"/>
    <col min="13191" max="13191" width="31.21875" bestFit="1" customWidth="1"/>
    <col min="13192" max="13192" width="25.6640625" bestFit="1" customWidth="1"/>
    <col min="13193" max="13193" width="31.5546875" bestFit="1" customWidth="1"/>
    <col min="13194" max="13194" width="37.6640625" bestFit="1" customWidth="1"/>
    <col min="13195" max="13195" width="32.109375" bestFit="1" customWidth="1"/>
    <col min="13196" max="13196" width="22.77734375" bestFit="1" customWidth="1"/>
    <col min="13197" max="13197" width="28.88671875" bestFit="1" customWidth="1"/>
    <col min="13198" max="13198" width="23.33203125" bestFit="1" customWidth="1"/>
    <col min="13199" max="13199" width="25.44140625" bestFit="1" customWidth="1"/>
    <col min="13200" max="13200" width="31.6640625" bestFit="1" customWidth="1"/>
    <col min="13201" max="13201" width="26" bestFit="1" customWidth="1"/>
    <col min="13202" max="13202" width="27.77734375" bestFit="1" customWidth="1"/>
    <col min="13203" max="13203" width="33.88671875" bestFit="1" customWidth="1"/>
    <col min="13204" max="13204" width="28.33203125" bestFit="1" customWidth="1"/>
    <col min="13205" max="13205" width="30.33203125" bestFit="1" customWidth="1"/>
    <col min="13206" max="13206" width="36.5546875" bestFit="1" customWidth="1"/>
    <col min="13207" max="13207" width="30.88671875" bestFit="1" customWidth="1"/>
    <col min="13208" max="13208" width="25.109375" bestFit="1" customWidth="1"/>
    <col min="13209" max="13209" width="31.21875" bestFit="1" customWidth="1"/>
    <col min="13210" max="13210" width="25.6640625" bestFit="1" customWidth="1"/>
    <col min="13211" max="13211" width="31.5546875" bestFit="1" customWidth="1"/>
    <col min="13212" max="13212" width="37.6640625" bestFit="1" customWidth="1"/>
    <col min="13213" max="13213" width="32.109375" bestFit="1" customWidth="1"/>
    <col min="13214" max="13214" width="22.77734375" bestFit="1" customWidth="1"/>
    <col min="13215" max="13215" width="28.88671875" bestFit="1" customWidth="1"/>
    <col min="13216" max="13216" width="23.33203125" bestFit="1" customWidth="1"/>
    <col min="13217" max="13217" width="25.44140625" bestFit="1" customWidth="1"/>
    <col min="13218" max="13218" width="31.6640625" bestFit="1" customWidth="1"/>
    <col min="13219" max="13219" width="26" bestFit="1" customWidth="1"/>
    <col min="13220" max="13220" width="27.77734375" bestFit="1" customWidth="1"/>
    <col min="13221" max="13221" width="33.88671875" bestFit="1" customWidth="1"/>
    <col min="13222" max="13222" width="28.33203125" bestFit="1" customWidth="1"/>
    <col min="13223" max="13223" width="30.33203125" bestFit="1" customWidth="1"/>
    <col min="13224" max="13224" width="36.5546875" bestFit="1" customWidth="1"/>
    <col min="13225" max="13225" width="30.88671875" bestFit="1" customWidth="1"/>
    <col min="13226" max="13226" width="25.109375" bestFit="1" customWidth="1"/>
    <col min="13227" max="13227" width="31.21875" bestFit="1" customWidth="1"/>
    <col min="13228" max="13228" width="25.6640625" bestFit="1" customWidth="1"/>
    <col min="13229" max="13229" width="31.5546875" bestFit="1" customWidth="1"/>
    <col min="13230" max="13230" width="37.6640625" bestFit="1" customWidth="1"/>
    <col min="13231" max="13231" width="32.109375" bestFit="1" customWidth="1"/>
    <col min="13232" max="13232" width="22.77734375" bestFit="1" customWidth="1"/>
    <col min="13233" max="13233" width="28.88671875" bestFit="1" customWidth="1"/>
    <col min="13234" max="13234" width="23.33203125" bestFit="1" customWidth="1"/>
    <col min="13235" max="13235" width="25.44140625" bestFit="1" customWidth="1"/>
    <col min="13236" max="13236" width="31.6640625" bestFit="1" customWidth="1"/>
    <col min="13237" max="13237" width="26" bestFit="1" customWidth="1"/>
    <col min="13238" max="13238" width="27.77734375" bestFit="1" customWidth="1"/>
    <col min="13239" max="13239" width="33.88671875" bestFit="1" customWidth="1"/>
    <col min="13240" max="13240" width="28.33203125" bestFit="1" customWidth="1"/>
    <col min="13241" max="13241" width="30.33203125" bestFit="1" customWidth="1"/>
    <col min="13242" max="13242" width="36.5546875" bestFit="1" customWidth="1"/>
    <col min="13243" max="13243" width="30.88671875" bestFit="1" customWidth="1"/>
    <col min="13244" max="13244" width="25.109375" bestFit="1" customWidth="1"/>
    <col min="13245" max="13245" width="31.21875" bestFit="1" customWidth="1"/>
    <col min="13246" max="13246" width="25.6640625" bestFit="1" customWidth="1"/>
    <col min="13247" max="13247" width="31.5546875" bestFit="1" customWidth="1"/>
    <col min="13248" max="13248" width="37.6640625" bestFit="1" customWidth="1"/>
    <col min="13249" max="13249" width="32.109375" bestFit="1" customWidth="1"/>
    <col min="13250" max="13250" width="22.77734375" bestFit="1" customWidth="1"/>
    <col min="13251" max="13251" width="28.88671875" bestFit="1" customWidth="1"/>
    <col min="13252" max="13252" width="23.33203125" bestFit="1" customWidth="1"/>
    <col min="13253" max="13253" width="25.44140625" bestFit="1" customWidth="1"/>
    <col min="13254" max="13254" width="31.6640625" bestFit="1" customWidth="1"/>
    <col min="13255" max="13255" width="26" bestFit="1" customWidth="1"/>
    <col min="13256" max="13256" width="27.77734375" bestFit="1" customWidth="1"/>
    <col min="13257" max="13257" width="33.88671875" bestFit="1" customWidth="1"/>
    <col min="13258" max="13258" width="28.33203125" bestFit="1" customWidth="1"/>
    <col min="13259" max="13259" width="30.33203125" bestFit="1" customWidth="1"/>
    <col min="13260" max="13260" width="36.5546875" bestFit="1" customWidth="1"/>
    <col min="13261" max="13261" width="30.88671875" bestFit="1" customWidth="1"/>
    <col min="13262" max="13262" width="25.109375" bestFit="1" customWidth="1"/>
    <col min="13263" max="13263" width="31.21875" bestFit="1" customWidth="1"/>
    <col min="13264" max="13264" width="25.6640625" bestFit="1" customWidth="1"/>
    <col min="13265" max="13265" width="31.5546875" bestFit="1" customWidth="1"/>
    <col min="13266" max="13266" width="37.6640625" bestFit="1" customWidth="1"/>
    <col min="13267" max="13267" width="32.109375" bestFit="1" customWidth="1"/>
    <col min="13268" max="13268" width="22.77734375" bestFit="1" customWidth="1"/>
    <col min="13269" max="13269" width="28.88671875" bestFit="1" customWidth="1"/>
    <col min="13270" max="13270" width="23.33203125" bestFit="1" customWidth="1"/>
    <col min="13271" max="13271" width="25.44140625" bestFit="1" customWidth="1"/>
    <col min="13272" max="13272" width="31.6640625" bestFit="1" customWidth="1"/>
    <col min="13273" max="13273" width="26" bestFit="1" customWidth="1"/>
    <col min="13274" max="13274" width="27.77734375" bestFit="1" customWidth="1"/>
    <col min="13275" max="13275" width="33.88671875" bestFit="1" customWidth="1"/>
    <col min="13276" max="13276" width="28.33203125" bestFit="1" customWidth="1"/>
    <col min="13277" max="13277" width="30.33203125" bestFit="1" customWidth="1"/>
    <col min="13278" max="13278" width="36.5546875" bestFit="1" customWidth="1"/>
    <col min="13279" max="13279" width="30.88671875" bestFit="1" customWidth="1"/>
    <col min="13280" max="13280" width="25.109375" bestFit="1" customWidth="1"/>
    <col min="13281" max="13281" width="31.21875" bestFit="1" customWidth="1"/>
    <col min="13282" max="13282" width="25.6640625" bestFit="1" customWidth="1"/>
    <col min="13283" max="13283" width="31.5546875" bestFit="1" customWidth="1"/>
    <col min="13284" max="13284" width="37.6640625" bestFit="1" customWidth="1"/>
    <col min="13285" max="13285" width="32.109375" bestFit="1" customWidth="1"/>
    <col min="13286" max="13286" width="22.77734375" bestFit="1" customWidth="1"/>
    <col min="13287" max="13287" width="28.88671875" bestFit="1" customWidth="1"/>
    <col min="13288" max="13288" width="23.33203125" bestFit="1" customWidth="1"/>
    <col min="13289" max="13289" width="25.44140625" bestFit="1" customWidth="1"/>
    <col min="13290" max="13290" width="31.6640625" bestFit="1" customWidth="1"/>
    <col min="13291" max="13291" width="26" bestFit="1" customWidth="1"/>
    <col min="13292" max="13292" width="26.77734375" bestFit="1" customWidth="1"/>
    <col min="13293" max="13293" width="32.88671875" bestFit="1" customWidth="1"/>
    <col min="13294" max="13294" width="27.33203125" bestFit="1" customWidth="1"/>
    <col min="13295" max="13295" width="30.33203125" bestFit="1" customWidth="1"/>
    <col min="13296" max="13296" width="36.5546875" bestFit="1" customWidth="1"/>
    <col min="13297" max="13297" width="30.88671875" bestFit="1" customWidth="1"/>
    <col min="13298" max="13298" width="25.109375" bestFit="1" customWidth="1"/>
    <col min="13299" max="13299" width="31.21875" bestFit="1" customWidth="1"/>
    <col min="13300" max="13300" width="25.6640625" bestFit="1" customWidth="1"/>
    <col min="13301" max="13301" width="31.5546875" bestFit="1" customWidth="1"/>
    <col min="13302" max="13302" width="37.6640625" bestFit="1" customWidth="1"/>
    <col min="13303" max="13303" width="32.109375" bestFit="1" customWidth="1"/>
    <col min="13304" max="13304" width="22.77734375" bestFit="1" customWidth="1"/>
    <col min="13305" max="13305" width="28.88671875" bestFit="1" customWidth="1"/>
    <col min="13306" max="13306" width="23.33203125" bestFit="1" customWidth="1"/>
    <col min="13307" max="13307" width="25.44140625" bestFit="1" customWidth="1"/>
    <col min="13308" max="13308" width="31.6640625" bestFit="1" customWidth="1"/>
    <col min="13309" max="13309" width="26" bestFit="1" customWidth="1"/>
    <col min="13310" max="13310" width="27.77734375" bestFit="1" customWidth="1"/>
    <col min="13311" max="13311" width="33.88671875" bestFit="1" customWidth="1"/>
    <col min="13312" max="13312" width="28.33203125" bestFit="1" customWidth="1"/>
    <col min="13313" max="13313" width="30.33203125" bestFit="1" customWidth="1"/>
    <col min="13314" max="13314" width="36.5546875" bestFit="1" customWidth="1"/>
    <col min="13315" max="13315" width="30.88671875" bestFit="1" customWidth="1"/>
    <col min="13316" max="13316" width="25.109375" bestFit="1" customWidth="1"/>
    <col min="13317" max="13317" width="31.21875" bestFit="1" customWidth="1"/>
    <col min="13318" max="13318" width="25.6640625" bestFit="1" customWidth="1"/>
    <col min="13319" max="13319" width="31.5546875" bestFit="1" customWidth="1"/>
    <col min="13320" max="13320" width="37.6640625" bestFit="1" customWidth="1"/>
    <col min="13321" max="13321" width="32.109375" bestFit="1" customWidth="1"/>
    <col min="13322" max="13322" width="22.77734375" bestFit="1" customWidth="1"/>
    <col min="13323" max="13323" width="28.88671875" bestFit="1" customWidth="1"/>
    <col min="13324" max="13324" width="23.33203125" bestFit="1" customWidth="1"/>
    <col min="13325" max="13325" width="25.44140625" bestFit="1" customWidth="1"/>
    <col min="13326" max="13326" width="31.6640625" bestFit="1" customWidth="1"/>
    <col min="13327" max="13327" width="26" bestFit="1" customWidth="1"/>
    <col min="13328" max="13328" width="27.77734375" bestFit="1" customWidth="1"/>
    <col min="13329" max="13329" width="33.88671875" bestFit="1" customWidth="1"/>
    <col min="13330" max="13330" width="28.33203125" bestFit="1" customWidth="1"/>
    <col min="13331" max="13331" width="30.33203125" bestFit="1" customWidth="1"/>
    <col min="13332" max="13332" width="36.5546875" bestFit="1" customWidth="1"/>
    <col min="13333" max="13333" width="30.88671875" bestFit="1" customWidth="1"/>
    <col min="13334" max="13334" width="25.109375" bestFit="1" customWidth="1"/>
    <col min="13335" max="13335" width="31.21875" bestFit="1" customWidth="1"/>
    <col min="13336" max="13336" width="25.6640625" bestFit="1" customWidth="1"/>
    <col min="13337" max="13337" width="31.5546875" bestFit="1" customWidth="1"/>
    <col min="13338" max="13338" width="37.6640625" bestFit="1" customWidth="1"/>
    <col min="13339" max="13339" width="32.109375" bestFit="1" customWidth="1"/>
    <col min="13340" max="13340" width="22.77734375" bestFit="1" customWidth="1"/>
    <col min="13341" max="13341" width="28.88671875" bestFit="1" customWidth="1"/>
    <col min="13342" max="13342" width="23.33203125" bestFit="1" customWidth="1"/>
    <col min="13343" max="13343" width="25.44140625" bestFit="1" customWidth="1"/>
    <col min="13344" max="13344" width="31.6640625" bestFit="1" customWidth="1"/>
    <col min="13345" max="13345" width="26" bestFit="1" customWidth="1"/>
    <col min="13346" max="13346" width="27.77734375" bestFit="1" customWidth="1"/>
    <col min="13347" max="13347" width="33.88671875" bestFit="1" customWidth="1"/>
    <col min="13348" max="13348" width="28.33203125" bestFit="1" customWidth="1"/>
    <col min="13349" max="13349" width="30.33203125" bestFit="1" customWidth="1"/>
    <col min="13350" max="13350" width="36.5546875" bestFit="1" customWidth="1"/>
    <col min="13351" max="13351" width="30.88671875" bestFit="1" customWidth="1"/>
    <col min="13352" max="13352" width="25.109375" bestFit="1" customWidth="1"/>
    <col min="13353" max="13353" width="31.21875" bestFit="1" customWidth="1"/>
    <col min="13354" max="13354" width="25.6640625" bestFit="1" customWidth="1"/>
    <col min="13355" max="13355" width="31.5546875" bestFit="1" customWidth="1"/>
    <col min="13356" max="13356" width="37.6640625" bestFit="1" customWidth="1"/>
    <col min="13357" max="13357" width="32.109375" bestFit="1" customWidth="1"/>
    <col min="13358" max="13358" width="22.77734375" bestFit="1" customWidth="1"/>
    <col min="13359" max="13359" width="28.88671875" bestFit="1" customWidth="1"/>
    <col min="13360" max="13360" width="23.33203125" bestFit="1" customWidth="1"/>
    <col min="13361" max="13361" width="25.44140625" bestFit="1" customWidth="1"/>
    <col min="13362" max="13362" width="31.6640625" bestFit="1" customWidth="1"/>
    <col min="13363" max="13363" width="26" bestFit="1" customWidth="1"/>
    <col min="13364" max="13364" width="27.77734375" bestFit="1" customWidth="1"/>
    <col min="13365" max="13365" width="33.88671875" bestFit="1" customWidth="1"/>
    <col min="13366" max="13366" width="28.33203125" bestFit="1" customWidth="1"/>
    <col min="13367" max="13367" width="30.33203125" bestFit="1" customWidth="1"/>
    <col min="13368" max="13368" width="36.5546875" bestFit="1" customWidth="1"/>
    <col min="13369" max="13369" width="30.88671875" bestFit="1" customWidth="1"/>
    <col min="13370" max="13370" width="25.109375" bestFit="1" customWidth="1"/>
    <col min="13371" max="13371" width="31.21875" bestFit="1" customWidth="1"/>
    <col min="13372" max="13372" width="25.6640625" bestFit="1" customWidth="1"/>
    <col min="13373" max="13373" width="31.5546875" bestFit="1" customWidth="1"/>
    <col min="13374" max="13374" width="37.6640625" bestFit="1" customWidth="1"/>
    <col min="13375" max="13375" width="32.109375" bestFit="1" customWidth="1"/>
    <col min="13376" max="13376" width="22.77734375" bestFit="1" customWidth="1"/>
    <col min="13377" max="13377" width="28.88671875" bestFit="1" customWidth="1"/>
    <col min="13378" max="13378" width="23.33203125" bestFit="1" customWidth="1"/>
    <col min="13379" max="13379" width="25.44140625" bestFit="1" customWidth="1"/>
    <col min="13380" max="13380" width="31.6640625" bestFit="1" customWidth="1"/>
    <col min="13381" max="13381" width="26" bestFit="1" customWidth="1"/>
    <col min="13382" max="13382" width="27.77734375" bestFit="1" customWidth="1"/>
    <col min="13383" max="13383" width="33.88671875" bestFit="1" customWidth="1"/>
    <col min="13384" max="13384" width="28.33203125" bestFit="1" customWidth="1"/>
    <col min="13385" max="13385" width="30.33203125" bestFit="1" customWidth="1"/>
    <col min="13386" max="13386" width="36.5546875" bestFit="1" customWidth="1"/>
    <col min="13387" max="13387" width="30.88671875" bestFit="1" customWidth="1"/>
    <col min="13388" max="13388" width="25.109375" bestFit="1" customWidth="1"/>
    <col min="13389" max="13389" width="31.21875" bestFit="1" customWidth="1"/>
    <col min="13390" max="13390" width="25.6640625" bestFit="1" customWidth="1"/>
    <col min="13391" max="13391" width="31.5546875" bestFit="1" customWidth="1"/>
    <col min="13392" max="13392" width="37.6640625" bestFit="1" customWidth="1"/>
    <col min="13393" max="13393" width="32.109375" bestFit="1" customWidth="1"/>
    <col min="13394" max="13394" width="22.77734375" bestFit="1" customWidth="1"/>
    <col min="13395" max="13395" width="28.88671875" bestFit="1" customWidth="1"/>
    <col min="13396" max="13396" width="23.33203125" bestFit="1" customWidth="1"/>
    <col min="13397" max="13397" width="25.44140625" bestFit="1" customWidth="1"/>
    <col min="13398" max="13398" width="31.6640625" bestFit="1" customWidth="1"/>
    <col min="13399" max="13399" width="26" bestFit="1" customWidth="1"/>
    <col min="13400" max="13400" width="27.77734375" bestFit="1" customWidth="1"/>
    <col min="13401" max="13401" width="33.88671875" bestFit="1" customWidth="1"/>
    <col min="13402" max="13402" width="28.33203125" bestFit="1" customWidth="1"/>
    <col min="13403" max="13403" width="30.33203125" bestFit="1" customWidth="1"/>
    <col min="13404" max="13404" width="36.5546875" bestFit="1" customWidth="1"/>
    <col min="13405" max="13405" width="30.88671875" bestFit="1" customWidth="1"/>
    <col min="13406" max="13406" width="25.109375" bestFit="1" customWidth="1"/>
    <col min="13407" max="13407" width="31.21875" bestFit="1" customWidth="1"/>
    <col min="13408" max="13408" width="25.6640625" bestFit="1" customWidth="1"/>
    <col min="13409" max="13409" width="31.5546875" bestFit="1" customWidth="1"/>
    <col min="13410" max="13410" width="37.6640625" bestFit="1" customWidth="1"/>
    <col min="13411" max="13411" width="32.109375" bestFit="1" customWidth="1"/>
    <col min="13412" max="13412" width="22.77734375" bestFit="1" customWidth="1"/>
    <col min="13413" max="13413" width="28.88671875" bestFit="1" customWidth="1"/>
    <col min="13414" max="13414" width="23.33203125" bestFit="1" customWidth="1"/>
    <col min="13415" max="13415" width="25.44140625" bestFit="1" customWidth="1"/>
    <col min="13416" max="13416" width="31.6640625" bestFit="1" customWidth="1"/>
    <col min="13417" max="13417" width="26" bestFit="1" customWidth="1"/>
    <col min="13418" max="13418" width="27.77734375" bestFit="1" customWidth="1"/>
    <col min="13419" max="13419" width="33.88671875" bestFit="1" customWidth="1"/>
    <col min="13420" max="13420" width="28.33203125" bestFit="1" customWidth="1"/>
    <col min="13421" max="13421" width="30.33203125" bestFit="1" customWidth="1"/>
    <col min="13422" max="13422" width="36.5546875" bestFit="1" customWidth="1"/>
    <col min="13423" max="13423" width="30.88671875" bestFit="1" customWidth="1"/>
    <col min="13424" max="13424" width="25.109375" bestFit="1" customWidth="1"/>
    <col min="13425" max="13425" width="31.21875" bestFit="1" customWidth="1"/>
    <col min="13426" max="13426" width="25.6640625" bestFit="1" customWidth="1"/>
    <col min="13427" max="13427" width="31.5546875" bestFit="1" customWidth="1"/>
    <col min="13428" max="13428" width="37.6640625" bestFit="1" customWidth="1"/>
    <col min="13429" max="13429" width="32.109375" bestFit="1" customWidth="1"/>
    <col min="13430" max="13430" width="22.77734375" bestFit="1" customWidth="1"/>
    <col min="13431" max="13431" width="28.88671875" bestFit="1" customWidth="1"/>
    <col min="13432" max="13432" width="23.33203125" bestFit="1" customWidth="1"/>
    <col min="13433" max="13433" width="25.44140625" bestFit="1" customWidth="1"/>
    <col min="13434" max="13434" width="31.6640625" bestFit="1" customWidth="1"/>
    <col min="13435" max="13435" width="26" bestFit="1" customWidth="1"/>
    <col min="13436" max="13436" width="27.77734375" bestFit="1" customWidth="1"/>
    <col min="13437" max="13437" width="33.88671875" bestFit="1" customWidth="1"/>
    <col min="13438" max="13438" width="28.33203125" bestFit="1" customWidth="1"/>
    <col min="13439" max="13439" width="30.33203125" bestFit="1" customWidth="1"/>
    <col min="13440" max="13440" width="36.5546875" bestFit="1" customWidth="1"/>
    <col min="13441" max="13441" width="30.88671875" bestFit="1" customWidth="1"/>
    <col min="13442" max="13442" width="25.109375" bestFit="1" customWidth="1"/>
    <col min="13443" max="13443" width="31.21875" bestFit="1" customWidth="1"/>
    <col min="13444" max="13444" width="25.6640625" bestFit="1" customWidth="1"/>
    <col min="13445" max="13445" width="31.5546875" bestFit="1" customWidth="1"/>
    <col min="13446" max="13446" width="37.6640625" bestFit="1" customWidth="1"/>
    <col min="13447" max="13447" width="32.109375" bestFit="1" customWidth="1"/>
    <col min="13448" max="13448" width="22.77734375" bestFit="1" customWidth="1"/>
    <col min="13449" max="13449" width="28.88671875" bestFit="1" customWidth="1"/>
    <col min="13450" max="13450" width="23.33203125" bestFit="1" customWidth="1"/>
    <col min="13451" max="13451" width="25.44140625" bestFit="1" customWidth="1"/>
    <col min="13452" max="13452" width="31.6640625" bestFit="1" customWidth="1"/>
    <col min="13453" max="13453" width="26" bestFit="1" customWidth="1"/>
    <col min="13454" max="13454" width="27.77734375" bestFit="1" customWidth="1"/>
    <col min="13455" max="13455" width="33.88671875" bestFit="1" customWidth="1"/>
    <col min="13456" max="13456" width="28.33203125" bestFit="1" customWidth="1"/>
    <col min="13457" max="13457" width="30.33203125" bestFit="1" customWidth="1"/>
    <col min="13458" max="13458" width="36.5546875" bestFit="1" customWidth="1"/>
    <col min="13459" max="13459" width="30.88671875" bestFit="1" customWidth="1"/>
    <col min="13460" max="13460" width="25.109375" bestFit="1" customWidth="1"/>
    <col min="13461" max="13461" width="31.21875" bestFit="1" customWidth="1"/>
    <col min="13462" max="13462" width="25.6640625" bestFit="1" customWidth="1"/>
    <col min="13463" max="13463" width="31.5546875" bestFit="1" customWidth="1"/>
    <col min="13464" max="13464" width="37.6640625" bestFit="1" customWidth="1"/>
    <col min="13465" max="13465" width="32.109375" bestFit="1" customWidth="1"/>
    <col min="13466" max="13466" width="27.109375" bestFit="1" customWidth="1"/>
    <col min="13467" max="13467" width="33.21875" bestFit="1" customWidth="1"/>
    <col min="13468" max="13468" width="27.6640625" bestFit="1" customWidth="1"/>
    <col min="13469" max="13469" width="27.77734375" bestFit="1" customWidth="1"/>
    <col min="13470" max="13470" width="33.88671875" bestFit="1" customWidth="1"/>
    <col min="13471" max="13471" width="28.33203125" bestFit="1" customWidth="1"/>
    <col min="13472" max="13472" width="30.33203125" bestFit="1" customWidth="1"/>
    <col min="13473" max="13473" width="36.5546875" bestFit="1" customWidth="1"/>
    <col min="13474" max="13474" width="30.88671875" bestFit="1" customWidth="1"/>
    <col min="13475" max="13475" width="25.6640625" bestFit="1" customWidth="1"/>
    <col min="13476" max="13476" width="31.88671875" bestFit="1" customWidth="1"/>
    <col min="13477" max="13477" width="26.33203125" bestFit="1" customWidth="1"/>
    <col min="13478" max="13478" width="25.109375" bestFit="1" customWidth="1"/>
    <col min="13479" max="13479" width="31.21875" bestFit="1" customWidth="1"/>
    <col min="13480" max="13480" width="25.6640625" bestFit="1" customWidth="1"/>
    <col min="13481" max="13481" width="31.5546875" bestFit="1" customWidth="1"/>
    <col min="13482" max="13482" width="37.6640625" bestFit="1" customWidth="1"/>
    <col min="13483" max="13483" width="32.109375" bestFit="1" customWidth="1"/>
    <col min="13484" max="13484" width="22.77734375" bestFit="1" customWidth="1"/>
    <col min="13485" max="13485" width="28.88671875" bestFit="1" customWidth="1"/>
    <col min="13486" max="13486" width="23.33203125" bestFit="1" customWidth="1"/>
    <col min="13487" max="13487" width="25.44140625" bestFit="1" customWidth="1"/>
    <col min="13488" max="13488" width="31.6640625" bestFit="1" customWidth="1"/>
    <col min="13489" max="13489" width="26" bestFit="1" customWidth="1"/>
    <col min="13490" max="13490" width="27.77734375" bestFit="1" customWidth="1"/>
    <col min="13491" max="13491" width="33.88671875" bestFit="1" customWidth="1"/>
    <col min="13492" max="13492" width="28.33203125" bestFit="1" customWidth="1"/>
    <col min="13493" max="13493" width="30.33203125" bestFit="1" customWidth="1"/>
    <col min="13494" max="13494" width="36.5546875" bestFit="1" customWidth="1"/>
    <col min="13495" max="13495" width="30.88671875" bestFit="1" customWidth="1"/>
    <col min="13496" max="13496" width="25.6640625" bestFit="1" customWidth="1"/>
    <col min="13497" max="13497" width="31.88671875" bestFit="1" customWidth="1"/>
    <col min="13498" max="13498" width="26.33203125" bestFit="1" customWidth="1"/>
    <col min="13499" max="13499" width="25.109375" bestFit="1" customWidth="1"/>
    <col min="13500" max="13500" width="31.21875" bestFit="1" customWidth="1"/>
    <col min="13501" max="13501" width="25.6640625" bestFit="1" customWidth="1"/>
    <col min="13502" max="13502" width="31.5546875" bestFit="1" customWidth="1"/>
    <col min="13503" max="13503" width="37.6640625" bestFit="1" customWidth="1"/>
    <col min="13504" max="13504" width="32.109375" bestFit="1" customWidth="1"/>
    <col min="13505" max="13505" width="22.77734375" bestFit="1" customWidth="1"/>
    <col min="13506" max="13506" width="28.88671875" bestFit="1" customWidth="1"/>
    <col min="13507" max="13507" width="23.33203125" bestFit="1" customWidth="1"/>
    <col min="13508" max="13508" width="25.44140625" bestFit="1" customWidth="1"/>
    <col min="13509" max="13509" width="31.6640625" bestFit="1" customWidth="1"/>
    <col min="13510" max="13510" width="26" bestFit="1" customWidth="1"/>
    <col min="13511" max="13511" width="27.77734375" bestFit="1" customWidth="1"/>
    <col min="13512" max="13512" width="33.88671875" bestFit="1" customWidth="1"/>
    <col min="13513" max="13513" width="28.33203125" bestFit="1" customWidth="1"/>
    <col min="13514" max="13514" width="30.33203125" bestFit="1" customWidth="1"/>
    <col min="13515" max="13515" width="36.5546875" bestFit="1" customWidth="1"/>
    <col min="13516" max="13516" width="30.88671875" bestFit="1" customWidth="1"/>
    <col min="13517" max="13517" width="25.6640625" bestFit="1" customWidth="1"/>
    <col min="13518" max="13518" width="31.88671875" bestFit="1" customWidth="1"/>
    <col min="13519" max="13519" width="26.33203125" bestFit="1" customWidth="1"/>
    <col min="13520" max="13520" width="25.109375" bestFit="1" customWidth="1"/>
    <col min="13521" max="13521" width="31.21875" bestFit="1" customWidth="1"/>
    <col min="13522" max="13522" width="25.6640625" bestFit="1" customWidth="1"/>
    <col min="13523" max="13523" width="31.5546875" bestFit="1" customWidth="1"/>
    <col min="13524" max="13524" width="37.6640625" bestFit="1" customWidth="1"/>
    <col min="13525" max="13525" width="32.109375" bestFit="1" customWidth="1"/>
    <col min="13526" max="13526" width="22.77734375" bestFit="1" customWidth="1"/>
    <col min="13527" max="13527" width="28.88671875" bestFit="1" customWidth="1"/>
    <col min="13528" max="13528" width="23.33203125" bestFit="1" customWidth="1"/>
    <col min="13529" max="13529" width="25.44140625" bestFit="1" customWidth="1"/>
    <col min="13530" max="13530" width="31.6640625" bestFit="1" customWidth="1"/>
    <col min="13531" max="13531" width="26" bestFit="1" customWidth="1"/>
    <col min="13532" max="13532" width="27.77734375" bestFit="1" customWidth="1"/>
    <col min="13533" max="13533" width="33.88671875" bestFit="1" customWidth="1"/>
    <col min="13534" max="13534" width="28.33203125" bestFit="1" customWidth="1"/>
    <col min="13535" max="13535" width="30.33203125" bestFit="1" customWidth="1"/>
    <col min="13536" max="13536" width="36.5546875" bestFit="1" customWidth="1"/>
    <col min="13537" max="13537" width="30.88671875" bestFit="1" customWidth="1"/>
    <col min="13538" max="13538" width="25.6640625" bestFit="1" customWidth="1"/>
    <col min="13539" max="13539" width="31.88671875" bestFit="1" customWidth="1"/>
    <col min="13540" max="13540" width="26.33203125" bestFit="1" customWidth="1"/>
    <col min="13541" max="13541" width="25.109375" bestFit="1" customWidth="1"/>
    <col min="13542" max="13542" width="31.21875" bestFit="1" customWidth="1"/>
    <col min="13543" max="13543" width="25.6640625" bestFit="1" customWidth="1"/>
    <col min="13544" max="13544" width="31.5546875" bestFit="1" customWidth="1"/>
    <col min="13545" max="13545" width="37.6640625" bestFit="1" customWidth="1"/>
    <col min="13546" max="13546" width="32.109375" bestFit="1" customWidth="1"/>
    <col min="13547" max="13547" width="22.77734375" bestFit="1" customWidth="1"/>
    <col min="13548" max="13548" width="28.88671875" bestFit="1" customWidth="1"/>
    <col min="13549" max="13549" width="23.33203125" bestFit="1" customWidth="1"/>
    <col min="13550" max="13550" width="25.44140625" bestFit="1" customWidth="1"/>
    <col min="13551" max="13551" width="31.6640625" bestFit="1" customWidth="1"/>
    <col min="13552" max="13552" width="26" bestFit="1" customWidth="1"/>
    <col min="13553" max="13553" width="27.77734375" bestFit="1" customWidth="1"/>
    <col min="13554" max="13554" width="33.88671875" bestFit="1" customWidth="1"/>
    <col min="13555" max="13555" width="28.33203125" bestFit="1" customWidth="1"/>
    <col min="13556" max="13556" width="30.33203125" bestFit="1" customWidth="1"/>
    <col min="13557" max="13557" width="36.5546875" bestFit="1" customWidth="1"/>
    <col min="13558" max="13558" width="30.88671875" bestFit="1" customWidth="1"/>
    <col min="13559" max="13559" width="25.6640625" bestFit="1" customWidth="1"/>
    <col min="13560" max="13560" width="31.88671875" bestFit="1" customWidth="1"/>
    <col min="13561" max="13561" width="26.33203125" bestFit="1" customWidth="1"/>
    <col min="13562" max="13562" width="25.109375" bestFit="1" customWidth="1"/>
    <col min="13563" max="13563" width="31.21875" bestFit="1" customWidth="1"/>
    <col min="13564" max="13564" width="25.6640625" bestFit="1" customWidth="1"/>
    <col min="13565" max="13565" width="31.5546875" bestFit="1" customWidth="1"/>
    <col min="13566" max="13566" width="37.6640625" bestFit="1" customWidth="1"/>
    <col min="13567" max="13567" width="32.109375" bestFit="1" customWidth="1"/>
    <col min="13568" max="13568" width="22.77734375" bestFit="1" customWidth="1"/>
    <col min="13569" max="13569" width="28.88671875" bestFit="1" customWidth="1"/>
    <col min="13570" max="13570" width="23.33203125" bestFit="1" customWidth="1"/>
    <col min="13571" max="13571" width="25.44140625" bestFit="1" customWidth="1"/>
    <col min="13572" max="13572" width="31.6640625" bestFit="1" customWidth="1"/>
    <col min="13573" max="13573" width="26" bestFit="1" customWidth="1"/>
    <col min="13574" max="13574" width="26.77734375" bestFit="1" customWidth="1"/>
    <col min="13575" max="13575" width="32.88671875" bestFit="1" customWidth="1"/>
    <col min="13576" max="13576" width="27.33203125" bestFit="1" customWidth="1"/>
    <col min="13577" max="13577" width="30.33203125" bestFit="1" customWidth="1"/>
    <col min="13578" max="13578" width="36.5546875" bestFit="1" customWidth="1"/>
    <col min="13579" max="13579" width="30.88671875" bestFit="1" customWidth="1"/>
    <col min="13580" max="13580" width="25.6640625" bestFit="1" customWidth="1"/>
    <col min="13581" max="13581" width="31.88671875" bestFit="1" customWidth="1"/>
    <col min="13582" max="13582" width="26.33203125" bestFit="1" customWidth="1"/>
    <col min="13583" max="13583" width="25.109375" bestFit="1" customWidth="1"/>
    <col min="13584" max="13584" width="31.21875" bestFit="1" customWidth="1"/>
    <col min="13585" max="13585" width="25.6640625" bestFit="1" customWidth="1"/>
    <col min="13586" max="13586" width="31.5546875" bestFit="1" customWidth="1"/>
    <col min="13587" max="13587" width="37.6640625" bestFit="1" customWidth="1"/>
    <col min="13588" max="13588" width="32.109375" bestFit="1" customWidth="1"/>
    <col min="13589" max="13589" width="22.77734375" bestFit="1" customWidth="1"/>
    <col min="13590" max="13590" width="28.88671875" bestFit="1" customWidth="1"/>
    <col min="13591" max="13591" width="23.33203125" bestFit="1" customWidth="1"/>
    <col min="13592" max="13592" width="25.44140625" bestFit="1" customWidth="1"/>
    <col min="13593" max="13593" width="31.6640625" bestFit="1" customWidth="1"/>
    <col min="13594" max="13594" width="26" bestFit="1" customWidth="1"/>
    <col min="13595" max="13595" width="27.77734375" bestFit="1" customWidth="1"/>
    <col min="13596" max="13596" width="33.88671875" bestFit="1" customWidth="1"/>
    <col min="13597" max="13597" width="28.33203125" bestFit="1" customWidth="1"/>
    <col min="13598" max="13598" width="30.33203125" bestFit="1" customWidth="1"/>
    <col min="13599" max="13599" width="36.5546875" bestFit="1" customWidth="1"/>
    <col min="13600" max="13600" width="30.88671875" bestFit="1" customWidth="1"/>
    <col min="13601" max="13601" width="25.6640625" bestFit="1" customWidth="1"/>
    <col min="13602" max="13602" width="31.88671875" bestFit="1" customWidth="1"/>
    <col min="13603" max="13603" width="26.33203125" bestFit="1" customWidth="1"/>
    <col min="13604" max="13604" width="25.109375" bestFit="1" customWidth="1"/>
    <col min="13605" max="13605" width="31.21875" bestFit="1" customWidth="1"/>
    <col min="13606" max="13606" width="25.6640625" bestFit="1" customWidth="1"/>
    <col min="13607" max="13607" width="31.5546875" bestFit="1" customWidth="1"/>
    <col min="13608" max="13608" width="37.6640625" bestFit="1" customWidth="1"/>
    <col min="13609" max="13609" width="32.109375" bestFit="1" customWidth="1"/>
    <col min="13610" max="13610" width="22.77734375" bestFit="1" customWidth="1"/>
    <col min="13611" max="13611" width="28.88671875" bestFit="1" customWidth="1"/>
    <col min="13612" max="13612" width="23.33203125" bestFit="1" customWidth="1"/>
    <col min="13613" max="13613" width="25.44140625" bestFit="1" customWidth="1"/>
    <col min="13614" max="13614" width="31.6640625" bestFit="1" customWidth="1"/>
    <col min="13615" max="13615" width="26" bestFit="1" customWidth="1"/>
    <col min="13616" max="13616" width="27.77734375" bestFit="1" customWidth="1"/>
    <col min="13617" max="13617" width="33.88671875" bestFit="1" customWidth="1"/>
    <col min="13618" max="13618" width="28.33203125" bestFit="1" customWidth="1"/>
    <col min="13619" max="13619" width="30.33203125" bestFit="1" customWidth="1"/>
    <col min="13620" max="13620" width="36.5546875" bestFit="1" customWidth="1"/>
    <col min="13621" max="13621" width="30.88671875" bestFit="1" customWidth="1"/>
    <col min="13622" max="13622" width="25.6640625" bestFit="1" customWidth="1"/>
    <col min="13623" max="13623" width="31.88671875" bestFit="1" customWidth="1"/>
    <col min="13624" max="13624" width="26.33203125" bestFit="1" customWidth="1"/>
    <col min="13625" max="13625" width="25.109375" bestFit="1" customWidth="1"/>
    <col min="13626" max="13626" width="31.21875" bestFit="1" customWidth="1"/>
    <col min="13627" max="13627" width="25.6640625" bestFit="1" customWidth="1"/>
    <col min="13628" max="13628" width="31.5546875" bestFit="1" customWidth="1"/>
    <col min="13629" max="13629" width="37.6640625" bestFit="1" customWidth="1"/>
    <col min="13630" max="13630" width="32.109375" bestFit="1" customWidth="1"/>
    <col min="13631" max="13631" width="22.77734375" bestFit="1" customWidth="1"/>
    <col min="13632" max="13632" width="28.88671875" bestFit="1" customWidth="1"/>
    <col min="13633" max="13633" width="23.33203125" bestFit="1" customWidth="1"/>
    <col min="13634" max="13634" width="25.44140625" bestFit="1" customWidth="1"/>
    <col min="13635" max="13635" width="31.6640625" bestFit="1" customWidth="1"/>
    <col min="13636" max="13636" width="26" bestFit="1" customWidth="1"/>
    <col min="13637" max="13637" width="27.77734375" bestFit="1" customWidth="1"/>
    <col min="13638" max="13638" width="33.88671875" bestFit="1" customWidth="1"/>
    <col min="13639" max="13639" width="28.33203125" bestFit="1" customWidth="1"/>
    <col min="13640" max="13640" width="30.33203125" bestFit="1" customWidth="1"/>
    <col min="13641" max="13641" width="36.5546875" bestFit="1" customWidth="1"/>
    <col min="13642" max="13642" width="30.88671875" bestFit="1" customWidth="1"/>
    <col min="13643" max="13643" width="25.6640625" bestFit="1" customWidth="1"/>
    <col min="13644" max="13644" width="31.88671875" bestFit="1" customWidth="1"/>
    <col min="13645" max="13645" width="26.33203125" bestFit="1" customWidth="1"/>
    <col min="13646" max="13646" width="25.109375" bestFit="1" customWidth="1"/>
    <col min="13647" max="13647" width="31.21875" bestFit="1" customWidth="1"/>
    <col min="13648" max="13648" width="25.6640625" bestFit="1" customWidth="1"/>
    <col min="13649" max="13649" width="31.5546875" bestFit="1" customWidth="1"/>
    <col min="13650" max="13650" width="37.6640625" bestFit="1" customWidth="1"/>
    <col min="13651" max="13651" width="32.109375" bestFit="1" customWidth="1"/>
    <col min="13652" max="13652" width="22.77734375" bestFit="1" customWidth="1"/>
    <col min="13653" max="13653" width="28.88671875" bestFit="1" customWidth="1"/>
    <col min="13654" max="13654" width="23.33203125" bestFit="1" customWidth="1"/>
    <col min="13655" max="13655" width="25.44140625" bestFit="1" customWidth="1"/>
    <col min="13656" max="13656" width="31.6640625" bestFit="1" customWidth="1"/>
    <col min="13657" max="13657" width="26" bestFit="1" customWidth="1"/>
    <col min="13658" max="13658" width="27.77734375" bestFit="1" customWidth="1"/>
    <col min="13659" max="13659" width="33.88671875" bestFit="1" customWidth="1"/>
    <col min="13660" max="13660" width="28.33203125" bestFit="1" customWidth="1"/>
    <col min="13661" max="13661" width="30.33203125" bestFit="1" customWidth="1"/>
    <col min="13662" max="13662" width="36.5546875" bestFit="1" customWidth="1"/>
    <col min="13663" max="13663" width="30.88671875" bestFit="1" customWidth="1"/>
    <col min="13664" max="13664" width="25.6640625" bestFit="1" customWidth="1"/>
    <col min="13665" max="13665" width="31.88671875" bestFit="1" customWidth="1"/>
    <col min="13666" max="13666" width="26.33203125" bestFit="1" customWidth="1"/>
    <col min="13667" max="13667" width="25.109375" bestFit="1" customWidth="1"/>
    <col min="13668" max="13668" width="31.21875" bestFit="1" customWidth="1"/>
    <col min="13669" max="13669" width="25.6640625" bestFit="1" customWidth="1"/>
    <col min="13670" max="13670" width="31.5546875" bestFit="1" customWidth="1"/>
    <col min="13671" max="13671" width="37.6640625" bestFit="1" customWidth="1"/>
    <col min="13672" max="13672" width="32.109375" bestFit="1" customWidth="1"/>
    <col min="13673" max="13673" width="22.77734375" bestFit="1" customWidth="1"/>
    <col min="13674" max="13674" width="28.88671875" bestFit="1" customWidth="1"/>
    <col min="13675" max="13675" width="23.33203125" bestFit="1" customWidth="1"/>
    <col min="13676" max="13676" width="25.44140625" bestFit="1" customWidth="1"/>
    <col min="13677" max="13677" width="31.6640625" bestFit="1" customWidth="1"/>
    <col min="13678" max="13678" width="26" bestFit="1" customWidth="1"/>
    <col min="13679" max="13679" width="27.77734375" bestFit="1" customWidth="1"/>
    <col min="13680" max="13680" width="33.88671875" bestFit="1" customWidth="1"/>
    <col min="13681" max="13681" width="28.33203125" bestFit="1" customWidth="1"/>
    <col min="13682" max="13682" width="30.33203125" bestFit="1" customWidth="1"/>
    <col min="13683" max="13683" width="36.5546875" bestFit="1" customWidth="1"/>
    <col min="13684" max="13684" width="30.88671875" bestFit="1" customWidth="1"/>
    <col min="13685" max="13685" width="25.6640625" bestFit="1" customWidth="1"/>
    <col min="13686" max="13686" width="31.88671875" bestFit="1" customWidth="1"/>
    <col min="13687" max="13687" width="26.33203125" bestFit="1" customWidth="1"/>
    <col min="13688" max="13688" width="25.109375" bestFit="1" customWidth="1"/>
    <col min="13689" max="13689" width="31.21875" bestFit="1" customWidth="1"/>
    <col min="13690" max="13690" width="25.6640625" bestFit="1" customWidth="1"/>
    <col min="13691" max="13691" width="31.5546875" bestFit="1" customWidth="1"/>
    <col min="13692" max="13692" width="37.6640625" bestFit="1" customWidth="1"/>
    <col min="13693" max="13693" width="32.109375" bestFit="1" customWidth="1"/>
    <col min="13694" max="13694" width="22.77734375" bestFit="1" customWidth="1"/>
    <col min="13695" max="13695" width="28.88671875" bestFit="1" customWidth="1"/>
    <col min="13696" max="13696" width="23.33203125" bestFit="1" customWidth="1"/>
    <col min="13697" max="13697" width="25.44140625" bestFit="1" customWidth="1"/>
    <col min="13698" max="13698" width="31.6640625" bestFit="1" customWidth="1"/>
    <col min="13699" max="13699" width="26" bestFit="1" customWidth="1"/>
    <col min="13700" max="13700" width="27.77734375" bestFit="1" customWidth="1"/>
    <col min="13701" max="13701" width="33.88671875" bestFit="1" customWidth="1"/>
    <col min="13702" max="13702" width="28.33203125" bestFit="1" customWidth="1"/>
    <col min="13703" max="13703" width="30.33203125" bestFit="1" customWidth="1"/>
    <col min="13704" max="13704" width="36.5546875" bestFit="1" customWidth="1"/>
    <col min="13705" max="13705" width="30.88671875" bestFit="1" customWidth="1"/>
    <col min="13706" max="13706" width="25.6640625" bestFit="1" customWidth="1"/>
    <col min="13707" max="13707" width="31.88671875" bestFit="1" customWidth="1"/>
    <col min="13708" max="13708" width="26.33203125" bestFit="1" customWidth="1"/>
    <col min="13709" max="13709" width="25.109375" bestFit="1" customWidth="1"/>
    <col min="13710" max="13710" width="31.21875" bestFit="1" customWidth="1"/>
    <col min="13711" max="13711" width="25.6640625" bestFit="1" customWidth="1"/>
    <col min="13712" max="13712" width="31.5546875" bestFit="1" customWidth="1"/>
    <col min="13713" max="13713" width="37.6640625" bestFit="1" customWidth="1"/>
    <col min="13714" max="13714" width="32.109375" bestFit="1" customWidth="1"/>
    <col min="13715" max="13715" width="22.77734375" bestFit="1" customWidth="1"/>
    <col min="13716" max="13716" width="28.88671875" bestFit="1" customWidth="1"/>
    <col min="13717" max="13717" width="23.33203125" bestFit="1" customWidth="1"/>
    <col min="13718" max="13718" width="25.44140625" bestFit="1" customWidth="1"/>
    <col min="13719" max="13719" width="31.6640625" bestFit="1" customWidth="1"/>
    <col min="13720" max="13720" width="26" bestFit="1" customWidth="1"/>
    <col min="13721" max="13721" width="27.77734375" bestFit="1" customWidth="1"/>
    <col min="13722" max="13722" width="33.88671875" bestFit="1" customWidth="1"/>
    <col min="13723" max="13723" width="28.33203125" bestFit="1" customWidth="1"/>
    <col min="13724" max="13724" width="30.33203125" bestFit="1" customWidth="1"/>
    <col min="13725" max="13725" width="36.5546875" bestFit="1" customWidth="1"/>
    <col min="13726" max="13726" width="30.88671875" bestFit="1" customWidth="1"/>
    <col min="13727" max="13727" width="25.6640625" bestFit="1" customWidth="1"/>
    <col min="13728" max="13728" width="31.88671875" bestFit="1" customWidth="1"/>
    <col min="13729" max="13729" width="26.33203125" bestFit="1" customWidth="1"/>
    <col min="13730" max="13730" width="25.109375" bestFit="1" customWidth="1"/>
    <col min="13731" max="13731" width="31.21875" bestFit="1" customWidth="1"/>
    <col min="13732" max="13732" width="25.6640625" bestFit="1" customWidth="1"/>
    <col min="13733" max="13733" width="31.5546875" bestFit="1" customWidth="1"/>
    <col min="13734" max="13734" width="37.6640625" bestFit="1" customWidth="1"/>
    <col min="13735" max="13735" width="32.109375" bestFit="1" customWidth="1"/>
    <col min="13736" max="13736" width="22.77734375" bestFit="1" customWidth="1"/>
    <col min="13737" max="13737" width="28.88671875" bestFit="1" customWidth="1"/>
    <col min="13738" max="13738" width="23.33203125" bestFit="1" customWidth="1"/>
    <col min="13739" max="13739" width="25.44140625" bestFit="1" customWidth="1"/>
    <col min="13740" max="13740" width="31.6640625" bestFit="1" customWidth="1"/>
    <col min="13741" max="13741" width="26" bestFit="1" customWidth="1"/>
    <col min="13742" max="13742" width="27.77734375" bestFit="1" customWidth="1"/>
    <col min="13743" max="13743" width="33.88671875" bestFit="1" customWidth="1"/>
    <col min="13744" max="13744" width="28.33203125" bestFit="1" customWidth="1"/>
    <col min="13745" max="13745" width="30.33203125" bestFit="1" customWidth="1"/>
    <col min="13746" max="13746" width="36.5546875" bestFit="1" customWidth="1"/>
    <col min="13747" max="13747" width="30.88671875" bestFit="1" customWidth="1"/>
    <col min="13748" max="13748" width="25.6640625" bestFit="1" customWidth="1"/>
    <col min="13749" max="13749" width="31.88671875" bestFit="1" customWidth="1"/>
    <col min="13750" max="13750" width="26.33203125" bestFit="1" customWidth="1"/>
    <col min="13751" max="13751" width="25.109375" bestFit="1" customWidth="1"/>
    <col min="13752" max="13752" width="31.21875" bestFit="1" customWidth="1"/>
    <col min="13753" max="13753" width="25.6640625" bestFit="1" customWidth="1"/>
    <col min="13754" max="13754" width="31.5546875" bestFit="1" customWidth="1"/>
    <col min="13755" max="13755" width="37.6640625" bestFit="1" customWidth="1"/>
    <col min="13756" max="13756" width="32.109375" bestFit="1" customWidth="1"/>
    <col min="13757" max="13757" width="22.77734375" bestFit="1" customWidth="1"/>
    <col min="13758" max="13758" width="28.88671875" bestFit="1" customWidth="1"/>
    <col min="13759" max="13759" width="23.33203125" bestFit="1" customWidth="1"/>
    <col min="13760" max="13760" width="25.44140625" bestFit="1" customWidth="1"/>
    <col min="13761" max="13761" width="31.6640625" bestFit="1" customWidth="1"/>
    <col min="13762" max="13762" width="26" bestFit="1" customWidth="1"/>
    <col min="13763" max="13763" width="27.77734375" bestFit="1" customWidth="1"/>
    <col min="13764" max="13764" width="33.88671875" bestFit="1" customWidth="1"/>
    <col min="13765" max="13765" width="28.33203125" bestFit="1" customWidth="1"/>
    <col min="13766" max="13766" width="30.33203125" bestFit="1" customWidth="1"/>
    <col min="13767" max="13767" width="36.5546875" bestFit="1" customWidth="1"/>
    <col min="13768" max="13768" width="30.88671875" bestFit="1" customWidth="1"/>
    <col min="13769" max="13769" width="25.6640625" bestFit="1" customWidth="1"/>
    <col min="13770" max="13770" width="31.88671875" bestFit="1" customWidth="1"/>
    <col min="13771" max="13771" width="26.33203125" bestFit="1" customWidth="1"/>
    <col min="13772" max="13772" width="25.109375" bestFit="1" customWidth="1"/>
    <col min="13773" max="13773" width="31.21875" bestFit="1" customWidth="1"/>
    <col min="13774" max="13774" width="25.6640625" bestFit="1" customWidth="1"/>
    <col min="13775" max="13775" width="31.5546875" bestFit="1" customWidth="1"/>
    <col min="13776" max="13776" width="37.6640625" bestFit="1" customWidth="1"/>
    <col min="13777" max="13777" width="32.109375" bestFit="1" customWidth="1"/>
    <col min="13778" max="13778" width="22.77734375" bestFit="1" customWidth="1"/>
    <col min="13779" max="13779" width="28.88671875" bestFit="1" customWidth="1"/>
    <col min="13780" max="13780" width="23.33203125" bestFit="1" customWidth="1"/>
    <col min="13781" max="13781" width="25.44140625" bestFit="1" customWidth="1"/>
    <col min="13782" max="13782" width="31.6640625" bestFit="1" customWidth="1"/>
    <col min="13783" max="13783" width="26" bestFit="1" customWidth="1"/>
    <col min="13784" max="13784" width="27.77734375" bestFit="1" customWidth="1"/>
    <col min="13785" max="13785" width="33.88671875" bestFit="1" customWidth="1"/>
    <col min="13786" max="13786" width="28.33203125" bestFit="1" customWidth="1"/>
    <col min="13787" max="13787" width="30.33203125" bestFit="1" customWidth="1"/>
    <col min="13788" max="13788" width="36.5546875" bestFit="1" customWidth="1"/>
    <col min="13789" max="13789" width="30.88671875" bestFit="1" customWidth="1"/>
    <col min="13790" max="13790" width="25.6640625" bestFit="1" customWidth="1"/>
    <col min="13791" max="13791" width="31.88671875" bestFit="1" customWidth="1"/>
    <col min="13792" max="13792" width="26.33203125" bestFit="1" customWidth="1"/>
    <col min="13793" max="13793" width="25.109375" bestFit="1" customWidth="1"/>
    <col min="13794" max="13794" width="31.21875" bestFit="1" customWidth="1"/>
    <col min="13795" max="13795" width="25.6640625" bestFit="1" customWidth="1"/>
    <col min="13796" max="13796" width="31.5546875" bestFit="1" customWidth="1"/>
    <col min="13797" max="13797" width="37.6640625" bestFit="1" customWidth="1"/>
    <col min="13798" max="13798" width="32.109375" bestFit="1" customWidth="1"/>
    <col min="13799" max="13799" width="22.77734375" bestFit="1" customWidth="1"/>
    <col min="13800" max="13800" width="28.88671875" bestFit="1" customWidth="1"/>
    <col min="13801" max="13801" width="23.33203125" bestFit="1" customWidth="1"/>
    <col min="13802" max="13802" width="25.44140625" bestFit="1" customWidth="1"/>
    <col min="13803" max="13803" width="31.6640625" bestFit="1" customWidth="1"/>
    <col min="13804" max="13804" width="26" bestFit="1" customWidth="1"/>
    <col min="13805" max="13805" width="27.77734375" bestFit="1" customWidth="1"/>
    <col min="13806" max="13806" width="33.88671875" bestFit="1" customWidth="1"/>
    <col min="13807" max="13807" width="28.33203125" bestFit="1" customWidth="1"/>
    <col min="13808" max="13808" width="30.33203125" bestFit="1" customWidth="1"/>
    <col min="13809" max="13809" width="36.5546875" bestFit="1" customWidth="1"/>
    <col min="13810" max="13810" width="30.88671875" bestFit="1" customWidth="1"/>
    <col min="13811" max="13811" width="25.6640625" bestFit="1" customWidth="1"/>
    <col min="13812" max="13812" width="31.88671875" bestFit="1" customWidth="1"/>
    <col min="13813" max="13813" width="26.33203125" bestFit="1" customWidth="1"/>
    <col min="13814" max="13814" width="25.109375" bestFit="1" customWidth="1"/>
    <col min="13815" max="13815" width="31.21875" bestFit="1" customWidth="1"/>
    <col min="13816" max="13816" width="25.6640625" bestFit="1" customWidth="1"/>
    <col min="13817" max="13817" width="31.5546875" bestFit="1" customWidth="1"/>
    <col min="13818" max="13818" width="37.6640625" bestFit="1" customWidth="1"/>
    <col min="13819" max="13819" width="32.109375" bestFit="1" customWidth="1"/>
    <col min="13820" max="13820" width="22.77734375" bestFit="1" customWidth="1"/>
    <col min="13821" max="13821" width="28.88671875" bestFit="1" customWidth="1"/>
    <col min="13822" max="13822" width="23.33203125" bestFit="1" customWidth="1"/>
    <col min="13823" max="13823" width="25.44140625" bestFit="1" customWidth="1"/>
    <col min="13824" max="13824" width="31.6640625" bestFit="1" customWidth="1"/>
    <col min="13825" max="13825" width="26" bestFit="1" customWidth="1"/>
    <col min="13826" max="13826" width="27.77734375" bestFit="1" customWidth="1"/>
    <col min="13827" max="13827" width="33.88671875" bestFit="1" customWidth="1"/>
    <col min="13828" max="13828" width="28.33203125" bestFit="1" customWidth="1"/>
    <col min="13829" max="13829" width="30.33203125" bestFit="1" customWidth="1"/>
    <col min="13830" max="13830" width="36.5546875" bestFit="1" customWidth="1"/>
    <col min="13831" max="13831" width="30.88671875" bestFit="1" customWidth="1"/>
    <col min="13832" max="13832" width="25.6640625" bestFit="1" customWidth="1"/>
    <col min="13833" max="13833" width="31.88671875" bestFit="1" customWidth="1"/>
    <col min="13834" max="13834" width="26.33203125" bestFit="1" customWidth="1"/>
    <col min="13835" max="13835" width="25.109375" bestFit="1" customWidth="1"/>
    <col min="13836" max="13836" width="31.21875" bestFit="1" customWidth="1"/>
    <col min="13837" max="13837" width="25.6640625" bestFit="1" customWidth="1"/>
    <col min="13838" max="13838" width="31.5546875" bestFit="1" customWidth="1"/>
    <col min="13839" max="13839" width="37.6640625" bestFit="1" customWidth="1"/>
    <col min="13840" max="13840" width="32.109375" bestFit="1" customWidth="1"/>
    <col min="13841" max="13841" width="22.77734375" bestFit="1" customWidth="1"/>
    <col min="13842" max="13842" width="28.88671875" bestFit="1" customWidth="1"/>
    <col min="13843" max="13843" width="23.33203125" bestFit="1" customWidth="1"/>
    <col min="13844" max="13844" width="25.44140625" bestFit="1" customWidth="1"/>
    <col min="13845" max="13845" width="31.6640625" bestFit="1" customWidth="1"/>
    <col min="13846" max="13846" width="26" bestFit="1" customWidth="1"/>
    <col min="13847" max="13847" width="27.77734375" bestFit="1" customWidth="1"/>
    <col min="13848" max="13848" width="33.88671875" bestFit="1" customWidth="1"/>
    <col min="13849" max="13849" width="28.33203125" bestFit="1" customWidth="1"/>
    <col min="13850" max="13850" width="30.33203125" bestFit="1" customWidth="1"/>
    <col min="13851" max="13851" width="36.5546875" bestFit="1" customWidth="1"/>
    <col min="13852" max="13852" width="30.88671875" bestFit="1" customWidth="1"/>
    <col min="13853" max="13853" width="25.6640625" bestFit="1" customWidth="1"/>
    <col min="13854" max="13854" width="31.88671875" bestFit="1" customWidth="1"/>
    <col min="13855" max="13855" width="26.33203125" bestFit="1" customWidth="1"/>
    <col min="13856" max="13856" width="25.109375" bestFit="1" customWidth="1"/>
    <col min="13857" max="13857" width="31.21875" bestFit="1" customWidth="1"/>
    <col min="13858" max="13858" width="25.6640625" bestFit="1" customWidth="1"/>
    <col min="13859" max="13859" width="31.5546875" bestFit="1" customWidth="1"/>
    <col min="13860" max="13860" width="37.6640625" bestFit="1" customWidth="1"/>
    <col min="13861" max="13861" width="32.109375" bestFit="1" customWidth="1"/>
    <col min="13862" max="13862" width="22.77734375" bestFit="1" customWidth="1"/>
    <col min="13863" max="13863" width="28.88671875" bestFit="1" customWidth="1"/>
    <col min="13864" max="13864" width="23.33203125" bestFit="1" customWidth="1"/>
    <col min="13865" max="13865" width="25.44140625" bestFit="1" customWidth="1"/>
    <col min="13866" max="13866" width="31.6640625" bestFit="1" customWidth="1"/>
    <col min="13867" max="13867" width="26" bestFit="1" customWidth="1"/>
    <col min="13868" max="13868" width="27.77734375" bestFit="1" customWidth="1"/>
    <col min="13869" max="13869" width="33.88671875" bestFit="1" customWidth="1"/>
    <col min="13870" max="13870" width="28.33203125" bestFit="1" customWidth="1"/>
    <col min="13871" max="13871" width="30.33203125" bestFit="1" customWidth="1"/>
    <col min="13872" max="13872" width="36.5546875" bestFit="1" customWidth="1"/>
    <col min="13873" max="13873" width="30.88671875" bestFit="1" customWidth="1"/>
    <col min="13874" max="13874" width="25.6640625" bestFit="1" customWidth="1"/>
    <col min="13875" max="13875" width="31.88671875" bestFit="1" customWidth="1"/>
    <col min="13876" max="13876" width="26.33203125" bestFit="1" customWidth="1"/>
    <col min="13877" max="13877" width="25.109375" bestFit="1" customWidth="1"/>
    <col min="13878" max="13878" width="31.21875" bestFit="1" customWidth="1"/>
    <col min="13879" max="13879" width="25.6640625" bestFit="1" customWidth="1"/>
    <col min="13880" max="13880" width="31.5546875" bestFit="1" customWidth="1"/>
    <col min="13881" max="13881" width="37.6640625" bestFit="1" customWidth="1"/>
    <col min="13882" max="13882" width="32.109375" bestFit="1" customWidth="1"/>
    <col min="13883" max="13883" width="22.77734375" bestFit="1" customWidth="1"/>
    <col min="13884" max="13884" width="28.88671875" bestFit="1" customWidth="1"/>
    <col min="13885" max="13885" width="23.33203125" bestFit="1" customWidth="1"/>
    <col min="13886" max="13886" width="25.44140625" bestFit="1" customWidth="1"/>
    <col min="13887" max="13887" width="31.6640625" bestFit="1" customWidth="1"/>
    <col min="13888" max="13888" width="26" bestFit="1" customWidth="1"/>
    <col min="13889" max="13889" width="26.77734375" bestFit="1" customWidth="1"/>
    <col min="13890" max="13890" width="32.88671875" bestFit="1" customWidth="1"/>
    <col min="13891" max="13891" width="27.33203125" bestFit="1" customWidth="1"/>
    <col min="13892" max="13892" width="30.33203125" bestFit="1" customWidth="1"/>
    <col min="13893" max="13893" width="36.5546875" bestFit="1" customWidth="1"/>
    <col min="13894" max="13894" width="30.88671875" bestFit="1" customWidth="1"/>
    <col min="13895" max="13895" width="25.6640625" bestFit="1" customWidth="1"/>
    <col min="13896" max="13896" width="31.88671875" bestFit="1" customWidth="1"/>
    <col min="13897" max="13897" width="26.33203125" bestFit="1" customWidth="1"/>
    <col min="13898" max="13898" width="25.109375" bestFit="1" customWidth="1"/>
    <col min="13899" max="13899" width="31.21875" bestFit="1" customWidth="1"/>
    <col min="13900" max="13900" width="25.6640625" bestFit="1" customWidth="1"/>
    <col min="13901" max="13901" width="31.5546875" bestFit="1" customWidth="1"/>
    <col min="13902" max="13902" width="37.6640625" bestFit="1" customWidth="1"/>
    <col min="13903" max="13903" width="32.109375" bestFit="1" customWidth="1"/>
    <col min="13904" max="13904" width="22.77734375" bestFit="1" customWidth="1"/>
    <col min="13905" max="13905" width="28.88671875" bestFit="1" customWidth="1"/>
    <col min="13906" max="13906" width="23.33203125" bestFit="1" customWidth="1"/>
    <col min="13907" max="13907" width="25.44140625" bestFit="1" customWidth="1"/>
    <col min="13908" max="13908" width="31.6640625" bestFit="1" customWidth="1"/>
    <col min="13909" max="13909" width="26" bestFit="1" customWidth="1"/>
    <col min="13910" max="13910" width="27.77734375" bestFit="1" customWidth="1"/>
    <col min="13911" max="13911" width="33.88671875" bestFit="1" customWidth="1"/>
    <col min="13912" max="13912" width="28.33203125" bestFit="1" customWidth="1"/>
    <col min="13913" max="13913" width="30.33203125" bestFit="1" customWidth="1"/>
    <col min="13914" max="13914" width="36.5546875" bestFit="1" customWidth="1"/>
    <col min="13915" max="13915" width="30.88671875" bestFit="1" customWidth="1"/>
    <col min="13916" max="13916" width="25.6640625" bestFit="1" customWidth="1"/>
    <col min="13917" max="13917" width="31.88671875" bestFit="1" customWidth="1"/>
    <col min="13918" max="13918" width="26.33203125" bestFit="1" customWidth="1"/>
    <col min="13919" max="13919" width="25.109375" bestFit="1" customWidth="1"/>
    <col min="13920" max="13920" width="31.21875" bestFit="1" customWidth="1"/>
    <col min="13921" max="13921" width="25.6640625" bestFit="1" customWidth="1"/>
    <col min="13922" max="13922" width="31.5546875" bestFit="1" customWidth="1"/>
    <col min="13923" max="13923" width="37.6640625" bestFit="1" customWidth="1"/>
    <col min="13924" max="13924" width="32.109375" bestFit="1" customWidth="1"/>
    <col min="13925" max="13925" width="22.77734375" bestFit="1" customWidth="1"/>
    <col min="13926" max="13926" width="28.88671875" bestFit="1" customWidth="1"/>
    <col min="13927" max="13927" width="23.33203125" bestFit="1" customWidth="1"/>
    <col min="13928" max="13928" width="25.44140625" bestFit="1" customWidth="1"/>
    <col min="13929" max="13929" width="31.6640625" bestFit="1" customWidth="1"/>
    <col min="13930" max="13930" width="26" bestFit="1" customWidth="1"/>
    <col min="13931" max="13931" width="27.77734375" bestFit="1" customWidth="1"/>
    <col min="13932" max="13932" width="33.88671875" bestFit="1" customWidth="1"/>
    <col min="13933" max="13933" width="28.33203125" bestFit="1" customWidth="1"/>
    <col min="13934" max="13934" width="30.33203125" bestFit="1" customWidth="1"/>
    <col min="13935" max="13935" width="36.5546875" bestFit="1" customWidth="1"/>
    <col min="13936" max="13936" width="30.88671875" bestFit="1" customWidth="1"/>
    <col min="13937" max="13937" width="25.6640625" bestFit="1" customWidth="1"/>
    <col min="13938" max="13938" width="31.88671875" bestFit="1" customWidth="1"/>
    <col min="13939" max="13939" width="26.33203125" bestFit="1" customWidth="1"/>
    <col min="13940" max="13940" width="25.109375" bestFit="1" customWidth="1"/>
    <col min="13941" max="13941" width="31.21875" bestFit="1" customWidth="1"/>
    <col min="13942" max="13942" width="25.6640625" bestFit="1" customWidth="1"/>
    <col min="13943" max="13943" width="31.5546875" bestFit="1" customWidth="1"/>
    <col min="13944" max="13944" width="37.6640625" bestFit="1" customWidth="1"/>
    <col min="13945" max="13945" width="32.109375" bestFit="1" customWidth="1"/>
    <col min="13946" max="13946" width="22.77734375" bestFit="1" customWidth="1"/>
    <col min="13947" max="13947" width="28.88671875" bestFit="1" customWidth="1"/>
    <col min="13948" max="13948" width="23.33203125" bestFit="1" customWidth="1"/>
    <col min="13949" max="13949" width="25.44140625" bestFit="1" customWidth="1"/>
    <col min="13950" max="13950" width="31.6640625" bestFit="1" customWidth="1"/>
    <col min="13951" max="13951" width="26" bestFit="1" customWidth="1"/>
    <col min="13952" max="13952" width="27.77734375" bestFit="1" customWidth="1"/>
    <col min="13953" max="13953" width="33.88671875" bestFit="1" customWidth="1"/>
    <col min="13954" max="13954" width="28.33203125" bestFit="1" customWidth="1"/>
    <col min="13955" max="13955" width="30.33203125" bestFit="1" customWidth="1"/>
    <col min="13956" max="13956" width="36.5546875" bestFit="1" customWidth="1"/>
    <col min="13957" max="13957" width="30.88671875" bestFit="1" customWidth="1"/>
    <col min="13958" max="13958" width="25.6640625" bestFit="1" customWidth="1"/>
    <col min="13959" max="13959" width="31.88671875" bestFit="1" customWidth="1"/>
    <col min="13960" max="13960" width="26.33203125" bestFit="1" customWidth="1"/>
    <col min="13961" max="13961" width="25.109375" bestFit="1" customWidth="1"/>
    <col min="13962" max="13962" width="31.21875" bestFit="1" customWidth="1"/>
    <col min="13963" max="13963" width="25.6640625" bestFit="1" customWidth="1"/>
    <col min="13964" max="13964" width="31.5546875" bestFit="1" customWidth="1"/>
    <col min="13965" max="13965" width="37.6640625" bestFit="1" customWidth="1"/>
    <col min="13966" max="13966" width="32.109375" bestFit="1" customWidth="1"/>
    <col min="13967" max="13967" width="22.77734375" bestFit="1" customWidth="1"/>
    <col min="13968" max="13968" width="28.88671875" bestFit="1" customWidth="1"/>
    <col min="13969" max="13969" width="23.33203125" bestFit="1" customWidth="1"/>
    <col min="13970" max="13970" width="25.44140625" bestFit="1" customWidth="1"/>
    <col min="13971" max="13971" width="31.6640625" bestFit="1" customWidth="1"/>
    <col min="13972" max="13972" width="26" bestFit="1" customWidth="1"/>
    <col min="13973" max="13973" width="27.77734375" bestFit="1" customWidth="1"/>
    <col min="13974" max="13974" width="33.88671875" bestFit="1" customWidth="1"/>
    <col min="13975" max="13975" width="28.33203125" bestFit="1" customWidth="1"/>
    <col min="13976" max="13976" width="30.33203125" bestFit="1" customWidth="1"/>
    <col min="13977" max="13977" width="36.5546875" bestFit="1" customWidth="1"/>
    <col min="13978" max="13978" width="30.88671875" bestFit="1" customWidth="1"/>
    <col min="13979" max="13979" width="25.6640625" bestFit="1" customWidth="1"/>
    <col min="13980" max="13980" width="31.88671875" bestFit="1" customWidth="1"/>
    <col min="13981" max="13981" width="26.33203125" bestFit="1" customWidth="1"/>
    <col min="13982" max="13982" width="25.109375" bestFit="1" customWidth="1"/>
    <col min="13983" max="13983" width="31.21875" bestFit="1" customWidth="1"/>
    <col min="13984" max="13984" width="25.6640625" bestFit="1" customWidth="1"/>
    <col min="13985" max="13985" width="31.5546875" bestFit="1" customWidth="1"/>
    <col min="13986" max="13986" width="37.6640625" bestFit="1" customWidth="1"/>
    <col min="13987" max="13987" width="32.109375" bestFit="1" customWidth="1"/>
    <col min="13988" max="13988" width="22.77734375" bestFit="1" customWidth="1"/>
    <col min="13989" max="13989" width="28.88671875" bestFit="1" customWidth="1"/>
    <col min="13990" max="13990" width="23.33203125" bestFit="1" customWidth="1"/>
    <col min="13991" max="13991" width="25.44140625" bestFit="1" customWidth="1"/>
    <col min="13992" max="13992" width="31.6640625" bestFit="1" customWidth="1"/>
    <col min="13993" max="13993" width="26" bestFit="1" customWidth="1"/>
    <col min="13994" max="13994" width="27.77734375" bestFit="1" customWidth="1"/>
    <col min="13995" max="13995" width="33.88671875" bestFit="1" customWidth="1"/>
    <col min="13996" max="13996" width="28.33203125" bestFit="1" customWidth="1"/>
    <col min="13997" max="13997" width="30.33203125" bestFit="1" customWidth="1"/>
    <col min="13998" max="13998" width="36.5546875" bestFit="1" customWidth="1"/>
    <col min="13999" max="13999" width="30.88671875" bestFit="1" customWidth="1"/>
    <col min="14000" max="14000" width="25.6640625" bestFit="1" customWidth="1"/>
    <col min="14001" max="14001" width="31.88671875" bestFit="1" customWidth="1"/>
    <col min="14002" max="14002" width="26.33203125" bestFit="1" customWidth="1"/>
    <col min="14003" max="14003" width="25.109375" bestFit="1" customWidth="1"/>
    <col min="14004" max="14004" width="31.21875" bestFit="1" customWidth="1"/>
    <col min="14005" max="14005" width="25.6640625" bestFit="1" customWidth="1"/>
    <col min="14006" max="14006" width="31.5546875" bestFit="1" customWidth="1"/>
    <col min="14007" max="14007" width="37.6640625" bestFit="1" customWidth="1"/>
    <col min="14008" max="14008" width="32.109375" bestFit="1" customWidth="1"/>
    <col min="14009" max="14009" width="22.77734375" bestFit="1" customWidth="1"/>
    <col min="14010" max="14010" width="28.88671875" bestFit="1" customWidth="1"/>
    <col min="14011" max="14011" width="23.33203125" bestFit="1" customWidth="1"/>
    <col min="14012" max="14012" width="25.44140625" bestFit="1" customWidth="1"/>
    <col min="14013" max="14013" width="31.6640625" bestFit="1" customWidth="1"/>
    <col min="14014" max="14014" width="26" bestFit="1" customWidth="1"/>
    <col min="14015" max="14015" width="27.77734375" bestFit="1" customWidth="1"/>
    <col min="14016" max="14016" width="33.88671875" bestFit="1" customWidth="1"/>
    <col min="14017" max="14017" width="28.33203125" bestFit="1" customWidth="1"/>
    <col min="14018" max="14018" width="30.33203125" bestFit="1" customWidth="1"/>
    <col min="14019" max="14019" width="36.5546875" bestFit="1" customWidth="1"/>
    <col min="14020" max="14020" width="30.88671875" bestFit="1" customWidth="1"/>
    <col min="14021" max="14021" width="25.6640625" bestFit="1" customWidth="1"/>
    <col min="14022" max="14022" width="31.88671875" bestFit="1" customWidth="1"/>
    <col min="14023" max="14023" width="26.33203125" bestFit="1" customWidth="1"/>
    <col min="14024" max="14024" width="25.109375" bestFit="1" customWidth="1"/>
    <col min="14025" max="14025" width="31.21875" bestFit="1" customWidth="1"/>
    <col min="14026" max="14026" width="25.6640625" bestFit="1" customWidth="1"/>
    <col min="14027" max="14027" width="31.5546875" bestFit="1" customWidth="1"/>
    <col min="14028" max="14028" width="37.6640625" bestFit="1" customWidth="1"/>
    <col min="14029" max="14029" width="32.109375" bestFit="1" customWidth="1"/>
    <col min="14030" max="14030" width="22.77734375" bestFit="1" customWidth="1"/>
    <col min="14031" max="14031" width="28.88671875" bestFit="1" customWidth="1"/>
    <col min="14032" max="14032" width="23.33203125" bestFit="1" customWidth="1"/>
    <col min="14033" max="14033" width="25.44140625" bestFit="1" customWidth="1"/>
    <col min="14034" max="14034" width="31.6640625" bestFit="1" customWidth="1"/>
    <col min="14035" max="14035" width="26" bestFit="1" customWidth="1"/>
    <col min="14036" max="14036" width="27.77734375" bestFit="1" customWidth="1"/>
    <col min="14037" max="14037" width="33.88671875" bestFit="1" customWidth="1"/>
    <col min="14038" max="14038" width="28.33203125" bestFit="1" customWidth="1"/>
    <col min="14039" max="14039" width="30.33203125" bestFit="1" customWidth="1"/>
    <col min="14040" max="14040" width="36.5546875" bestFit="1" customWidth="1"/>
    <col min="14041" max="14041" width="30.88671875" bestFit="1" customWidth="1"/>
    <col min="14042" max="14042" width="25.6640625" bestFit="1" customWidth="1"/>
    <col min="14043" max="14043" width="31.88671875" bestFit="1" customWidth="1"/>
    <col min="14044" max="14044" width="26.33203125" bestFit="1" customWidth="1"/>
    <col min="14045" max="14045" width="25.109375" bestFit="1" customWidth="1"/>
    <col min="14046" max="14046" width="31.21875" bestFit="1" customWidth="1"/>
    <col min="14047" max="14047" width="25.6640625" bestFit="1" customWidth="1"/>
    <col min="14048" max="14048" width="31.5546875" bestFit="1" customWidth="1"/>
    <col min="14049" max="14049" width="37.6640625" bestFit="1" customWidth="1"/>
    <col min="14050" max="14050" width="32.109375" bestFit="1" customWidth="1"/>
    <col min="14051" max="14051" width="22.77734375" bestFit="1" customWidth="1"/>
    <col min="14052" max="14052" width="28.88671875" bestFit="1" customWidth="1"/>
    <col min="14053" max="14053" width="23.33203125" bestFit="1" customWidth="1"/>
    <col min="14054" max="14054" width="25.44140625" bestFit="1" customWidth="1"/>
    <col min="14055" max="14055" width="31.6640625" bestFit="1" customWidth="1"/>
    <col min="14056" max="14056" width="26" bestFit="1" customWidth="1"/>
    <col min="14057" max="14057" width="27.77734375" bestFit="1" customWidth="1"/>
    <col min="14058" max="14058" width="33.88671875" bestFit="1" customWidth="1"/>
    <col min="14059" max="14059" width="28.33203125" bestFit="1" customWidth="1"/>
    <col min="14060" max="14060" width="30.33203125" bestFit="1" customWidth="1"/>
    <col min="14061" max="14061" width="36.5546875" bestFit="1" customWidth="1"/>
    <col min="14062" max="14062" width="30.88671875" bestFit="1" customWidth="1"/>
    <col min="14063" max="14063" width="25.6640625" bestFit="1" customWidth="1"/>
    <col min="14064" max="14064" width="31.88671875" bestFit="1" customWidth="1"/>
    <col min="14065" max="14065" width="26.33203125" bestFit="1" customWidth="1"/>
    <col min="14066" max="14066" width="25.109375" bestFit="1" customWidth="1"/>
    <col min="14067" max="14067" width="31.21875" bestFit="1" customWidth="1"/>
    <col min="14068" max="14068" width="25.6640625" bestFit="1" customWidth="1"/>
    <col min="14069" max="14069" width="31.5546875" bestFit="1" customWidth="1"/>
    <col min="14070" max="14070" width="37.6640625" bestFit="1" customWidth="1"/>
    <col min="14071" max="14071" width="32.109375" bestFit="1" customWidth="1"/>
    <col min="14072" max="14072" width="22.77734375" bestFit="1" customWidth="1"/>
    <col min="14073" max="14073" width="28.88671875" bestFit="1" customWidth="1"/>
    <col min="14074" max="14074" width="23.33203125" bestFit="1" customWidth="1"/>
    <col min="14075" max="14075" width="25.44140625" bestFit="1" customWidth="1"/>
    <col min="14076" max="14076" width="31.6640625" bestFit="1" customWidth="1"/>
    <col min="14077" max="14077" width="26" bestFit="1" customWidth="1"/>
    <col min="14078" max="14078" width="27.77734375" bestFit="1" customWidth="1"/>
    <col min="14079" max="14079" width="33.88671875" bestFit="1" customWidth="1"/>
    <col min="14080" max="14080" width="28.33203125" bestFit="1" customWidth="1"/>
    <col min="14081" max="14081" width="30.33203125" bestFit="1" customWidth="1"/>
    <col min="14082" max="14082" width="36.5546875" bestFit="1" customWidth="1"/>
    <col min="14083" max="14083" width="30.88671875" bestFit="1" customWidth="1"/>
    <col min="14084" max="14084" width="25.6640625" bestFit="1" customWidth="1"/>
    <col min="14085" max="14085" width="31.88671875" bestFit="1" customWidth="1"/>
    <col min="14086" max="14086" width="26.33203125" bestFit="1" customWidth="1"/>
    <col min="14087" max="14087" width="25.109375" bestFit="1" customWidth="1"/>
    <col min="14088" max="14088" width="31.21875" bestFit="1" customWidth="1"/>
    <col min="14089" max="14089" width="25.6640625" bestFit="1" customWidth="1"/>
    <col min="14090" max="14090" width="31.5546875" bestFit="1" customWidth="1"/>
    <col min="14091" max="14091" width="37.6640625" bestFit="1" customWidth="1"/>
    <col min="14092" max="14092" width="32.109375" bestFit="1" customWidth="1"/>
    <col min="14093" max="14093" width="22.77734375" bestFit="1" customWidth="1"/>
    <col min="14094" max="14094" width="28.88671875" bestFit="1" customWidth="1"/>
    <col min="14095" max="14095" width="23.33203125" bestFit="1" customWidth="1"/>
    <col min="14096" max="14096" width="25.44140625" bestFit="1" customWidth="1"/>
    <col min="14097" max="14097" width="31.6640625" bestFit="1" customWidth="1"/>
    <col min="14098" max="14098" width="26" bestFit="1" customWidth="1"/>
    <col min="14099" max="14099" width="27.77734375" bestFit="1" customWidth="1"/>
    <col min="14100" max="14100" width="33.88671875" bestFit="1" customWidth="1"/>
    <col min="14101" max="14101" width="28.33203125" bestFit="1" customWidth="1"/>
    <col min="14102" max="14102" width="30.33203125" bestFit="1" customWidth="1"/>
    <col min="14103" max="14103" width="36.5546875" bestFit="1" customWidth="1"/>
    <col min="14104" max="14104" width="30.88671875" bestFit="1" customWidth="1"/>
    <col min="14105" max="14105" width="25.6640625" bestFit="1" customWidth="1"/>
    <col min="14106" max="14106" width="31.88671875" bestFit="1" customWidth="1"/>
    <col min="14107" max="14107" width="26.33203125" bestFit="1" customWidth="1"/>
    <col min="14108" max="14108" width="25.109375" bestFit="1" customWidth="1"/>
    <col min="14109" max="14109" width="31.21875" bestFit="1" customWidth="1"/>
    <col min="14110" max="14110" width="25.6640625" bestFit="1" customWidth="1"/>
    <col min="14111" max="14111" width="31.5546875" bestFit="1" customWidth="1"/>
    <col min="14112" max="14112" width="37.6640625" bestFit="1" customWidth="1"/>
    <col min="14113" max="14113" width="32.109375" bestFit="1" customWidth="1"/>
    <col min="14114" max="14114" width="22.77734375" bestFit="1" customWidth="1"/>
    <col min="14115" max="14115" width="28.88671875" bestFit="1" customWidth="1"/>
    <col min="14116" max="14116" width="23.33203125" bestFit="1" customWidth="1"/>
    <col min="14117" max="14117" width="25.44140625" bestFit="1" customWidth="1"/>
    <col min="14118" max="14118" width="31.6640625" bestFit="1" customWidth="1"/>
    <col min="14119" max="14119" width="26" bestFit="1" customWidth="1"/>
    <col min="14120" max="14120" width="27.77734375" bestFit="1" customWidth="1"/>
    <col min="14121" max="14121" width="33.88671875" bestFit="1" customWidth="1"/>
    <col min="14122" max="14122" width="28.33203125" bestFit="1" customWidth="1"/>
    <col min="14123" max="14123" width="30.33203125" bestFit="1" customWidth="1"/>
    <col min="14124" max="14124" width="36.5546875" bestFit="1" customWidth="1"/>
    <col min="14125" max="14125" width="30.88671875" bestFit="1" customWidth="1"/>
    <col min="14126" max="14126" width="25.6640625" bestFit="1" customWidth="1"/>
    <col min="14127" max="14127" width="31.88671875" bestFit="1" customWidth="1"/>
    <col min="14128" max="14128" width="26.33203125" bestFit="1" customWidth="1"/>
    <col min="14129" max="14129" width="25.109375" bestFit="1" customWidth="1"/>
    <col min="14130" max="14130" width="31.21875" bestFit="1" customWidth="1"/>
    <col min="14131" max="14131" width="25.6640625" bestFit="1" customWidth="1"/>
    <col min="14132" max="14132" width="31.5546875" bestFit="1" customWidth="1"/>
    <col min="14133" max="14133" width="37.6640625" bestFit="1" customWidth="1"/>
    <col min="14134" max="14134" width="32.109375" bestFit="1" customWidth="1"/>
    <col min="14135" max="14135" width="22.77734375" bestFit="1" customWidth="1"/>
    <col min="14136" max="14136" width="28.88671875" bestFit="1" customWidth="1"/>
    <col min="14137" max="14137" width="23.33203125" bestFit="1" customWidth="1"/>
    <col min="14138" max="14138" width="25.44140625" bestFit="1" customWidth="1"/>
    <col min="14139" max="14139" width="31.6640625" bestFit="1" customWidth="1"/>
    <col min="14140" max="14140" width="26" bestFit="1" customWidth="1"/>
    <col min="14141" max="14141" width="27.77734375" bestFit="1" customWidth="1"/>
    <col min="14142" max="14142" width="33.88671875" bestFit="1" customWidth="1"/>
    <col min="14143" max="14143" width="28.33203125" bestFit="1" customWidth="1"/>
    <col min="14144" max="14144" width="30.33203125" bestFit="1" customWidth="1"/>
    <col min="14145" max="14145" width="36.5546875" bestFit="1" customWidth="1"/>
    <col min="14146" max="14146" width="30.88671875" bestFit="1" customWidth="1"/>
    <col min="14147" max="14147" width="25.6640625" bestFit="1" customWidth="1"/>
    <col min="14148" max="14148" width="31.88671875" bestFit="1" customWidth="1"/>
    <col min="14149" max="14149" width="26.33203125" bestFit="1" customWidth="1"/>
    <col min="14150" max="14150" width="25.109375" bestFit="1" customWidth="1"/>
    <col min="14151" max="14151" width="31.21875" bestFit="1" customWidth="1"/>
    <col min="14152" max="14152" width="25.6640625" bestFit="1" customWidth="1"/>
    <col min="14153" max="14153" width="31.5546875" bestFit="1" customWidth="1"/>
    <col min="14154" max="14154" width="37.6640625" bestFit="1" customWidth="1"/>
    <col min="14155" max="14155" width="32.109375" bestFit="1" customWidth="1"/>
    <col min="14156" max="14156" width="22.77734375" bestFit="1" customWidth="1"/>
    <col min="14157" max="14157" width="28.88671875" bestFit="1" customWidth="1"/>
    <col min="14158" max="14158" width="23.33203125" bestFit="1" customWidth="1"/>
    <col min="14159" max="14159" width="25.44140625" bestFit="1" customWidth="1"/>
    <col min="14160" max="14160" width="31.6640625" bestFit="1" customWidth="1"/>
    <col min="14161" max="14161" width="26" bestFit="1" customWidth="1"/>
    <col min="14162" max="14162" width="27.77734375" bestFit="1" customWidth="1"/>
    <col min="14163" max="14163" width="33.88671875" bestFit="1" customWidth="1"/>
    <col min="14164" max="14164" width="28.33203125" bestFit="1" customWidth="1"/>
    <col min="14165" max="14165" width="30.33203125" bestFit="1" customWidth="1"/>
    <col min="14166" max="14166" width="36.5546875" bestFit="1" customWidth="1"/>
    <col min="14167" max="14167" width="30.88671875" bestFit="1" customWidth="1"/>
    <col min="14168" max="14168" width="25.6640625" bestFit="1" customWidth="1"/>
    <col min="14169" max="14169" width="31.88671875" bestFit="1" customWidth="1"/>
    <col min="14170" max="14170" width="26.33203125" bestFit="1" customWidth="1"/>
    <col min="14171" max="14171" width="25.109375" bestFit="1" customWidth="1"/>
    <col min="14172" max="14172" width="31.21875" bestFit="1" customWidth="1"/>
    <col min="14173" max="14173" width="25.6640625" bestFit="1" customWidth="1"/>
    <col min="14174" max="14174" width="31.5546875" bestFit="1" customWidth="1"/>
    <col min="14175" max="14175" width="37.6640625" bestFit="1" customWidth="1"/>
    <col min="14176" max="14176" width="32.109375" bestFit="1" customWidth="1"/>
    <col min="14177" max="14177" width="22.77734375" bestFit="1" customWidth="1"/>
    <col min="14178" max="14178" width="28.88671875" bestFit="1" customWidth="1"/>
    <col min="14179" max="14179" width="23.33203125" bestFit="1" customWidth="1"/>
    <col min="14180" max="14180" width="25.44140625" bestFit="1" customWidth="1"/>
    <col min="14181" max="14181" width="31.6640625" bestFit="1" customWidth="1"/>
    <col min="14182" max="14182" width="26" bestFit="1" customWidth="1"/>
    <col min="14183" max="14183" width="26.77734375" bestFit="1" customWidth="1"/>
    <col min="14184" max="14184" width="32.88671875" bestFit="1" customWidth="1"/>
    <col min="14185" max="14185" width="27.33203125" bestFit="1" customWidth="1"/>
    <col min="14186" max="14186" width="30.33203125" bestFit="1" customWidth="1"/>
    <col min="14187" max="14187" width="36.5546875" bestFit="1" customWidth="1"/>
    <col min="14188" max="14188" width="30.88671875" bestFit="1" customWidth="1"/>
    <col min="14189" max="14189" width="25.6640625" bestFit="1" customWidth="1"/>
    <col min="14190" max="14190" width="31.88671875" bestFit="1" customWidth="1"/>
    <col min="14191" max="14191" width="26.33203125" bestFit="1" customWidth="1"/>
    <col min="14192" max="14192" width="25.109375" bestFit="1" customWidth="1"/>
    <col min="14193" max="14193" width="31.21875" bestFit="1" customWidth="1"/>
    <col min="14194" max="14194" width="25.6640625" bestFit="1" customWidth="1"/>
    <col min="14195" max="14195" width="31.5546875" bestFit="1" customWidth="1"/>
    <col min="14196" max="14196" width="37.6640625" bestFit="1" customWidth="1"/>
    <col min="14197" max="14197" width="32.109375" bestFit="1" customWidth="1"/>
    <col min="14198" max="14198" width="22.77734375" bestFit="1" customWidth="1"/>
    <col min="14199" max="14199" width="28.88671875" bestFit="1" customWidth="1"/>
    <col min="14200" max="14200" width="23.33203125" bestFit="1" customWidth="1"/>
    <col min="14201" max="14201" width="25.44140625" bestFit="1" customWidth="1"/>
    <col min="14202" max="14202" width="31.6640625" bestFit="1" customWidth="1"/>
    <col min="14203" max="14203" width="26" bestFit="1" customWidth="1"/>
    <col min="14204" max="14204" width="27.77734375" bestFit="1" customWidth="1"/>
    <col min="14205" max="14205" width="33.88671875" bestFit="1" customWidth="1"/>
    <col min="14206" max="14206" width="28.33203125" bestFit="1" customWidth="1"/>
    <col min="14207" max="14207" width="30.33203125" bestFit="1" customWidth="1"/>
    <col min="14208" max="14208" width="36.5546875" bestFit="1" customWidth="1"/>
    <col min="14209" max="14209" width="30.88671875" bestFit="1" customWidth="1"/>
    <col min="14210" max="14210" width="25.6640625" bestFit="1" customWidth="1"/>
    <col min="14211" max="14211" width="31.88671875" bestFit="1" customWidth="1"/>
    <col min="14212" max="14212" width="26.33203125" bestFit="1" customWidth="1"/>
    <col min="14213" max="14213" width="25.109375" bestFit="1" customWidth="1"/>
    <col min="14214" max="14214" width="31.21875" bestFit="1" customWidth="1"/>
    <col min="14215" max="14215" width="25.6640625" bestFit="1" customWidth="1"/>
    <col min="14216" max="14216" width="31.5546875" bestFit="1" customWidth="1"/>
    <col min="14217" max="14217" width="37.6640625" bestFit="1" customWidth="1"/>
    <col min="14218" max="14218" width="32.109375" bestFit="1" customWidth="1"/>
    <col min="14219" max="14219" width="22.77734375" bestFit="1" customWidth="1"/>
    <col min="14220" max="14220" width="28.88671875" bestFit="1" customWidth="1"/>
    <col min="14221" max="14221" width="23.33203125" bestFit="1" customWidth="1"/>
    <col min="14222" max="14222" width="25.44140625" bestFit="1" customWidth="1"/>
    <col min="14223" max="14223" width="31.6640625" bestFit="1" customWidth="1"/>
    <col min="14224" max="14224" width="26" bestFit="1" customWidth="1"/>
    <col min="14225" max="14225" width="27.77734375" bestFit="1" customWidth="1"/>
    <col min="14226" max="14226" width="33.88671875" bestFit="1" customWidth="1"/>
    <col min="14227" max="14227" width="28.33203125" bestFit="1" customWidth="1"/>
    <col min="14228" max="14228" width="30.33203125" bestFit="1" customWidth="1"/>
    <col min="14229" max="14229" width="36.5546875" bestFit="1" customWidth="1"/>
    <col min="14230" max="14230" width="30.88671875" bestFit="1" customWidth="1"/>
    <col min="14231" max="14231" width="25.6640625" bestFit="1" customWidth="1"/>
    <col min="14232" max="14232" width="31.88671875" bestFit="1" customWidth="1"/>
    <col min="14233" max="14233" width="26.33203125" bestFit="1" customWidth="1"/>
    <col min="14234" max="14234" width="25.109375" bestFit="1" customWidth="1"/>
    <col min="14235" max="14235" width="31.21875" bestFit="1" customWidth="1"/>
    <col min="14236" max="14236" width="25.6640625" bestFit="1" customWidth="1"/>
    <col min="14237" max="14237" width="31.5546875" bestFit="1" customWidth="1"/>
    <col min="14238" max="14238" width="37.6640625" bestFit="1" customWidth="1"/>
    <col min="14239" max="14239" width="32.109375" bestFit="1" customWidth="1"/>
    <col min="14240" max="14240" width="22.77734375" bestFit="1" customWidth="1"/>
    <col min="14241" max="14241" width="28.88671875" bestFit="1" customWidth="1"/>
    <col min="14242" max="14242" width="23.33203125" bestFit="1" customWidth="1"/>
    <col min="14243" max="14243" width="25.44140625" bestFit="1" customWidth="1"/>
    <col min="14244" max="14244" width="31.6640625" bestFit="1" customWidth="1"/>
    <col min="14245" max="14245" width="26" bestFit="1" customWidth="1"/>
    <col min="14246" max="14246" width="27.77734375" bestFit="1" customWidth="1"/>
    <col min="14247" max="14247" width="33.88671875" bestFit="1" customWidth="1"/>
    <col min="14248" max="14248" width="28.33203125" bestFit="1" customWidth="1"/>
    <col min="14249" max="14249" width="30.33203125" bestFit="1" customWidth="1"/>
    <col min="14250" max="14250" width="36.5546875" bestFit="1" customWidth="1"/>
    <col min="14251" max="14251" width="30.88671875" bestFit="1" customWidth="1"/>
    <col min="14252" max="14252" width="25.6640625" bestFit="1" customWidth="1"/>
    <col min="14253" max="14253" width="31.88671875" bestFit="1" customWidth="1"/>
    <col min="14254" max="14254" width="26.33203125" bestFit="1" customWidth="1"/>
    <col min="14255" max="14255" width="25.109375" bestFit="1" customWidth="1"/>
    <col min="14256" max="14256" width="31.21875" bestFit="1" customWidth="1"/>
    <col min="14257" max="14257" width="25.6640625" bestFit="1" customWidth="1"/>
    <col min="14258" max="14258" width="31.5546875" bestFit="1" customWidth="1"/>
    <col min="14259" max="14259" width="37.6640625" bestFit="1" customWidth="1"/>
    <col min="14260" max="14260" width="32.109375" bestFit="1" customWidth="1"/>
    <col min="14261" max="14261" width="22.77734375" bestFit="1" customWidth="1"/>
    <col min="14262" max="14262" width="28.88671875" bestFit="1" customWidth="1"/>
    <col min="14263" max="14263" width="23.33203125" bestFit="1" customWidth="1"/>
    <col min="14264" max="14264" width="25.44140625" bestFit="1" customWidth="1"/>
    <col min="14265" max="14265" width="31.6640625" bestFit="1" customWidth="1"/>
    <col min="14266" max="14266" width="26" bestFit="1" customWidth="1"/>
    <col min="14267" max="14267" width="26.77734375" bestFit="1" customWidth="1"/>
    <col min="14268" max="14268" width="32.88671875" bestFit="1" customWidth="1"/>
    <col min="14269" max="14269" width="27.33203125" bestFit="1" customWidth="1"/>
    <col min="14270" max="14270" width="30.33203125" bestFit="1" customWidth="1"/>
    <col min="14271" max="14271" width="36.5546875" bestFit="1" customWidth="1"/>
    <col min="14272" max="14272" width="30.88671875" bestFit="1" customWidth="1"/>
    <col min="14273" max="14273" width="25.6640625" bestFit="1" customWidth="1"/>
    <col min="14274" max="14274" width="31.88671875" bestFit="1" customWidth="1"/>
    <col min="14275" max="14275" width="26.33203125" bestFit="1" customWidth="1"/>
    <col min="14276" max="14276" width="25.109375" bestFit="1" customWidth="1"/>
    <col min="14277" max="14277" width="31.21875" bestFit="1" customWidth="1"/>
    <col min="14278" max="14278" width="25.6640625" bestFit="1" customWidth="1"/>
    <col min="14279" max="14279" width="31.5546875" bestFit="1" customWidth="1"/>
    <col min="14280" max="14280" width="37.6640625" bestFit="1" customWidth="1"/>
    <col min="14281" max="14281" width="32.109375" bestFit="1" customWidth="1"/>
    <col min="14282" max="14282" width="22.77734375" bestFit="1" customWidth="1"/>
    <col min="14283" max="14283" width="28.88671875" bestFit="1" customWidth="1"/>
    <col min="14284" max="14284" width="23.33203125" bestFit="1" customWidth="1"/>
    <col min="14285" max="14285" width="25.44140625" bestFit="1" customWidth="1"/>
    <col min="14286" max="14286" width="31.6640625" bestFit="1" customWidth="1"/>
    <col min="14287" max="14287" width="26" bestFit="1" customWidth="1"/>
    <col min="14288" max="14288" width="27.77734375" bestFit="1" customWidth="1"/>
    <col min="14289" max="14289" width="33.88671875" bestFit="1" customWidth="1"/>
    <col min="14290" max="14290" width="28.33203125" bestFit="1" customWidth="1"/>
    <col min="14291" max="14291" width="30.33203125" bestFit="1" customWidth="1"/>
    <col min="14292" max="14292" width="36.5546875" bestFit="1" customWidth="1"/>
    <col min="14293" max="14293" width="30.88671875" bestFit="1" customWidth="1"/>
    <col min="14294" max="14294" width="25.6640625" bestFit="1" customWidth="1"/>
    <col min="14295" max="14295" width="31.88671875" bestFit="1" customWidth="1"/>
    <col min="14296" max="14296" width="26.33203125" bestFit="1" customWidth="1"/>
    <col min="14297" max="14297" width="25.109375" bestFit="1" customWidth="1"/>
    <col min="14298" max="14298" width="31.21875" bestFit="1" customWidth="1"/>
    <col min="14299" max="14299" width="25.6640625" bestFit="1" customWidth="1"/>
    <col min="14300" max="14300" width="31.5546875" bestFit="1" customWidth="1"/>
    <col min="14301" max="14301" width="37.6640625" bestFit="1" customWidth="1"/>
    <col min="14302" max="14302" width="32.109375" bestFit="1" customWidth="1"/>
    <col min="14303" max="14303" width="22.77734375" bestFit="1" customWidth="1"/>
    <col min="14304" max="14304" width="28.88671875" bestFit="1" customWidth="1"/>
    <col min="14305" max="14305" width="23.33203125" bestFit="1" customWidth="1"/>
    <col min="14306" max="14306" width="25.44140625" bestFit="1" customWidth="1"/>
    <col min="14307" max="14307" width="31.6640625" bestFit="1" customWidth="1"/>
    <col min="14308" max="14308" width="26" bestFit="1" customWidth="1"/>
    <col min="14309" max="14309" width="27.77734375" bestFit="1" customWidth="1"/>
    <col min="14310" max="14310" width="33.88671875" bestFit="1" customWidth="1"/>
    <col min="14311" max="14311" width="28.33203125" bestFit="1" customWidth="1"/>
    <col min="14312" max="14312" width="30.33203125" bestFit="1" customWidth="1"/>
    <col min="14313" max="14313" width="36.5546875" bestFit="1" customWidth="1"/>
    <col min="14314" max="14314" width="30.88671875" bestFit="1" customWidth="1"/>
    <col min="14315" max="14315" width="25.6640625" bestFit="1" customWidth="1"/>
    <col min="14316" max="14316" width="31.88671875" bestFit="1" customWidth="1"/>
    <col min="14317" max="14317" width="26.33203125" bestFit="1" customWidth="1"/>
    <col min="14318" max="14318" width="25.109375" bestFit="1" customWidth="1"/>
    <col min="14319" max="14319" width="31.21875" bestFit="1" customWidth="1"/>
    <col min="14320" max="14320" width="25.6640625" bestFit="1" customWidth="1"/>
    <col min="14321" max="14321" width="31.5546875" bestFit="1" customWidth="1"/>
    <col min="14322" max="14322" width="37.6640625" bestFit="1" customWidth="1"/>
    <col min="14323" max="14323" width="32.109375" bestFit="1" customWidth="1"/>
    <col min="14324" max="14324" width="22.77734375" bestFit="1" customWidth="1"/>
    <col min="14325" max="14325" width="28.88671875" bestFit="1" customWidth="1"/>
    <col min="14326" max="14326" width="23.33203125" bestFit="1" customWidth="1"/>
    <col min="14327" max="14327" width="25.44140625" bestFit="1" customWidth="1"/>
    <col min="14328" max="14328" width="31.6640625" bestFit="1" customWidth="1"/>
    <col min="14329" max="14329" width="26" bestFit="1" customWidth="1"/>
    <col min="14330" max="14330" width="27.77734375" bestFit="1" customWidth="1"/>
    <col min="14331" max="14331" width="33.88671875" bestFit="1" customWidth="1"/>
    <col min="14332" max="14332" width="28.33203125" bestFit="1" customWidth="1"/>
    <col min="14333" max="14333" width="30.33203125" bestFit="1" customWidth="1"/>
    <col min="14334" max="14334" width="36.5546875" bestFit="1" customWidth="1"/>
    <col min="14335" max="14335" width="30.88671875" bestFit="1" customWidth="1"/>
    <col min="14336" max="14336" width="25.6640625" bestFit="1" customWidth="1"/>
    <col min="14337" max="14337" width="31.88671875" bestFit="1" customWidth="1"/>
    <col min="14338" max="14338" width="26.33203125" bestFit="1" customWidth="1"/>
    <col min="14339" max="14339" width="25.109375" bestFit="1" customWidth="1"/>
    <col min="14340" max="14340" width="31.21875" bestFit="1" customWidth="1"/>
    <col min="14341" max="14341" width="25.6640625" bestFit="1" customWidth="1"/>
    <col min="14342" max="14342" width="31.5546875" bestFit="1" customWidth="1"/>
    <col min="14343" max="14343" width="37.6640625" bestFit="1" customWidth="1"/>
    <col min="14344" max="14344" width="32.109375" bestFit="1" customWidth="1"/>
    <col min="14345" max="14345" width="22.77734375" bestFit="1" customWidth="1"/>
    <col min="14346" max="14346" width="28.88671875" bestFit="1" customWidth="1"/>
    <col min="14347" max="14347" width="23.33203125" bestFit="1" customWidth="1"/>
    <col min="14348" max="14348" width="25.44140625" bestFit="1" customWidth="1"/>
    <col min="14349" max="14349" width="31.6640625" bestFit="1" customWidth="1"/>
    <col min="14350" max="14350" width="26" bestFit="1" customWidth="1"/>
    <col min="14351" max="14351" width="27.77734375" bestFit="1" customWidth="1"/>
    <col min="14352" max="14352" width="33.88671875" bestFit="1" customWidth="1"/>
    <col min="14353" max="14353" width="28.33203125" bestFit="1" customWidth="1"/>
    <col min="14354" max="14354" width="30.33203125" bestFit="1" customWidth="1"/>
    <col min="14355" max="14355" width="36.5546875" bestFit="1" customWidth="1"/>
    <col min="14356" max="14356" width="30.88671875" bestFit="1" customWidth="1"/>
    <col min="14357" max="14357" width="25.6640625" bestFit="1" customWidth="1"/>
    <col min="14358" max="14358" width="31.88671875" bestFit="1" customWidth="1"/>
    <col min="14359" max="14359" width="26.33203125" bestFit="1" customWidth="1"/>
    <col min="14360" max="14360" width="25.109375" bestFit="1" customWidth="1"/>
    <col min="14361" max="14361" width="31.21875" bestFit="1" customWidth="1"/>
    <col min="14362" max="14362" width="25.6640625" bestFit="1" customWidth="1"/>
    <col min="14363" max="14363" width="31.5546875" bestFit="1" customWidth="1"/>
    <col min="14364" max="14364" width="37.6640625" bestFit="1" customWidth="1"/>
    <col min="14365" max="14365" width="32.109375" bestFit="1" customWidth="1"/>
    <col min="14366" max="14366" width="22.77734375" bestFit="1" customWidth="1"/>
    <col min="14367" max="14367" width="28.88671875" bestFit="1" customWidth="1"/>
    <col min="14368" max="14368" width="23.33203125" bestFit="1" customWidth="1"/>
    <col min="14369" max="14369" width="25.44140625" bestFit="1" customWidth="1"/>
    <col min="14370" max="14370" width="31.6640625" bestFit="1" customWidth="1"/>
    <col min="14371" max="14371" width="26" bestFit="1" customWidth="1"/>
    <col min="14372" max="14372" width="26.77734375" bestFit="1" customWidth="1"/>
    <col min="14373" max="14373" width="32.88671875" bestFit="1" customWidth="1"/>
    <col min="14374" max="14374" width="27.33203125" bestFit="1" customWidth="1"/>
    <col min="14375" max="14375" width="30.33203125" bestFit="1" customWidth="1"/>
    <col min="14376" max="14376" width="36.5546875" bestFit="1" customWidth="1"/>
    <col min="14377" max="14377" width="30.88671875" bestFit="1" customWidth="1"/>
    <col min="14378" max="14378" width="25.6640625" bestFit="1" customWidth="1"/>
    <col min="14379" max="14379" width="31.88671875" bestFit="1" customWidth="1"/>
    <col min="14380" max="14380" width="26.33203125" bestFit="1" customWidth="1"/>
    <col min="14381" max="14381" width="25.109375" bestFit="1" customWidth="1"/>
    <col min="14382" max="14382" width="31.21875" bestFit="1" customWidth="1"/>
    <col min="14383" max="14383" width="25.6640625" bestFit="1" customWidth="1"/>
    <col min="14384" max="14384" width="31.5546875" bestFit="1" customWidth="1"/>
    <col min="14385" max="14385" width="37.6640625" bestFit="1" customWidth="1"/>
    <col min="14386" max="14386" width="32.109375" bestFit="1" customWidth="1"/>
    <col min="14387" max="14387" width="22.77734375" bestFit="1" customWidth="1"/>
    <col min="14388" max="14388" width="28.88671875" bestFit="1" customWidth="1"/>
    <col min="14389" max="14389" width="23.33203125" bestFit="1" customWidth="1"/>
    <col min="14390" max="14390" width="25.44140625" bestFit="1" customWidth="1"/>
    <col min="14391" max="14391" width="31.6640625" bestFit="1" customWidth="1"/>
    <col min="14392" max="14392" width="26" bestFit="1" customWidth="1"/>
    <col min="14393" max="14393" width="27.77734375" bestFit="1" customWidth="1"/>
    <col min="14394" max="14394" width="33.88671875" bestFit="1" customWidth="1"/>
    <col min="14395" max="14395" width="28.33203125" bestFit="1" customWidth="1"/>
    <col min="14396" max="14396" width="30.33203125" bestFit="1" customWidth="1"/>
    <col min="14397" max="14397" width="36.5546875" bestFit="1" customWidth="1"/>
    <col min="14398" max="14398" width="30.88671875" bestFit="1" customWidth="1"/>
    <col min="14399" max="14399" width="25.6640625" bestFit="1" customWidth="1"/>
    <col min="14400" max="14400" width="31.88671875" bestFit="1" customWidth="1"/>
    <col min="14401" max="14401" width="26.33203125" bestFit="1" customWidth="1"/>
    <col min="14402" max="14402" width="25.109375" bestFit="1" customWidth="1"/>
    <col min="14403" max="14403" width="31.21875" bestFit="1" customWidth="1"/>
    <col min="14404" max="14404" width="25.6640625" bestFit="1" customWidth="1"/>
    <col min="14405" max="14405" width="31.5546875" bestFit="1" customWidth="1"/>
    <col min="14406" max="14406" width="37.6640625" bestFit="1" customWidth="1"/>
    <col min="14407" max="14407" width="32.109375" bestFit="1" customWidth="1"/>
    <col min="14408" max="14408" width="22.77734375" bestFit="1" customWidth="1"/>
    <col min="14409" max="14409" width="28.88671875" bestFit="1" customWidth="1"/>
    <col min="14410" max="14410" width="23.33203125" bestFit="1" customWidth="1"/>
    <col min="14411" max="14411" width="25.44140625" bestFit="1" customWidth="1"/>
    <col min="14412" max="14412" width="31.6640625" bestFit="1" customWidth="1"/>
    <col min="14413" max="14413" width="26" bestFit="1" customWidth="1"/>
    <col min="14414" max="14414" width="27.77734375" bestFit="1" customWidth="1"/>
    <col min="14415" max="14415" width="33.88671875" bestFit="1" customWidth="1"/>
    <col min="14416" max="14416" width="28.33203125" bestFit="1" customWidth="1"/>
    <col min="14417" max="14417" width="30.33203125" bestFit="1" customWidth="1"/>
    <col min="14418" max="14418" width="36.5546875" bestFit="1" customWidth="1"/>
    <col min="14419" max="14419" width="30.88671875" bestFit="1" customWidth="1"/>
    <col min="14420" max="14420" width="25.6640625" bestFit="1" customWidth="1"/>
    <col min="14421" max="14421" width="31.88671875" bestFit="1" customWidth="1"/>
    <col min="14422" max="14422" width="26.33203125" bestFit="1" customWidth="1"/>
    <col min="14423" max="14423" width="25.109375" bestFit="1" customWidth="1"/>
    <col min="14424" max="14424" width="31.21875" bestFit="1" customWidth="1"/>
    <col min="14425" max="14425" width="25.6640625" bestFit="1" customWidth="1"/>
    <col min="14426" max="14426" width="31.5546875" bestFit="1" customWidth="1"/>
    <col min="14427" max="14427" width="37.6640625" bestFit="1" customWidth="1"/>
    <col min="14428" max="14428" width="32.109375" bestFit="1" customWidth="1"/>
    <col min="14429" max="14429" width="22.77734375" bestFit="1" customWidth="1"/>
    <col min="14430" max="14430" width="28.88671875" bestFit="1" customWidth="1"/>
    <col min="14431" max="14431" width="23.33203125" bestFit="1" customWidth="1"/>
    <col min="14432" max="14432" width="25.44140625" bestFit="1" customWidth="1"/>
    <col min="14433" max="14433" width="31.6640625" bestFit="1" customWidth="1"/>
    <col min="14434" max="14434" width="26" bestFit="1" customWidth="1"/>
    <col min="14435" max="14435" width="27.77734375" bestFit="1" customWidth="1"/>
    <col min="14436" max="14436" width="33.88671875" bestFit="1" customWidth="1"/>
    <col min="14437" max="14437" width="28.33203125" bestFit="1" customWidth="1"/>
    <col min="14438" max="14438" width="30.33203125" bestFit="1" customWidth="1"/>
    <col min="14439" max="14439" width="36.5546875" bestFit="1" customWidth="1"/>
    <col min="14440" max="14440" width="30.88671875" bestFit="1" customWidth="1"/>
    <col min="14441" max="14441" width="25.6640625" bestFit="1" customWidth="1"/>
    <col min="14442" max="14442" width="31.88671875" bestFit="1" customWidth="1"/>
    <col min="14443" max="14443" width="26.33203125" bestFit="1" customWidth="1"/>
    <col min="14444" max="14444" width="25.109375" bestFit="1" customWidth="1"/>
    <col min="14445" max="14445" width="31.21875" bestFit="1" customWidth="1"/>
    <col min="14446" max="14446" width="25.6640625" bestFit="1" customWidth="1"/>
    <col min="14447" max="14447" width="31.5546875" bestFit="1" customWidth="1"/>
    <col min="14448" max="14448" width="37.6640625" bestFit="1" customWidth="1"/>
    <col min="14449" max="14449" width="32.109375" bestFit="1" customWidth="1"/>
    <col min="14450" max="14450" width="22.77734375" bestFit="1" customWidth="1"/>
    <col min="14451" max="14451" width="28.88671875" bestFit="1" customWidth="1"/>
    <col min="14452" max="14452" width="23.33203125" bestFit="1" customWidth="1"/>
    <col min="14453" max="14453" width="25.44140625" bestFit="1" customWidth="1"/>
    <col min="14454" max="14454" width="31.6640625" bestFit="1" customWidth="1"/>
    <col min="14455" max="14455" width="26" bestFit="1" customWidth="1"/>
    <col min="14456" max="14456" width="27.77734375" bestFit="1" customWidth="1"/>
    <col min="14457" max="14457" width="33.88671875" bestFit="1" customWidth="1"/>
    <col min="14458" max="14458" width="28.33203125" bestFit="1" customWidth="1"/>
    <col min="14459" max="14459" width="30.33203125" bestFit="1" customWidth="1"/>
    <col min="14460" max="14460" width="36.5546875" bestFit="1" customWidth="1"/>
    <col min="14461" max="14461" width="30.88671875" bestFit="1" customWidth="1"/>
    <col min="14462" max="14462" width="25.6640625" bestFit="1" customWidth="1"/>
    <col min="14463" max="14463" width="31.88671875" bestFit="1" customWidth="1"/>
    <col min="14464" max="14464" width="26.33203125" bestFit="1" customWidth="1"/>
    <col min="14465" max="14465" width="25.109375" bestFit="1" customWidth="1"/>
    <col min="14466" max="14466" width="31.21875" bestFit="1" customWidth="1"/>
    <col min="14467" max="14467" width="25.6640625" bestFit="1" customWidth="1"/>
    <col min="14468" max="14468" width="31.5546875" bestFit="1" customWidth="1"/>
    <col min="14469" max="14469" width="37.6640625" bestFit="1" customWidth="1"/>
    <col min="14470" max="14470" width="32.109375" bestFit="1" customWidth="1"/>
    <col min="14471" max="14471" width="22.77734375" bestFit="1" customWidth="1"/>
    <col min="14472" max="14472" width="28.88671875" bestFit="1" customWidth="1"/>
    <col min="14473" max="14473" width="23.33203125" bestFit="1" customWidth="1"/>
    <col min="14474" max="14474" width="25.44140625" bestFit="1" customWidth="1"/>
    <col min="14475" max="14475" width="31.6640625" bestFit="1" customWidth="1"/>
    <col min="14476" max="14476" width="26" bestFit="1" customWidth="1"/>
    <col min="14477" max="14477" width="27.77734375" bestFit="1" customWidth="1"/>
    <col min="14478" max="14478" width="33.88671875" bestFit="1" customWidth="1"/>
    <col min="14479" max="14479" width="28.33203125" bestFit="1" customWidth="1"/>
    <col min="14480" max="14480" width="30.33203125" bestFit="1" customWidth="1"/>
    <col min="14481" max="14481" width="36.5546875" bestFit="1" customWidth="1"/>
    <col min="14482" max="14482" width="30.88671875" bestFit="1" customWidth="1"/>
    <col min="14483" max="14483" width="25.6640625" bestFit="1" customWidth="1"/>
    <col min="14484" max="14484" width="31.88671875" bestFit="1" customWidth="1"/>
    <col min="14485" max="14485" width="26.33203125" bestFit="1" customWidth="1"/>
    <col min="14486" max="14486" width="25.109375" bestFit="1" customWidth="1"/>
    <col min="14487" max="14487" width="31.21875" bestFit="1" customWidth="1"/>
    <col min="14488" max="14488" width="25.6640625" bestFit="1" customWidth="1"/>
    <col min="14489" max="14489" width="31.5546875" bestFit="1" customWidth="1"/>
    <col min="14490" max="14490" width="37.6640625" bestFit="1" customWidth="1"/>
    <col min="14491" max="14491" width="32.109375" bestFit="1" customWidth="1"/>
    <col min="14492" max="14492" width="22.77734375" bestFit="1" customWidth="1"/>
    <col min="14493" max="14493" width="28.88671875" bestFit="1" customWidth="1"/>
    <col min="14494" max="14494" width="23.33203125" bestFit="1" customWidth="1"/>
    <col min="14495" max="14495" width="25.44140625" bestFit="1" customWidth="1"/>
    <col min="14496" max="14496" width="31.6640625" bestFit="1" customWidth="1"/>
    <col min="14497" max="14497" width="26" bestFit="1" customWidth="1"/>
    <col min="14498" max="14498" width="27.77734375" bestFit="1" customWidth="1"/>
    <col min="14499" max="14499" width="33.88671875" bestFit="1" customWidth="1"/>
    <col min="14500" max="14500" width="28.33203125" bestFit="1" customWidth="1"/>
    <col min="14501" max="14501" width="30.33203125" bestFit="1" customWidth="1"/>
    <col min="14502" max="14502" width="36.5546875" bestFit="1" customWidth="1"/>
    <col min="14503" max="14503" width="30.88671875" bestFit="1" customWidth="1"/>
    <col min="14504" max="14504" width="25.6640625" bestFit="1" customWidth="1"/>
    <col min="14505" max="14505" width="31.88671875" bestFit="1" customWidth="1"/>
    <col min="14506" max="14506" width="26.33203125" bestFit="1" customWidth="1"/>
    <col min="14507" max="14507" width="25.109375" bestFit="1" customWidth="1"/>
    <col min="14508" max="14508" width="31.21875" bestFit="1" customWidth="1"/>
    <col min="14509" max="14509" width="25.6640625" bestFit="1" customWidth="1"/>
    <col min="14510" max="14510" width="31.5546875" bestFit="1" customWidth="1"/>
    <col min="14511" max="14511" width="37.6640625" bestFit="1" customWidth="1"/>
    <col min="14512" max="14512" width="32.109375" bestFit="1" customWidth="1"/>
    <col min="14513" max="14513" width="22.77734375" bestFit="1" customWidth="1"/>
    <col min="14514" max="14514" width="28.88671875" bestFit="1" customWidth="1"/>
    <col min="14515" max="14515" width="23.33203125" bestFit="1" customWidth="1"/>
    <col min="14516" max="14516" width="25.44140625" bestFit="1" customWidth="1"/>
    <col min="14517" max="14517" width="31.6640625" bestFit="1" customWidth="1"/>
    <col min="14518" max="14518" width="26" bestFit="1" customWidth="1"/>
    <col min="14519" max="14519" width="27.77734375" bestFit="1" customWidth="1"/>
    <col min="14520" max="14520" width="33.88671875" bestFit="1" customWidth="1"/>
    <col min="14521" max="14521" width="28.33203125" bestFit="1" customWidth="1"/>
    <col min="14522" max="14522" width="30.33203125" bestFit="1" customWidth="1"/>
    <col min="14523" max="14523" width="36.5546875" bestFit="1" customWidth="1"/>
    <col min="14524" max="14524" width="30.88671875" bestFit="1" customWidth="1"/>
    <col min="14525" max="14525" width="25.6640625" bestFit="1" customWidth="1"/>
    <col min="14526" max="14526" width="31.88671875" bestFit="1" customWidth="1"/>
    <col min="14527" max="14527" width="26.33203125" bestFit="1" customWidth="1"/>
    <col min="14528" max="14528" width="25.109375" bestFit="1" customWidth="1"/>
    <col min="14529" max="14529" width="31.21875" bestFit="1" customWidth="1"/>
    <col min="14530" max="14530" width="25.6640625" bestFit="1" customWidth="1"/>
    <col min="14531" max="14531" width="31.5546875" bestFit="1" customWidth="1"/>
    <col min="14532" max="14532" width="37.6640625" bestFit="1" customWidth="1"/>
    <col min="14533" max="14533" width="32.109375" bestFit="1" customWidth="1"/>
    <col min="14534" max="14534" width="22.77734375" bestFit="1" customWidth="1"/>
    <col min="14535" max="14535" width="28.88671875" bestFit="1" customWidth="1"/>
    <col min="14536" max="14536" width="23.33203125" bestFit="1" customWidth="1"/>
    <col min="14537" max="14537" width="25.44140625" bestFit="1" customWidth="1"/>
    <col min="14538" max="14538" width="31.6640625" bestFit="1" customWidth="1"/>
    <col min="14539" max="14539" width="26" bestFit="1" customWidth="1"/>
    <col min="14540" max="14540" width="27.77734375" bestFit="1" customWidth="1"/>
    <col min="14541" max="14541" width="33.88671875" bestFit="1" customWidth="1"/>
    <col min="14542" max="14542" width="28.33203125" bestFit="1" customWidth="1"/>
    <col min="14543" max="14543" width="30.33203125" bestFit="1" customWidth="1"/>
    <col min="14544" max="14544" width="36.5546875" bestFit="1" customWidth="1"/>
    <col min="14545" max="14545" width="30.88671875" bestFit="1" customWidth="1"/>
    <col min="14546" max="14546" width="25.6640625" bestFit="1" customWidth="1"/>
    <col min="14547" max="14547" width="31.88671875" bestFit="1" customWidth="1"/>
    <col min="14548" max="14548" width="26.33203125" bestFit="1" customWidth="1"/>
    <col min="14549" max="14549" width="25.109375" bestFit="1" customWidth="1"/>
    <col min="14550" max="14550" width="31.21875" bestFit="1" customWidth="1"/>
    <col min="14551" max="14551" width="25.6640625" bestFit="1" customWidth="1"/>
    <col min="14552" max="14552" width="31.5546875" bestFit="1" customWidth="1"/>
    <col min="14553" max="14553" width="37.6640625" bestFit="1" customWidth="1"/>
    <col min="14554" max="14554" width="32.109375" bestFit="1" customWidth="1"/>
    <col min="14555" max="14555" width="22.77734375" bestFit="1" customWidth="1"/>
    <col min="14556" max="14556" width="28.88671875" bestFit="1" customWidth="1"/>
    <col min="14557" max="14557" width="23.33203125" bestFit="1" customWidth="1"/>
    <col min="14558" max="14558" width="25.44140625" bestFit="1" customWidth="1"/>
    <col min="14559" max="14559" width="31.6640625" bestFit="1" customWidth="1"/>
    <col min="14560" max="14560" width="26" bestFit="1" customWidth="1"/>
    <col min="14561" max="14561" width="27.77734375" bestFit="1" customWidth="1"/>
    <col min="14562" max="14562" width="33.88671875" bestFit="1" customWidth="1"/>
    <col min="14563" max="14563" width="28.33203125" bestFit="1" customWidth="1"/>
    <col min="14564" max="14564" width="30.33203125" bestFit="1" customWidth="1"/>
    <col min="14565" max="14565" width="36.5546875" bestFit="1" customWidth="1"/>
    <col min="14566" max="14566" width="30.88671875" bestFit="1" customWidth="1"/>
    <col min="14567" max="14567" width="25.6640625" bestFit="1" customWidth="1"/>
    <col min="14568" max="14568" width="31.88671875" bestFit="1" customWidth="1"/>
    <col min="14569" max="14569" width="26.33203125" bestFit="1" customWidth="1"/>
    <col min="14570" max="14570" width="25.109375" bestFit="1" customWidth="1"/>
    <col min="14571" max="14571" width="31.21875" bestFit="1" customWidth="1"/>
    <col min="14572" max="14572" width="25.6640625" bestFit="1" customWidth="1"/>
    <col min="14573" max="14573" width="31.5546875" bestFit="1" customWidth="1"/>
    <col min="14574" max="14574" width="37.6640625" bestFit="1" customWidth="1"/>
    <col min="14575" max="14575" width="32.109375" bestFit="1" customWidth="1"/>
    <col min="14576" max="14576" width="22.77734375" bestFit="1" customWidth="1"/>
    <col min="14577" max="14577" width="28.88671875" bestFit="1" customWidth="1"/>
    <col min="14578" max="14578" width="23.33203125" bestFit="1" customWidth="1"/>
    <col min="14579" max="14579" width="25.44140625" bestFit="1" customWidth="1"/>
    <col min="14580" max="14580" width="31.6640625" bestFit="1" customWidth="1"/>
    <col min="14581" max="14581" width="26" bestFit="1" customWidth="1"/>
    <col min="14582" max="14582" width="27.77734375" bestFit="1" customWidth="1"/>
    <col min="14583" max="14583" width="33.88671875" bestFit="1" customWidth="1"/>
    <col min="14584" max="14584" width="28.33203125" bestFit="1" customWidth="1"/>
    <col min="14585" max="14585" width="30.33203125" bestFit="1" customWidth="1"/>
    <col min="14586" max="14586" width="36.5546875" bestFit="1" customWidth="1"/>
    <col min="14587" max="14587" width="30.88671875" bestFit="1" customWidth="1"/>
    <col min="14588" max="14588" width="25.6640625" bestFit="1" customWidth="1"/>
    <col min="14589" max="14589" width="31.88671875" bestFit="1" customWidth="1"/>
    <col min="14590" max="14590" width="26.33203125" bestFit="1" customWidth="1"/>
    <col min="14591" max="14591" width="25.109375" bestFit="1" customWidth="1"/>
    <col min="14592" max="14592" width="31.21875" bestFit="1" customWidth="1"/>
    <col min="14593" max="14593" width="25.6640625" bestFit="1" customWidth="1"/>
    <col min="14594" max="14594" width="31.5546875" bestFit="1" customWidth="1"/>
    <col min="14595" max="14595" width="37.6640625" bestFit="1" customWidth="1"/>
    <col min="14596" max="14596" width="32.109375" bestFit="1" customWidth="1"/>
    <col min="14597" max="14597" width="22.77734375" bestFit="1" customWidth="1"/>
    <col min="14598" max="14598" width="28.88671875" bestFit="1" customWidth="1"/>
    <col min="14599" max="14599" width="23.33203125" bestFit="1" customWidth="1"/>
    <col min="14600" max="14600" width="25.44140625" bestFit="1" customWidth="1"/>
    <col min="14601" max="14601" width="31.6640625" bestFit="1" customWidth="1"/>
    <col min="14602" max="14602" width="26" bestFit="1" customWidth="1"/>
    <col min="14603" max="14603" width="27.77734375" bestFit="1" customWidth="1"/>
    <col min="14604" max="14604" width="33.88671875" bestFit="1" customWidth="1"/>
    <col min="14605" max="14605" width="28.33203125" bestFit="1" customWidth="1"/>
    <col min="14606" max="14606" width="30.33203125" bestFit="1" customWidth="1"/>
    <col min="14607" max="14607" width="36.5546875" bestFit="1" customWidth="1"/>
    <col min="14608" max="14608" width="30.88671875" bestFit="1" customWidth="1"/>
    <col min="14609" max="14609" width="25.6640625" bestFit="1" customWidth="1"/>
    <col min="14610" max="14610" width="31.88671875" bestFit="1" customWidth="1"/>
    <col min="14611" max="14611" width="26.33203125" bestFit="1" customWidth="1"/>
    <col min="14612" max="14612" width="25.109375" bestFit="1" customWidth="1"/>
    <col min="14613" max="14613" width="31.21875" bestFit="1" customWidth="1"/>
    <col min="14614" max="14614" width="25.6640625" bestFit="1" customWidth="1"/>
    <col min="14615" max="14615" width="31.5546875" bestFit="1" customWidth="1"/>
    <col min="14616" max="14616" width="37.6640625" bestFit="1" customWidth="1"/>
    <col min="14617" max="14617" width="32.109375" bestFit="1" customWidth="1"/>
    <col min="14618" max="14618" width="22.77734375" bestFit="1" customWidth="1"/>
    <col min="14619" max="14619" width="28.88671875" bestFit="1" customWidth="1"/>
    <col min="14620" max="14620" width="23.33203125" bestFit="1" customWidth="1"/>
    <col min="14621" max="14621" width="25.44140625" bestFit="1" customWidth="1"/>
    <col min="14622" max="14622" width="31.6640625" bestFit="1" customWidth="1"/>
    <col min="14623" max="14623" width="26" bestFit="1" customWidth="1"/>
    <col min="14624" max="14624" width="27.77734375" bestFit="1" customWidth="1"/>
    <col min="14625" max="14625" width="33.88671875" bestFit="1" customWidth="1"/>
    <col min="14626" max="14626" width="28.33203125" bestFit="1" customWidth="1"/>
    <col min="14627" max="14627" width="30.33203125" bestFit="1" customWidth="1"/>
    <col min="14628" max="14628" width="36.5546875" bestFit="1" customWidth="1"/>
    <col min="14629" max="14629" width="30.88671875" bestFit="1" customWidth="1"/>
    <col min="14630" max="14630" width="25.6640625" bestFit="1" customWidth="1"/>
    <col min="14631" max="14631" width="31.88671875" bestFit="1" customWidth="1"/>
    <col min="14632" max="14632" width="26.33203125" bestFit="1" customWidth="1"/>
    <col min="14633" max="14633" width="25.109375" bestFit="1" customWidth="1"/>
    <col min="14634" max="14634" width="31.21875" bestFit="1" customWidth="1"/>
    <col min="14635" max="14635" width="25.6640625" bestFit="1" customWidth="1"/>
    <col min="14636" max="14636" width="31.5546875" bestFit="1" customWidth="1"/>
    <col min="14637" max="14637" width="37.6640625" bestFit="1" customWidth="1"/>
    <col min="14638" max="14638" width="32.109375" bestFit="1" customWidth="1"/>
    <col min="14639" max="14639" width="22.77734375" bestFit="1" customWidth="1"/>
    <col min="14640" max="14640" width="28.88671875" bestFit="1" customWidth="1"/>
    <col min="14641" max="14641" width="23.33203125" bestFit="1" customWidth="1"/>
    <col min="14642" max="14642" width="25.44140625" bestFit="1" customWidth="1"/>
    <col min="14643" max="14643" width="31.6640625" bestFit="1" customWidth="1"/>
    <col min="14644" max="14644" width="26" bestFit="1" customWidth="1"/>
    <col min="14645" max="14645" width="25.6640625" bestFit="1" customWidth="1"/>
    <col min="14646" max="14646" width="31.88671875" bestFit="1" customWidth="1"/>
    <col min="14647" max="14647" width="26.33203125" bestFit="1" customWidth="1"/>
    <col min="14648" max="14648" width="30.33203125" bestFit="1" customWidth="1"/>
    <col min="14649" max="14649" width="36.5546875" bestFit="1" customWidth="1"/>
    <col min="14650" max="14650" width="30.88671875" bestFit="1" customWidth="1"/>
    <col min="14651" max="14651" width="25.6640625" bestFit="1" customWidth="1"/>
    <col min="14652" max="14652" width="31.88671875" bestFit="1" customWidth="1"/>
    <col min="14653" max="14653" width="26.33203125" bestFit="1" customWidth="1"/>
    <col min="14654" max="14654" width="25.109375" bestFit="1" customWidth="1"/>
    <col min="14655" max="14655" width="31.21875" bestFit="1" customWidth="1"/>
    <col min="14656" max="14656" width="25.6640625" bestFit="1" customWidth="1"/>
    <col min="14657" max="14657" width="31.5546875" bestFit="1" customWidth="1"/>
    <col min="14658" max="14658" width="37.6640625" bestFit="1" customWidth="1"/>
    <col min="14659" max="14659" width="32.109375" bestFit="1" customWidth="1"/>
    <col min="14660" max="14660" width="22.77734375" bestFit="1" customWidth="1"/>
    <col min="14661" max="14661" width="28.88671875" bestFit="1" customWidth="1"/>
    <col min="14662" max="14662" width="23.33203125" bestFit="1" customWidth="1"/>
    <col min="14663" max="14663" width="25.44140625" bestFit="1" customWidth="1"/>
    <col min="14664" max="14664" width="31.6640625" bestFit="1" customWidth="1"/>
    <col min="14665" max="14665" width="26" bestFit="1" customWidth="1"/>
    <col min="14666" max="14666" width="27.77734375" bestFit="1" customWidth="1"/>
    <col min="14667" max="14667" width="33.88671875" bestFit="1" customWidth="1"/>
    <col min="14668" max="14668" width="28.33203125" bestFit="1" customWidth="1"/>
    <col min="14669" max="14669" width="30.33203125" bestFit="1" customWidth="1"/>
    <col min="14670" max="14670" width="36.5546875" bestFit="1" customWidth="1"/>
    <col min="14671" max="14671" width="30.88671875" bestFit="1" customWidth="1"/>
    <col min="14672" max="14672" width="25.6640625" bestFit="1" customWidth="1"/>
    <col min="14673" max="14673" width="31.88671875" bestFit="1" customWidth="1"/>
    <col min="14674" max="14674" width="26.33203125" bestFit="1" customWidth="1"/>
    <col min="14675" max="14675" width="25.109375" bestFit="1" customWidth="1"/>
    <col min="14676" max="14676" width="31.21875" bestFit="1" customWidth="1"/>
    <col min="14677" max="14677" width="25.6640625" bestFit="1" customWidth="1"/>
    <col min="14678" max="14678" width="31.5546875" bestFit="1" customWidth="1"/>
    <col min="14679" max="14679" width="37.6640625" bestFit="1" customWidth="1"/>
    <col min="14680" max="14680" width="32.109375" bestFit="1" customWidth="1"/>
    <col min="14681" max="14681" width="22.77734375" bestFit="1" customWidth="1"/>
    <col min="14682" max="14682" width="28.88671875" bestFit="1" customWidth="1"/>
    <col min="14683" max="14683" width="23.33203125" bestFit="1" customWidth="1"/>
    <col min="14684" max="14684" width="25.44140625" bestFit="1" customWidth="1"/>
    <col min="14685" max="14685" width="31.6640625" bestFit="1" customWidth="1"/>
    <col min="14686" max="14686" width="26" bestFit="1" customWidth="1"/>
    <col min="14687" max="14687" width="27.77734375" bestFit="1" customWidth="1"/>
    <col min="14688" max="14688" width="33.88671875" bestFit="1" customWidth="1"/>
    <col min="14689" max="14689" width="28.33203125" bestFit="1" customWidth="1"/>
    <col min="14690" max="14690" width="30.33203125" bestFit="1" customWidth="1"/>
    <col min="14691" max="14691" width="36.5546875" bestFit="1" customWidth="1"/>
    <col min="14692" max="14692" width="30.88671875" bestFit="1" customWidth="1"/>
    <col min="14693" max="14693" width="25.6640625" bestFit="1" customWidth="1"/>
    <col min="14694" max="14694" width="31.88671875" bestFit="1" customWidth="1"/>
    <col min="14695" max="14695" width="26.33203125" bestFit="1" customWidth="1"/>
    <col min="14696" max="14696" width="25.109375" bestFit="1" customWidth="1"/>
    <col min="14697" max="14697" width="31.21875" bestFit="1" customWidth="1"/>
    <col min="14698" max="14698" width="25.6640625" bestFit="1" customWidth="1"/>
    <col min="14699" max="14699" width="31.5546875" bestFit="1" customWidth="1"/>
    <col min="14700" max="14700" width="37.6640625" bestFit="1" customWidth="1"/>
    <col min="14701" max="14701" width="32.109375" bestFit="1" customWidth="1"/>
    <col min="14702" max="14702" width="22.77734375" bestFit="1" customWidth="1"/>
    <col min="14703" max="14703" width="28.88671875" bestFit="1" customWidth="1"/>
    <col min="14704" max="14704" width="23.33203125" bestFit="1" customWidth="1"/>
    <col min="14705" max="14705" width="25.44140625" bestFit="1" customWidth="1"/>
    <col min="14706" max="14706" width="31.6640625" bestFit="1" customWidth="1"/>
    <col min="14707" max="14707" width="26" bestFit="1" customWidth="1"/>
    <col min="14708" max="14708" width="27.77734375" bestFit="1" customWidth="1"/>
    <col min="14709" max="14709" width="33.88671875" bestFit="1" customWidth="1"/>
    <col min="14710" max="14710" width="28.33203125" bestFit="1" customWidth="1"/>
    <col min="14711" max="14711" width="30.33203125" bestFit="1" customWidth="1"/>
    <col min="14712" max="14712" width="36.5546875" bestFit="1" customWidth="1"/>
    <col min="14713" max="14713" width="30.88671875" bestFit="1" customWidth="1"/>
    <col min="14714" max="14714" width="25.6640625" bestFit="1" customWidth="1"/>
    <col min="14715" max="14715" width="31.88671875" bestFit="1" customWidth="1"/>
    <col min="14716" max="14716" width="26.33203125" bestFit="1" customWidth="1"/>
    <col min="14717" max="14717" width="25.109375" bestFit="1" customWidth="1"/>
    <col min="14718" max="14718" width="31.21875" bestFit="1" customWidth="1"/>
    <col min="14719" max="14719" width="25.6640625" bestFit="1" customWidth="1"/>
    <col min="14720" max="14720" width="31.5546875" bestFit="1" customWidth="1"/>
    <col min="14721" max="14721" width="37.6640625" bestFit="1" customWidth="1"/>
    <col min="14722" max="14722" width="32.109375" bestFit="1" customWidth="1"/>
    <col min="14723" max="14723" width="22.77734375" bestFit="1" customWidth="1"/>
    <col min="14724" max="14724" width="28.88671875" bestFit="1" customWidth="1"/>
    <col min="14725" max="14725" width="23.33203125" bestFit="1" customWidth="1"/>
    <col min="14726" max="14726" width="25.44140625" bestFit="1" customWidth="1"/>
    <col min="14727" max="14727" width="31.6640625" bestFit="1" customWidth="1"/>
    <col min="14728" max="14728" width="26" bestFit="1" customWidth="1"/>
    <col min="14729" max="14729" width="27.77734375" bestFit="1" customWidth="1"/>
    <col min="14730" max="14730" width="33.88671875" bestFit="1" customWidth="1"/>
    <col min="14731" max="14731" width="28.33203125" bestFit="1" customWidth="1"/>
    <col min="14732" max="14732" width="30.33203125" bestFit="1" customWidth="1"/>
    <col min="14733" max="14733" width="36.5546875" bestFit="1" customWidth="1"/>
    <col min="14734" max="14734" width="30.88671875" bestFit="1" customWidth="1"/>
    <col min="14735" max="14735" width="25.6640625" bestFit="1" customWidth="1"/>
    <col min="14736" max="14736" width="31.88671875" bestFit="1" customWidth="1"/>
    <col min="14737" max="14737" width="26.33203125" bestFit="1" customWidth="1"/>
    <col min="14738" max="14738" width="25.109375" bestFit="1" customWidth="1"/>
    <col min="14739" max="14739" width="31.21875" bestFit="1" customWidth="1"/>
    <col min="14740" max="14740" width="25.6640625" bestFit="1" customWidth="1"/>
    <col min="14741" max="14741" width="31.5546875" bestFit="1" customWidth="1"/>
    <col min="14742" max="14742" width="37.6640625" bestFit="1" customWidth="1"/>
    <col min="14743" max="14743" width="32.109375" bestFit="1" customWidth="1"/>
    <col min="14744" max="14744" width="22.77734375" bestFit="1" customWidth="1"/>
    <col min="14745" max="14745" width="28.88671875" bestFit="1" customWidth="1"/>
    <col min="14746" max="14746" width="23.33203125" bestFit="1" customWidth="1"/>
    <col min="14747" max="14747" width="25.44140625" bestFit="1" customWidth="1"/>
    <col min="14748" max="14748" width="31.6640625" bestFit="1" customWidth="1"/>
    <col min="14749" max="14749" width="26" bestFit="1" customWidth="1"/>
    <col min="14750" max="14750" width="27.77734375" bestFit="1" customWidth="1"/>
    <col min="14751" max="14751" width="33.88671875" bestFit="1" customWidth="1"/>
    <col min="14752" max="14752" width="28.33203125" bestFit="1" customWidth="1"/>
    <col min="14753" max="14753" width="30.33203125" bestFit="1" customWidth="1"/>
    <col min="14754" max="14754" width="36.5546875" bestFit="1" customWidth="1"/>
    <col min="14755" max="14755" width="30.88671875" bestFit="1" customWidth="1"/>
    <col min="14756" max="14756" width="25.6640625" bestFit="1" customWidth="1"/>
    <col min="14757" max="14757" width="31.88671875" bestFit="1" customWidth="1"/>
    <col min="14758" max="14758" width="26.33203125" bestFit="1" customWidth="1"/>
    <col min="14759" max="14759" width="25.109375" bestFit="1" customWidth="1"/>
    <col min="14760" max="14760" width="31.21875" bestFit="1" customWidth="1"/>
    <col min="14761" max="14761" width="25.6640625" bestFit="1" customWidth="1"/>
    <col min="14762" max="14762" width="31.5546875" bestFit="1" customWidth="1"/>
    <col min="14763" max="14763" width="37.6640625" bestFit="1" customWidth="1"/>
    <col min="14764" max="14764" width="32.109375" bestFit="1" customWidth="1"/>
    <col min="14765" max="14765" width="22.77734375" bestFit="1" customWidth="1"/>
    <col min="14766" max="14766" width="28.88671875" bestFit="1" customWidth="1"/>
    <col min="14767" max="14767" width="23.33203125" bestFit="1" customWidth="1"/>
    <col min="14768" max="14768" width="25.44140625" bestFit="1" customWidth="1"/>
    <col min="14769" max="14769" width="31.6640625" bestFit="1" customWidth="1"/>
    <col min="14770" max="14770" width="26" bestFit="1" customWidth="1"/>
    <col min="14771" max="14771" width="27.77734375" bestFit="1" customWidth="1"/>
    <col min="14772" max="14772" width="33.88671875" bestFit="1" customWidth="1"/>
    <col min="14773" max="14773" width="28.33203125" bestFit="1" customWidth="1"/>
    <col min="14774" max="14774" width="30.33203125" bestFit="1" customWidth="1"/>
    <col min="14775" max="14775" width="36.5546875" bestFit="1" customWidth="1"/>
    <col min="14776" max="14776" width="30.88671875" bestFit="1" customWidth="1"/>
    <col min="14777" max="14777" width="25.6640625" bestFit="1" customWidth="1"/>
    <col min="14778" max="14778" width="31.88671875" bestFit="1" customWidth="1"/>
    <col min="14779" max="14779" width="26.33203125" bestFit="1" customWidth="1"/>
    <col min="14780" max="14780" width="25.109375" bestFit="1" customWidth="1"/>
    <col min="14781" max="14781" width="31.21875" bestFit="1" customWidth="1"/>
    <col min="14782" max="14782" width="25.6640625" bestFit="1" customWidth="1"/>
    <col min="14783" max="14783" width="31.5546875" bestFit="1" customWidth="1"/>
    <col min="14784" max="14784" width="37.6640625" bestFit="1" customWidth="1"/>
    <col min="14785" max="14785" width="32.109375" bestFit="1" customWidth="1"/>
    <col min="14786" max="14786" width="22.77734375" bestFit="1" customWidth="1"/>
    <col min="14787" max="14787" width="28.88671875" bestFit="1" customWidth="1"/>
    <col min="14788" max="14788" width="23.33203125" bestFit="1" customWidth="1"/>
    <col min="14789" max="14789" width="25.44140625" bestFit="1" customWidth="1"/>
    <col min="14790" max="14790" width="31.6640625" bestFit="1" customWidth="1"/>
    <col min="14791" max="14791" width="26" bestFit="1" customWidth="1"/>
    <col min="14792" max="14792" width="27.77734375" bestFit="1" customWidth="1"/>
    <col min="14793" max="14793" width="33.88671875" bestFit="1" customWidth="1"/>
    <col min="14794" max="14794" width="28.33203125" bestFit="1" customWidth="1"/>
    <col min="14795" max="14795" width="30.33203125" bestFit="1" customWidth="1"/>
    <col min="14796" max="14796" width="36.5546875" bestFit="1" customWidth="1"/>
    <col min="14797" max="14797" width="30.88671875" bestFit="1" customWidth="1"/>
    <col min="14798" max="14798" width="25.6640625" bestFit="1" customWidth="1"/>
    <col min="14799" max="14799" width="31.88671875" bestFit="1" customWidth="1"/>
    <col min="14800" max="14800" width="26.33203125" bestFit="1" customWidth="1"/>
    <col min="14801" max="14801" width="25.109375" bestFit="1" customWidth="1"/>
    <col min="14802" max="14802" width="31.21875" bestFit="1" customWidth="1"/>
    <col min="14803" max="14803" width="25.6640625" bestFit="1" customWidth="1"/>
    <col min="14804" max="14804" width="31.5546875" bestFit="1" customWidth="1"/>
    <col min="14805" max="14805" width="37.6640625" bestFit="1" customWidth="1"/>
    <col min="14806" max="14806" width="32.109375" bestFit="1" customWidth="1"/>
    <col min="14807" max="14807" width="22.77734375" bestFit="1" customWidth="1"/>
    <col min="14808" max="14808" width="28.88671875" bestFit="1" customWidth="1"/>
    <col min="14809" max="14809" width="23.33203125" bestFit="1" customWidth="1"/>
    <col min="14810" max="14810" width="25.44140625" bestFit="1" customWidth="1"/>
    <col min="14811" max="14811" width="31.6640625" bestFit="1" customWidth="1"/>
    <col min="14812" max="14812" width="26" bestFit="1" customWidth="1"/>
    <col min="14813" max="14813" width="27.77734375" bestFit="1" customWidth="1"/>
    <col min="14814" max="14814" width="33.88671875" bestFit="1" customWidth="1"/>
    <col min="14815" max="14815" width="28.33203125" bestFit="1" customWidth="1"/>
    <col min="14816" max="14816" width="30.33203125" bestFit="1" customWidth="1"/>
    <col min="14817" max="14817" width="36.5546875" bestFit="1" customWidth="1"/>
    <col min="14818" max="14818" width="30.88671875" bestFit="1" customWidth="1"/>
    <col min="14819" max="14819" width="25.6640625" bestFit="1" customWidth="1"/>
    <col min="14820" max="14820" width="31.88671875" bestFit="1" customWidth="1"/>
    <col min="14821" max="14821" width="26.33203125" bestFit="1" customWidth="1"/>
    <col min="14822" max="14822" width="25.109375" bestFit="1" customWidth="1"/>
    <col min="14823" max="14823" width="31.21875" bestFit="1" customWidth="1"/>
    <col min="14824" max="14824" width="25.6640625" bestFit="1" customWidth="1"/>
    <col min="14825" max="14825" width="31.5546875" bestFit="1" customWidth="1"/>
    <col min="14826" max="14826" width="37.6640625" bestFit="1" customWidth="1"/>
    <col min="14827" max="14827" width="32.109375" bestFit="1" customWidth="1"/>
    <col min="14828" max="14828" width="22.77734375" bestFit="1" customWidth="1"/>
    <col min="14829" max="14829" width="28.88671875" bestFit="1" customWidth="1"/>
    <col min="14830" max="14830" width="23.33203125" bestFit="1" customWidth="1"/>
    <col min="14831" max="14831" width="25.44140625" bestFit="1" customWidth="1"/>
    <col min="14832" max="14832" width="31.6640625" bestFit="1" customWidth="1"/>
    <col min="14833" max="14833" width="26" bestFit="1" customWidth="1"/>
    <col min="14834" max="14834" width="27.77734375" bestFit="1" customWidth="1"/>
    <col min="14835" max="14835" width="33.88671875" bestFit="1" customWidth="1"/>
    <col min="14836" max="14836" width="28.33203125" bestFit="1" customWidth="1"/>
    <col min="14837" max="14837" width="30.33203125" bestFit="1" customWidth="1"/>
    <col min="14838" max="14838" width="36.5546875" bestFit="1" customWidth="1"/>
    <col min="14839" max="14839" width="30.88671875" bestFit="1" customWidth="1"/>
    <col min="14840" max="14840" width="25.6640625" bestFit="1" customWidth="1"/>
    <col min="14841" max="14841" width="31.88671875" bestFit="1" customWidth="1"/>
    <col min="14842" max="14842" width="26.33203125" bestFit="1" customWidth="1"/>
    <col min="14843" max="14843" width="25.109375" bestFit="1" customWidth="1"/>
    <col min="14844" max="14844" width="31.21875" bestFit="1" customWidth="1"/>
    <col min="14845" max="14845" width="25.6640625" bestFit="1" customWidth="1"/>
    <col min="14846" max="14846" width="31.5546875" bestFit="1" customWidth="1"/>
    <col min="14847" max="14847" width="37.6640625" bestFit="1" customWidth="1"/>
    <col min="14848" max="14848" width="32.109375" bestFit="1" customWidth="1"/>
    <col min="14849" max="14849" width="22.77734375" bestFit="1" customWidth="1"/>
    <col min="14850" max="14850" width="28.88671875" bestFit="1" customWidth="1"/>
    <col min="14851" max="14851" width="23.33203125" bestFit="1" customWidth="1"/>
    <col min="14852" max="14852" width="25.44140625" bestFit="1" customWidth="1"/>
    <col min="14853" max="14853" width="31.6640625" bestFit="1" customWidth="1"/>
    <col min="14854" max="14854" width="26" bestFit="1" customWidth="1"/>
    <col min="14855" max="14855" width="27.77734375" bestFit="1" customWidth="1"/>
    <col min="14856" max="14856" width="33.88671875" bestFit="1" customWidth="1"/>
    <col min="14857" max="14857" width="28.33203125" bestFit="1" customWidth="1"/>
    <col min="14858" max="14858" width="30.33203125" bestFit="1" customWidth="1"/>
    <col min="14859" max="14859" width="36.5546875" bestFit="1" customWidth="1"/>
    <col min="14860" max="14860" width="30.88671875" bestFit="1" customWidth="1"/>
    <col min="14861" max="14861" width="25.6640625" bestFit="1" customWidth="1"/>
    <col min="14862" max="14862" width="31.88671875" bestFit="1" customWidth="1"/>
    <col min="14863" max="14863" width="26.33203125" bestFit="1" customWidth="1"/>
    <col min="14864" max="14864" width="25.109375" bestFit="1" customWidth="1"/>
    <col min="14865" max="14865" width="31.21875" bestFit="1" customWidth="1"/>
    <col min="14866" max="14866" width="25.6640625" bestFit="1" customWidth="1"/>
    <col min="14867" max="14867" width="31.5546875" bestFit="1" customWidth="1"/>
    <col min="14868" max="14868" width="37.6640625" bestFit="1" customWidth="1"/>
    <col min="14869" max="14869" width="32.109375" bestFit="1" customWidth="1"/>
    <col min="14870" max="14870" width="22.77734375" bestFit="1" customWidth="1"/>
    <col min="14871" max="14871" width="28.88671875" bestFit="1" customWidth="1"/>
    <col min="14872" max="14872" width="23.33203125" bestFit="1" customWidth="1"/>
    <col min="14873" max="14873" width="25.44140625" bestFit="1" customWidth="1"/>
    <col min="14874" max="14874" width="31.6640625" bestFit="1" customWidth="1"/>
    <col min="14875" max="14875" width="26" bestFit="1" customWidth="1"/>
    <col min="14876" max="14876" width="27.77734375" bestFit="1" customWidth="1"/>
    <col min="14877" max="14877" width="33.88671875" bestFit="1" customWidth="1"/>
    <col min="14878" max="14878" width="28.33203125" bestFit="1" customWidth="1"/>
    <col min="14879" max="14879" width="30.33203125" bestFit="1" customWidth="1"/>
    <col min="14880" max="14880" width="36.5546875" bestFit="1" customWidth="1"/>
    <col min="14881" max="14881" width="30.88671875" bestFit="1" customWidth="1"/>
    <col min="14882" max="14882" width="25.6640625" bestFit="1" customWidth="1"/>
    <col min="14883" max="14883" width="31.88671875" bestFit="1" customWidth="1"/>
    <col min="14884" max="14884" width="26.33203125" bestFit="1" customWidth="1"/>
    <col min="14885" max="14885" width="25.109375" bestFit="1" customWidth="1"/>
    <col min="14886" max="14886" width="31.21875" bestFit="1" customWidth="1"/>
    <col min="14887" max="14887" width="25.6640625" bestFit="1" customWidth="1"/>
    <col min="14888" max="14888" width="31.5546875" bestFit="1" customWidth="1"/>
    <col min="14889" max="14889" width="37.6640625" bestFit="1" customWidth="1"/>
    <col min="14890" max="14890" width="32.109375" bestFit="1" customWidth="1"/>
    <col min="14891" max="14891" width="22.77734375" bestFit="1" customWidth="1"/>
    <col min="14892" max="14892" width="28.88671875" bestFit="1" customWidth="1"/>
    <col min="14893" max="14893" width="23.33203125" bestFit="1" customWidth="1"/>
    <col min="14894" max="14894" width="25.44140625" bestFit="1" customWidth="1"/>
    <col min="14895" max="14895" width="31.6640625" bestFit="1" customWidth="1"/>
    <col min="14896" max="14896" width="26" bestFit="1" customWidth="1"/>
    <col min="14897" max="14897" width="27.77734375" bestFit="1" customWidth="1"/>
    <col min="14898" max="14898" width="33.88671875" bestFit="1" customWidth="1"/>
    <col min="14899" max="14899" width="28.33203125" bestFit="1" customWidth="1"/>
    <col min="14900" max="14900" width="30.33203125" bestFit="1" customWidth="1"/>
    <col min="14901" max="14901" width="36.5546875" bestFit="1" customWidth="1"/>
    <col min="14902" max="14902" width="30.88671875" bestFit="1" customWidth="1"/>
    <col min="14903" max="14903" width="25.6640625" bestFit="1" customWidth="1"/>
    <col min="14904" max="14904" width="31.88671875" bestFit="1" customWidth="1"/>
    <col min="14905" max="14905" width="26.33203125" bestFit="1" customWidth="1"/>
    <col min="14906" max="14906" width="25.109375" bestFit="1" customWidth="1"/>
    <col min="14907" max="14907" width="31.21875" bestFit="1" customWidth="1"/>
    <col min="14908" max="14908" width="25.6640625" bestFit="1" customWidth="1"/>
    <col min="14909" max="14909" width="31.5546875" bestFit="1" customWidth="1"/>
    <col min="14910" max="14910" width="37.6640625" bestFit="1" customWidth="1"/>
    <col min="14911" max="14911" width="32.109375" bestFit="1" customWidth="1"/>
    <col min="14912" max="14912" width="22.77734375" bestFit="1" customWidth="1"/>
    <col min="14913" max="14913" width="28.88671875" bestFit="1" customWidth="1"/>
    <col min="14914" max="14914" width="23.33203125" bestFit="1" customWidth="1"/>
    <col min="14915" max="14915" width="25.44140625" bestFit="1" customWidth="1"/>
    <col min="14916" max="14916" width="31.6640625" bestFit="1" customWidth="1"/>
    <col min="14917" max="14917" width="26" bestFit="1" customWidth="1"/>
    <col min="14918" max="14918" width="27.77734375" bestFit="1" customWidth="1"/>
    <col min="14919" max="14919" width="33.88671875" bestFit="1" customWidth="1"/>
    <col min="14920" max="14920" width="28.33203125" bestFit="1" customWidth="1"/>
    <col min="14921" max="14921" width="30.33203125" bestFit="1" customWidth="1"/>
    <col min="14922" max="14922" width="36.5546875" bestFit="1" customWidth="1"/>
    <col min="14923" max="14923" width="30.88671875" bestFit="1" customWidth="1"/>
    <col min="14924" max="14924" width="25.6640625" bestFit="1" customWidth="1"/>
    <col min="14925" max="14925" width="31.88671875" bestFit="1" customWidth="1"/>
    <col min="14926" max="14926" width="26.33203125" bestFit="1" customWidth="1"/>
    <col min="14927" max="14927" width="25.109375" bestFit="1" customWidth="1"/>
    <col min="14928" max="14928" width="31.21875" bestFit="1" customWidth="1"/>
    <col min="14929" max="14929" width="25.6640625" bestFit="1" customWidth="1"/>
    <col min="14930" max="14930" width="31.5546875" bestFit="1" customWidth="1"/>
    <col min="14931" max="14931" width="37.6640625" bestFit="1" customWidth="1"/>
    <col min="14932" max="14932" width="32.109375" bestFit="1" customWidth="1"/>
    <col min="14933" max="14933" width="22.77734375" bestFit="1" customWidth="1"/>
    <col min="14934" max="14934" width="28.88671875" bestFit="1" customWidth="1"/>
    <col min="14935" max="14935" width="23.33203125" bestFit="1" customWidth="1"/>
    <col min="14936" max="14936" width="25.44140625" bestFit="1" customWidth="1"/>
    <col min="14937" max="14937" width="31.6640625" bestFit="1" customWidth="1"/>
    <col min="14938" max="14938" width="26" bestFit="1" customWidth="1"/>
    <col min="14939" max="14939" width="27.77734375" bestFit="1" customWidth="1"/>
    <col min="14940" max="14940" width="33.88671875" bestFit="1" customWidth="1"/>
    <col min="14941" max="14941" width="28.33203125" bestFit="1" customWidth="1"/>
    <col min="14942" max="14942" width="30.33203125" bestFit="1" customWidth="1"/>
    <col min="14943" max="14943" width="36.5546875" bestFit="1" customWidth="1"/>
    <col min="14944" max="14944" width="30.88671875" bestFit="1" customWidth="1"/>
    <col min="14945" max="14945" width="25.6640625" bestFit="1" customWidth="1"/>
    <col min="14946" max="14946" width="31.88671875" bestFit="1" customWidth="1"/>
    <col min="14947" max="14947" width="26.33203125" bestFit="1" customWidth="1"/>
    <col min="14948" max="14948" width="25.109375" bestFit="1" customWidth="1"/>
    <col min="14949" max="14949" width="31.21875" bestFit="1" customWidth="1"/>
    <col min="14950" max="14950" width="25.6640625" bestFit="1" customWidth="1"/>
    <col min="14951" max="14951" width="31.5546875" bestFit="1" customWidth="1"/>
    <col min="14952" max="14952" width="37.6640625" bestFit="1" customWidth="1"/>
    <col min="14953" max="14953" width="32.109375" bestFit="1" customWidth="1"/>
    <col min="14954" max="14954" width="22.77734375" bestFit="1" customWidth="1"/>
    <col min="14955" max="14955" width="28.88671875" bestFit="1" customWidth="1"/>
    <col min="14956" max="14956" width="23.33203125" bestFit="1" customWidth="1"/>
    <col min="14957" max="14957" width="25.44140625" bestFit="1" customWidth="1"/>
    <col min="14958" max="14958" width="31.6640625" bestFit="1" customWidth="1"/>
    <col min="14959" max="14959" width="26" bestFit="1" customWidth="1"/>
    <col min="14960" max="14960" width="27.77734375" bestFit="1" customWidth="1"/>
    <col min="14961" max="14961" width="33.88671875" bestFit="1" customWidth="1"/>
    <col min="14962" max="14962" width="28.33203125" bestFit="1" customWidth="1"/>
    <col min="14963" max="14963" width="30.33203125" bestFit="1" customWidth="1"/>
    <col min="14964" max="14964" width="36.5546875" bestFit="1" customWidth="1"/>
    <col min="14965" max="14965" width="30.88671875" bestFit="1" customWidth="1"/>
    <col min="14966" max="14966" width="25.6640625" bestFit="1" customWidth="1"/>
    <col min="14967" max="14967" width="31.88671875" bestFit="1" customWidth="1"/>
    <col min="14968" max="14968" width="26.33203125" bestFit="1" customWidth="1"/>
    <col min="14969" max="14969" width="25.109375" bestFit="1" customWidth="1"/>
    <col min="14970" max="14970" width="31.21875" bestFit="1" customWidth="1"/>
    <col min="14971" max="14971" width="25.6640625" bestFit="1" customWidth="1"/>
    <col min="14972" max="14972" width="31.5546875" bestFit="1" customWidth="1"/>
    <col min="14973" max="14973" width="37.6640625" bestFit="1" customWidth="1"/>
    <col min="14974" max="14974" width="32.109375" bestFit="1" customWidth="1"/>
    <col min="14975" max="14975" width="22.77734375" bestFit="1" customWidth="1"/>
    <col min="14976" max="14976" width="28.88671875" bestFit="1" customWidth="1"/>
    <col min="14977" max="14977" width="23.33203125" bestFit="1" customWidth="1"/>
    <col min="14978" max="14978" width="25.44140625" bestFit="1" customWidth="1"/>
    <col min="14979" max="14979" width="31.6640625" bestFit="1" customWidth="1"/>
    <col min="14980" max="14980" width="26" bestFit="1" customWidth="1"/>
    <col min="14981" max="14981" width="27.77734375" bestFit="1" customWidth="1"/>
    <col min="14982" max="14982" width="33.88671875" bestFit="1" customWidth="1"/>
    <col min="14983" max="14983" width="28.33203125" bestFit="1" customWidth="1"/>
    <col min="14984" max="14984" width="30.33203125" bestFit="1" customWidth="1"/>
    <col min="14985" max="14985" width="36.5546875" bestFit="1" customWidth="1"/>
    <col min="14986" max="14986" width="30.88671875" bestFit="1" customWidth="1"/>
    <col min="14987" max="14987" width="25.6640625" bestFit="1" customWidth="1"/>
    <col min="14988" max="14988" width="31.88671875" bestFit="1" customWidth="1"/>
    <col min="14989" max="14989" width="26.33203125" bestFit="1" customWidth="1"/>
    <col min="14990" max="14990" width="25.109375" bestFit="1" customWidth="1"/>
    <col min="14991" max="14991" width="31.21875" bestFit="1" customWidth="1"/>
    <col min="14992" max="14992" width="25.6640625" bestFit="1" customWidth="1"/>
    <col min="14993" max="14993" width="31.5546875" bestFit="1" customWidth="1"/>
    <col min="14994" max="14994" width="37.6640625" bestFit="1" customWidth="1"/>
    <col min="14995" max="14995" width="32.109375" bestFit="1" customWidth="1"/>
    <col min="14996" max="14996" width="22.77734375" bestFit="1" customWidth="1"/>
    <col min="14997" max="14997" width="28.88671875" bestFit="1" customWidth="1"/>
    <col min="14998" max="14998" width="23.33203125" bestFit="1" customWidth="1"/>
    <col min="14999" max="14999" width="25.44140625" bestFit="1" customWidth="1"/>
    <col min="15000" max="15000" width="31.6640625" bestFit="1" customWidth="1"/>
    <col min="15001" max="15001" width="26" bestFit="1" customWidth="1"/>
    <col min="15002" max="15002" width="27.77734375" bestFit="1" customWidth="1"/>
    <col min="15003" max="15003" width="33.88671875" bestFit="1" customWidth="1"/>
    <col min="15004" max="15004" width="28.33203125" bestFit="1" customWidth="1"/>
    <col min="15005" max="15005" width="30.33203125" bestFit="1" customWidth="1"/>
    <col min="15006" max="15006" width="36.5546875" bestFit="1" customWidth="1"/>
    <col min="15007" max="15007" width="30.88671875" bestFit="1" customWidth="1"/>
    <col min="15008" max="15008" width="25.6640625" bestFit="1" customWidth="1"/>
    <col min="15009" max="15009" width="31.88671875" bestFit="1" customWidth="1"/>
    <col min="15010" max="15010" width="26.33203125" bestFit="1" customWidth="1"/>
    <col min="15011" max="15011" width="25.109375" bestFit="1" customWidth="1"/>
    <col min="15012" max="15012" width="31.21875" bestFit="1" customWidth="1"/>
    <col min="15013" max="15013" width="25.6640625" bestFit="1" customWidth="1"/>
    <col min="15014" max="15014" width="31.5546875" bestFit="1" customWidth="1"/>
    <col min="15015" max="15015" width="37.6640625" bestFit="1" customWidth="1"/>
    <col min="15016" max="15016" width="32.109375" bestFit="1" customWidth="1"/>
    <col min="15017" max="15017" width="22.77734375" bestFit="1" customWidth="1"/>
    <col min="15018" max="15018" width="28.88671875" bestFit="1" customWidth="1"/>
    <col min="15019" max="15019" width="23.33203125" bestFit="1" customWidth="1"/>
    <col min="15020" max="15020" width="25.44140625" bestFit="1" customWidth="1"/>
    <col min="15021" max="15021" width="31.6640625" bestFit="1" customWidth="1"/>
    <col min="15022" max="15022" width="26" bestFit="1" customWidth="1"/>
    <col min="15023" max="15023" width="27.77734375" bestFit="1" customWidth="1"/>
    <col min="15024" max="15024" width="33.88671875" bestFit="1" customWidth="1"/>
    <col min="15025" max="15025" width="28.33203125" bestFit="1" customWidth="1"/>
    <col min="15026" max="15026" width="30.33203125" bestFit="1" customWidth="1"/>
    <col min="15027" max="15027" width="36.5546875" bestFit="1" customWidth="1"/>
    <col min="15028" max="15028" width="30.88671875" bestFit="1" customWidth="1"/>
    <col min="15029" max="15029" width="25.6640625" bestFit="1" customWidth="1"/>
    <col min="15030" max="15030" width="31.88671875" bestFit="1" customWidth="1"/>
    <col min="15031" max="15031" width="26.33203125" bestFit="1" customWidth="1"/>
    <col min="15032" max="15032" width="25.109375" bestFit="1" customWidth="1"/>
    <col min="15033" max="15033" width="31.21875" bestFit="1" customWidth="1"/>
    <col min="15034" max="15034" width="25.6640625" bestFit="1" customWidth="1"/>
    <col min="15035" max="15035" width="31.5546875" bestFit="1" customWidth="1"/>
    <col min="15036" max="15036" width="37.6640625" bestFit="1" customWidth="1"/>
    <col min="15037" max="15037" width="32.109375" bestFit="1" customWidth="1"/>
    <col min="15038" max="15038" width="22.77734375" bestFit="1" customWidth="1"/>
    <col min="15039" max="15039" width="28.88671875" bestFit="1" customWidth="1"/>
    <col min="15040" max="15040" width="23.33203125" bestFit="1" customWidth="1"/>
    <col min="15041" max="15041" width="25.44140625" bestFit="1" customWidth="1"/>
    <col min="15042" max="15042" width="31.6640625" bestFit="1" customWidth="1"/>
    <col min="15043" max="15043" width="26" bestFit="1" customWidth="1"/>
    <col min="15044" max="15044" width="27.77734375" bestFit="1" customWidth="1"/>
    <col min="15045" max="15045" width="33.88671875" bestFit="1" customWidth="1"/>
    <col min="15046" max="15046" width="28.33203125" bestFit="1" customWidth="1"/>
    <col min="15047" max="15047" width="30.33203125" bestFit="1" customWidth="1"/>
    <col min="15048" max="15048" width="36.5546875" bestFit="1" customWidth="1"/>
    <col min="15049" max="15049" width="30.88671875" bestFit="1" customWidth="1"/>
    <col min="15050" max="15050" width="25.6640625" bestFit="1" customWidth="1"/>
    <col min="15051" max="15051" width="31.88671875" bestFit="1" customWidth="1"/>
    <col min="15052" max="15052" width="26.33203125" bestFit="1" customWidth="1"/>
    <col min="15053" max="15053" width="25.109375" bestFit="1" customWidth="1"/>
    <col min="15054" max="15054" width="31.21875" bestFit="1" customWidth="1"/>
    <col min="15055" max="15055" width="25.6640625" bestFit="1" customWidth="1"/>
    <col min="15056" max="15056" width="31.5546875" bestFit="1" customWidth="1"/>
    <col min="15057" max="15057" width="37.6640625" bestFit="1" customWidth="1"/>
    <col min="15058" max="15058" width="32.109375" bestFit="1" customWidth="1"/>
    <col min="15059" max="15059" width="22.77734375" bestFit="1" customWidth="1"/>
    <col min="15060" max="15060" width="28.88671875" bestFit="1" customWidth="1"/>
    <col min="15061" max="15061" width="23.33203125" bestFit="1" customWidth="1"/>
    <col min="15062" max="15062" width="25.44140625" bestFit="1" customWidth="1"/>
    <col min="15063" max="15063" width="31.6640625" bestFit="1" customWidth="1"/>
    <col min="15064" max="15064" width="26" bestFit="1" customWidth="1"/>
    <col min="15065" max="15065" width="27.77734375" bestFit="1" customWidth="1"/>
    <col min="15066" max="15066" width="33.88671875" bestFit="1" customWidth="1"/>
    <col min="15067" max="15067" width="28.33203125" bestFit="1" customWidth="1"/>
    <col min="15068" max="15068" width="30.33203125" bestFit="1" customWidth="1"/>
    <col min="15069" max="15069" width="36.5546875" bestFit="1" customWidth="1"/>
    <col min="15070" max="15070" width="30.88671875" bestFit="1" customWidth="1"/>
    <col min="15071" max="15071" width="25.6640625" bestFit="1" customWidth="1"/>
    <col min="15072" max="15072" width="31.88671875" bestFit="1" customWidth="1"/>
    <col min="15073" max="15073" width="26.33203125" bestFit="1" customWidth="1"/>
    <col min="15074" max="15074" width="25.109375" bestFit="1" customWidth="1"/>
    <col min="15075" max="15075" width="31.21875" bestFit="1" customWidth="1"/>
    <col min="15076" max="15076" width="25.6640625" bestFit="1" customWidth="1"/>
    <col min="15077" max="15077" width="31.5546875" bestFit="1" customWidth="1"/>
    <col min="15078" max="15078" width="37.6640625" bestFit="1" customWidth="1"/>
    <col min="15079" max="15079" width="32.109375" bestFit="1" customWidth="1"/>
    <col min="15080" max="15080" width="22.77734375" bestFit="1" customWidth="1"/>
    <col min="15081" max="15081" width="28.88671875" bestFit="1" customWidth="1"/>
    <col min="15082" max="15082" width="23.33203125" bestFit="1" customWidth="1"/>
    <col min="15083" max="15083" width="25.44140625" bestFit="1" customWidth="1"/>
    <col min="15084" max="15084" width="31.6640625" bestFit="1" customWidth="1"/>
    <col min="15085" max="15085" width="26" bestFit="1" customWidth="1"/>
    <col min="15086" max="15086" width="27.77734375" bestFit="1" customWidth="1"/>
    <col min="15087" max="15087" width="33.88671875" bestFit="1" customWidth="1"/>
    <col min="15088" max="15088" width="28.33203125" bestFit="1" customWidth="1"/>
    <col min="15089" max="15089" width="30.33203125" bestFit="1" customWidth="1"/>
    <col min="15090" max="15090" width="36.5546875" bestFit="1" customWidth="1"/>
    <col min="15091" max="15091" width="30.88671875" bestFit="1" customWidth="1"/>
    <col min="15092" max="15092" width="25.6640625" bestFit="1" customWidth="1"/>
    <col min="15093" max="15093" width="31.88671875" bestFit="1" customWidth="1"/>
    <col min="15094" max="15094" width="26.33203125" bestFit="1" customWidth="1"/>
    <col min="15095" max="15095" width="25.109375" bestFit="1" customWidth="1"/>
    <col min="15096" max="15096" width="31.21875" bestFit="1" customWidth="1"/>
    <col min="15097" max="15097" width="25.6640625" bestFit="1" customWidth="1"/>
    <col min="15098" max="15098" width="31.5546875" bestFit="1" customWidth="1"/>
    <col min="15099" max="15099" width="37.6640625" bestFit="1" customWidth="1"/>
    <col min="15100" max="15100" width="32.109375" bestFit="1" customWidth="1"/>
    <col min="15101" max="15101" width="22.77734375" bestFit="1" customWidth="1"/>
    <col min="15102" max="15102" width="28.88671875" bestFit="1" customWidth="1"/>
    <col min="15103" max="15103" width="23.33203125" bestFit="1" customWidth="1"/>
    <col min="15104" max="15104" width="25.44140625" bestFit="1" customWidth="1"/>
    <col min="15105" max="15105" width="31.6640625" bestFit="1" customWidth="1"/>
    <col min="15106" max="15106" width="26" bestFit="1" customWidth="1"/>
    <col min="15107" max="15107" width="27.77734375" bestFit="1" customWidth="1"/>
    <col min="15108" max="15108" width="33.88671875" bestFit="1" customWidth="1"/>
    <col min="15109" max="15109" width="28.33203125" bestFit="1" customWidth="1"/>
    <col min="15110" max="15110" width="30.33203125" bestFit="1" customWidth="1"/>
    <col min="15111" max="15111" width="36.5546875" bestFit="1" customWidth="1"/>
    <col min="15112" max="15112" width="30.88671875" bestFit="1" customWidth="1"/>
    <col min="15113" max="15113" width="25.6640625" bestFit="1" customWidth="1"/>
    <col min="15114" max="15114" width="31.88671875" bestFit="1" customWidth="1"/>
    <col min="15115" max="15115" width="26.33203125" bestFit="1" customWidth="1"/>
    <col min="15116" max="15116" width="25.109375" bestFit="1" customWidth="1"/>
    <col min="15117" max="15117" width="31.21875" bestFit="1" customWidth="1"/>
    <col min="15118" max="15118" width="25.6640625" bestFit="1" customWidth="1"/>
    <col min="15119" max="15119" width="31.5546875" bestFit="1" customWidth="1"/>
    <col min="15120" max="15120" width="37.6640625" bestFit="1" customWidth="1"/>
    <col min="15121" max="15121" width="32.109375" bestFit="1" customWidth="1"/>
    <col min="15122" max="15122" width="22.77734375" bestFit="1" customWidth="1"/>
    <col min="15123" max="15123" width="28.88671875" bestFit="1" customWidth="1"/>
    <col min="15124" max="15124" width="23.33203125" bestFit="1" customWidth="1"/>
    <col min="15125" max="15125" width="25.44140625" bestFit="1" customWidth="1"/>
    <col min="15126" max="15126" width="31.6640625" bestFit="1" customWidth="1"/>
    <col min="15127" max="15127" width="26" bestFit="1" customWidth="1"/>
    <col min="15128" max="15128" width="27.77734375" bestFit="1" customWidth="1"/>
    <col min="15129" max="15129" width="33.88671875" bestFit="1" customWidth="1"/>
    <col min="15130" max="15130" width="28.33203125" bestFit="1" customWidth="1"/>
    <col min="15131" max="15131" width="30.33203125" bestFit="1" customWidth="1"/>
    <col min="15132" max="15132" width="36.5546875" bestFit="1" customWidth="1"/>
    <col min="15133" max="15133" width="30.88671875" bestFit="1" customWidth="1"/>
    <col min="15134" max="15134" width="25.6640625" bestFit="1" customWidth="1"/>
    <col min="15135" max="15135" width="31.88671875" bestFit="1" customWidth="1"/>
    <col min="15136" max="15136" width="26.33203125" bestFit="1" customWidth="1"/>
    <col min="15137" max="15137" width="25.109375" bestFit="1" customWidth="1"/>
    <col min="15138" max="15138" width="31.21875" bestFit="1" customWidth="1"/>
    <col min="15139" max="15139" width="25.6640625" bestFit="1" customWidth="1"/>
    <col min="15140" max="15140" width="31.5546875" bestFit="1" customWidth="1"/>
    <col min="15141" max="15141" width="37.6640625" bestFit="1" customWidth="1"/>
    <col min="15142" max="15142" width="32.109375" bestFit="1" customWidth="1"/>
    <col min="15143" max="15143" width="22.77734375" bestFit="1" customWidth="1"/>
    <col min="15144" max="15144" width="28.88671875" bestFit="1" customWidth="1"/>
    <col min="15145" max="15145" width="23.33203125" bestFit="1" customWidth="1"/>
    <col min="15146" max="15146" width="25.44140625" bestFit="1" customWidth="1"/>
    <col min="15147" max="15147" width="31.6640625" bestFit="1" customWidth="1"/>
    <col min="15148" max="15148" width="26" bestFit="1" customWidth="1"/>
    <col min="15149" max="15149" width="27.77734375" bestFit="1" customWidth="1"/>
    <col min="15150" max="15150" width="33.88671875" bestFit="1" customWidth="1"/>
    <col min="15151" max="15151" width="28.33203125" bestFit="1" customWidth="1"/>
    <col min="15152" max="15152" width="30.33203125" bestFit="1" customWidth="1"/>
    <col min="15153" max="15153" width="36.5546875" bestFit="1" customWidth="1"/>
    <col min="15154" max="15154" width="30.88671875" bestFit="1" customWidth="1"/>
    <col min="15155" max="15155" width="25.6640625" bestFit="1" customWidth="1"/>
    <col min="15156" max="15156" width="31.88671875" bestFit="1" customWidth="1"/>
    <col min="15157" max="15157" width="26.33203125" bestFit="1" customWidth="1"/>
    <col min="15158" max="15158" width="25.109375" bestFit="1" customWidth="1"/>
    <col min="15159" max="15159" width="31.21875" bestFit="1" customWidth="1"/>
    <col min="15160" max="15160" width="25.6640625" bestFit="1" customWidth="1"/>
    <col min="15161" max="15161" width="31.5546875" bestFit="1" customWidth="1"/>
    <col min="15162" max="15162" width="37.6640625" bestFit="1" customWidth="1"/>
    <col min="15163" max="15163" width="32.109375" bestFit="1" customWidth="1"/>
    <col min="15164" max="15164" width="22.77734375" bestFit="1" customWidth="1"/>
    <col min="15165" max="15165" width="28.88671875" bestFit="1" customWidth="1"/>
    <col min="15166" max="15166" width="23.33203125" bestFit="1" customWidth="1"/>
    <col min="15167" max="15167" width="25.44140625" bestFit="1" customWidth="1"/>
    <col min="15168" max="15168" width="31.6640625" bestFit="1" customWidth="1"/>
    <col min="15169" max="15169" width="26" bestFit="1" customWidth="1"/>
    <col min="15170" max="15170" width="27.77734375" bestFit="1" customWidth="1"/>
    <col min="15171" max="15171" width="33.88671875" bestFit="1" customWidth="1"/>
    <col min="15172" max="15172" width="28.33203125" bestFit="1" customWidth="1"/>
    <col min="15173" max="15173" width="30.33203125" bestFit="1" customWidth="1"/>
    <col min="15174" max="15174" width="36.5546875" bestFit="1" customWidth="1"/>
    <col min="15175" max="15175" width="30.88671875" bestFit="1" customWidth="1"/>
    <col min="15176" max="15176" width="25.6640625" bestFit="1" customWidth="1"/>
    <col min="15177" max="15177" width="31.88671875" bestFit="1" customWidth="1"/>
    <col min="15178" max="15178" width="26.33203125" bestFit="1" customWidth="1"/>
    <col min="15179" max="15179" width="25.109375" bestFit="1" customWidth="1"/>
    <col min="15180" max="15180" width="31.21875" bestFit="1" customWidth="1"/>
    <col min="15181" max="15181" width="25.6640625" bestFit="1" customWidth="1"/>
    <col min="15182" max="15182" width="31.5546875" bestFit="1" customWidth="1"/>
    <col min="15183" max="15183" width="37.6640625" bestFit="1" customWidth="1"/>
    <col min="15184" max="15184" width="32.109375" bestFit="1" customWidth="1"/>
    <col min="15185" max="15185" width="22.77734375" bestFit="1" customWidth="1"/>
    <col min="15186" max="15186" width="28.88671875" bestFit="1" customWidth="1"/>
    <col min="15187" max="15187" width="23.33203125" bestFit="1" customWidth="1"/>
    <col min="15188" max="15188" width="25.44140625" bestFit="1" customWidth="1"/>
    <col min="15189" max="15189" width="31.6640625" bestFit="1" customWidth="1"/>
    <col min="15190" max="15190" width="26" bestFit="1" customWidth="1"/>
    <col min="15191" max="15191" width="27.77734375" bestFit="1" customWidth="1"/>
    <col min="15192" max="15192" width="33.88671875" bestFit="1" customWidth="1"/>
    <col min="15193" max="15193" width="28.33203125" bestFit="1" customWidth="1"/>
    <col min="15194" max="15194" width="30.33203125" bestFit="1" customWidth="1"/>
    <col min="15195" max="15195" width="36.5546875" bestFit="1" customWidth="1"/>
    <col min="15196" max="15196" width="30.88671875" bestFit="1" customWidth="1"/>
    <col min="15197" max="15197" width="25.6640625" bestFit="1" customWidth="1"/>
    <col min="15198" max="15198" width="31.88671875" bestFit="1" customWidth="1"/>
    <col min="15199" max="15199" width="26.33203125" bestFit="1" customWidth="1"/>
    <col min="15200" max="15200" width="25.109375" bestFit="1" customWidth="1"/>
    <col min="15201" max="15201" width="31.21875" bestFit="1" customWidth="1"/>
    <col min="15202" max="15202" width="25.6640625" bestFit="1" customWidth="1"/>
    <col min="15203" max="15203" width="31.5546875" bestFit="1" customWidth="1"/>
    <col min="15204" max="15204" width="37.6640625" bestFit="1" customWidth="1"/>
    <col min="15205" max="15205" width="32.109375" bestFit="1" customWidth="1"/>
    <col min="15206" max="15206" width="22.77734375" bestFit="1" customWidth="1"/>
    <col min="15207" max="15207" width="28.88671875" bestFit="1" customWidth="1"/>
    <col min="15208" max="15208" width="23.33203125" bestFit="1" customWidth="1"/>
    <col min="15209" max="15209" width="25.44140625" bestFit="1" customWidth="1"/>
    <col min="15210" max="15210" width="31.6640625" bestFit="1" customWidth="1"/>
    <col min="15211" max="15211" width="26" bestFit="1" customWidth="1"/>
    <col min="15212" max="15212" width="27.77734375" bestFit="1" customWidth="1"/>
    <col min="15213" max="15213" width="33.88671875" bestFit="1" customWidth="1"/>
    <col min="15214" max="15214" width="28.33203125" bestFit="1" customWidth="1"/>
    <col min="15215" max="15215" width="30.33203125" bestFit="1" customWidth="1"/>
    <col min="15216" max="15216" width="36.5546875" bestFit="1" customWidth="1"/>
    <col min="15217" max="15217" width="30.88671875" bestFit="1" customWidth="1"/>
    <col min="15218" max="15218" width="25.6640625" bestFit="1" customWidth="1"/>
    <col min="15219" max="15219" width="31.88671875" bestFit="1" customWidth="1"/>
    <col min="15220" max="15220" width="26.33203125" bestFit="1" customWidth="1"/>
    <col min="15221" max="15221" width="25.109375" bestFit="1" customWidth="1"/>
    <col min="15222" max="15222" width="31.21875" bestFit="1" customWidth="1"/>
    <col min="15223" max="15223" width="25.6640625" bestFit="1" customWidth="1"/>
    <col min="15224" max="15224" width="31.5546875" bestFit="1" customWidth="1"/>
    <col min="15225" max="15225" width="37.6640625" bestFit="1" customWidth="1"/>
    <col min="15226" max="15226" width="32.109375" bestFit="1" customWidth="1"/>
    <col min="15227" max="15227" width="22.77734375" bestFit="1" customWidth="1"/>
    <col min="15228" max="15228" width="28.88671875" bestFit="1" customWidth="1"/>
    <col min="15229" max="15229" width="23.33203125" bestFit="1" customWidth="1"/>
    <col min="15230" max="15230" width="25.44140625" bestFit="1" customWidth="1"/>
    <col min="15231" max="15231" width="31.6640625" bestFit="1" customWidth="1"/>
    <col min="15232" max="15232" width="26" bestFit="1" customWidth="1"/>
    <col min="15233" max="15233" width="27.77734375" bestFit="1" customWidth="1"/>
    <col min="15234" max="15234" width="33.88671875" bestFit="1" customWidth="1"/>
    <col min="15235" max="15235" width="28.33203125" bestFit="1" customWidth="1"/>
    <col min="15236" max="15236" width="30.33203125" bestFit="1" customWidth="1"/>
    <col min="15237" max="15237" width="36.5546875" bestFit="1" customWidth="1"/>
    <col min="15238" max="15238" width="30.88671875" bestFit="1" customWidth="1"/>
    <col min="15239" max="15239" width="25.6640625" bestFit="1" customWidth="1"/>
    <col min="15240" max="15240" width="31.88671875" bestFit="1" customWidth="1"/>
    <col min="15241" max="15241" width="26.33203125" bestFit="1" customWidth="1"/>
    <col min="15242" max="15242" width="25.109375" bestFit="1" customWidth="1"/>
    <col min="15243" max="15243" width="31.21875" bestFit="1" customWidth="1"/>
    <col min="15244" max="15244" width="25.6640625" bestFit="1" customWidth="1"/>
    <col min="15245" max="15245" width="31.5546875" bestFit="1" customWidth="1"/>
    <col min="15246" max="15246" width="37.6640625" bestFit="1" customWidth="1"/>
    <col min="15247" max="15247" width="32.109375" bestFit="1" customWidth="1"/>
    <col min="15248" max="15248" width="22.77734375" bestFit="1" customWidth="1"/>
    <col min="15249" max="15249" width="28.88671875" bestFit="1" customWidth="1"/>
    <col min="15250" max="15250" width="23.33203125" bestFit="1" customWidth="1"/>
    <col min="15251" max="15251" width="25.44140625" bestFit="1" customWidth="1"/>
    <col min="15252" max="15252" width="31.6640625" bestFit="1" customWidth="1"/>
    <col min="15253" max="15253" width="26" bestFit="1" customWidth="1"/>
    <col min="15254" max="15254" width="27.77734375" bestFit="1" customWidth="1"/>
    <col min="15255" max="15255" width="33.88671875" bestFit="1" customWidth="1"/>
    <col min="15256" max="15256" width="28.33203125" bestFit="1" customWidth="1"/>
    <col min="15257" max="15257" width="30.33203125" bestFit="1" customWidth="1"/>
    <col min="15258" max="15258" width="36.5546875" bestFit="1" customWidth="1"/>
    <col min="15259" max="15259" width="30.88671875" bestFit="1" customWidth="1"/>
    <col min="15260" max="15260" width="25.6640625" bestFit="1" customWidth="1"/>
    <col min="15261" max="15261" width="31.88671875" bestFit="1" customWidth="1"/>
    <col min="15262" max="15262" width="26.33203125" bestFit="1" customWidth="1"/>
    <col min="15263" max="15263" width="25.109375" bestFit="1" customWidth="1"/>
    <col min="15264" max="15264" width="31.21875" bestFit="1" customWidth="1"/>
    <col min="15265" max="15265" width="25.6640625" bestFit="1" customWidth="1"/>
    <col min="15266" max="15266" width="31.5546875" bestFit="1" customWidth="1"/>
    <col min="15267" max="15267" width="37.6640625" bestFit="1" customWidth="1"/>
    <col min="15268" max="15268" width="32.109375" bestFit="1" customWidth="1"/>
    <col min="15269" max="15269" width="22.77734375" bestFit="1" customWidth="1"/>
    <col min="15270" max="15270" width="28.88671875" bestFit="1" customWidth="1"/>
    <col min="15271" max="15271" width="23.33203125" bestFit="1" customWidth="1"/>
    <col min="15272" max="15272" width="25.44140625" bestFit="1" customWidth="1"/>
    <col min="15273" max="15273" width="31.6640625" bestFit="1" customWidth="1"/>
    <col min="15274" max="15274" width="26" bestFit="1" customWidth="1"/>
    <col min="15275" max="15275" width="27.77734375" bestFit="1" customWidth="1"/>
    <col min="15276" max="15276" width="33.88671875" bestFit="1" customWidth="1"/>
    <col min="15277" max="15277" width="28.33203125" bestFit="1" customWidth="1"/>
    <col min="15278" max="15278" width="30.33203125" bestFit="1" customWidth="1"/>
    <col min="15279" max="15279" width="36.5546875" bestFit="1" customWidth="1"/>
    <col min="15280" max="15280" width="30.88671875" bestFit="1" customWidth="1"/>
    <col min="15281" max="15281" width="25.6640625" bestFit="1" customWidth="1"/>
    <col min="15282" max="15282" width="31.88671875" bestFit="1" customWidth="1"/>
    <col min="15283" max="15283" width="26.33203125" bestFit="1" customWidth="1"/>
    <col min="15284" max="15284" width="25.109375" bestFit="1" customWidth="1"/>
    <col min="15285" max="15285" width="31.21875" bestFit="1" customWidth="1"/>
    <col min="15286" max="15286" width="25.6640625" bestFit="1" customWidth="1"/>
    <col min="15287" max="15287" width="31.5546875" bestFit="1" customWidth="1"/>
    <col min="15288" max="15288" width="37.6640625" bestFit="1" customWidth="1"/>
    <col min="15289" max="15289" width="32.109375" bestFit="1" customWidth="1"/>
    <col min="15290" max="15290" width="22.77734375" bestFit="1" customWidth="1"/>
    <col min="15291" max="15291" width="28.88671875" bestFit="1" customWidth="1"/>
    <col min="15292" max="15292" width="23.33203125" bestFit="1" customWidth="1"/>
    <col min="15293" max="15293" width="25.44140625" bestFit="1" customWidth="1"/>
    <col min="15294" max="15294" width="31.6640625" bestFit="1" customWidth="1"/>
    <col min="15295" max="15295" width="26" bestFit="1" customWidth="1"/>
    <col min="15296" max="15296" width="27.77734375" bestFit="1" customWidth="1"/>
    <col min="15297" max="15297" width="33.88671875" bestFit="1" customWidth="1"/>
    <col min="15298" max="15298" width="28.33203125" bestFit="1" customWidth="1"/>
    <col min="15299" max="15299" width="30.33203125" bestFit="1" customWidth="1"/>
    <col min="15300" max="15300" width="36.5546875" bestFit="1" customWidth="1"/>
    <col min="15301" max="15301" width="30.88671875" bestFit="1" customWidth="1"/>
    <col min="15302" max="15302" width="25.6640625" bestFit="1" customWidth="1"/>
    <col min="15303" max="15303" width="31.88671875" bestFit="1" customWidth="1"/>
    <col min="15304" max="15304" width="26.33203125" bestFit="1" customWidth="1"/>
    <col min="15305" max="15305" width="25.109375" bestFit="1" customWidth="1"/>
    <col min="15306" max="15306" width="31.21875" bestFit="1" customWidth="1"/>
    <col min="15307" max="15307" width="25.6640625" bestFit="1" customWidth="1"/>
    <col min="15308" max="15308" width="31.5546875" bestFit="1" customWidth="1"/>
    <col min="15309" max="15309" width="37.6640625" bestFit="1" customWidth="1"/>
    <col min="15310" max="15310" width="32.109375" bestFit="1" customWidth="1"/>
    <col min="15311" max="15311" width="22.77734375" bestFit="1" customWidth="1"/>
    <col min="15312" max="15312" width="28.88671875" bestFit="1" customWidth="1"/>
    <col min="15313" max="15313" width="23.33203125" bestFit="1" customWidth="1"/>
    <col min="15314" max="15314" width="25.44140625" bestFit="1" customWidth="1"/>
    <col min="15315" max="15315" width="31.6640625" bestFit="1" customWidth="1"/>
    <col min="15316" max="15316" width="26" bestFit="1" customWidth="1"/>
    <col min="15317" max="15317" width="27.77734375" bestFit="1" customWidth="1"/>
    <col min="15318" max="15318" width="33.88671875" bestFit="1" customWidth="1"/>
    <col min="15319" max="15319" width="28.33203125" bestFit="1" customWidth="1"/>
    <col min="15320" max="15320" width="30.33203125" bestFit="1" customWidth="1"/>
    <col min="15321" max="15321" width="36.5546875" bestFit="1" customWidth="1"/>
    <col min="15322" max="15322" width="30.88671875" bestFit="1" customWidth="1"/>
    <col min="15323" max="15323" width="25.6640625" bestFit="1" customWidth="1"/>
    <col min="15324" max="15324" width="31.88671875" bestFit="1" customWidth="1"/>
    <col min="15325" max="15325" width="26.33203125" bestFit="1" customWidth="1"/>
    <col min="15326" max="15326" width="25.109375" bestFit="1" customWidth="1"/>
    <col min="15327" max="15327" width="31.21875" bestFit="1" customWidth="1"/>
    <col min="15328" max="15328" width="25.6640625" bestFit="1" customWidth="1"/>
    <col min="15329" max="15329" width="31.5546875" bestFit="1" customWidth="1"/>
    <col min="15330" max="15330" width="37.6640625" bestFit="1" customWidth="1"/>
    <col min="15331" max="15331" width="32.109375" bestFit="1" customWidth="1"/>
    <col min="15332" max="15332" width="22.77734375" bestFit="1" customWidth="1"/>
    <col min="15333" max="15333" width="28.88671875" bestFit="1" customWidth="1"/>
    <col min="15334" max="15334" width="23.33203125" bestFit="1" customWidth="1"/>
    <col min="15335" max="15335" width="25.44140625" bestFit="1" customWidth="1"/>
    <col min="15336" max="15336" width="31.6640625" bestFit="1" customWidth="1"/>
    <col min="15337" max="15337" width="26" bestFit="1" customWidth="1"/>
    <col min="15338" max="15338" width="27.77734375" bestFit="1" customWidth="1"/>
    <col min="15339" max="15339" width="33.88671875" bestFit="1" customWidth="1"/>
    <col min="15340" max="15340" width="28.33203125" bestFit="1" customWidth="1"/>
    <col min="15341" max="15341" width="30.33203125" bestFit="1" customWidth="1"/>
    <col min="15342" max="15342" width="36.5546875" bestFit="1" customWidth="1"/>
    <col min="15343" max="15343" width="30.88671875" bestFit="1" customWidth="1"/>
    <col min="15344" max="15344" width="25.6640625" bestFit="1" customWidth="1"/>
    <col min="15345" max="15345" width="31.88671875" bestFit="1" customWidth="1"/>
    <col min="15346" max="15346" width="26.33203125" bestFit="1" customWidth="1"/>
    <col min="15347" max="15347" width="25.109375" bestFit="1" customWidth="1"/>
    <col min="15348" max="15348" width="31.21875" bestFit="1" customWidth="1"/>
    <col min="15349" max="15349" width="25.6640625" bestFit="1" customWidth="1"/>
    <col min="15350" max="15350" width="31.5546875" bestFit="1" customWidth="1"/>
    <col min="15351" max="15351" width="37.6640625" bestFit="1" customWidth="1"/>
    <col min="15352" max="15352" width="32.109375" bestFit="1" customWidth="1"/>
    <col min="15353" max="15353" width="22.77734375" bestFit="1" customWidth="1"/>
    <col min="15354" max="15354" width="28.88671875" bestFit="1" customWidth="1"/>
    <col min="15355" max="15355" width="23.33203125" bestFit="1" customWidth="1"/>
    <col min="15356" max="15356" width="25.44140625" bestFit="1" customWidth="1"/>
    <col min="15357" max="15357" width="31.6640625" bestFit="1" customWidth="1"/>
    <col min="15358" max="15358" width="26" bestFit="1" customWidth="1"/>
    <col min="15359" max="15359" width="27.77734375" bestFit="1" customWidth="1"/>
    <col min="15360" max="15360" width="33.88671875" bestFit="1" customWidth="1"/>
    <col min="15361" max="15361" width="28.33203125" bestFit="1" customWidth="1"/>
    <col min="15362" max="15362" width="30.33203125" bestFit="1" customWidth="1"/>
    <col min="15363" max="15363" width="36.5546875" bestFit="1" customWidth="1"/>
    <col min="15364" max="15364" width="30.88671875" bestFit="1" customWidth="1"/>
    <col min="15365" max="15365" width="25.6640625" bestFit="1" customWidth="1"/>
    <col min="15366" max="15366" width="31.88671875" bestFit="1" customWidth="1"/>
    <col min="15367" max="15367" width="26.33203125" bestFit="1" customWidth="1"/>
    <col min="15368" max="15368" width="25.109375" bestFit="1" customWidth="1"/>
    <col min="15369" max="15369" width="31.21875" bestFit="1" customWidth="1"/>
    <col min="15370" max="15370" width="25.6640625" bestFit="1" customWidth="1"/>
    <col min="15371" max="15371" width="31.5546875" bestFit="1" customWidth="1"/>
    <col min="15372" max="15372" width="37.6640625" bestFit="1" customWidth="1"/>
    <col min="15373" max="15373" width="32.109375" bestFit="1" customWidth="1"/>
    <col min="15374" max="15374" width="22.77734375" bestFit="1" customWidth="1"/>
    <col min="15375" max="15375" width="28.88671875" bestFit="1" customWidth="1"/>
    <col min="15376" max="15376" width="23.33203125" bestFit="1" customWidth="1"/>
    <col min="15377" max="15377" width="25.44140625" bestFit="1" customWidth="1"/>
    <col min="15378" max="15378" width="31.6640625" bestFit="1" customWidth="1"/>
    <col min="15379" max="15379" width="26" bestFit="1" customWidth="1"/>
    <col min="15380" max="15380" width="27.77734375" bestFit="1" customWidth="1"/>
    <col min="15381" max="15381" width="33.88671875" bestFit="1" customWidth="1"/>
    <col min="15382" max="15382" width="28.33203125" bestFit="1" customWidth="1"/>
    <col min="15383" max="15383" width="30.33203125" bestFit="1" customWidth="1"/>
    <col min="15384" max="15384" width="36.5546875" bestFit="1" customWidth="1"/>
    <col min="15385" max="15385" width="30.88671875" bestFit="1" customWidth="1"/>
    <col min="15386" max="15386" width="25.6640625" bestFit="1" customWidth="1"/>
    <col min="15387" max="15387" width="31.88671875" bestFit="1" customWidth="1"/>
    <col min="15388" max="15388" width="26.33203125" bestFit="1" customWidth="1"/>
    <col min="15389" max="15389" width="25.109375" bestFit="1" customWidth="1"/>
    <col min="15390" max="15390" width="31.21875" bestFit="1" customWidth="1"/>
    <col min="15391" max="15391" width="25.6640625" bestFit="1" customWidth="1"/>
    <col min="15392" max="15392" width="31.5546875" bestFit="1" customWidth="1"/>
    <col min="15393" max="15393" width="37.6640625" bestFit="1" customWidth="1"/>
    <col min="15394" max="15394" width="32.109375" bestFit="1" customWidth="1"/>
    <col min="15395" max="15395" width="22.77734375" bestFit="1" customWidth="1"/>
    <col min="15396" max="15396" width="28.88671875" bestFit="1" customWidth="1"/>
    <col min="15397" max="15397" width="23.33203125" bestFit="1" customWidth="1"/>
    <col min="15398" max="15398" width="25.44140625" bestFit="1" customWidth="1"/>
    <col min="15399" max="15399" width="31.6640625" bestFit="1" customWidth="1"/>
    <col min="15400" max="15400" width="26" bestFit="1" customWidth="1"/>
    <col min="15401" max="15401" width="27.77734375" bestFit="1" customWidth="1"/>
    <col min="15402" max="15402" width="33.88671875" bestFit="1" customWidth="1"/>
    <col min="15403" max="15403" width="28.33203125" bestFit="1" customWidth="1"/>
    <col min="15404" max="15404" width="30.33203125" bestFit="1" customWidth="1"/>
    <col min="15405" max="15405" width="36.5546875" bestFit="1" customWidth="1"/>
    <col min="15406" max="15406" width="30.88671875" bestFit="1" customWidth="1"/>
    <col min="15407" max="15407" width="25.6640625" bestFit="1" customWidth="1"/>
    <col min="15408" max="15408" width="31.88671875" bestFit="1" customWidth="1"/>
    <col min="15409" max="15409" width="26.33203125" bestFit="1" customWidth="1"/>
    <col min="15410" max="15410" width="25.109375" bestFit="1" customWidth="1"/>
    <col min="15411" max="15411" width="31.21875" bestFit="1" customWidth="1"/>
    <col min="15412" max="15412" width="25.6640625" bestFit="1" customWidth="1"/>
    <col min="15413" max="15413" width="31.5546875" bestFit="1" customWidth="1"/>
    <col min="15414" max="15414" width="37.6640625" bestFit="1" customWidth="1"/>
    <col min="15415" max="15415" width="32.109375" bestFit="1" customWidth="1"/>
    <col min="15416" max="15416" width="22.77734375" bestFit="1" customWidth="1"/>
    <col min="15417" max="15417" width="28.88671875" bestFit="1" customWidth="1"/>
    <col min="15418" max="15418" width="23.33203125" bestFit="1" customWidth="1"/>
    <col min="15419" max="15419" width="25.44140625" bestFit="1" customWidth="1"/>
    <col min="15420" max="15420" width="31.6640625" bestFit="1" customWidth="1"/>
    <col min="15421" max="15421" width="26" bestFit="1" customWidth="1"/>
    <col min="15422" max="15422" width="27.77734375" bestFit="1" customWidth="1"/>
    <col min="15423" max="15423" width="33.88671875" bestFit="1" customWidth="1"/>
    <col min="15424" max="15424" width="28.33203125" bestFit="1" customWidth="1"/>
    <col min="15425" max="15425" width="30.33203125" bestFit="1" customWidth="1"/>
    <col min="15426" max="15426" width="36.5546875" bestFit="1" customWidth="1"/>
    <col min="15427" max="15427" width="30.88671875" bestFit="1" customWidth="1"/>
    <col min="15428" max="15428" width="25.6640625" bestFit="1" customWidth="1"/>
    <col min="15429" max="15429" width="31.88671875" bestFit="1" customWidth="1"/>
    <col min="15430" max="15430" width="26.33203125" bestFit="1" customWidth="1"/>
    <col min="15431" max="15431" width="25.109375" bestFit="1" customWidth="1"/>
    <col min="15432" max="15432" width="31.21875" bestFit="1" customWidth="1"/>
    <col min="15433" max="15433" width="25.6640625" bestFit="1" customWidth="1"/>
    <col min="15434" max="15434" width="31.5546875" bestFit="1" customWidth="1"/>
    <col min="15435" max="15435" width="37.6640625" bestFit="1" customWidth="1"/>
    <col min="15436" max="15436" width="32.109375" bestFit="1" customWidth="1"/>
    <col min="15437" max="15437" width="22.77734375" bestFit="1" customWidth="1"/>
    <col min="15438" max="15438" width="28.88671875" bestFit="1" customWidth="1"/>
    <col min="15439" max="15439" width="23.33203125" bestFit="1" customWidth="1"/>
    <col min="15440" max="15440" width="25.44140625" bestFit="1" customWidth="1"/>
    <col min="15441" max="15441" width="31.6640625" bestFit="1" customWidth="1"/>
    <col min="15442" max="15442" width="26" bestFit="1" customWidth="1"/>
    <col min="15443" max="15443" width="27.77734375" bestFit="1" customWidth="1"/>
    <col min="15444" max="15444" width="33.88671875" bestFit="1" customWidth="1"/>
    <col min="15445" max="15445" width="28.33203125" bestFit="1" customWidth="1"/>
    <col min="15446" max="15446" width="30.33203125" bestFit="1" customWidth="1"/>
    <col min="15447" max="15447" width="36.5546875" bestFit="1" customWidth="1"/>
    <col min="15448" max="15448" width="30.88671875" bestFit="1" customWidth="1"/>
    <col min="15449" max="15449" width="25.6640625" bestFit="1" customWidth="1"/>
    <col min="15450" max="15450" width="31.88671875" bestFit="1" customWidth="1"/>
    <col min="15451" max="15451" width="26.33203125" bestFit="1" customWidth="1"/>
    <col min="15452" max="15452" width="25.109375" bestFit="1" customWidth="1"/>
    <col min="15453" max="15453" width="31.21875" bestFit="1" customWidth="1"/>
    <col min="15454" max="15454" width="25.6640625" bestFit="1" customWidth="1"/>
    <col min="15455" max="15455" width="31.5546875" bestFit="1" customWidth="1"/>
    <col min="15456" max="15456" width="37.6640625" bestFit="1" customWidth="1"/>
    <col min="15457" max="15457" width="32.109375" bestFit="1" customWidth="1"/>
    <col min="15458" max="15458" width="22.77734375" bestFit="1" customWidth="1"/>
    <col min="15459" max="15459" width="28.88671875" bestFit="1" customWidth="1"/>
    <col min="15460" max="15460" width="23.33203125" bestFit="1" customWidth="1"/>
    <col min="15461" max="15461" width="25.44140625" bestFit="1" customWidth="1"/>
    <col min="15462" max="15462" width="31.6640625" bestFit="1" customWidth="1"/>
    <col min="15463" max="15463" width="26" bestFit="1" customWidth="1"/>
    <col min="15464" max="15464" width="27.77734375" bestFit="1" customWidth="1"/>
    <col min="15465" max="15465" width="33.88671875" bestFit="1" customWidth="1"/>
    <col min="15466" max="15466" width="28.33203125" bestFit="1" customWidth="1"/>
    <col min="15467" max="15467" width="30.33203125" bestFit="1" customWidth="1"/>
    <col min="15468" max="15468" width="36.5546875" bestFit="1" customWidth="1"/>
    <col min="15469" max="15469" width="30.88671875" bestFit="1" customWidth="1"/>
    <col min="15470" max="15470" width="25.6640625" bestFit="1" customWidth="1"/>
    <col min="15471" max="15471" width="31.88671875" bestFit="1" customWidth="1"/>
    <col min="15472" max="15472" width="26.33203125" bestFit="1" customWidth="1"/>
    <col min="15473" max="15473" width="25.109375" bestFit="1" customWidth="1"/>
    <col min="15474" max="15474" width="31.21875" bestFit="1" customWidth="1"/>
    <col min="15475" max="15475" width="25.6640625" bestFit="1" customWidth="1"/>
    <col min="15476" max="15476" width="31.5546875" bestFit="1" customWidth="1"/>
    <col min="15477" max="15477" width="37.6640625" bestFit="1" customWidth="1"/>
    <col min="15478" max="15478" width="32.109375" bestFit="1" customWidth="1"/>
    <col min="15479" max="15479" width="22.77734375" bestFit="1" customWidth="1"/>
    <col min="15480" max="15480" width="28.88671875" bestFit="1" customWidth="1"/>
    <col min="15481" max="15481" width="23.33203125" bestFit="1" customWidth="1"/>
    <col min="15482" max="15482" width="25.44140625" bestFit="1" customWidth="1"/>
    <col min="15483" max="15483" width="31.6640625" bestFit="1" customWidth="1"/>
    <col min="15484" max="15484" width="26" bestFit="1" customWidth="1"/>
    <col min="15485" max="15485" width="27.77734375" bestFit="1" customWidth="1"/>
    <col min="15486" max="15486" width="33.88671875" bestFit="1" customWidth="1"/>
    <col min="15487" max="15487" width="28.33203125" bestFit="1" customWidth="1"/>
    <col min="15488" max="15488" width="30.33203125" bestFit="1" customWidth="1"/>
    <col min="15489" max="15489" width="36.5546875" bestFit="1" customWidth="1"/>
    <col min="15490" max="15490" width="30.88671875" bestFit="1" customWidth="1"/>
    <col min="15491" max="15491" width="25.6640625" bestFit="1" customWidth="1"/>
    <col min="15492" max="15492" width="31.88671875" bestFit="1" customWidth="1"/>
    <col min="15493" max="15493" width="26.33203125" bestFit="1" customWidth="1"/>
    <col min="15494" max="15494" width="25.109375" bestFit="1" customWidth="1"/>
    <col min="15495" max="15495" width="31.21875" bestFit="1" customWidth="1"/>
    <col min="15496" max="15496" width="25.6640625" bestFit="1" customWidth="1"/>
    <col min="15497" max="15497" width="31.5546875" bestFit="1" customWidth="1"/>
    <col min="15498" max="15498" width="37.6640625" bestFit="1" customWidth="1"/>
    <col min="15499" max="15499" width="32.109375" bestFit="1" customWidth="1"/>
    <col min="15500" max="15500" width="22.77734375" bestFit="1" customWidth="1"/>
    <col min="15501" max="15501" width="28.88671875" bestFit="1" customWidth="1"/>
    <col min="15502" max="15502" width="23.33203125" bestFit="1" customWidth="1"/>
    <col min="15503" max="15503" width="25.44140625" bestFit="1" customWidth="1"/>
    <col min="15504" max="15504" width="31.6640625" bestFit="1" customWidth="1"/>
    <col min="15505" max="15505" width="26" bestFit="1" customWidth="1"/>
    <col min="15506" max="15506" width="26.77734375" bestFit="1" customWidth="1"/>
    <col min="15507" max="15507" width="32.88671875" bestFit="1" customWidth="1"/>
    <col min="15508" max="15508" width="27.33203125" bestFit="1" customWidth="1"/>
    <col min="15509" max="15509" width="30.33203125" bestFit="1" customWidth="1"/>
    <col min="15510" max="15510" width="36.5546875" bestFit="1" customWidth="1"/>
    <col min="15511" max="15511" width="30.88671875" bestFit="1" customWidth="1"/>
    <col min="15512" max="15512" width="25.6640625" bestFit="1" customWidth="1"/>
    <col min="15513" max="15513" width="31.88671875" bestFit="1" customWidth="1"/>
    <col min="15514" max="15514" width="26.33203125" bestFit="1" customWidth="1"/>
    <col min="15515" max="15515" width="25.109375" bestFit="1" customWidth="1"/>
    <col min="15516" max="15516" width="31.21875" bestFit="1" customWidth="1"/>
    <col min="15517" max="15517" width="25.6640625" bestFit="1" customWidth="1"/>
    <col min="15518" max="15518" width="31.5546875" bestFit="1" customWidth="1"/>
    <col min="15519" max="15519" width="37.6640625" bestFit="1" customWidth="1"/>
    <col min="15520" max="15520" width="32.109375" bestFit="1" customWidth="1"/>
    <col min="15521" max="15521" width="22.77734375" bestFit="1" customWidth="1"/>
    <col min="15522" max="15522" width="28.88671875" bestFit="1" customWidth="1"/>
    <col min="15523" max="15523" width="23.33203125" bestFit="1" customWidth="1"/>
    <col min="15524" max="15524" width="25.44140625" bestFit="1" customWidth="1"/>
    <col min="15525" max="15525" width="31.6640625" bestFit="1" customWidth="1"/>
    <col min="15526" max="15526" width="26" bestFit="1" customWidth="1"/>
    <col min="15527" max="15527" width="27.77734375" bestFit="1" customWidth="1"/>
    <col min="15528" max="15528" width="33.88671875" bestFit="1" customWidth="1"/>
    <col min="15529" max="15529" width="28.33203125" bestFit="1" customWidth="1"/>
    <col min="15530" max="15530" width="30.33203125" bestFit="1" customWidth="1"/>
    <col min="15531" max="15531" width="36.5546875" bestFit="1" customWidth="1"/>
    <col min="15532" max="15532" width="30.88671875" bestFit="1" customWidth="1"/>
    <col min="15533" max="15533" width="25.6640625" bestFit="1" customWidth="1"/>
    <col min="15534" max="15534" width="31.88671875" bestFit="1" customWidth="1"/>
    <col min="15535" max="15535" width="26.33203125" bestFit="1" customWidth="1"/>
    <col min="15536" max="15536" width="25.109375" bestFit="1" customWidth="1"/>
    <col min="15537" max="15537" width="31.21875" bestFit="1" customWidth="1"/>
    <col min="15538" max="15538" width="25.6640625" bestFit="1" customWidth="1"/>
    <col min="15539" max="15539" width="31.5546875" bestFit="1" customWidth="1"/>
    <col min="15540" max="15540" width="37.6640625" bestFit="1" customWidth="1"/>
    <col min="15541" max="15541" width="32.109375" bestFit="1" customWidth="1"/>
    <col min="15542" max="15542" width="22.77734375" bestFit="1" customWidth="1"/>
    <col min="15543" max="15543" width="28.88671875" bestFit="1" customWidth="1"/>
    <col min="15544" max="15544" width="23.33203125" bestFit="1" customWidth="1"/>
    <col min="15545" max="15545" width="25.44140625" bestFit="1" customWidth="1"/>
    <col min="15546" max="15546" width="31.6640625" bestFit="1" customWidth="1"/>
    <col min="15547" max="15547" width="26" bestFit="1" customWidth="1"/>
    <col min="15548" max="15548" width="27.77734375" bestFit="1" customWidth="1"/>
    <col min="15549" max="15549" width="33.88671875" bestFit="1" customWidth="1"/>
    <col min="15550" max="15550" width="28.33203125" bestFit="1" customWidth="1"/>
    <col min="15551" max="15551" width="30.33203125" bestFit="1" customWidth="1"/>
    <col min="15552" max="15552" width="36.5546875" bestFit="1" customWidth="1"/>
    <col min="15553" max="15553" width="30.88671875" bestFit="1" customWidth="1"/>
    <col min="15554" max="15554" width="25.6640625" bestFit="1" customWidth="1"/>
    <col min="15555" max="15555" width="31.88671875" bestFit="1" customWidth="1"/>
    <col min="15556" max="15556" width="26.33203125" bestFit="1" customWidth="1"/>
    <col min="15557" max="15557" width="25.109375" bestFit="1" customWidth="1"/>
    <col min="15558" max="15558" width="31.21875" bestFit="1" customWidth="1"/>
    <col min="15559" max="15559" width="25.6640625" bestFit="1" customWidth="1"/>
    <col min="15560" max="15560" width="31.5546875" bestFit="1" customWidth="1"/>
    <col min="15561" max="15561" width="37.6640625" bestFit="1" customWidth="1"/>
    <col min="15562" max="15562" width="32.109375" bestFit="1" customWidth="1"/>
    <col min="15563" max="15563" width="22.77734375" bestFit="1" customWidth="1"/>
    <col min="15564" max="15564" width="28.88671875" bestFit="1" customWidth="1"/>
    <col min="15565" max="15565" width="23.33203125" bestFit="1" customWidth="1"/>
    <col min="15566" max="15566" width="25.44140625" bestFit="1" customWidth="1"/>
    <col min="15567" max="15567" width="31.6640625" bestFit="1" customWidth="1"/>
    <col min="15568" max="15568" width="26" bestFit="1" customWidth="1"/>
    <col min="15569" max="15569" width="27.77734375" bestFit="1" customWidth="1"/>
    <col min="15570" max="15570" width="33.88671875" bestFit="1" customWidth="1"/>
    <col min="15571" max="15571" width="28.33203125" bestFit="1" customWidth="1"/>
    <col min="15572" max="15572" width="30.33203125" bestFit="1" customWidth="1"/>
    <col min="15573" max="15573" width="36.5546875" bestFit="1" customWidth="1"/>
    <col min="15574" max="15574" width="30.88671875" bestFit="1" customWidth="1"/>
    <col min="15575" max="15575" width="25.6640625" bestFit="1" customWidth="1"/>
    <col min="15576" max="15576" width="31.88671875" bestFit="1" customWidth="1"/>
    <col min="15577" max="15577" width="26.33203125" bestFit="1" customWidth="1"/>
    <col min="15578" max="15578" width="25.109375" bestFit="1" customWidth="1"/>
    <col min="15579" max="15579" width="31.21875" bestFit="1" customWidth="1"/>
    <col min="15580" max="15580" width="25.6640625" bestFit="1" customWidth="1"/>
    <col min="15581" max="15581" width="31.5546875" bestFit="1" customWidth="1"/>
    <col min="15582" max="15582" width="37.6640625" bestFit="1" customWidth="1"/>
    <col min="15583" max="15583" width="32.109375" bestFit="1" customWidth="1"/>
    <col min="15584" max="15584" width="22.77734375" bestFit="1" customWidth="1"/>
    <col min="15585" max="15585" width="28.88671875" bestFit="1" customWidth="1"/>
    <col min="15586" max="15586" width="23.33203125" bestFit="1" customWidth="1"/>
    <col min="15587" max="15587" width="25.44140625" bestFit="1" customWidth="1"/>
    <col min="15588" max="15588" width="31.6640625" bestFit="1" customWidth="1"/>
    <col min="15589" max="15589" width="26" bestFit="1" customWidth="1"/>
    <col min="15590" max="15590" width="27.77734375" bestFit="1" customWidth="1"/>
    <col min="15591" max="15591" width="33.88671875" bestFit="1" customWidth="1"/>
    <col min="15592" max="15592" width="28.33203125" bestFit="1" customWidth="1"/>
    <col min="15593" max="15593" width="30.33203125" bestFit="1" customWidth="1"/>
    <col min="15594" max="15594" width="36.5546875" bestFit="1" customWidth="1"/>
    <col min="15595" max="15595" width="30.88671875" bestFit="1" customWidth="1"/>
    <col min="15596" max="15596" width="25.6640625" bestFit="1" customWidth="1"/>
    <col min="15597" max="15597" width="31.88671875" bestFit="1" customWidth="1"/>
    <col min="15598" max="15598" width="26.33203125" bestFit="1" customWidth="1"/>
    <col min="15599" max="15599" width="25.109375" bestFit="1" customWidth="1"/>
    <col min="15600" max="15600" width="31.21875" bestFit="1" customWidth="1"/>
    <col min="15601" max="15601" width="25.6640625" bestFit="1" customWidth="1"/>
    <col min="15602" max="15602" width="31.5546875" bestFit="1" customWidth="1"/>
    <col min="15603" max="15603" width="37.6640625" bestFit="1" customWidth="1"/>
    <col min="15604" max="15604" width="32.109375" bestFit="1" customWidth="1"/>
    <col min="15605" max="15605" width="22.77734375" bestFit="1" customWidth="1"/>
    <col min="15606" max="15606" width="28.88671875" bestFit="1" customWidth="1"/>
    <col min="15607" max="15607" width="23.33203125" bestFit="1" customWidth="1"/>
    <col min="15608" max="15608" width="25.44140625" bestFit="1" customWidth="1"/>
    <col min="15609" max="15609" width="31.6640625" bestFit="1" customWidth="1"/>
    <col min="15610" max="15610" width="26" bestFit="1" customWidth="1"/>
    <col min="15611" max="15611" width="27.77734375" bestFit="1" customWidth="1"/>
    <col min="15612" max="15612" width="33.88671875" bestFit="1" customWidth="1"/>
    <col min="15613" max="15613" width="28.33203125" bestFit="1" customWidth="1"/>
    <col min="15614" max="15614" width="30.33203125" bestFit="1" customWidth="1"/>
    <col min="15615" max="15615" width="36.5546875" bestFit="1" customWidth="1"/>
    <col min="15616" max="15616" width="30.88671875" bestFit="1" customWidth="1"/>
    <col min="15617" max="15617" width="25.6640625" bestFit="1" customWidth="1"/>
    <col min="15618" max="15618" width="31.88671875" bestFit="1" customWidth="1"/>
    <col min="15619" max="15619" width="26.33203125" bestFit="1" customWidth="1"/>
    <col min="15620" max="15620" width="25.109375" bestFit="1" customWidth="1"/>
    <col min="15621" max="15621" width="31.21875" bestFit="1" customWidth="1"/>
    <col min="15622" max="15622" width="25.6640625" bestFit="1" customWidth="1"/>
    <col min="15623" max="15623" width="31.5546875" bestFit="1" customWidth="1"/>
    <col min="15624" max="15624" width="37.6640625" bestFit="1" customWidth="1"/>
    <col min="15625" max="15625" width="32.109375" bestFit="1" customWidth="1"/>
    <col min="15626" max="15626" width="22.77734375" bestFit="1" customWidth="1"/>
    <col min="15627" max="15627" width="28.88671875" bestFit="1" customWidth="1"/>
    <col min="15628" max="15628" width="23.33203125" bestFit="1" customWidth="1"/>
    <col min="15629" max="15629" width="25.44140625" bestFit="1" customWidth="1"/>
    <col min="15630" max="15630" width="31.6640625" bestFit="1" customWidth="1"/>
    <col min="15631" max="15631" width="26" bestFit="1" customWidth="1"/>
    <col min="15632" max="15632" width="27.77734375" bestFit="1" customWidth="1"/>
    <col min="15633" max="15633" width="33.88671875" bestFit="1" customWidth="1"/>
    <col min="15634" max="15634" width="28.33203125" bestFit="1" customWidth="1"/>
    <col min="15635" max="15635" width="30.33203125" bestFit="1" customWidth="1"/>
    <col min="15636" max="15636" width="36.5546875" bestFit="1" customWidth="1"/>
    <col min="15637" max="15637" width="30.88671875" bestFit="1" customWidth="1"/>
    <col min="15638" max="15638" width="25.6640625" bestFit="1" customWidth="1"/>
    <col min="15639" max="15639" width="31.88671875" bestFit="1" customWidth="1"/>
    <col min="15640" max="15640" width="26.33203125" bestFit="1" customWidth="1"/>
    <col min="15641" max="15641" width="25.109375" bestFit="1" customWidth="1"/>
    <col min="15642" max="15642" width="31.21875" bestFit="1" customWidth="1"/>
    <col min="15643" max="15643" width="25.6640625" bestFit="1" customWidth="1"/>
    <col min="15644" max="15644" width="31.5546875" bestFit="1" customWidth="1"/>
    <col min="15645" max="15645" width="37.6640625" bestFit="1" customWidth="1"/>
    <col min="15646" max="15646" width="32.109375" bestFit="1" customWidth="1"/>
    <col min="15647" max="15647" width="22.77734375" bestFit="1" customWidth="1"/>
    <col min="15648" max="15648" width="28.88671875" bestFit="1" customWidth="1"/>
    <col min="15649" max="15649" width="23.33203125" bestFit="1" customWidth="1"/>
    <col min="15650" max="15650" width="25.44140625" bestFit="1" customWidth="1"/>
    <col min="15651" max="15651" width="31.6640625" bestFit="1" customWidth="1"/>
    <col min="15652" max="15652" width="26" bestFit="1" customWidth="1"/>
    <col min="15653" max="15653" width="27.77734375" bestFit="1" customWidth="1"/>
    <col min="15654" max="15654" width="33.88671875" bestFit="1" customWidth="1"/>
    <col min="15655" max="15655" width="28.33203125" bestFit="1" customWidth="1"/>
    <col min="15656" max="15656" width="30.33203125" bestFit="1" customWidth="1"/>
    <col min="15657" max="15657" width="36.5546875" bestFit="1" customWidth="1"/>
    <col min="15658" max="15658" width="30.88671875" bestFit="1" customWidth="1"/>
    <col min="15659" max="15659" width="25.6640625" bestFit="1" customWidth="1"/>
    <col min="15660" max="15660" width="31.88671875" bestFit="1" customWidth="1"/>
    <col min="15661" max="15661" width="26.33203125" bestFit="1" customWidth="1"/>
    <col min="15662" max="15662" width="25.109375" bestFit="1" customWidth="1"/>
    <col min="15663" max="15663" width="31.21875" bestFit="1" customWidth="1"/>
    <col min="15664" max="15664" width="25.6640625" bestFit="1" customWidth="1"/>
    <col min="15665" max="15665" width="31.5546875" bestFit="1" customWidth="1"/>
    <col min="15666" max="15666" width="37.6640625" bestFit="1" customWidth="1"/>
    <col min="15667" max="15667" width="32.109375" bestFit="1" customWidth="1"/>
    <col min="15668" max="15668" width="22.77734375" bestFit="1" customWidth="1"/>
    <col min="15669" max="15669" width="28.88671875" bestFit="1" customWidth="1"/>
    <col min="15670" max="15670" width="23.33203125" bestFit="1" customWidth="1"/>
    <col min="15671" max="15671" width="25.44140625" bestFit="1" customWidth="1"/>
    <col min="15672" max="15672" width="31.6640625" bestFit="1" customWidth="1"/>
    <col min="15673" max="15673" width="26" bestFit="1" customWidth="1"/>
    <col min="15674" max="15674" width="27.77734375" bestFit="1" customWidth="1"/>
    <col min="15675" max="15675" width="33.88671875" bestFit="1" customWidth="1"/>
    <col min="15676" max="15676" width="28.33203125" bestFit="1" customWidth="1"/>
    <col min="15677" max="15677" width="30.33203125" bestFit="1" customWidth="1"/>
    <col min="15678" max="15678" width="36.5546875" bestFit="1" customWidth="1"/>
    <col min="15679" max="15679" width="30.88671875" bestFit="1" customWidth="1"/>
    <col min="15680" max="15680" width="25.6640625" bestFit="1" customWidth="1"/>
    <col min="15681" max="15681" width="31.88671875" bestFit="1" customWidth="1"/>
    <col min="15682" max="15682" width="26.33203125" bestFit="1" customWidth="1"/>
    <col min="15683" max="15683" width="25.109375" bestFit="1" customWidth="1"/>
    <col min="15684" max="15684" width="31.21875" bestFit="1" customWidth="1"/>
    <col min="15685" max="15685" width="25.6640625" bestFit="1" customWidth="1"/>
    <col min="15686" max="15686" width="31.5546875" bestFit="1" customWidth="1"/>
    <col min="15687" max="15687" width="37.6640625" bestFit="1" customWidth="1"/>
    <col min="15688" max="15688" width="32.109375" bestFit="1" customWidth="1"/>
    <col min="15689" max="15689" width="22.77734375" bestFit="1" customWidth="1"/>
    <col min="15690" max="15690" width="28.88671875" bestFit="1" customWidth="1"/>
    <col min="15691" max="15691" width="23.33203125" bestFit="1" customWidth="1"/>
    <col min="15692" max="15692" width="25.44140625" bestFit="1" customWidth="1"/>
    <col min="15693" max="15693" width="31.6640625" bestFit="1" customWidth="1"/>
    <col min="15694" max="15694" width="26" bestFit="1" customWidth="1"/>
    <col min="15695" max="15695" width="27.77734375" bestFit="1" customWidth="1"/>
    <col min="15696" max="15696" width="33.88671875" bestFit="1" customWidth="1"/>
    <col min="15697" max="15697" width="28.33203125" bestFit="1" customWidth="1"/>
    <col min="15698" max="15698" width="30.33203125" bestFit="1" customWidth="1"/>
    <col min="15699" max="15699" width="36.5546875" bestFit="1" customWidth="1"/>
    <col min="15700" max="15700" width="30.88671875" bestFit="1" customWidth="1"/>
    <col min="15701" max="15701" width="25.6640625" bestFit="1" customWidth="1"/>
    <col min="15702" max="15702" width="31.88671875" bestFit="1" customWidth="1"/>
    <col min="15703" max="15703" width="26.33203125" bestFit="1" customWidth="1"/>
    <col min="15704" max="15704" width="25.109375" bestFit="1" customWidth="1"/>
    <col min="15705" max="15705" width="31.21875" bestFit="1" customWidth="1"/>
    <col min="15706" max="15706" width="25.6640625" bestFit="1" customWidth="1"/>
    <col min="15707" max="15707" width="31.5546875" bestFit="1" customWidth="1"/>
    <col min="15708" max="15708" width="37.6640625" bestFit="1" customWidth="1"/>
    <col min="15709" max="15709" width="32.109375" bestFit="1" customWidth="1"/>
    <col min="15710" max="15710" width="27.109375" bestFit="1" customWidth="1"/>
    <col min="15711" max="15711" width="33.21875" bestFit="1" customWidth="1"/>
    <col min="15712" max="15712" width="27.6640625" bestFit="1" customWidth="1"/>
  </cols>
  <sheetData>
    <row r="3" spans="1:13" x14ac:dyDescent="0.3">
      <c r="B3" s="3" t="s">
        <v>1707</v>
      </c>
    </row>
    <row r="4" spans="1:13" x14ac:dyDescent="0.3">
      <c r="B4" t="s">
        <v>1500</v>
      </c>
      <c r="E4" t="s">
        <v>1498</v>
      </c>
      <c r="H4" t="s">
        <v>1495</v>
      </c>
      <c r="K4" t="s">
        <v>1701</v>
      </c>
      <c r="L4" t="s">
        <v>1708</v>
      </c>
      <c r="M4" t="s">
        <v>1837</v>
      </c>
    </row>
    <row r="5" spans="1:13" x14ac:dyDescent="0.3">
      <c r="A5" s="3" t="s">
        <v>1706</v>
      </c>
      <c r="B5" t="s">
        <v>1700</v>
      </c>
      <c r="C5" t="s">
        <v>1709</v>
      </c>
      <c r="D5" t="s">
        <v>1836</v>
      </c>
      <c r="E5" t="s">
        <v>1700</v>
      </c>
      <c r="F5" t="s">
        <v>1709</v>
      </c>
      <c r="G5" t="s">
        <v>1836</v>
      </c>
      <c r="H5" t="s">
        <v>1700</v>
      </c>
      <c r="I5" t="s">
        <v>1709</v>
      </c>
      <c r="J5" t="s">
        <v>1836</v>
      </c>
    </row>
    <row r="6" spans="1:13" x14ac:dyDescent="0.3">
      <c r="A6" s="5" t="s">
        <v>26</v>
      </c>
      <c r="B6" s="9">
        <v>32</v>
      </c>
      <c r="C6" s="7">
        <v>6.3319444444444448</v>
      </c>
      <c r="D6" s="9">
        <v>6.1080000000000014</v>
      </c>
      <c r="E6" s="9"/>
      <c r="F6" s="7"/>
      <c r="G6" s="9"/>
      <c r="H6" s="9"/>
      <c r="I6" s="7"/>
      <c r="J6" s="9"/>
      <c r="K6" s="9">
        <v>32</v>
      </c>
      <c r="L6" s="7">
        <v>6.3319444444444439</v>
      </c>
      <c r="M6" s="9">
        <v>6.1079999999999997</v>
      </c>
    </row>
    <row r="7" spans="1:13" x14ac:dyDescent="0.3">
      <c r="A7" s="6" t="s">
        <v>19</v>
      </c>
      <c r="B7" s="9">
        <v>8</v>
      </c>
      <c r="C7" s="7">
        <v>1.504861111111111</v>
      </c>
      <c r="D7" s="9">
        <v>2.1840000000000002</v>
      </c>
      <c r="E7" s="9"/>
      <c r="F7" s="7"/>
      <c r="G7" s="9"/>
      <c r="H7" s="9"/>
      <c r="I7" s="7"/>
      <c r="J7" s="9"/>
      <c r="K7" s="9">
        <v>8</v>
      </c>
      <c r="L7" s="7">
        <v>1.504861111111111</v>
      </c>
      <c r="M7" s="9">
        <v>2.1840000000000002</v>
      </c>
    </row>
    <row r="8" spans="1:13" x14ac:dyDescent="0.3">
      <c r="A8" s="6" t="s">
        <v>22</v>
      </c>
      <c r="B8" s="9">
        <v>6</v>
      </c>
      <c r="C8" s="7">
        <v>1.0208333333333333</v>
      </c>
      <c r="D8" s="9">
        <v>1.0619999999999998</v>
      </c>
      <c r="E8" s="9"/>
      <c r="F8" s="7"/>
      <c r="G8" s="9"/>
      <c r="H8" s="9"/>
      <c r="I8" s="7"/>
      <c r="J8" s="9"/>
      <c r="K8" s="9">
        <v>6</v>
      </c>
      <c r="L8" s="7">
        <v>1.0208333333333333</v>
      </c>
      <c r="M8" s="9">
        <v>1.0619999999999998</v>
      </c>
    </row>
    <row r="9" spans="1:13" x14ac:dyDescent="0.3">
      <c r="A9" s="6" t="s">
        <v>11</v>
      </c>
      <c r="B9" s="9">
        <v>8</v>
      </c>
      <c r="C9" s="7">
        <v>1.7131944444444445</v>
      </c>
      <c r="D9" s="9">
        <v>2.2160000000000002</v>
      </c>
      <c r="E9" s="9"/>
      <c r="F9" s="7"/>
      <c r="G9" s="9"/>
      <c r="H9" s="9"/>
      <c r="I9" s="7"/>
      <c r="J9" s="9"/>
      <c r="K9" s="9">
        <v>8</v>
      </c>
      <c r="L9" s="7">
        <v>1.7131944444444445</v>
      </c>
      <c r="M9" s="9">
        <v>2.2160000000000002</v>
      </c>
    </row>
    <row r="10" spans="1:13" x14ac:dyDescent="0.3">
      <c r="A10" s="6" t="s">
        <v>14</v>
      </c>
      <c r="B10" s="9">
        <v>10</v>
      </c>
      <c r="C10" s="7">
        <v>2.0930555555555554</v>
      </c>
      <c r="D10" s="9">
        <v>0.64600000000000002</v>
      </c>
      <c r="E10" s="9"/>
      <c r="F10" s="7"/>
      <c r="G10" s="9"/>
      <c r="H10" s="9"/>
      <c r="I10" s="7"/>
      <c r="J10" s="9"/>
      <c r="K10" s="9">
        <v>10</v>
      </c>
      <c r="L10" s="7">
        <v>2.0930555555555554</v>
      </c>
      <c r="M10" s="9">
        <v>0.64600000000000002</v>
      </c>
    </row>
    <row r="11" spans="1:13" x14ac:dyDescent="0.3">
      <c r="A11" s="5" t="s">
        <v>60</v>
      </c>
      <c r="B11" s="9"/>
      <c r="C11" s="7"/>
      <c r="D11" s="9"/>
      <c r="E11" s="9">
        <v>24</v>
      </c>
      <c r="F11" s="7">
        <v>4.2861111111111105</v>
      </c>
      <c r="G11" s="9">
        <v>4.5000000000000018</v>
      </c>
      <c r="H11" s="9"/>
      <c r="I11" s="7"/>
      <c r="J11" s="9"/>
      <c r="K11" s="9">
        <v>24</v>
      </c>
      <c r="L11" s="7">
        <v>4.2861111111111114</v>
      </c>
      <c r="M11" s="9">
        <v>4.5000000000000009</v>
      </c>
    </row>
    <row r="12" spans="1:13" x14ac:dyDescent="0.3">
      <c r="A12" s="6" t="s">
        <v>19</v>
      </c>
      <c r="B12" s="9"/>
      <c r="C12" s="7"/>
      <c r="D12" s="9"/>
      <c r="E12" s="9">
        <v>3</v>
      </c>
      <c r="F12" s="7">
        <v>0.74652777777777768</v>
      </c>
      <c r="G12" s="9">
        <v>0.78200000000000003</v>
      </c>
      <c r="H12" s="9"/>
      <c r="I12" s="7"/>
      <c r="J12" s="9"/>
      <c r="K12" s="9">
        <v>3</v>
      </c>
      <c r="L12" s="7">
        <v>0.74652777777777768</v>
      </c>
      <c r="M12" s="9">
        <v>0.78200000000000003</v>
      </c>
    </row>
    <row r="13" spans="1:13" x14ac:dyDescent="0.3">
      <c r="A13" s="6" t="s">
        <v>22</v>
      </c>
      <c r="B13" s="9"/>
      <c r="C13" s="7"/>
      <c r="D13" s="9"/>
      <c r="E13" s="9">
        <v>8</v>
      </c>
      <c r="F13" s="7">
        <v>1.4881944444444446</v>
      </c>
      <c r="G13" s="9">
        <v>1.5330000000000001</v>
      </c>
      <c r="H13" s="9"/>
      <c r="I13" s="7"/>
      <c r="J13" s="9"/>
      <c r="K13" s="9">
        <v>8</v>
      </c>
      <c r="L13" s="7">
        <v>1.4881944444444446</v>
      </c>
      <c r="M13" s="9">
        <v>1.5330000000000001</v>
      </c>
    </row>
    <row r="14" spans="1:13" x14ac:dyDescent="0.3">
      <c r="A14" s="6" t="s">
        <v>11</v>
      </c>
      <c r="B14" s="9"/>
      <c r="C14" s="7"/>
      <c r="D14" s="9"/>
      <c r="E14" s="9">
        <v>7</v>
      </c>
      <c r="F14" s="7">
        <v>1.3347222222222226</v>
      </c>
      <c r="G14" s="9">
        <v>1.748</v>
      </c>
      <c r="H14" s="9"/>
      <c r="I14" s="7"/>
      <c r="J14" s="9"/>
      <c r="K14" s="9">
        <v>7</v>
      </c>
      <c r="L14" s="7">
        <v>1.3347222222222226</v>
      </c>
      <c r="M14" s="9">
        <v>1.748</v>
      </c>
    </row>
    <row r="15" spans="1:13" x14ac:dyDescent="0.3">
      <c r="A15" s="6" t="s">
        <v>14</v>
      </c>
      <c r="B15" s="9"/>
      <c r="C15" s="7"/>
      <c r="D15" s="9"/>
      <c r="E15" s="9">
        <v>6</v>
      </c>
      <c r="F15" s="7">
        <v>0.71666666666666667</v>
      </c>
      <c r="G15" s="9">
        <v>0.437</v>
      </c>
      <c r="H15" s="9"/>
      <c r="I15" s="7"/>
      <c r="J15" s="9"/>
      <c r="K15" s="9">
        <v>6</v>
      </c>
      <c r="L15" s="7">
        <v>0.71666666666666667</v>
      </c>
      <c r="M15" s="9">
        <v>0.437</v>
      </c>
    </row>
    <row r="16" spans="1:13" x14ac:dyDescent="0.3">
      <c r="A16" s="5" t="s">
        <v>24</v>
      </c>
      <c r="B16" s="9">
        <v>38</v>
      </c>
      <c r="C16" s="7">
        <v>7.084722222222223</v>
      </c>
      <c r="D16" s="9">
        <v>6.8090000000000002</v>
      </c>
      <c r="E16" s="9"/>
      <c r="F16" s="7"/>
      <c r="G16" s="9"/>
      <c r="H16" s="9"/>
      <c r="I16" s="7"/>
      <c r="J16" s="9"/>
      <c r="K16" s="9">
        <v>38</v>
      </c>
      <c r="L16" s="7">
        <v>7.0847222222222239</v>
      </c>
      <c r="M16" s="9">
        <v>6.8090000000000002</v>
      </c>
    </row>
    <row r="17" spans="1:13" x14ac:dyDescent="0.3">
      <c r="A17" s="6" t="s">
        <v>19</v>
      </c>
      <c r="B17" s="9">
        <v>10</v>
      </c>
      <c r="C17" s="7">
        <v>2.1090277777777779</v>
      </c>
      <c r="D17" s="9">
        <v>2.9040000000000004</v>
      </c>
      <c r="E17" s="9"/>
      <c r="F17" s="7"/>
      <c r="G17" s="9"/>
      <c r="H17" s="9"/>
      <c r="I17" s="7"/>
      <c r="J17" s="9"/>
      <c r="K17" s="9">
        <v>10</v>
      </c>
      <c r="L17" s="7">
        <v>2.1090277777777779</v>
      </c>
      <c r="M17" s="9">
        <v>2.9040000000000004</v>
      </c>
    </row>
    <row r="18" spans="1:13" x14ac:dyDescent="0.3">
      <c r="A18" s="6" t="s">
        <v>22</v>
      </c>
      <c r="B18" s="9">
        <v>8</v>
      </c>
      <c r="C18" s="7">
        <v>1.1138888888888892</v>
      </c>
      <c r="D18" s="9">
        <v>1.8209999999999997</v>
      </c>
      <c r="E18" s="9"/>
      <c r="F18" s="7"/>
      <c r="G18" s="9"/>
      <c r="H18" s="9"/>
      <c r="I18" s="7"/>
      <c r="J18" s="9"/>
      <c r="K18" s="9">
        <v>8</v>
      </c>
      <c r="L18" s="7">
        <v>1.1138888888888892</v>
      </c>
      <c r="M18" s="9">
        <v>1.8209999999999997</v>
      </c>
    </row>
    <row r="19" spans="1:13" x14ac:dyDescent="0.3">
      <c r="A19" s="6" t="s">
        <v>11</v>
      </c>
      <c r="B19" s="9">
        <v>9</v>
      </c>
      <c r="C19" s="7">
        <v>1.7986111111111112</v>
      </c>
      <c r="D19" s="9">
        <v>1.506</v>
      </c>
      <c r="E19" s="9"/>
      <c r="F19" s="7"/>
      <c r="G19" s="9"/>
      <c r="H19" s="9"/>
      <c r="I19" s="7"/>
      <c r="J19" s="9"/>
      <c r="K19" s="9">
        <v>9</v>
      </c>
      <c r="L19" s="7">
        <v>1.7986111111111112</v>
      </c>
      <c r="M19" s="9">
        <v>1.506</v>
      </c>
    </row>
    <row r="20" spans="1:13" x14ac:dyDescent="0.3">
      <c r="A20" s="6" t="s">
        <v>14</v>
      </c>
      <c r="B20" s="9">
        <v>11</v>
      </c>
      <c r="C20" s="7">
        <v>2.0631944444444446</v>
      </c>
      <c r="D20" s="9">
        <v>0.57799999999999996</v>
      </c>
      <c r="E20" s="9"/>
      <c r="F20" s="7"/>
      <c r="G20" s="9"/>
      <c r="H20" s="9"/>
      <c r="I20" s="7"/>
      <c r="J20" s="9"/>
      <c r="K20" s="9">
        <v>11</v>
      </c>
      <c r="L20" s="7">
        <v>2.0631944444444446</v>
      </c>
      <c r="M20" s="9">
        <v>0.57799999999999996</v>
      </c>
    </row>
    <row r="21" spans="1:13" x14ac:dyDescent="0.3">
      <c r="A21" s="5" t="s">
        <v>18</v>
      </c>
      <c r="B21" s="9"/>
      <c r="C21" s="7"/>
      <c r="D21" s="9"/>
      <c r="E21" s="9">
        <v>33</v>
      </c>
      <c r="F21" s="7">
        <v>6.489583333333333</v>
      </c>
      <c r="G21" s="9">
        <v>5.6150000000000011</v>
      </c>
      <c r="H21" s="9"/>
      <c r="I21" s="7"/>
      <c r="J21" s="9"/>
      <c r="K21" s="9">
        <v>33</v>
      </c>
      <c r="L21" s="7">
        <v>6.489583333333333</v>
      </c>
      <c r="M21" s="9">
        <v>5.6149999999999993</v>
      </c>
    </row>
    <row r="22" spans="1:13" x14ac:dyDescent="0.3">
      <c r="A22" s="6" t="s">
        <v>19</v>
      </c>
      <c r="B22" s="9"/>
      <c r="C22" s="7"/>
      <c r="D22" s="9"/>
      <c r="E22" s="9">
        <v>12</v>
      </c>
      <c r="F22" s="7">
        <v>2.1875</v>
      </c>
      <c r="G22" s="9">
        <v>2.1999999999999997</v>
      </c>
      <c r="H22" s="9"/>
      <c r="I22" s="7"/>
      <c r="J22" s="9"/>
      <c r="K22" s="9">
        <v>12</v>
      </c>
      <c r="L22" s="7">
        <v>2.1875</v>
      </c>
      <c r="M22" s="9">
        <v>2.1999999999999997</v>
      </c>
    </row>
    <row r="23" spans="1:13" x14ac:dyDescent="0.3">
      <c r="A23" s="6" t="s">
        <v>22</v>
      </c>
      <c r="B23" s="9"/>
      <c r="C23" s="7"/>
      <c r="D23" s="9"/>
      <c r="E23" s="9">
        <v>6</v>
      </c>
      <c r="F23" s="7">
        <v>0.90555555555555567</v>
      </c>
      <c r="G23" s="9">
        <v>2.016</v>
      </c>
      <c r="H23" s="9"/>
      <c r="I23" s="7"/>
      <c r="J23" s="9"/>
      <c r="K23" s="9">
        <v>6</v>
      </c>
      <c r="L23" s="7">
        <v>0.90555555555555567</v>
      </c>
      <c r="M23" s="9">
        <v>2.016</v>
      </c>
    </row>
    <row r="24" spans="1:13" x14ac:dyDescent="0.3">
      <c r="A24" s="6" t="s">
        <v>11</v>
      </c>
      <c r="B24" s="9"/>
      <c r="C24" s="7"/>
      <c r="D24" s="9"/>
      <c r="E24" s="9">
        <v>7</v>
      </c>
      <c r="F24" s="7">
        <v>1.927083333333333</v>
      </c>
      <c r="G24" s="9">
        <v>1.0379999999999998</v>
      </c>
      <c r="H24" s="9"/>
      <c r="I24" s="7"/>
      <c r="J24" s="9"/>
      <c r="K24" s="9">
        <v>7</v>
      </c>
      <c r="L24" s="7">
        <v>1.927083333333333</v>
      </c>
      <c r="M24" s="9">
        <v>1.0379999999999998</v>
      </c>
    </row>
    <row r="25" spans="1:13" x14ac:dyDescent="0.3">
      <c r="A25" s="6" t="s">
        <v>14</v>
      </c>
      <c r="B25" s="9"/>
      <c r="C25" s="7"/>
      <c r="D25" s="9"/>
      <c r="E25" s="9">
        <v>8</v>
      </c>
      <c r="F25" s="7">
        <v>1.4694444444444443</v>
      </c>
      <c r="G25" s="9">
        <v>0.36099999999999999</v>
      </c>
      <c r="H25" s="9"/>
      <c r="I25" s="7"/>
      <c r="J25" s="9"/>
      <c r="K25" s="9">
        <v>8</v>
      </c>
      <c r="L25" s="7">
        <v>1.4694444444444443</v>
      </c>
      <c r="M25" s="9">
        <v>0.36099999999999999</v>
      </c>
    </row>
    <row r="26" spans="1:13" x14ac:dyDescent="0.3">
      <c r="A26" s="5" t="s">
        <v>127</v>
      </c>
      <c r="B26" s="9"/>
      <c r="C26" s="7"/>
      <c r="D26" s="9"/>
      <c r="E26" s="9">
        <v>15</v>
      </c>
      <c r="F26" s="7">
        <v>2.646527777777778</v>
      </c>
      <c r="G26" s="9">
        <v>2.7320000000000002</v>
      </c>
      <c r="H26" s="9"/>
      <c r="I26" s="7"/>
      <c r="J26" s="9"/>
      <c r="K26" s="9">
        <v>15</v>
      </c>
      <c r="L26" s="7">
        <v>2.646527777777778</v>
      </c>
      <c r="M26" s="9">
        <v>2.7320000000000002</v>
      </c>
    </row>
    <row r="27" spans="1:13" x14ac:dyDescent="0.3">
      <c r="A27" s="6" t="s">
        <v>19</v>
      </c>
      <c r="B27" s="9"/>
      <c r="C27" s="7"/>
      <c r="D27" s="9"/>
      <c r="E27" s="9">
        <v>1</v>
      </c>
      <c r="F27" s="7">
        <v>0.32083333333333336</v>
      </c>
      <c r="G27" s="9">
        <v>8.2000000000000003E-2</v>
      </c>
      <c r="H27" s="9"/>
      <c r="I27" s="7"/>
      <c r="J27" s="9"/>
      <c r="K27" s="9">
        <v>1</v>
      </c>
      <c r="L27" s="7">
        <v>0.32083333333333336</v>
      </c>
      <c r="M27" s="9">
        <v>8.2000000000000003E-2</v>
      </c>
    </row>
    <row r="28" spans="1:13" x14ac:dyDescent="0.3">
      <c r="A28" s="6" t="s">
        <v>22</v>
      </c>
      <c r="B28" s="9"/>
      <c r="C28" s="7"/>
      <c r="D28" s="9"/>
      <c r="E28" s="9">
        <v>3</v>
      </c>
      <c r="F28" s="7">
        <v>0.43402777777777779</v>
      </c>
      <c r="G28" s="9">
        <v>0.64700000000000002</v>
      </c>
      <c r="H28" s="9"/>
      <c r="I28" s="7"/>
      <c r="J28" s="9"/>
      <c r="K28" s="9">
        <v>3</v>
      </c>
      <c r="L28" s="7">
        <v>0.43402777777777779</v>
      </c>
      <c r="M28" s="9">
        <v>0.64700000000000002</v>
      </c>
    </row>
    <row r="29" spans="1:13" x14ac:dyDescent="0.3">
      <c r="A29" s="6" t="s">
        <v>11</v>
      </c>
      <c r="B29" s="9"/>
      <c r="C29" s="7"/>
      <c r="D29" s="9"/>
      <c r="E29" s="9">
        <v>7</v>
      </c>
      <c r="F29" s="7">
        <v>1.3729166666666666</v>
      </c>
      <c r="G29" s="9">
        <v>1.7570000000000001</v>
      </c>
      <c r="H29" s="9"/>
      <c r="I29" s="7"/>
      <c r="J29" s="9"/>
      <c r="K29" s="9">
        <v>7</v>
      </c>
      <c r="L29" s="7">
        <v>1.3729166666666666</v>
      </c>
      <c r="M29" s="9">
        <v>1.7570000000000001</v>
      </c>
    </row>
    <row r="30" spans="1:13" x14ac:dyDescent="0.3">
      <c r="A30" s="6" t="s">
        <v>14</v>
      </c>
      <c r="B30" s="9"/>
      <c r="C30" s="7"/>
      <c r="D30" s="9"/>
      <c r="E30" s="9">
        <v>4</v>
      </c>
      <c r="F30" s="7">
        <v>0.51875000000000004</v>
      </c>
      <c r="G30" s="9">
        <v>0.246</v>
      </c>
      <c r="H30" s="9"/>
      <c r="I30" s="7"/>
      <c r="J30" s="9"/>
      <c r="K30" s="9">
        <v>4</v>
      </c>
      <c r="L30" s="7">
        <v>0.51875000000000004</v>
      </c>
      <c r="M30" s="9">
        <v>0.246</v>
      </c>
    </row>
    <row r="31" spans="1:13" x14ac:dyDescent="0.3">
      <c r="A31" s="5" t="s">
        <v>10</v>
      </c>
      <c r="B31" s="9">
        <v>37</v>
      </c>
      <c r="C31" s="7">
        <v>6.2458333333333318</v>
      </c>
      <c r="D31" s="9">
        <v>8.6340000000000003</v>
      </c>
      <c r="E31" s="9"/>
      <c r="F31" s="7"/>
      <c r="G31" s="9"/>
      <c r="H31" s="9"/>
      <c r="I31" s="7"/>
      <c r="J31" s="9"/>
      <c r="K31" s="9">
        <v>37</v>
      </c>
      <c r="L31" s="7">
        <v>6.2458333333333336</v>
      </c>
      <c r="M31" s="9">
        <v>8.6340000000000003</v>
      </c>
    </row>
    <row r="32" spans="1:13" x14ac:dyDescent="0.3">
      <c r="A32" s="6" t="s">
        <v>19</v>
      </c>
      <c r="B32" s="9">
        <v>10</v>
      </c>
      <c r="C32" s="7">
        <v>1.7180555555555554</v>
      </c>
      <c r="D32" s="9">
        <v>2.8119999999999998</v>
      </c>
      <c r="E32" s="9"/>
      <c r="F32" s="7"/>
      <c r="G32" s="9"/>
      <c r="H32" s="9"/>
      <c r="I32" s="7"/>
      <c r="J32" s="9"/>
      <c r="K32" s="9">
        <v>10</v>
      </c>
      <c r="L32" s="7">
        <v>1.7180555555555554</v>
      </c>
      <c r="M32" s="9">
        <v>2.8119999999999998</v>
      </c>
    </row>
    <row r="33" spans="1:13" x14ac:dyDescent="0.3">
      <c r="A33" s="6" t="s">
        <v>22</v>
      </c>
      <c r="B33" s="9">
        <v>9</v>
      </c>
      <c r="C33" s="7">
        <v>1.2958333333333334</v>
      </c>
      <c r="D33" s="9">
        <v>2.4380000000000002</v>
      </c>
      <c r="E33" s="9"/>
      <c r="F33" s="7"/>
      <c r="G33" s="9"/>
      <c r="H33" s="9"/>
      <c r="I33" s="7"/>
      <c r="J33" s="9"/>
      <c r="K33" s="9">
        <v>9</v>
      </c>
      <c r="L33" s="7">
        <v>1.2958333333333334</v>
      </c>
      <c r="M33" s="9">
        <v>2.4380000000000002</v>
      </c>
    </row>
    <row r="34" spans="1:13" x14ac:dyDescent="0.3">
      <c r="A34" s="6" t="s">
        <v>11</v>
      </c>
      <c r="B34" s="9">
        <v>12</v>
      </c>
      <c r="C34" s="7">
        <v>2.1937500000000001</v>
      </c>
      <c r="D34" s="9">
        <v>3.0740000000000003</v>
      </c>
      <c r="E34" s="9"/>
      <c r="F34" s="7"/>
      <c r="G34" s="9"/>
      <c r="H34" s="9"/>
      <c r="I34" s="7"/>
      <c r="J34" s="9"/>
      <c r="K34" s="9">
        <v>12</v>
      </c>
      <c r="L34" s="7">
        <v>2.1937500000000001</v>
      </c>
      <c r="M34" s="9">
        <v>3.0740000000000003</v>
      </c>
    </row>
    <row r="35" spans="1:13" x14ac:dyDescent="0.3">
      <c r="A35" s="6" t="s">
        <v>14</v>
      </c>
      <c r="B35" s="9">
        <v>6</v>
      </c>
      <c r="C35" s="7">
        <v>1.0381944444444444</v>
      </c>
      <c r="D35" s="9">
        <v>0.31000000000000005</v>
      </c>
      <c r="E35" s="9"/>
      <c r="F35" s="7"/>
      <c r="G35" s="9"/>
      <c r="H35" s="9"/>
      <c r="I35" s="7"/>
      <c r="J35" s="9"/>
      <c r="K35" s="9">
        <v>6</v>
      </c>
      <c r="L35" s="7">
        <v>1.0381944444444444</v>
      </c>
      <c r="M35" s="9">
        <v>0.31000000000000005</v>
      </c>
    </row>
    <row r="36" spans="1:13" x14ac:dyDescent="0.3">
      <c r="A36" s="5" t="s">
        <v>29</v>
      </c>
      <c r="B36" s="9"/>
      <c r="C36" s="7"/>
      <c r="D36" s="9"/>
      <c r="E36" s="9">
        <v>27</v>
      </c>
      <c r="F36" s="7">
        <v>4.8013888888888889</v>
      </c>
      <c r="G36" s="9">
        <v>6.0489999999999995</v>
      </c>
      <c r="H36" s="9"/>
      <c r="I36" s="7"/>
      <c r="J36" s="9"/>
      <c r="K36" s="9">
        <v>27</v>
      </c>
      <c r="L36" s="7">
        <v>4.8013888888888889</v>
      </c>
      <c r="M36" s="9">
        <v>6.0489999999999995</v>
      </c>
    </row>
    <row r="37" spans="1:13" x14ac:dyDescent="0.3">
      <c r="A37" s="6" t="s">
        <v>19</v>
      </c>
      <c r="B37" s="9"/>
      <c r="C37" s="7"/>
      <c r="D37" s="9"/>
      <c r="E37" s="9">
        <v>8</v>
      </c>
      <c r="F37" s="7">
        <v>1.5076388888888888</v>
      </c>
      <c r="G37" s="9">
        <v>2.57</v>
      </c>
      <c r="H37" s="9"/>
      <c r="I37" s="7"/>
      <c r="J37" s="9"/>
      <c r="K37" s="9">
        <v>8</v>
      </c>
      <c r="L37" s="7">
        <v>1.5076388888888888</v>
      </c>
      <c r="M37" s="9">
        <v>2.57</v>
      </c>
    </row>
    <row r="38" spans="1:13" x14ac:dyDescent="0.3">
      <c r="A38" s="6" t="s">
        <v>22</v>
      </c>
      <c r="B38" s="9"/>
      <c r="C38" s="7"/>
      <c r="D38" s="9"/>
      <c r="E38" s="9">
        <v>7</v>
      </c>
      <c r="F38" s="7">
        <v>1.1083333333333334</v>
      </c>
      <c r="G38" s="9">
        <v>1.5120000000000002</v>
      </c>
      <c r="H38" s="9"/>
      <c r="I38" s="7"/>
      <c r="J38" s="9"/>
      <c r="K38" s="9">
        <v>7</v>
      </c>
      <c r="L38" s="7">
        <v>1.1083333333333334</v>
      </c>
      <c r="M38" s="9">
        <v>1.5120000000000002</v>
      </c>
    </row>
    <row r="39" spans="1:13" x14ac:dyDescent="0.3">
      <c r="A39" s="6" t="s">
        <v>11</v>
      </c>
      <c r="B39" s="9"/>
      <c r="C39" s="7"/>
      <c r="D39" s="9"/>
      <c r="E39" s="9">
        <v>7</v>
      </c>
      <c r="F39" s="7">
        <v>1.2333333333333334</v>
      </c>
      <c r="G39" s="9">
        <v>1.673</v>
      </c>
      <c r="H39" s="9"/>
      <c r="I39" s="7"/>
      <c r="J39" s="9"/>
      <c r="K39" s="9">
        <v>7</v>
      </c>
      <c r="L39" s="7">
        <v>1.2333333333333334</v>
      </c>
      <c r="M39" s="9">
        <v>1.673</v>
      </c>
    </row>
    <row r="40" spans="1:13" x14ac:dyDescent="0.3">
      <c r="A40" s="6" t="s">
        <v>14</v>
      </c>
      <c r="B40" s="9"/>
      <c r="C40" s="7"/>
      <c r="D40" s="9"/>
      <c r="E40" s="9">
        <v>5</v>
      </c>
      <c r="F40" s="7">
        <v>0.95208333333333339</v>
      </c>
      <c r="G40" s="9">
        <v>0.29400000000000004</v>
      </c>
      <c r="H40" s="9"/>
      <c r="I40" s="7"/>
      <c r="J40" s="9"/>
      <c r="K40" s="9">
        <v>5</v>
      </c>
      <c r="L40" s="7">
        <v>0.95208333333333339</v>
      </c>
      <c r="M40" s="9">
        <v>0.29400000000000004</v>
      </c>
    </row>
    <row r="41" spans="1:13" x14ac:dyDescent="0.3">
      <c r="A41" s="5" t="s">
        <v>33</v>
      </c>
      <c r="B41" s="9"/>
      <c r="C41" s="7"/>
      <c r="D41" s="9"/>
      <c r="E41" s="9"/>
      <c r="F41" s="7"/>
      <c r="G41" s="9"/>
      <c r="H41" s="9">
        <v>27</v>
      </c>
      <c r="I41" s="7">
        <v>4.9868055555555557</v>
      </c>
      <c r="J41" s="9">
        <v>4.3529999999999998</v>
      </c>
      <c r="K41" s="9">
        <v>27</v>
      </c>
      <c r="L41" s="7">
        <v>4.9868055555555557</v>
      </c>
      <c r="M41" s="9">
        <v>4.3529999999999998</v>
      </c>
    </row>
    <row r="42" spans="1:13" x14ac:dyDescent="0.3">
      <c r="A42" s="6" t="s">
        <v>19</v>
      </c>
      <c r="B42" s="9"/>
      <c r="C42" s="7"/>
      <c r="D42" s="9"/>
      <c r="E42" s="9"/>
      <c r="F42" s="7"/>
      <c r="G42" s="9"/>
      <c r="H42" s="9">
        <v>6</v>
      </c>
      <c r="I42" s="7">
        <v>0.76805555555555549</v>
      </c>
      <c r="J42" s="9">
        <v>1.9419999999999999</v>
      </c>
      <c r="K42" s="9">
        <v>6</v>
      </c>
      <c r="L42" s="7">
        <v>0.76805555555555549</v>
      </c>
      <c r="M42" s="9">
        <v>1.9419999999999999</v>
      </c>
    </row>
    <row r="43" spans="1:13" x14ac:dyDescent="0.3">
      <c r="A43" s="6" t="s">
        <v>22</v>
      </c>
      <c r="B43" s="9"/>
      <c r="C43" s="7"/>
      <c r="D43" s="9"/>
      <c r="E43" s="9"/>
      <c r="F43" s="7"/>
      <c r="G43" s="9"/>
      <c r="H43" s="9">
        <v>1</v>
      </c>
      <c r="I43" s="7">
        <v>0.23194444444444445</v>
      </c>
      <c r="J43" s="9">
        <v>0.436</v>
      </c>
      <c r="K43" s="9">
        <v>1</v>
      </c>
      <c r="L43" s="7">
        <v>0.23194444444444445</v>
      </c>
      <c r="M43" s="9">
        <v>0.436</v>
      </c>
    </row>
    <row r="44" spans="1:13" x14ac:dyDescent="0.3">
      <c r="A44" s="6" t="s">
        <v>11</v>
      </c>
      <c r="B44" s="9"/>
      <c r="C44" s="7"/>
      <c r="D44" s="9"/>
      <c r="E44" s="9"/>
      <c r="F44" s="7"/>
      <c r="G44" s="9"/>
      <c r="H44" s="9">
        <v>5</v>
      </c>
      <c r="I44" s="7">
        <v>1.1499999999999999</v>
      </c>
      <c r="J44" s="9">
        <v>1.0390000000000001</v>
      </c>
      <c r="K44" s="9">
        <v>5</v>
      </c>
      <c r="L44" s="7">
        <v>1.1499999999999999</v>
      </c>
      <c r="M44" s="9">
        <v>1.0390000000000001</v>
      </c>
    </row>
    <row r="45" spans="1:13" x14ac:dyDescent="0.3">
      <c r="A45" s="6" t="s">
        <v>14</v>
      </c>
      <c r="B45" s="9"/>
      <c r="C45" s="7"/>
      <c r="D45" s="9"/>
      <c r="E45" s="9"/>
      <c r="F45" s="7"/>
      <c r="G45" s="9"/>
      <c r="H45" s="9">
        <v>15</v>
      </c>
      <c r="I45" s="7">
        <v>2.8368055555555558</v>
      </c>
      <c r="J45" s="9">
        <v>0.93599999999999994</v>
      </c>
      <c r="K45" s="9">
        <v>15</v>
      </c>
      <c r="L45" s="7">
        <v>2.8368055555555558</v>
      </c>
      <c r="M45" s="9">
        <v>0.93599999999999994</v>
      </c>
    </row>
    <row r="46" spans="1:13" x14ac:dyDescent="0.3">
      <c r="A46" s="5" t="s">
        <v>57</v>
      </c>
      <c r="B46" s="9">
        <v>30</v>
      </c>
      <c r="C46" s="7">
        <v>5.1277777777777773</v>
      </c>
      <c r="D46" s="9">
        <v>6.7909999999999986</v>
      </c>
      <c r="E46" s="9"/>
      <c r="F46" s="7"/>
      <c r="G46" s="9"/>
      <c r="H46" s="9"/>
      <c r="I46" s="7"/>
      <c r="J46" s="9"/>
      <c r="K46" s="9">
        <v>30</v>
      </c>
      <c r="L46" s="7">
        <v>5.1277777777777782</v>
      </c>
      <c r="M46" s="9">
        <v>6.7910000000000004</v>
      </c>
    </row>
    <row r="47" spans="1:13" x14ac:dyDescent="0.3">
      <c r="A47" s="6" t="s">
        <v>19</v>
      </c>
      <c r="B47" s="9">
        <v>14</v>
      </c>
      <c r="C47" s="7">
        <v>2.6708333333333338</v>
      </c>
      <c r="D47" s="9">
        <v>3.5230000000000001</v>
      </c>
      <c r="E47" s="9"/>
      <c r="F47" s="7"/>
      <c r="G47" s="9"/>
      <c r="H47" s="9"/>
      <c r="I47" s="7"/>
      <c r="J47" s="9"/>
      <c r="K47" s="9">
        <v>14</v>
      </c>
      <c r="L47" s="7">
        <v>2.6708333333333338</v>
      </c>
      <c r="M47" s="9">
        <v>3.5230000000000001</v>
      </c>
    </row>
    <row r="48" spans="1:13" x14ac:dyDescent="0.3">
      <c r="A48" s="6" t="s">
        <v>22</v>
      </c>
      <c r="B48" s="9">
        <v>9</v>
      </c>
      <c r="C48" s="7">
        <v>1.2951388888888891</v>
      </c>
      <c r="D48" s="9">
        <v>2.3940000000000001</v>
      </c>
      <c r="E48" s="9"/>
      <c r="F48" s="7"/>
      <c r="G48" s="9"/>
      <c r="H48" s="9"/>
      <c r="I48" s="7"/>
      <c r="J48" s="9"/>
      <c r="K48" s="9">
        <v>9</v>
      </c>
      <c r="L48" s="7">
        <v>1.2951388888888891</v>
      </c>
      <c r="M48" s="9">
        <v>2.3940000000000001</v>
      </c>
    </row>
    <row r="49" spans="1:13" x14ac:dyDescent="0.3">
      <c r="A49" s="6" t="s">
        <v>11</v>
      </c>
      <c r="B49" s="9">
        <v>2</v>
      </c>
      <c r="C49" s="7">
        <v>7.2916666666666657E-2</v>
      </c>
      <c r="D49" s="9">
        <v>0.66</v>
      </c>
      <c r="E49" s="9"/>
      <c r="F49" s="7"/>
      <c r="G49" s="9"/>
      <c r="H49" s="9"/>
      <c r="I49" s="7"/>
      <c r="J49" s="9"/>
      <c r="K49" s="9">
        <v>2</v>
      </c>
      <c r="L49" s="7">
        <v>7.2916666666666657E-2</v>
      </c>
      <c r="M49" s="9">
        <v>0.66</v>
      </c>
    </row>
    <row r="50" spans="1:13" x14ac:dyDescent="0.3">
      <c r="A50" s="6" t="s">
        <v>14</v>
      </c>
      <c r="B50" s="9">
        <v>5</v>
      </c>
      <c r="C50" s="7">
        <v>1.0888888888888888</v>
      </c>
      <c r="D50" s="9">
        <v>0.21399999999999997</v>
      </c>
      <c r="E50" s="9"/>
      <c r="F50" s="7"/>
      <c r="G50" s="9"/>
      <c r="H50" s="9"/>
      <c r="I50" s="7"/>
      <c r="J50" s="9"/>
      <c r="K50" s="9">
        <v>5</v>
      </c>
      <c r="L50" s="7">
        <v>1.0888888888888888</v>
      </c>
      <c r="M50" s="9">
        <v>0.21399999999999997</v>
      </c>
    </row>
    <row r="51" spans="1:13" x14ac:dyDescent="0.3">
      <c r="A51" s="5" t="s">
        <v>64</v>
      </c>
      <c r="B51" s="9"/>
      <c r="C51" s="7"/>
      <c r="D51" s="9"/>
      <c r="E51" s="9"/>
      <c r="F51" s="7"/>
      <c r="G51" s="9"/>
      <c r="H51" s="9">
        <v>26</v>
      </c>
      <c r="I51" s="7">
        <v>3.9659722222222222</v>
      </c>
      <c r="J51" s="9">
        <v>5.1120000000000001</v>
      </c>
      <c r="K51" s="9">
        <v>26</v>
      </c>
      <c r="L51" s="7">
        <v>3.9659722222222218</v>
      </c>
      <c r="M51" s="9">
        <v>5.112000000000001</v>
      </c>
    </row>
    <row r="52" spans="1:13" x14ac:dyDescent="0.3">
      <c r="A52" s="6" t="s">
        <v>19</v>
      </c>
      <c r="B52" s="9"/>
      <c r="C52" s="7"/>
      <c r="D52" s="9"/>
      <c r="E52" s="9"/>
      <c r="F52" s="7"/>
      <c r="G52" s="9"/>
      <c r="H52" s="9">
        <v>7</v>
      </c>
      <c r="I52" s="7">
        <v>1.2840277777777778</v>
      </c>
      <c r="J52" s="9">
        <v>1.556</v>
      </c>
      <c r="K52" s="9">
        <v>7</v>
      </c>
      <c r="L52" s="7">
        <v>1.2840277777777778</v>
      </c>
      <c r="M52" s="9">
        <v>1.556</v>
      </c>
    </row>
    <row r="53" spans="1:13" x14ac:dyDescent="0.3">
      <c r="A53" s="6" t="s">
        <v>22</v>
      </c>
      <c r="B53" s="9"/>
      <c r="C53" s="7"/>
      <c r="D53" s="9"/>
      <c r="E53" s="9"/>
      <c r="F53" s="7"/>
      <c r="G53" s="9"/>
      <c r="H53" s="9">
        <v>6</v>
      </c>
      <c r="I53" s="7">
        <v>0.74652777777777779</v>
      </c>
      <c r="J53" s="9">
        <v>1.6820000000000002</v>
      </c>
      <c r="K53" s="9">
        <v>6</v>
      </c>
      <c r="L53" s="7">
        <v>0.74652777777777779</v>
      </c>
      <c r="M53" s="9">
        <v>1.6820000000000002</v>
      </c>
    </row>
    <row r="54" spans="1:13" x14ac:dyDescent="0.3">
      <c r="A54" s="6" t="s">
        <v>11</v>
      </c>
      <c r="B54" s="9"/>
      <c r="C54" s="7"/>
      <c r="D54" s="9"/>
      <c r="E54" s="9"/>
      <c r="F54" s="7"/>
      <c r="G54" s="9"/>
      <c r="H54" s="9">
        <v>4</v>
      </c>
      <c r="I54" s="7">
        <v>0.67430555555555549</v>
      </c>
      <c r="J54" s="9">
        <v>1.347</v>
      </c>
      <c r="K54" s="9">
        <v>4</v>
      </c>
      <c r="L54" s="7">
        <v>0.67430555555555549</v>
      </c>
      <c r="M54" s="9">
        <v>1.347</v>
      </c>
    </row>
    <row r="55" spans="1:13" x14ac:dyDescent="0.3">
      <c r="A55" s="6" t="s">
        <v>14</v>
      </c>
      <c r="B55" s="9"/>
      <c r="C55" s="7"/>
      <c r="D55" s="9"/>
      <c r="E55" s="9"/>
      <c r="F55" s="7"/>
      <c r="G55" s="9"/>
      <c r="H55" s="9">
        <v>9</v>
      </c>
      <c r="I55" s="7">
        <v>1.2611111111111111</v>
      </c>
      <c r="J55" s="9">
        <v>0.52700000000000014</v>
      </c>
      <c r="K55" s="9">
        <v>9</v>
      </c>
      <c r="L55" s="7">
        <v>1.2611111111111111</v>
      </c>
      <c r="M55" s="9">
        <v>0.52700000000000014</v>
      </c>
    </row>
    <row r="56" spans="1:13" x14ac:dyDescent="0.3">
      <c r="A56" s="5" t="s">
        <v>62</v>
      </c>
      <c r="B56" s="9"/>
      <c r="C56" s="7"/>
      <c r="D56" s="9"/>
      <c r="E56" s="9"/>
      <c r="F56" s="7"/>
      <c r="G56" s="9"/>
      <c r="H56" s="9">
        <v>23</v>
      </c>
      <c r="I56" s="7">
        <v>3.7333333333333334</v>
      </c>
      <c r="J56" s="9">
        <v>4.944</v>
      </c>
      <c r="K56" s="9">
        <v>23</v>
      </c>
      <c r="L56" s="7">
        <v>3.7333333333333334</v>
      </c>
      <c r="M56" s="9">
        <v>4.944</v>
      </c>
    </row>
    <row r="57" spans="1:13" x14ac:dyDescent="0.3">
      <c r="A57" s="6" t="s">
        <v>19</v>
      </c>
      <c r="B57" s="9"/>
      <c r="C57" s="7"/>
      <c r="D57" s="9"/>
      <c r="E57" s="9"/>
      <c r="F57" s="7"/>
      <c r="G57" s="9"/>
      <c r="H57" s="9">
        <v>8</v>
      </c>
      <c r="I57" s="7">
        <v>1.4159722222222222</v>
      </c>
      <c r="J57" s="9">
        <v>1.8230000000000002</v>
      </c>
      <c r="K57" s="9">
        <v>8</v>
      </c>
      <c r="L57" s="7">
        <v>1.4159722222222222</v>
      </c>
      <c r="M57" s="9">
        <v>1.8230000000000002</v>
      </c>
    </row>
    <row r="58" spans="1:13" x14ac:dyDescent="0.3">
      <c r="A58" s="6" t="s">
        <v>22</v>
      </c>
      <c r="B58" s="9"/>
      <c r="C58" s="7"/>
      <c r="D58" s="9"/>
      <c r="E58" s="9"/>
      <c r="F58" s="7"/>
      <c r="G58" s="9"/>
      <c r="H58" s="9">
        <v>6</v>
      </c>
      <c r="I58" s="7">
        <v>0.81666666666666676</v>
      </c>
      <c r="J58" s="9">
        <v>1.6709999999999998</v>
      </c>
      <c r="K58" s="9">
        <v>6</v>
      </c>
      <c r="L58" s="7">
        <v>0.81666666666666676</v>
      </c>
      <c r="M58" s="9">
        <v>1.6709999999999998</v>
      </c>
    </row>
    <row r="59" spans="1:13" x14ac:dyDescent="0.3">
      <c r="A59" s="6" t="s">
        <v>11</v>
      </c>
      <c r="B59" s="9"/>
      <c r="C59" s="7"/>
      <c r="D59" s="9"/>
      <c r="E59" s="9"/>
      <c r="F59" s="7"/>
      <c r="G59" s="9"/>
      <c r="H59" s="9">
        <v>6</v>
      </c>
      <c r="I59" s="7">
        <v>0.76041666666666674</v>
      </c>
      <c r="J59" s="9">
        <v>1.3090000000000002</v>
      </c>
      <c r="K59" s="9">
        <v>6</v>
      </c>
      <c r="L59" s="7">
        <v>0.76041666666666674</v>
      </c>
      <c r="M59" s="9">
        <v>1.3090000000000002</v>
      </c>
    </row>
    <row r="60" spans="1:13" x14ac:dyDescent="0.3">
      <c r="A60" s="6" t="s">
        <v>14</v>
      </c>
      <c r="B60" s="9"/>
      <c r="C60" s="7"/>
      <c r="D60" s="9"/>
      <c r="E60" s="9"/>
      <c r="F60" s="7"/>
      <c r="G60" s="9"/>
      <c r="H60" s="9">
        <v>3</v>
      </c>
      <c r="I60" s="7">
        <v>0.74027777777777781</v>
      </c>
      <c r="J60" s="9">
        <v>0.14099999999999999</v>
      </c>
      <c r="K60" s="9">
        <v>3</v>
      </c>
      <c r="L60" s="7">
        <v>0.74027777777777781</v>
      </c>
      <c r="M60" s="9">
        <v>0.14099999999999999</v>
      </c>
    </row>
    <row r="61" spans="1:13" x14ac:dyDescent="0.3">
      <c r="A61" s="5" t="s">
        <v>40</v>
      </c>
      <c r="B61" s="9"/>
      <c r="C61" s="7"/>
      <c r="D61" s="9"/>
      <c r="E61" s="9"/>
      <c r="F61" s="7"/>
      <c r="G61" s="9"/>
      <c r="H61" s="9">
        <v>29</v>
      </c>
      <c r="I61" s="7">
        <v>6.5638888888888891</v>
      </c>
      <c r="J61" s="9">
        <v>6.3039999999999994</v>
      </c>
      <c r="K61" s="9">
        <v>29</v>
      </c>
      <c r="L61" s="7">
        <v>6.5638888888888891</v>
      </c>
      <c r="M61" s="9">
        <v>6.3040000000000003</v>
      </c>
    </row>
    <row r="62" spans="1:13" x14ac:dyDescent="0.3">
      <c r="A62" s="6" t="s">
        <v>19</v>
      </c>
      <c r="B62" s="9"/>
      <c r="C62" s="7"/>
      <c r="D62" s="9"/>
      <c r="E62" s="9"/>
      <c r="F62" s="7"/>
      <c r="G62" s="9"/>
      <c r="H62" s="9">
        <v>6</v>
      </c>
      <c r="I62" s="7">
        <v>1.2208333333333334</v>
      </c>
      <c r="J62" s="9">
        <v>1.381</v>
      </c>
      <c r="K62" s="9">
        <v>6</v>
      </c>
      <c r="L62" s="7">
        <v>1.2208333333333334</v>
      </c>
      <c r="M62" s="9">
        <v>1.381</v>
      </c>
    </row>
    <row r="63" spans="1:13" x14ac:dyDescent="0.3">
      <c r="A63" s="6" t="s">
        <v>22</v>
      </c>
      <c r="B63" s="9"/>
      <c r="C63" s="7"/>
      <c r="D63" s="9"/>
      <c r="E63" s="9"/>
      <c r="F63" s="7"/>
      <c r="G63" s="9"/>
      <c r="H63" s="9">
        <v>11</v>
      </c>
      <c r="I63" s="7">
        <v>2.5625</v>
      </c>
      <c r="J63" s="9">
        <v>2.5449999999999999</v>
      </c>
      <c r="K63" s="9">
        <v>11</v>
      </c>
      <c r="L63" s="7">
        <v>2.5625</v>
      </c>
      <c r="M63" s="9">
        <v>2.5449999999999999</v>
      </c>
    </row>
    <row r="64" spans="1:13" x14ac:dyDescent="0.3">
      <c r="A64" s="6" t="s">
        <v>11</v>
      </c>
      <c r="B64" s="9"/>
      <c r="C64" s="7"/>
      <c r="D64" s="9"/>
      <c r="E64" s="9"/>
      <c r="F64" s="7"/>
      <c r="G64" s="9"/>
      <c r="H64" s="9">
        <v>7</v>
      </c>
      <c r="I64" s="7">
        <v>1.6680555555555556</v>
      </c>
      <c r="J64" s="9">
        <v>2.13</v>
      </c>
      <c r="K64" s="9">
        <v>7</v>
      </c>
      <c r="L64" s="7">
        <v>1.6680555555555556</v>
      </c>
      <c r="M64" s="9">
        <v>2.13</v>
      </c>
    </row>
    <row r="65" spans="1:13" x14ac:dyDescent="0.3">
      <c r="A65" s="6" t="s">
        <v>14</v>
      </c>
      <c r="B65" s="9"/>
      <c r="C65" s="7"/>
      <c r="D65" s="9"/>
      <c r="E65" s="9"/>
      <c r="F65" s="7"/>
      <c r="G65" s="9"/>
      <c r="H65" s="9">
        <v>5</v>
      </c>
      <c r="I65" s="7">
        <v>1.1125</v>
      </c>
      <c r="J65" s="9">
        <v>0.248</v>
      </c>
      <c r="K65" s="9">
        <v>5</v>
      </c>
      <c r="L65" s="7">
        <v>1.1125</v>
      </c>
      <c r="M65" s="9">
        <v>0.248</v>
      </c>
    </row>
    <row r="66" spans="1:13" x14ac:dyDescent="0.3">
      <c r="A66" s="5" t="s">
        <v>51</v>
      </c>
      <c r="B66" s="9"/>
      <c r="C66" s="7"/>
      <c r="D66" s="9"/>
      <c r="E66" s="9">
        <v>39</v>
      </c>
      <c r="F66" s="7">
        <v>5.866666666666668</v>
      </c>
      <c r="G66" s="9">
        <v>7.7429999999999994</v>
      </c>
      <c r="H66" s="9"/>
      <c r="I66" s="7"/>
      <c r="J66" s="9"/>
      <c r="K66" s="9">
        <v>39</v>
      </c>
      <c r="L66" s="7">
        <v>5.8666666666666671</v>
      </c>
      <c r="M66" s="9">
        <v>7.7430000000000003</v>
      </c>
    </row>
    <row r="67" spans="1:13" x14ac:dyDescent="0.3">
      <c r="A67" s="6" t="s">
        <v>19</v>
      </c>
      <c r="B67" s="9"/>
      <c r="C67" s="7"/>
      <c r="D67" s="9"/>
      <c r="E67" s="9">
        <v>8</v>
      </c>
      <c r="F67" s="7">
        <v>1.0298611111111111</v>
      </c>
      <c r="G67" s="9">
        <v>1.6619999999999997</v>
      </c>
      <c r="H67" s="9"/>
      <c r="I67" s="7"/>
      <c r="J67" s="9"/>
      <c r="K67" s="9">
        <v>8</v>
      </c>
      <c r="L67" s="7">
        <v>1.0298611111111111</v>
      </c>
      <c r="M67" s="9">
        <v>1.6619999999999997</v>
      </c>
    </row>
    <row r="68" spans="1:13" x14ac:dyDescent="0.3">
      <c r="A68" s="6" t="s">
        <v>22</v>
      </c>
      <c r="B68" s="9"/>
      <c r="C68" s="7"/>
      <c r="D68" s="9"/>
      <c r="E68" s="9">
        <v>12</v>
      </c>
      <c r="F68" s="7">
        <v>2.2034722222222225</v>
      </c>
      <c r="G68" s="9">
        <v>3.4460000000000002</v>
      </c>
      <c r="H68" s="9"/>
      <c r="I68" s="7"/>
      <c r="J68" s="9"/>
      <c r="K68" s="9">
        <v>12</v>
      </c>
      <c r="L68" s="7">
        <v>2.2034722222222225</v>
      </c>
      <c r="M68" s="9">
        <v>3.4460000000000002</v>
      </c>
    </row>
    <row r="69" spans="1:13" x14ac:dyDescent="0.3">
      <c r="A69" s="6" t="s">
        <v>11</v>
      </c>
      <c r="B69" s="9"/>
      <c r="C69" s="7"/>
      <c r="D69" s="9"/>
      <c r="E69" s="9">
        <v>9</v>
      </c>
      <c r="F69" s="7">
        <v>0.98472222222222217</v>
      </c>
      <c r="G69" s="9">
        <v>2.1259999999999999</v>
      </c>
      <c r="H69" s="9"/>
      <c r="I69" s="7"/>
      <c r="J69" s="9"/>
      <c r="K69" s="9">
        <v>9</v>
      </c>
      <c r="L69" s="7">
        <v>0.98472222222222217</v>
      </c>
      <c r="M69" s="9">
        <v>2.1259999999999999</v>
      </c>
    </row>
    <row r="70" spans="1:13" x14ac:dyDescent="0.3">
      <c r="A70" s="6" t="s">
        <v>14</v>
      </c>
      <c r="B70" s="9"/>
      <c r="C70" s="7"/>
      <c r="D70" s="9"/>
      <c r="E70" s="9">
        <v>10</v>
      </c>
      <c r="F70" s="7">
        <v>1.6486111111111112</v>
      </c>
      <c r="G70" s="9">
        <v>0.50900000000000001</v>
      </c>
      <c r="H70" s="9"/>
      <c r="I70" s="7"/>
      <c r="J70" s="9"/>
      <c r="K70" s="9">
        <v>10</v>
      </c>
      <c r="L70" s="7">
        <v>1.6486111111111112</v>
      </c>
      <c r="M70" s="9">
        <v>0.50900000000000001</v>
      </c>
    </row>
    <row r="71" spans="1:13" x14ac:dyDescent="0.3">
      <c r="A71" s="5" t="s">
        <v>67</v>
      </c>
      <c r="B71" s="9"/>
      <c r="C71" s="7"/>
      <c r="D71" s="9"/>
      <c r="E71" s="9">
        <v>24</v>
      </c>
      <c r="F71" s="7">
        <v>3.7652777777777775</v>
      </c>
      <c r="G71" s="9">
        <v>3.9200000000000008</v>
      </c>
      <c r="H71" s="9"/>
      <c r="I71" s="7"/>
      <c r="J71" s="9"/>
      <c r="K71" s="9">
        <v>24</v>
      </c>
      <c r="L71" s="7">
        <v>3.7652777777777779</v>
      </c>
      <c r="M71" s="9">
        <v>3.9200000000000004</v>
      </c>
    </row>
    <row r="72" spans="1:13" x14ac:dyDescent="0.3">
      <c r="A72" s="6" t="s">
        <v>19</v>
      </c>
      <c r="B72" s="9"/>
      <c r="C72" s="7"/>
      <c r="D72" s="9"/>
      <c r="E72" s="9">
        <v>5</v>
      </c>
      <c r="F72" s="7">
        <v>0.26597222222222217</v>
      </c>
      <c r="G72" s="9">
        <v>1.2550000000000001</v>
      </c>
      <c r="H72" s="9"/>
      <c r="I72" s="7"/>
      <c r="J72" s="9"/>
      <c r="K72" s="9">
        <v>5</v>
      </c>
      <c r="L72" s="7">
        <v>0.26597222222222217</v>
      </c>
      <c r="M72" s="9">
        <v>1.2550000000000001</v>
      </c>
    </row>
    <row r="73" spans="1:13" x14ac:dyDescent="0.3">
      <c r="A73" s="6" t="s">
        <v>22</v>
      </c>
      <c r="B73" s="9"/>
      <c r="C73" s="7"/>
      <c r="D73" s="9"/>
      <c r="E73" s="9">
        <v>7</v>
      </c>
      <c r="F73" s="7">
        <v>1.5791666666666668</v>
      </c>
      <c r="G73" s="9">
        <v>1.6320000000000001</v>
      </c>
      <c r="H73" s="9"/>
      <c r="I73" s="7"/>
      <c r="J73" s="9"/>
      <c r="K73" s="9">
        <v>7</v>
      </c>
      <c r="L73" s="7">
        <v>1.5791666666666668</v>
      </c>
      <c r="M73" s="9">
        <v>1.6320000000000001</v>
      </c>
    </row>
    <row r="74" spans="1:13" x14ac:dyDescent="0.3">
      <c r="A74" s="6" t="s">
        <v>11</v>
      </c>
      <c r="B74" s="9"/>
      <c r="C74" s="7"/>
      <c r="D74" s="9"/>
      <c r="E74" s="9">
        <v>4</v>
      </c>
      <c r="F74" s="7">
        <v>0.67013888888888884</v>
      </c>
      <c r="G74" s="9">
        <v>0.58499999999999996</v>
      </c>
      <c r="H74" s="9"/>
      <c r="I74" s="7"/>
      <c r="J74" s="9"/>
      <c r="K74" s="9">
        <v>4</v>
      </c>
      <c r="L74" s="7">
        <v>0.67013888888888884</v>
      </c>
      <c r="M74" s="9">
        <v>0.58499999999999996</v>
      </c>
    </row>
    <row r="75" spans="1:13" x14ac:dyDescent="0.3">
      <c r="A75" s="6" t="s">
        <v>14</v>
      </c>
      <c r="B75" s="9"/>
      <c r="C75" s="7"/>
      <c r="D75" s="9"/>
      <c r="E75" s="9">
        <v>8</v>
      </c>
      <c r="F75" s="7">
        <v>1.25</v>
      </c>
      <c r="G75" s="9">
        <v>0.44799999999999995</v>
      </c>
      <c r="H75" s="9"/>
      <c r="I75" s="7"/>
      <c r="J75" s="9"/>
      <c r="K75" s="9">
        <v>8</v>
      </c>
      <c r="L75" s="7">
        <v>1.25</v>
      </c>
      <c r="M75" s="9">
        <v>0.44799999999999995</v>
      </c>
    </row>
    <row r="76" spans="1:13" x14ac:dyDescent="0.3">
      <c r="A76" s="5" t="s">
        <v>137</v>
      </c>
      <c r="B76" s="9">
        <v>20</v>
      </c>
      <c r="C76" s="7">
        <v>2.4972222222222222</v>
      </c>
      <c r="D76" s="9">
        <v>2.6920000000000006</v>
      </c>
      <c r="E76" s="9"/>
      <c r="F76" s="7"/>
      <c r="G76" s="9"/>
      <c r="H76" s="9"/>
      <c r="I76" s="7"/>
      <c r="J76" s="9"/>
      <c r="K76" s="9">
        <v>20</v>
      </c>
      <c r="L76" s="7">
        <v>2.4972222222222222</v>
      </c>
      <c r="M76" s="9">
        <v>2.6919999999999997</v>
      </c>
    </row>
    <row r="77" spans="1:13" x14ac:dyDescent="0.3">
      <c r="A77" s="6" t="s">
        <v>19</v>
      </c>
      <c r="B77" s="9">
        <v>2</v>
      </c>
      <c r="C77" s="7">
        <v>0.21666666666666665</v>
      </c>
      <c r="D77" s="9">
        <v>0.30499999999999999</v>
      </c>
      <c r="E77" s="9"/>
      <c r="F77" s="7"/>
      <c r="G77" s="9"/>
      <c r="H77" s="9"/>
      <c r="I77" s="7"/>
      <c r="J77" s="9"/>
      <c r="K77" s="9">
        <v>2</v>
      </c>
      <c r="L77" s="7">
        <v>0.21666666666666665</v>
      </c>
      <c r="M77" s="9">
        <v>0.30499999999999999</v>
      </c>
    </row>
    <row r="78" spans="1:13" x14ac:dyDescent="0.3">
      <c r="A78" s="6" t="s">
        <v>22</v>
      </c>
      <c r="B78" s="9">
        <v>9</v>
      </c>
      <c r="C78" s="7">
        <v>1.0777777777777777</v>
      </c>
      <c r="D78" s="9">
        <v>1.321</v>
      </c>
      <c r="E78" s="9"/>
      <c r="F78" s="7"/>
      <c r="G78" s="9"/>
      <c r="H78" s="9"/>
      <c r="I78" s="7"/>
      <c r="J78" s="9"/>
      <c r="K78" s="9">
        <v>9</v>
      </c>
      <c r="L78" s="7">
        <v>1.0777777777777777</v>
      </c>
      <c r="M78" s="9">
        <v>1.321</v>
      </c>
    </row>
    <row r="79" spans="1:13" x14ac:dyDescent="0.3">
      <c r="A79" s="6" t="s">
        <v>11</v>
      </c>
      <c r="B79" s="9">
        <v>3</v>
      </c>
      <c r="C79" s="7">
        <v>0.45069444444444445</v>
      </c>
      <c r="D79" s="9">
        <v>0.70099999999999996</v>
      </c>
      <c r="E79" s="9"/>
      <c r="F79" s="7"/>
      <c r="G79" s="9"/>
      <c r="H79" s="9"/>
      <c r="I79" s="7"/>
      <c r="J79" s="9"/>
      <c r="K79" s="9">
        <v>3</v>
      </c>
      <c r="L79" s="7">
        <v>0.45069444444444445</v>
      </c>
      <c r="M79" s="9">
        <v>0.70099999999999996</v>
      </c>
    </row>
    <row r="80" spans="1:13" x14ac:dyDescent="0.3">
      <c r="A80" s="6" t="s">
        <v>14</v>
      </c>
      <c r="B80" s="9">
        <v>6</v>
      </c>
      <c r="C80" s="7">
        <v>0.75208333333333333</v>
      </c>
      <c r="D80" s="9">
        <v>0.36499999999999994</v>
      </c>
      <c r="E80" s="9"/>
      <c r="F80" s="7"/>
      <c r="G80" s="9"/>
      <c r="H80" s="9"/>
      <c r="I80" s="7"/>
      <c r="J80" s="9"/>
      <c r="K80" s="9">
        <v>6</v>
      </c>
      <c r="L80" s="7">
        <v>0.75208333333333333</v>
      </c>
      <c r="M80" s="9">
        <v>0.36499999999999994</v>
      </c>
    </row>
    <row r="81" spans="1:13" x14ac:dyDescent="0.3">
      <c r="A81" s="5" t="s">
        <v>44</v>
      </c>
      <c r="B81" s="9"/>
      <c r="C81" s="7"/>
      <c r="D81" s="9"/>
      <c r="E81" s="9">
        <v>33</v>
      </c>
      <c r="F81" s="7">
        <v>4.5375000000000005</v>
      </c>
      <c r="G81" s="9">
        <v>7.2329999999999997</v>
      </c>
      <c r="H81" s="9"/>
      <c r="I81" s="7"/>
      <c r="J81" s="9"/>
      <c r="K81" s="9">
        <v>33</v>
      </c>
      <c r="L81" s="7">
        <v>4.5374999999999996</v>
      </c>
      <c r="M81" s="9">
        <v>7.2330000000000005</v>
      </c>
    </row>
    <row r="82" spans="1:13" x14ac:dyDescent="0.3">
      <c r="A82" s="6" t="s">
        <v>19</v>
      </c>
      <c r="B82" s="9"/>
      <c r="C82" s="7"/>
      <c r="D82" s="9"/>
      <c r="E82" s="9">
        <v>10</v>
      </c>
      <c r="F82" s="7">
        <v>1.6222222222222225</v>
      </c>
      <c r="G82" s="9">
        <v>2.3109999999999999</v>
      </c>
      <c r="H82" s="9"/>
      <c r="I82" s="7"/>
      <c r="J82" s="9"/>
      <c r="K82" s="9">
        <v>10</v>
      </c>
      <c r="L82" s="7">
        <v>1.6222222222222225</v>
      </c>
      <c r="M82" s="9">
        <v>2.3109999999999999</v>
      </c>
    </row>
    <row r="83" spans="1:13" x14ac:dyDescent="0.3">
      <c r="A83" s="6" t="s">
        <v>22</v>
      </c>
      <c r="B83" s="9"/>
      <c r="C83" s="7"/>
      <c r="D83" s="9"/>
      <c r="E83" s="9">
        <v>8</v>
      </c>
      <c r="F83" s="7">
        <v>1.5777777777777779</v>
      </c>
      <c r="G83" s="9">
        <v>2.2480000000000002</v>
      </c>
      <c r="H83" s="9"/>
      <c r="I83" s="7"/>
      <c r="J83" s="9"/>
      <c r="K83" s="9">
        <v>8</v>
      </c>
      <c r="L83" s="7">
        <v>1.5777777777777779</v>
      </c>
      <c r="M83" s="9">
        <v>2.2480000000000002</v>
      </c>
    </row>
    <row r="84" spans="1:13" x14ac:dyDescent="0.3">
      <c r="A84" s="6" t="s">
        <v>11</v>
      </c>
      <c r="B84" s="9"/>
      <c r="C84" s="7"/>
      <c r="D84" s="9"/>
      <c r="E84" s="9">
        <v>8</v>
      </c>
      <c r="F84" s="7">
        <v>0.68958333333333333</v>
      </c>
      <c r="G84" s="9">
        <v>2.383</v>
      </c>
      <c r="H84" s="9"/>
      <c r="I84" s="7"/>
      <c r="J84" s="9"/>
      <c r="K84" s="9">
        <v>8</v>
      </c>
      <c r="L84" s="7">
        <v>0.68958333333333333</v>
      </c>
      <c r="M84" s="9">
        <v>2.383</v>
      </c>
    </row>
    <row r="85" spans="1:13" x14ac:dyDescent="0.3">
      <c r="A85" s="6" t="s">
        <v>14</v>
      </c>
      <c r="B85" s="9"/>
      <c r="C85" s="7"/>
      <c r="D85" s="9"/>
      <c r="E85" s="9">
        <v>7</v>
      </c>
      <c r="F85" s="7">
        <v>0.6479166666666667</v>
      </c>
      <c r="G85" s="9">
        <v>0.29100000000000004</v>
      </c>
      <c r="H85" s="9"/>
      <c r="I85" s="7"/>
      <c r="J85" s="9"/>
      <c r="K85" s="9">
        <v>7</v>
      </c>
      <c r="L85" s="7">
        <v>0.6479166666666667</v>
      </c>
      <c r="M85" s="9">
        <v>0.29100000000000004</v>
      </c>
    </row>
    <row r="86" spans="1:13" x14ac:dyDescent="0.3">
      <c r="A86" s="5" t="s">
        <v>78</v>
      </c>
      <c r="B86" s="9"/>
      <c r="C86" s="7"/>
      <c r="D86" s="9"/>
      <c r="E86" s="9"/>
      <c r="F86" s="7"/>
      <c r="G86" s="9"/>
      <c r="H86" s="9">
        <v>26</v>
      </c>
      <c r="I86" s="7">
        <v>3.8430555555555546</v>
      </c>
      <c r="J86" s="9">
        <v>4.9480000000000022</v>
      </c>
      <c r="K86" s="9">
        <v>26</v>
      </c>
      <c r="L86" s="7">
        <v>3.8430555555555559</v>
      </c>
      <c r="M86" s="9">
        <v>4.9480000000000004</v>
      </c>
    </row>
    <row r="87" spans="1:13" x14ac:dyDescent="0.3">
      <c r="A87" s="6" t="s">
        <v>19</v>
      </c>
      <c r="B87" s="9"/>
      <c r="C87" s="7"/>
      <c r="D87" s="9"/>
      <c r="E87" s="9"/>
      <c r="F87" s="7"/>
      <c r="G87" s="9"/>
      <c r="H87" s="9">
        <v>3</v>
      </c>
      <c r="I87" s="7">
        <v>0.44513888888888886</v>
      </c>
      <c r="J87" s="9">
        <v>0.96699999999999997</v>
      </c>
      <c r="K87" s="9">
        <v>3</v>
      </c>
      <c r="L87" s="7">
        <v>0.44513888888888886</v>
      </c>
      <c r="M87" s="9">
        <v>0.96699999999999997</v>
      </c>
    </row>
    <row r="88" spans="1:13" x14ac:dyDescent="0.3">
      <c r="A88" s="6" t="s">
        <v>22</v>
      </c>
      <c r="B88" s="9"/>
      <c r="C88" s="7"/>
      <c r="D88" s="9"/>
      <c r="E88" s="9"/>
      <c r="F88" s="7"/>
      <c r="G88" s="9"/>
      <c r="H88" s="9">
        <v>7</v>
      </c>
      <c r="I88" s="7">
        <v>1.0854166666666667</v>
      </c>
      <c r="J88" s="9">
        <v>2.4249999999999998</v>
      </c>
      <c r="K88" s="9">
        <v>7</v>
      </c>
      <c r="L88" s="7">
        <v>1.0854166666666667</v>
      </c>
      <c r="M88" s="9">
        <v>2.4249999999999998</v>
      </c>
    </row>
    <row r="89" spans="1:13" x14ac:dyDescent="0.3">
      <c r="A89" s="6" t="s">
        <v>11</v>
      </c>
      <c r="B89" s="9"/>
      <c r="C89" s="7"/>
      <c r="D89" s="9"/>
      <c r="E89" s="9"/>
      <c r="F89" s="7"/>
      <c r="G89" s="9"/>
      <c r="H89" s="9">
        <v>4</v>
      </c>
      <c r="I89" s="7">
        <v>0.73402777777777772</v>
      </c>
      <c r="J89" s="9">
        <v>0.82900000000000007</v>
      </c>
      <c r="K89" s="9">
        <v>4</v>
      </c>
      <c r="L89" s="7">
        <v>0.73402777777777772</v>
      </c>
      <c r="M89" s="9">
        <v>0.82900000000000007</v>
      </c>
    </row>
    <row r="90" spans="1:13" x14ac:dyDescent="0.3">
      <c r="A90" s="6" t="s">
        <v>14</v>
      </c>
      <c r="B90" s="9"/>
      <c r="C90" s="7"/>
      <c r="D90" s="9"/>
      <c r="E90" s="9"/>
      <c r="F90" s="7"/>
      <c r="G90" s="9"/>
      <c r="H90" s="9">
        <v>12</v>
      </c>
      <c r="I90" s="7">
        <v>1.5784722222222223</v>
      </c>
      <c r="J90" s="9">
        <v>0.72699999999999998</v>
      </c>
      <c r="K90" s="9">
        <v>12</v>
      </c>
      <c r="L90" s="7">
        <v>1.5784722222222223</v>
      </c>
      <c r="M90" s="9">
        <v>0.72699999999999998</v>
      </c>
    </row>
    <row r="91" spans="1:13" x14ac:dyDescent="0.3">
      <c r="A91" s="5" t="s">
        <v>16</v>
      </c>
      <c r="B91" s="9"/>
      <c r="C91" s="7"/>
      <c r="D91" s="9"/>
      <c r="E91" s="9"/>
      <c r="F91" s="7"/>
      <c r="G91" s="9"/>
      <c r="H91" s="9">
        <v>30</v>
      </c>
      <c r="I91" s="7">
        <v>5.4194444444444434</v>
      </c>
      <c r="J91" s="9">
        <v>5.0310000000000006</v>
      </c>
      <c r="K91" s="9">
        <v>30</v>
      </c>
      <c r="L91" s="7">
        <v>5.4194444444444443</v>
      </c>
      <c r="M91" s="9">
        <v>5.0309999999999997</v>
      </c>
    </row>
    <row r="92" spans="1:13" x14ac:dyDescent="0.3">
      <c r="A92" s="6" t="s">
        <v>19</v>
      </c>
      <c r="B92" s="9"/>
      <c r="C92" s="7"/>
      <c r="D92" s="9"/>
      <c r="E92" s="9"/>
      <c r="F92" s="7"/>
      <c r="G92" s="9"/>
      <c r="H92" s="9">
        <v>6</v>
      </c>
      <c r="I92" s="7">
        <v>0.95</v>
      </c>
      <c r="J92" s="9">
        <v>1.5990000000000002</v>
      </c>
      <c r="K92" s="9">
        <v>6</v>
      </c>
      <c r="L92" s="7">
        <v>0.95</v>
      </c>
      <c r="M92" s="9">
        <v>1.5990000000000002</v>
      </c>
    </row>
    <row r="93" spans="1:13" x14ac:dyDescent="0.3">
      <c r="A93" s="6" t="s">
        <v>22</v>
      </c>
      <c r="B93" s="9"/>
      <c r="C93" s="7"/>
      <c r="D93" s="9"/>
      <c r="E93" s="9"/>
      <c r="F93" s="7"/>
      <c r="G93" s="9"/>
      <c r="H93" s="9">
        <v>9</v>
      </c>
      <c r="I93" s="7">
        <v>1.257638888888889</v>
      </c>
      <c r="J93" s="9">
        <v>2.0880000000000001</v>
      </c>
      <c r="K93" s="9">
        <v>9</v>
      </c>
      <c r="L93" s="7">
        <v>1.257638888888889</v>
      </c>
      <c r="M93" s="9">
        <v>2.0880000000000001</v>
      </c>
    </row>
    <row r="94" spans="1:13" x14ac:dyDescent="0.3">
      <c r="A94" s="6" t="s">
        <v>11</v>
      </c>
      <c r="B94" s="9"/>
      <c r="C94" s="7"/>
      <c r="D94" s="9"/>
      <c r="E94" s="9"/>
      <c r="F94" s="7"/>
      <c r="G94" s="9"/>
      <c r="H94" s="9">
        <v>5</v>
      </c>
      <c r="I94" s="7">
        <v>0.99027777777777781</v>
      </c>
      <c r="J94" s="9">
        <v>0.85</v>
      </c>
      <c r="K94" s="9">
        <v>5</v>
      </c>
      <c r="L94" s="7">
        <v>0.99027777777777781</v>
      </c>
      <c r="M94" s="9">
        <v>0.85</v>
      </c>
    </row>
    <row r="95" spans="1:13" x14ac:dyDescent="0.3">
      <c r="A95" s="6" t="s">
        <v>14</v>
      </c>
      <c r="B95" s="9"/>
      <c r="C95" s="7"/>
      <c r="D95" s="9"/>
      <c r="E95" s="9"/>
      <c r="F95" s="7"/>
      <c r="G95" s="9"/>
      <c r="H95" s="9">
        <v>10</v>
      </c>
      <c r="I95" s="7">
        <v>2.2215277777777778</v>
      </c>
      <c r="J95" s="9">
        <v>0.49400000000000005</v>
      </c>
      <c r="K95" s="9">
        <v>10</v>
      </c>
      <c r="L95" s="7">
        <v>2.2215277777777778</v>
      </c>
      <c r="M95" s="9">
        <v>0.49400000000000005</v>
      </c>
    </row>
    <row r="96" spans="1:13" x14ac:dyDescent="0.3">
      <c r="A96" s="5" t="s">
        <v>131</v>
      </c>
      <c r="B96" s="9"/>
      <c r="C96" s="7"/>
      <c r="D96" s="9"/>
      <c r="E96" s="9">
        <v>34</v>
      </c>
      <c r="F96" s="7">
        <v>6.0541666666666671</v>
      </c>
      <c r="G96" s="9">
        <v>7.4130000000000011</v>
      </c>
      <c r="H96" s="9"/>
      <c r="I96" s="7"/>
      <c r="J96" s="9"/>
      <c r="K96" s="9">
        <v>34</v>
      </c>
      <c r="L96" s="7">
        <v>6.0541666666666671</v>
      </c>
      <c r="M96" s="9">
        <v>7.4130000000000003</v>
      </c>
    </row>
    <row r="97" spans="1:13" x14ac:dyDescent="0.3">
      <c r="A97" s="6" t="s">
        <v>19</v>
      </c>
      <c r="B97" s="9"/>
      <c r="C97" s="7"/>
      <c r="D97" s="9"/>
      <c r="E97" s="9">
        <v>11</v>
      </c>
      <c r="F97" s="7">
        <v>1.7645833333333332</v>
      </c>
      <c r="G97" s="9">
        <v>3.2080000000000002</v>
      </c>
      <c r="H97" s="9"/>
      <c r="I97" s="7"/>
      <c r="J97" s="9"/>
      <c r="K97" s="9">
        <v>11</v>
      </c>
      <c r="L97" s="7">
        <v>1.7645833333333332</v>
      </c>
      <c r="M97" s="9">
        <v>3.2080000000000002</v>
      </c>
    </row>
    <row r="98" spans="1:13" x14ac:dyDescent="0.3">
      <c r="A98" s="6" t="s">
        <v>22</v>
      </c>
      <c r="B98" s="9"/>
      <c r="C98" s="7"/>
      <c r="D98" s="9"/>
      <c r="E98" s="9">
        <v>9</v>
      </c>
      <c r="F98" s="7">
        <v>1.586111111111111</v>
      </c>
      <c r="G98" s="9">
        <v>1.84</v>
      </c>
      <c r="H98" s="9"/>
      <c r="I98" s="7"/>
      <c r="J98" s="9"/>
      <c r="K98" s="9">
        <v>9</v>
      </c>
      <c r="L98" s="7">
        <v>1.586111111111111</v>
      </c>
      <c r="M98" s="9">
        <v>1.84</v>
      </c>
    </row>
    <row r="99" spans="1:13" x14ac:dyDescent="0.3">
      <c r="A99" s="6" t="s">
        <v>11</v>
      </c>
      <c r="B99" s="9"/>
      <c r="C99" s="7"/>
      <c r="D99" s="9"/>
      <c r="E99" s="9">
        <v>5</v>
      </c>
      <c r="F99" s="7">
        <v>1.2895833333333333</v>
      </c>
      <c r="G99" s="9">
        <v>1.867</v>
      </c>
      <c r="H99" s="9"/>
      <c r="I99" s="7"/>
      <c r="J99" s="9"/>
      <c r="K99" s="9">
        <v>5</v>
      </c>
      <c r="L99" s="7">
        <v>1.2895833333333333</v>
      </c>
      <c r="M99" s="9">
        <v>1.867</v>
      </c>
    </row>
    <row r="100" spans="1:13" x14ac:dyDescent="0.3">
      <c r="A100" s="6" t="s">
        <v>14</v>
      </c>
      <c r="B100" s="9"/>
      <c r="C100" s="7"/>
      <c r="D100" s="9"/>
      <c r="E100" s="9">
        <v>9</v>
      </c>
      <c r="F100" s="7">
        <v>1.4138888888888892</v>
      </c>
      <c r="G100" s="9">
        <v>0.498</v>
      </c>
      <c r="H100" s="9"/>
      <c r="I100" s="7"/>
      <c r="J100" s="9"/>
      <c r="K100" s="9">
        <v>9</v>
      </c>
      <c r="L100" s="7">
        <v>1.4138888888888892</v>
      </c>
      <c r="M100" s="9">
        <v>0.498</v>
      </c>
    </row>
    <row r="101" spans="1:13" x14ac:dyDescent="0.3">
      <c r="A101" s="5" t="s">
        <v>89</v>
      </c>
      <c r="B101" s="9"/>
      <c r="C101" s="7"/>
      <c r="D101" s="9"/>
      <c r="E101" s="9">
        <v>28</v>
      </c>
      <c r="F101" s="7">
        <v>4.2999999999999989</v>
      </c>
      <c r="G101" s="9">
        <v>4.3260000000000005</v>
      </c>
      <c r="H101" s="9"/>
      <c r="I101" s="7"/>
      <c r="J101" s="9"/>
      <c r="K101" s="9">
        <v>28</v>
      </c>
      <c r="L101" s="7">
        <v>4.3</v>
      </c>
      <c r="M101" s="9">
        <v>4.3259999999999996</v>
      </c>
    </row>
    <row r="102" spans="1:13" x14ac:dyDescent="0.3">
      <c r="A102" s="6" t="s">
        <v>19</v>
      </c>
      <c r="B102" s="9"/>
      <c r="C102" s="7"/>
      <c r="D102" s="9"/>
      <c r="E102" s="9">
        <v>6</v>
      </c>
      <c r="F102" s="7">
        <v>0.64930555555555558</v>
      </c>
      <c r="G102" s="9">
        <v>1.512</v>
      </c>
      <c r="H102" s="9"/>
      <c r="I102" s="7"/>
      <c r="J102" s="9"/>
      <c r="K102" s="9">
        <v>6</v>
      </c>
      <c r="L102" s="7">
        <v>0.64930555555555558</v>
      </c>
      <c r="M102" s="9">
        <v>1.512</v>
      </c>
    </row>
    <row r="103" spans="1:13" x14ac:dyDescent="0.3">
      <c r="A103" s="6" t="s">
        <v>22</v>
      </c>
      <c r="B103" s="9"/>
      <c r="C103" s="7"/>
      <c r="D103" s="9"/>
      <c r="E103" s="9">
        <v>6</v>
      </c>
      <c r="F103" s="7">
        <v>0.78055555555555556</v>
      </c>
      <c r="G103" s="9">
        <v>0.69700000000000006</v>
      </c>
      <c r="H103" s="9"/>
      <c r="I103" s="7"/>
      <c r="J103" s="9"/>
      <c r="K103" s="9">
        <v>6</v>
      </c>
      <c r="L103" s="7">
        <v>0.78055555555555556</v>
      </c>
      <c r="M103" s="9">
        <v>0.69700000000000006</v>
      </c>
    </row>
    <row r="104" spans="1:13" x14ac:dyDescent="0.3">
      <c r="A104" s="6" t="s">
        <v>11</v>
      </c>
      <c r="B104" s="9"/>
      <c r="C104" s="7"/>
      <c r="D104" s="9"/>
      <c r="E104" s="9">
        <v>6</v>
      </c>
      <c r="F104" s="7">
        <v>0.97083333333333333</v>
      </c>
      <c r="G104" s="9">
        <v>1.4549999999999998</v>
      </c>
      <c r="H104" s="9"/>
      <c r="I104" s="7"/>
      <c r="J104" s="9"/>
      <c r="K104" s="9">
        <v>6</v>
      </c>
      <c r="L104" s="7">
        <v>0.97083333333333333</v>
      </c>
      <c r="M104" s="9">
        <v>1.4549999999999998</v>
      </c>
    </row>
    <row r="105" spans="1:13" x14ac:dyDescent="0.3">
      <c r="A105" s="6" t="s">
        <v>14</v>
      </c>
      <c r="B105" s="9"/>
      <c r="C105" s="7"/>
      <c r="D105" s="9"/>
      <c r="E105" s="9">
        <v>10</v>
      </c>
      <c r="F105" s="7">
        <v>1.8993055555555556</v>
      </c>
      <c r="G105" s="9">
        <v>0.66199999999999992</v>
      </c>
      <c r="H105" s="9"/>
      <c r="I105" s="7"/>
      <c r="J105" s="9"/>
      <c r="K105" s="9">
        <v>10</v>
      </c>
      <c r="L105" s="7">
        <v>1.8993055555555556</v>
      </c>
      <c r="M105" s="9">
        <v>0.66199999999999992</v>
      </c>
    </row>
    <row r="106" spans="1:13" x14ac:dyDescent="0.3">
      <c r="A106" s="5" t="s">
        <v>35</v>
      </c>
      <c r="B106" s="9"/>
      <c r="C106" s="7"/>
      <c r="D106" s="9"/>
      <c r="E106" s="9">
        <v>32</v>
      </c>
      <c r="F106" s="7">
        <v>4.6381944444444425</v>
      </c>
      <c r="G106" s="9">
        <v>5.9609999999999994</v>
      </c>
      <c r="H106" s="9"/>
      <c r="I106" s="7"/>
      <c r="J106" s="9"/>
      <c r="K106" s="9">
        <v>32</v>
      </c>
      <c r="L106" s="7">
        <v>4.6381944444444443</v>
      </c>
      <c r="M106" s="9">
        <v>5.9610000000000003</v>
      </c>
    </row>
    <row r="107" spans="1:13" x14ac:dyDescent="0.3">
      <c r="A107" s="6" t="s">
        <v>19</v>
      </c>
      <c r="B107" s="9"/>
      <c r="C107" s="7"/>
      <c r="D107" s="9"/>
      <c r="E107" s="9">
        <v>6</v>
      </c>
      <c r="F107" s="7">
        <v>1.4541666666666664</v>
      </c>
      <c r="G107" s="9">
        <v>1.0920000000000001</v>
      </c>
      <c r="H107" s="9"/>
      <c r="I107" s="7"/>
      <c r="J107" s="9"/>
      <c r="K107" s="9">
        <v>6</v>
      </c>
      <c r="L107" s="7">
        <v>1.4541666666666664</v>
      </c>
      <c r="M107" s="9">
        <v>1.0920000000000001</v>
      </c>
    </row>
    <row r="108" spans="1:13" x14ac:dyDescent="0.3">
      <c r="A108" s="6" t="s">
        <v>22</v>
      </c>
      <c r="B108" s="9"/>
      <c r="C108" s="7"/>
      <c r="D108" s="9"/>
      <c r="E108" s="9">
        <v>10</v>
      </c>
      <c r="F108" s="7">
        <v>1.2611111111111111</v>
      </c>
      <c r="G108" s="9">
        <v>2.2079999999999997</v>
      </c>
      <c r="H108" s="9"/>
      <c r="I108" s="7"/>
      <c r="J108" s="9"/>
      <c r="K108" s="9">
        <v>10</v>
      </c>
      <c r="L108" s="7">
        <v>1.2611111111111111</v>
      </c>
      <c r="M108" s="9">
        <v>2.2079999999999997</v>
      </c>
    </row>
    <row r="109" spans="1:13" x14ac:dyDescent="0.3">
      <c r="A109" s="6" t="s">
        <v>11</v>
      </c>
      <c r="B109" s="9"/>
      <c r="C109" s="7"/>
      <c r="D109" s="9"/>
      <c r="E109" s="9">
        <v>8</v>
      </c>
      <c r="F109" s="7">
        <v>0.62777777777777777</v>
      </c>
      <c r="G109" s="9">
        <v>2.2030000000000003</v>
      </c>
      <c r="H109" s="9"/>
      <c r="I109" s="7"/>
      <c r="J109" s="9"/>
      <c r="K109" s="9">
        <v>8</v>
      </c>
      <c r="L109" s="7">
        <v>0.62777777777777777</v>
      </c>
      <c r="M109" s="9">
        <v>2.2030000000000003</v>
      </c>
    </row>
    <row r="110" spans="1:13" x14ac:dyDescent="0.3">
      <c r="A110" s="6" t="s">
        <v>14</v>
      </c>
      <c r="B110" s="9"/>
      <c r="C110" s="7"/>
      <c r="D110" s="9"/>
      <c r="E110" s="9">
        <v>8</v>
      </c>
      <c r="F110" s="7">
        <v>1.2951388888888888</v>
      </c>
      <c r="G110" s="9">
        <v>0.45800000000000002</v>
      </c>
      <c r="H110" s="9"/>
      <c r="I110" s="7"/>
      <c r="J110" s="9"/>
      <c r="K110" s="9">
        <v>8</v>
      </c>
      <c r="L110" s="7">
        <v>1.2951388888888888</v>
      </c>
      <c r="M110" s="9">
        <v>0.45800000000000002</v>
      </c>
    </row>
    <row r="111" spans="1:13" x14ac:dyDescent="0.3">
      <c r="A111" s="5" t="s">
        <v>21</v>
      </c>
      <c r="B111" s="9"/>
      <c r="C111" s="7"/>
      <c r="D111" s="9"/>
      <c r="E111" s="9">
        <v>26</v>
      </c>
      <c r="F111" s="7">
        <v>3.8506944444444442</v>
      </c>
      <c r="G111" s="9">
        <v>5.0780000000000012</v>
      </c>
      <c r="H111" s="9"/>
      <c r="I111" s="7"/>
      <c r="J111" s="9"/>
      <c r="K111" s="9">
        <v>26</v>
      </c>
      <c r="L111" s="7">
        <v>3.8506944444444446</v>
      </c>
      <c r="M111" s="9">
        <v>5.0780000000000003</v>
      </c>
    </row>
    <row r="112" spans="1:13" x14ac:dyDescent="0.3">
      <c r="A112" s="6" t="s">
        <v>19</v>
      </c>
      <c r="B112" s="9"/>
      <c r="C112" s="7"/>
      <c r="D112" s="9"/>
      <c r="E112" s="9">
        <v>5</v>
      </c>
      <c r="F112" s="7">
        <v>0.54861111111111116</v>
      </c>
      <c r="G112" s="9">
        <v>1.4890000000000001</v>
      </c>
      <c r="H112" s="9"/>
      <c r="I112" s="7"/>
      <c r="J112" s="9"/>
      <c r="K112" s="9">
        <v>5</v>
      </c>
      <c r="L112" s="7">
        <v>0.54861111111111116</v>
      </c>
      <c r="M112" s="9">
        <v>1.4890000000000001</v>
      </c>
    </row>
    <row r="113" spans="1:13" x14ac:dyDescent="0.3">
      <c r="A113" s="6" t="s">
        <v>22</v>
      </c>
      <c r="B113" s="9"/>
      <c r="C113" s="7"/>
      <c r="D113" s="9"/>
      <c r="E113" s="9">
        <v>10</v>
      </c>
      <c r="F113" s="7">
        <v>1.5076388888888888</v>
      </c>
      <c r="G113" s="9">
        <v>2.4190000000000005</v>
      </c>
      <c r="H113" s="9"/>
      <c r="I113" s="7"/>
      <c r="J113" s="9"/>
      <c r="K113" s="9">
        <v>10</v>
      </c>
      <c r="L113" s="7">
        <v>1.5076388888888888</v>
      </c>
      <c r="M113" s="9">
        <v>2.4190000000000005</v>
      </c>
    </row>
    <row r="114" spans="1:13" x14ac:dyDescent="0.3">
      <c r="A114" s="6" t="s">
        <v>11</v>
      </c>
      <c r="B114" s="9"/>
      <c r="C114" s="7"/>
      <c r="D114" s="9"/>
      <c r="E114" s="9">
        <v>5</v>
      </c>
      <c r="F114" s="7">
        <v>0.80625000000000002</v>
      </c>
      <c r="G114" s="9">
        <v>0.81399999999999995</v>
      </c>
      <c r="H114" s="9"/>
      <c r="I114" s="7"/>
      <c r="J114" s="9"/>
      <c r="K114" s="9">
        <v>5</v>
      </c>
      <c r="L114" s="7">
        <v>0.80625000000000002</v>
      </c>
      <c r="M114" s="9">
        <v>0.81399999999999995</v>
      </c>
    </row>
    <row r="115" spans="1:13" x14ac:dyDescent="0.3">
      <c r="A115" s="6" t="s">
        <v>14</v>
      </c>
      <c r="B115" s="9"/>
      <c r="C115" s="7"/>
      <c r="D115" s="9"/>
      <c r="E115" s="9">
        <v>6</v>
      </c>
      <c r="F115" s="7">
        <v>0.9881944444444446</v>
      </c>
      <c r="G115" s="9">
        <v>0.35599999999999998</v>
      </c>
      <c r="H115" s="9"/>
      <c r="I115" s="7"/>
      <c r="J115" s="9"/>
      <c r="K115" s="9">
        <v>6</v>
      </c>
      <c r="L115" s="7">
        <v>0.9881944444444446</v>
      </c>
      <c r="M115" s="9">
        <v>0.35599999999999998</v>
      </c>
    </row>
    <row r="116" spans="1:13" x14ac:dyDescent="0.3">
      <c r="A116" s="5" t="s">
        <v>31</v>
      </c>
      <c r="B116" s="9"/>
      <c r="C116" s="7"/>
      <c r="D116" s="9"/>
      <c r="E116" s="9"/>
      <c r="F116" s="7"/>
      <c r="G116" s="9"/>
      <c r="H116" s="9">
        <v>32</v>
      </c>
      <c r="I116" s="7">
        <v>6.0909722222222209</v>
      </c>
      <c r="J116" s="9">
        <v>5.4979999999999984</v>
      </c>
      <c r="K116" s="9">
        <v>32</v>
      </c>
      <c r="L116" s="7">
        <v>6.0909722222222227</v>
      </c>
      <c r="M116" s="9">
        <v>5.4980000000000002</v>
      </c>
    </row>
    <row r="117" spans="1:13" x14ac:dyDescent="0.3">
      <c r="A117" s="6" t="s">
        <v>19</v>
      </c>
      <c r="B117" s="9"/>
      <c r="C117" s="7"/>
      <c r="D117" s="9"/>
      <c r="E117" s="9"/>
      <c r="F117" s="7"/>
      <c r="G117" s="9"/>
      <c r="H117" s="9">
        <v>12</v>
      </c>
      <c r="I117" s="7">
        <v>2.2423611111111112</v>
      </c>
      <c r="J117" s="9">
        <v>2.4820000000000002</v>
      </c>
      <c r="K117" s="9">
        <v>12</v>
      </c>
      <c r="L117" s="7">
        <v>2.2423611111111112</v>
      </c>
      <c r="M117" s="9">
        <v>2.4820000000000002</v>
      </c>
    </row>
    <row r="118" spans="1:13" x14ac:dyDescent="0.3">
      <c r="A118" s="6" t="s">
        <v>22</v>
      </c>
      <c r="B118" s="9"/>
      <c r="C118" s="7"/>
      <c r="D118" s="9"/>
      <c r="E118" s="9"/>
      <c r="F118" s="7"/>
      <c r="G118" s="9"/>
      <c r="H118" s="9">
        <v>6</v>
      </c>
      <c r="I118" s="7">
        <v>1.0423611111111111</v>
      </c>
      <c r="J118" s="9">
        <v>1.0589999999999999</v>
      </c>
      <c r="K118" s="9">
        <v>6</v>
      </c>
      <c r="L118" s="7">
        <v>1.0423611111111111</v>
      </c>
      <c r="M118" s="9">
        <v>1.0589999999999999</v>
      </c>
    </row>
    <row r="119" spans="1:13" x14ac:dyDescent="0.3">
      <c r="A119" s="6" t="s">
        <v>11</v>
      </c>
      <c r="B119" s="9"/>
      <c r="C119" s="7"/>
      <c r="D119" s="9"/>
      <c r="E119" s="9"/>
      <c r="F119" s="7"/>
      <c r="G119" s="9"/>
      <c r="H119" s="9">
        <v>5</v>
      </c>
      <c r="I119" s="7">
        <v>1.0708333333333333</v>
      </c>
      <c r="J119" s="9">
        <v>1.5690000000000002</v>
      </c>
      <c r="K119" s="9">
        <v>5</v>
      </c>
      <c r="L119" s="7">
        <v>1.0708333333333333</v>
      </c>
      <c r="M119" s="9">
        <v>1.5690000000000002</v>
      </c>
    </row>
    <row r="120" spans="1:13" x14ac:dyDescent="0.3">
      <c r="A120" s="6" t="s">
        <v>14</v>
      </c>
      <c r="B120" s="9"/>
      <c r="C120" s="7"/>
      <c r="D120" s="9"/>
      <c r="E120" s="9"/>
      <c r="F120" s="7"/>
      <c r="G120" s="9"/>
      <c r="H120" s="9">
        <v>9</v>
      </c>
      <c r="I120" s="7">
        <v>1.7354166666666666</v>
      </c>
      <c r="J120" s="9">
        <v>0.38800000000000007</v>
      </c>
      <c r="K120" s="9">
        <v>9</v>
      </c>
      <c r="L120" s="7">
        <v>1.7354166666666666</v>
      </c>
      <c r="M120" s="9">
        <v>0.38800000000000007</v>
      </c>
    </row>
    <row r="121" spans="1:13" x14ac:dyDescent="0.3">
      <c r="A121" s="5" t="s">
        <v>37</v>
      </c>
      <c r="B121" s="9">
        <v>30</v>
      </c>
      <c r="C121" s="7">
        <v>4.6715277777777775</v>
      </c>
      <c r="D121" s="9">
        <v>5.1449999999999987</v>
      </c>
      <c r="E121" s="9"/>
      <c r="F121" s="7"/>
      <c r="G121" s="9"/>
      <c r="H121" s="9"/>
      <c r="I121" s="7"/>
      <c r="J121" s="9"/>
      <c r="K121" s="9">
        <v>30</v>
      </c>
      <c r="L121" s="7">
        <v>4.6715277777777775</v>
      </c>
      <c r="M121" s="9">
        <v>5.1450000000000005</v>
      </c>
    </row>
    <row r="122" spans="1:13" x14ac:dyDescent="0.3">
      <c r="A122" s="6" t="s">
        <v>19</v>
      </c>
      <c r="B122" s="9">
        <v>11</v>
      </c>
      <c r="C122" s="7">
        <v>1.7131944444444445</v>
      </c>
      <c r="D122" s="9">
        <v>2.7360000000000002</v>
      </c>
      <c r="E122" s="9"/>
      <c r="F122" s="7"/>
      <c r="G122" s="9"/>
      <c r="H122" s="9"/>
      <c r="I122" s="7"/>
      <c r="J122" s="9"/>
      <c r="K122" s="9">
        <v>11</v>
      </c>
      <c r="L122" s="7">
        <v>1.7131944444444445</v>
      </c>
      <c r="M122" s="9">
        <v>2.7360000000000002</v>
      </c>
    </row>
    <row r="123" spans="1:13" x14ac:dyDescent="0.3">
      <c r="A123" s="6" t="s">
        <v>22</v>
      </c>
      <c r="B123" s="9">
        <v>6</v>
      </c>
      <c r="C123" s="7">
        <v>0.91180555555555554</v>
      </c>
      <c r="D123" s="9">
        <v>0.98899999999999999</v>
      </c>
      <c r="E123" s="9"/>
      <c r="F123" s="7"/>
      <c r="G123" s="9"/>
      <c r="H123" s="9"/>
      <c r="I123" s="7"/>
      <c r="J123" s="9"/>
      <c r="K123" s="9">
        <v>6</v>
      </c>
      <c r="L123" s="7">
        <v>0.91180555555555554</v>
      </c>
      <c r="M123" s="9">
        <v>0.98899999999999999</v>
      </c>
    </row>
    <row r="124" spans="1:13" x14ac:dyDescent="0.3">
      <c r="A124" s="6" t="s">
        <v>11</v>
      </c>
      <c r="B124" s="9">
        <v>5</v>
      </c>
      <c r="C124" s="7">
        <v>0.74444444444444446</v>
      </c>
      <c r="D124" s="9">
        <v>0.96300000000000008</v>
      </c>
      <c r="E124" s="9"/>
      <c r="F124" s="7"/>
      <c r="G124" s="9"/>
      <c r="H124" s="9"/>
      <c r="I124" s="7"/>
      <c r="J124" s="9"/>
      <c r="K124" s="9">
        <v>5</v>
      </c>
      <c r="L124" s="7">
        <v>0.74444444444444446</v>
      </c>
      <c r="M124" s="9">
        <v>0.96300000000000008</v>
      </c>
    </row>
    <row r="125" spans="1:13" x14ac:dyDescent="0.3">
      <c r="A125" s="6" t="s">
        <v>14</v>
      </c>
      <c r="B125" s="9">
        <v>8</v>
      </c>
      <c r="C125" s="7">
        <v>1.3020833333333335</v>
      </c>
      <c r="D125" s="9">
        <v>0.45700000000000002</v>
      </c>
      <c r="E125" s="9"/>
      <c r="F125" s="7"/>
      <c r="G125" s="9"/>
      <c r="H125" s="9"/>
      <c r="I125" s="7"/>
      <c r="J125" s="9"/>
      <c r="K125" s="9">
        <v>8</v>
      </c>
      <c r="L125" s="7">
        <v>1.3020833333333335</v>
      </c>
      <c r="M125" s="9">
        <v>0.45700000000000002</v>
      </c>
    </row>
    <row r="126" spans="1:13" x14ac:dyDescent="0.3">
      <c r="A126" s="5" t="s">
        <v>73</v>
      </c>
      <c r="B126" s="9">
        <v>26</v>
      </c>
      <c r="C126" s="7">
        <v>3.7624999999999993</v>
      </c>
      <c r="D126" s="9">
        <v>5.4359999999999991</v>
      </c>
      <c r="E126" s="9"/>
      <c r="F126" s="7"/>
      <c r="G126" s="9"/>
      <c r="H126" s="9"/>
      <c r="I126" s="7"/>
      <c r="J126" s="9"/>
      <c r="K126" s="9">
        <v>26</v>
      </c>
      <c r="L126" s="7">
        <v>3.7624999999999997</v>
      </c>
      <c r="M126" s="9">
        <v>5.4359999999999999</v>
      </c>
    </row>
    <row r="127" spans="1:13" x14ac:dyDescent="0.3">
      <c r="A127" s="6" t="s">
        <v>19</v>
      </c>
      <c r="B127" s="9">
        <v>8</v>
      </c>
      <c r="C127" s="7">
        <v>1.0076388888888888</v>
      </c>
      <c r="D127" s="9">
        <v>1.633</v>
      </c>
      <c r="E127" s="9"/>
      <c r="F127" s="7"/>
      <c r="G127" s="9"/>
      <c r="H127" s="9"/>
      <c r="I127" s="7"/>
      <c r="J127" s="9"/>
      <c r="K127" s="9">
        <v>8</v>
      </c>
      <c r="L127" s="7">
        <v>1.0076388888888888</v>
      </c>
      <c r="M127" s="9">
        <v>1.633</v>
      </c>
    </row>
    <row r="128" spans="1:13" x14ac:dyDescent="0.3">
      <c r="A128" s="6" t="s">
        <v>22</v>
      </c>
      <c r="B128" s="9">
        <v>4</v>
      </c>
      <c r="C128" s="7">
        <v>0.60763888888888884</v>
      </c>
      <c r="D128" s="9">
        <v>0.91700000000000004</v>
      </c>
      <c r="E128" s="9"/>
      <c r="F128" s="7"/>
      <c r="G128" s="9"/>
      <c r="H128" s="9"/>
      <c r="I128" s="7"/>
      <c r="J128" s="9"/>
      <c r="K128" s="9">
        <v>4</v>
      </c>
      <c r="L128" s="7">
        <v>0.60763888888888884</v>
      </c>
      <c r="M128" s="9">
        <v>0.91700000000000004</v>
      </c>
    </row>
    <row r="129" spans="1:13" x14ac:dyDescent="0.3">
      <c r="A129" s="6" t="s">
        <v>11</v>
      </c>
      <c r="B129" s="9">
        <v>10</v>
      </c>
      <c r="C129" s="7">
        <v>1.7833333333333332</v>
      </c>
      <c r="D129" s="9">
        <v>2.5880000000000001</v>
      </c>
      <c r="E129" s="9"/>
      <c r="F129" s="7"/>
      <c r="G129" s="9"/>
      <c r="H129" s="9"/>
      <c r="I129" s="7"/>
      <c r="J129" s="9"/>
      <c r="K129" s="9">
        <v>10</v>
      </c>
      <c r="L129" s="7">
        <v>1.7833333333333332</v>
      </c>
      <c r="M129" s="9">
        <v>2.5880000000000001</v>
      </c>
    </row>
    <row r="130" spans="1:13" x14ac:dyDescent="0.3">
      <c r="A130" s="6" t="s">
        <v>14</v>
      </c>
      <c r="B130" s="9">
        <v>4</v>
      </c>
      <c r="C130" s="7">
        <v>0.36388888888888893</v>
      </c>
      <c r="D130" s="9">
        <v>0.29799999999999999</v>
      </c>
      <c r="E130" s="9"/>
      <c r="F130" s="7"/>
      <c r="G130" s="9"/>
      <c r="H130" s="9"/>
      <c r="I130" s="7"/>
      <c r="J130" s="9"/>
      <c r="K130" s="9">
        <v>4</v>
      </c>
      <c r="L130" s="7">
        <v>0.36388888888888893</v>
      </c>
      <c r="M130" s="9">
        <v>0.29799999999999999</v>
      </c>
    </row>
    <row r="131" spans="1:13" x14ac:dyDescent="0.3">
      <c r="A131" s="5" t="s">
        <v>13</v>
      </c>
      <c r="B131" s="9"/>
      <c r="C131" s="7"/>
      <c r="D131" s="9"/>
      <c r="E131" s="9"/>
      <c r="F131" s="7"/>
      <c r="G131" s="9"/>
      <c r="H131" s="9">
        <v>27</v>
      </c>
      <c r="I131" s="7">
        <v>4.561805555555555</v>
      </c>
      <c r="J131" s="9">
        <v>5.7370000000000001</v>
      </c>
      <c r="K131" s="9">
        <v>27</v>
      </c>
      <c r="L131" s="7">
        <v>4.561805555555555</v>
      </c>
      <c r="M131" s="9">
        <v>5.7370000000000001</v>
      </c>
    </row>
    <row r="132" spans="1:13" x14ac:dyDescent="0.3">
      <c r="A132" s="6" t="s">
        <v>19</v>
      </c>
      <c r="B132" s="9"/>
      <c r="C132" s="7"/>
      <c r="D132" s="9"/>
      <c r="E132" s="9"/>
      <c r="F132" s="7"/>
      <c r="G132" s="9"/>
      <c r="H132" s="9">
        <v>9</v>
      </c>
      <c r="I132" s="7">
        <v>1.5097222222222222</v>
      </c>
      <c r="J132" s="9">
        <v>2.3769999999999998</v>
      </c>
      <c r="K132" s="9">
        <v>9</v>
      </c>
      <c r="L132" s="7">
        <v>1.5097222222222222</v>
      </c>
      <c r="M132" s="9">
        <v>2.3769999999999998</v>
      </c>
    </row>
    <row r="133" spans="1:13" x14ac:dyDescent="0.3">
      <c r="A133" s="6" t="s">
        <v>22</v>
      </c>
      <c r="B133" s="9"/>
      <c r="C133" s="7"/>
      <c r="D133" s="9"/>
      <c r="E133" s="9"/>
      <c r="F133" s="7"/>
      <c r="G133" s="9"/>
      <c r="H133" s="9">
        <v>4</v>
      </c>
      <c r="I133" s="7">
        <v>0.67777777777777781</v>
      </c>
      <c r="J133" s="9">
        <v>0.86699999999999999</v>
      </c>
      <c r="K133" s="9">
        <v>4</v>
      </c>
      <c r="L133" s="7">
        <v>0.67777777777777781</v>
      </c>
      <c r="M133" s="9">
        <v>0.86699999999999999</v>
      </c>
    </row>
    <row r="134" spans="1:13" x14ac:dyDescent="0.3">
      <c r="A134" s="6" t="s">
        <v>11</v>
      </c>
      <c r="B134" s="9"/>
      <c r="C134" s="7"/>
      <c r="D134" s="9"/>
      <c r="E134" s="9"/>
      <c r="F134" s="7"/>
      <c r="G134" s="9"/>
      <c r="H134" s="9">
        <v>9</v>
      </c>
      <c r="I134" s="7">
        <v>1.4638888888888888</v>
      </c>
      <c r="J134" s="9">
        <v>2.1520000000000001</v>
      </c>
      <c r="K134" s="9">
        <v>9</v>
      </c>
      <c r="L134" s="7">
        <v>1.4638888888888888</v>
      </c>
      <c r="M134" s="9">
        <v>2.1520000000000001</v>
      </c>
    </row>
    <row r="135" spans="1:13" x14ac:dyDescent="0.3">
      <c r="A135" s="6" t="s">
        <v>14</v>
      </c>
      <c r="B135" s="9"/>
      <c r="C135" s="7"/>
      <c r="D135" s="9"/>
      <c r="E135" s="9"/>
      <c r="F135" s="7"/>
      <c r="G135" s="9"/>
      <c r="H135" s="9">
        <v>5</v>
      </c>
      <c r="I135" s="7">
        <v>0.91041666666666665</v>
      </c>
      <c r="J135" s="9">
        <v>0.34099999999999997</v>
      </c>
      <c r="K135" s="9">
        <v>5</v>
      </c>
      <c r="L135" s="7">
        <v>0.91041666666666665</v>
      </c>
      <c r="M135" s="9">
        <v>0.34099999999999997</v>
      </c>
    </row>
    <row r="136" spans="1:13" x14ac:dyDescent="0.3">
      <c r="A136" s="5" t="s">
        <v>1699</v>
      </c>
      <c r="B136" s="9">
        <v>213</v>
      </c>
      <c r="C136" s="7">
        <v>35.721527777777787</v>
      </c>
      <c r="D136" s="9">
        <v>41.614999999999988</v>
      </c>
      <c r="E136" s="9">
        <v>315</v>
      </c>
      <c r="F136" s="7">
        <v>51.23611111111115</v>
      </c>
      <c r="G136" s="9">
        <v>60.569999999999986</v>
      </c>
      <c r="H136" s="9">
        <v>220</v>
      </c>
      <c r="I136" s="7">
        <v>39.165277777777781</v>
      </c>
      <c r="J136" s="9">
        <v>41.926999999999971</v>
      </c>
      <c r="K136" s="9">
        <v>748</v>
      </c>
      <c r="L136" s="7">
        <v>126.12291666666665</v>
      </c>
      <c r="M136" s="9">
        <v>144.11199999999997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3F02-B4BD-4AF7-AA08-2CC8FCD02A9C}">
  <dimension ref="A1:W749"/>
  <sheetViews>
    <sheetView topLeftCell="N1" workbookViewId="0">
      <selection activeCell="W3" sqref="W3"/>
    </sheetView>
  </sheetViews>
  <sheetFormatPr baseColWidth="10" defaultRowHeight="14.4" x14ac:dyDescent="0.3"/>
  <cols>
    <col min="1" max="1" width="22" bestFit="1" customWidth="1"/>
    <col min="2" max="2" width="12.88671875" bestFit="1" customWidth="1"/>
    <col min="3" max="3" width="20.88671875" bestFit="1" customWidth="1"/>
    <col min="4" max="4" width="9" bestFit="1" customWidth="1"/>
    <col min="5" max="5" width="17.6640625" bestFit="1" customWidth="1"/>
    <col min="6" max="6" width="17.109375" bestFit="1" customWidth="1"/>
    <col min="7" max="7" width="20.109375" bestFit="1" customWidth="1"/>
    <col min="8" max="8" width="22.33203125" bestFit="1" customWidth="1"/>
    <col min="9" max="9" width="23.5546875" bestFit="1" customWidth="1"/>
    <col min="10" max="10" width="24.88671875" bestFit="1" customWidth="1"/>
    <col min="11" max="11" width="20.6640625" bestFit="1" customWidth="1"/>
    <col min="12" max="12" width="22.6640625" bestFit="1" customWidth="1"/>
    <col min="13" max="13" width="15.5546875" bestFit="1" customWidth="1"/>
    <col min="14" max="14" width="21" bestFit="1" customWidth="1"/>
    <col min="15" max="15" width="16.88671875" bestFit="1" customWidth="1"/>
    <col min="16" max="16" width="23.21875" bestFit="1" customWidth="1"/>
    <col min="17" max="17" width="18.109375" bestFit="1" customWidth="1"/>
    <col min="18" max="18" width="22.109375" bestFit="1" customWidth="1"/>
    <col min="19" max="19" width="31.21875" bestFit="1" customWidth="1"/>
    <col min="20" max="20" width="23.88671875" bestFit="1" customWidth="1"/>
    <col min="21" max="21" width="27.21875" bestFit="1" customWidth="1"/>
    <col min="22" max="22" width="9.21875" bestFit="1" customWidth="1"/>
    <col min="23" max="23" width="16.5546875" bestFit="1" customWidth="1"/>
    <col min="24" max="24" width="18.109375" bestFit="1" customWidth="1"/>
    <col min="25" max="25" width="25.88671875" bestFit="1" customWidth="1"/>
    <col min="26" max="26" width="31.21875" bestFit="1" customWidth="1"/>
    <col min="27" max="27" width="23.88671875" bestFit="1" customWidth="1"/>
    <col min="28" max="28" width="27.21875" bestFit="1" customWidth="1"/>
    <col min="29" max="29" width="9.21875" bestFit="1" customWidth="1"/>
    <col min="30" max="30" width="10.33203125" bestFit="1" customWidth="1"/>
    <col min="31" max="31" width="10.44140625" bestFit="1" customWidth="1"/>
  </cols>
  <sheetData>
    <row r="1" spans="1:23" x14ac:dyDescent="0.3">
      <c r="A1" t="s">
        <v>0</v>
      </c>
      <c r="B1" t="s">
        <v>1831</v>
      </c>
      <c r="C1" t="s">
        <v>1830</v>
      </c>
      <c r="D1" t="s">
        <v>802</v>
      </c>
      <c r="E1" t="s">
        <v>803</v>
      </c>
      <c r="F1" t="s">
        <v>804</v>
      </c>
      <c r="G1" t="s">
        <v>1832</v>
      </c>
      <c r="H1" t="s">
        <v>1833</v>
      </c>
      <c r="I1" t="s">
        <v>1689</v>
      </c>
      <c r="J1" t="s">
        <v>1690</v>
      </c>
      <c r="K1" t="s">
        <v>1834</v>
      </c>
      <c r="L1" t="s">
        <v>1835</v>
      </c>
      <c r="M1" t="s">
        <v>1693</v>
      </c>
      <c r="N1" t="s">
        <v>1694</v>
      </c>
      <c r="O1" t="s">
        <v>3</v>
      </c>
      <c r="P1" t="s">
        <v>1702</v>
      </c>
      <c r="Q1" t="s">
        <v>1695</v>
      </c>
      <c r="R1" t="s">
        <v>1705</v>
      </c>
      <c r="S1" t="s">
        <v>1696</v>
      </c>
      <c r="T1" t="s">
        <v>1697</v>
      </c>
      <c r="U1" t="s">
        <v>1698</v>
      </c>
      <c r="V1" t="s">
        <v>1703</v>
      </c>
      <c r="W1" t="s">
        <v>1704</v>
      </c>
    </row>
    <row r="2" spans="1:23" x14ac:dyDescent="0.3">
      <c r="A2" t="s">
        <v>805</v>
      </c>
      <c r="B2" s="1">
        <v>45212</v>
      </c>
      <c r="C2" s="2">
        <v>0.14027777777777778</v>
      </c>
      <c r="D2" t="s">
        <v>826</v>
      </c>
      <c r="E2">
        <v>19</v>
      </c>
      <c r="F2" t="s">
        <v>810</v>
      </c>
      <c r="G2" t="s">
        <v>826</v>
      </c>
      <c r="H2" t="s">
        <v>37</v>
      </c>
      <c r="I2">
        <v>-9.4708620000000003</v>
      </c>
      <c r="J2">
        <v>29.234387999999999</v>
      </c>
      <c r="K2" t="s">
        <v>1500</v>
      </c>
      <c r="L2" t="s">
        <v>1501</v>
      </c>
      <c r="M2" t="s">
        <v>36</v>
      </c>
      <c r="N2" t="s">
        <v>37</v>
      </c>
      <c r="O2" t="s">
        <v>1710</v>
      </c>
      <c r="P2">
        <v>115</v>
      </c>
      <c r="Q2" t="s">
        <v>19</v>
      </c>
      <c r="R2" s="2">
        <v>0.12222222222222222</v>
      </c>
      <c r="S2">
        <v>176</v>
      </c>
      <c r="T2">
        <v>33.28</v>
      </c>
      <c r="U2">
        <v>4</v>
      </c>
      <c r="V2">
        <v>0.45</v>
      </c>
      <c r="W2">
        <v>0.15</v>
      </c>
    </row>
    <row r="3" spans="1:23" x14ac:dyDescent="0.3">
      <c r="A3" t="s">
        <v>805</v>
      </c>
      <c r="B3" s="1">
        <v>45212</v>
      </c>
      <c r="C3" s="2">
        <v>0.14027777777777778</v>
      </c>
      <c r="D3" t="s">
        <v>826</v>
      </c>
      <c r="E3">
        <v>19</v>
      </c>
      <c r="F3" t="s">
        <v>810</v>
      </c>
      <c r="G3" t="s">
        <v>826</v>
      </c>
      <c r="H3" t="s">
        <v>37</v>
      </c>
      <c r="I3">
        <v>-9.4708620000000003</v>
      </c>
      <c r="J3">
        <v>29.234387999999999</v>
      </c>
      <c r="K3" t="s">
        <v>1500</v>
      </c>
      <c r="L3" t="s">
        <v>1501</v>
      </c>
      <c r="M3" t="s">
        <v>142</v>
      </c>
      <c r="N3" t="s">
        <v>37</v>
      </c>
      <c r="O3" t="s">
        <v>1711</v>
      </c>
      <c r="P3">
        <v>69</v>
      </c>
      <c r="Q3" t="s">
        <v>19</v>
      </c>
      <c r="R3" s="2">
        <v>0.21249999999999999</v>
      </c>
      <c r="S3">
        <v>306</v>
      </c>
      <c r="T3">
        <v>13.97</v>
      </c>
      <c r="U3">
        <v>1</v>
      </c>
      <c r="V3">
        <v>0.45</v>
      </c>
      <c r="W3">
        <v>6.3E-2</v>
      </c>
    </row>
    <row r="4" spans="1:23" x14ac:dyDescent="0.3">
      <c r="A4" t="s">
        <v>805</v>
      </c>
      <c r="B4" s="1">
        <v>45212</v>
      </c>
      <c r="C4" s="2">
        <v>0.14027777777777778</v>
      </c>
      <c r="D4" t="s">
        <v>826</v>
      </c>
      <c r="E4">
        <v>19</v>
      </c>
      <c r="F4" t="s">
        <v>810</v>
      </c>
      <c r="G4" t="s">
        <v>826</v>
      </c>
      <c r="H4" t="s">
        <v>37</v>
      </c>
      <c r="I4">
        <v>-9.4708620000000003</v>
      </c>
      <c r="J4">
        <v>29.234387999999999</v>
      </c>
      <c r="K4" t="s">
        <v>1500</v>
      </c>
      <c r="L4" t="s">
        <v>1501</v>
      </c>
      <c r="M4" t="s">
        <v>150</v>
      </c>
      <c r="N4" t="s">
        <v>37</v>
      </c>
      <c r="O4" t="s">
        <v>1712</v>
      </c>
      <c r="P4">
        <v>55</v>
      </c>
      <c r="Q4" t="s">
        <v>19</v>
      </c>
      <c r="R4" s="2">
        <v>0.28263888888888888</v>
      </c>
      <c r="S4">
        <v>407</v>
      </c>
      <c r="T4">
        <v>23.11</v>
      </c>
      <c r="U4">
        <v>0</v>
      </c>
      <c r="V4">
        <v>0.45</v>
      </c>
      <c r="W4">
        <v>0.104</v>
      </c>
    </row>
    <row r="5" spans="1:23" x14ac:dyDescent="0.3">
      <c r="A5" t="s">
        <v>805</v>
      </c>
      <c r="B5" s="1">
        <v>45212</v>
      </c>
      <c r="C5" s="2">
        <v>0.14027777777777778</v>
      </c>
      <c r="D5" t="s">
        <v>826</v>
      </c>
      <c r="E5">
        <v>19</v>
      </c>
      <c r="F5" t="s">
        <v>810</v>
      </c>
      <c r="G5" t="s">
        <v>826</v>
      </c>
      <c r="H5" t="s">
        <v>37</v>
      </c>
      <c r="I5">
        <v>-9.4708620000000003</v>
      </c>
      <c r="J5">
        <v>29.234387999999999</v>
      </c>
      <c r="K5" t="s">
        <v>1500</v>
      </c>
      <c r="L5" t="s">
        <v>1501</v>
      </c>
      <c r="M5" t="s">
        <v>151</v>
      </c>
      <c r="N5" t="s">
        <v>37</v>
      </c>
      <c r="O5" t="s">
        <v>1713</v>
      </c>
      <c r="P5">
        <v>83</v>
      </c>
      <c r="Q5" t="s">
        <v>14</v>
      </c>
      <c r="R5" s="2">
        <v>0.15208333333333332</v>
      </c>
      <c r="S5">
        <v>219</v>
      </c>
      <c r="T5">
        <v>52.26</v>
      </c>
      <c r="U5">
        <v>1</v>
      </c>
      <c r="V5">
        <v>0.1</v>
      </c>
      <c r="W5">
        <v>5.1999999999999998E-2</v>
      </c>
    </row>
    <row r="6" spans="1:23" x14ac:dyDescent="0.3">
      <c r="A6" t="s">
        <v>805</v>
      </c>
      <c r="B6" s="1">
        <v>45212</v>
      </c>
      <c r="C6" s="2">
        <v>0.14027777777777778</v>
      </c>
      <c r="D6" t="s">
        <v>826</v>
      </c>
      <c r="E6">
        <v>19</v>
      </c>
      <c r="F6" t="s">
        <v>810</v>
      </c>
      <c r="G6" t="s">
        <v>826</v>
      </c>
      <c r="H6" t="s">
        <v>37</v>
      </c>
      <c r="I6">
        <v>-9.4708620000000003</v>
      </c>
      <c r="J6">
        <v>29.234387999999999</v>
      </c>
      <c r="K6" t="s">
        <v>1500</v>
      </c>
      <c r="L6" t="s">
        <v>1501</v>
      </c>
      <c r="M6" t="s">
        <v>189</v>
      </c>
      <c r="N6" t="s">
        <v>37</v>
      </c>
      <c r="O6" t="s">
        <v>1714</v>
      </c>
      <c r="P6">
        <v>29</v>
      </c>
      <c r="Q6" t="s">
        <v>22</v>
      </c>
      <c r="R6" s="2">
        <v>8.611111111111111E-2</v>
      </c>
      <c r="S6">
        <v>124</v>
      </c>
      <c r="T6">
        <v>43.83</v>
      </c>
      <c r="U6">
        <v>5</v>
      </c>
      <c r="V6">
        <v>0.45</v>
      </c>
      <c r="W6">
        <v>0.19700000000000001</v>
      </c>
    </row>
    <row r="7" spans="1:23" x14ac:dyDescent="0.3">
      <c r="A7" t="s">
        <v>805</v>
      </c>
      <c r="B7" s="1">
        <v>45212</v>
      </c>
      <c r="C7" s="2">
        <v>0.14027777777777778</v>
      </c>
      <c r="D7" t="s">
        <v>826</v>
      </c>
      <c r="E7">
        <v>19</v>
      </c>
      <c r="F7" t="s">
        <v>810</v>
      </c>
      <c r="G7" t="s">
        <v>826</v>
      </c>
      <c r="H7" t="s">
        <v>37</v>
      </c>
      <c r="I7">
        <v>-9.4708620000000003</v>
      </c>
      <c r="J7">
        <v>29.234387999999999</v>
      </c>
      <c r="K7" t="s">
        <v>1500</v>
      </c>
      <c r="L7" t="s">
        <v>1501</v>
      </c>
      <c r="M7" t="s">
        <v>193</v>
      </c>
      <c r="N7" t="s">
        <v>37</v>
      </c>
      <c r="O7" t="s">
        <v>1713</v>
      </c>
      <c r="P7">
        <v>83</v>
      </c>
      <c r="Q7" t="s">
        <v>14</v>
      </c>
      <c r="R7" s="2">
        <v>0.29166666666666669</v>
      </c>
      <c r="S7">
        <v>420</v>
      </c>
      <c r="T7">
        <v>94.9</v>
      </c>
      <c r="U7">
        <v>1</v>
      </c>
      <c r="V7">
        <v>0.1</v>
      </c>
      <c r="W7">
        <v>9.5000000000000001E-2</v>
      </c>
    </row>
    <row r="8" spans="1:23" x14ac:dyDescent="0.3">
      <c r="A8" t="s">
        <v>805</v>
      </c>
      <c r="B8" s="1">
        <v>45212</v>
      </c>
      <c r="C8" s="2">
        <v>0.14027777777777778</v>
      </c>
      <c r="D8" t="s">
        <v>826</v>
      </c>
      <c r="E8">
        <v>19</v>
      </c>
      <c r="F8" t="s">
        <v>810</v>
      </c>
      <c r="G8" t="s">
        <v>826</v>
      </c>
      <c r="H8" t="s">
        <v>37</v>
      </c>
      <c r="I8">
        <v>-9.4708620000000003</v>
      </c>
      <c r="J8">
        <v>29.234387999999999</v>
      </c>
      <c r="K8" t="s">
        <v>1500</v>
      </c>
      <c r="L8" t="s">
        <v>1501</v>
      </c>
      <c r="M8" t="s">
        <v>203</v>
      </c>
      <c r="N8" t="s">
        <v>37</v>
      </c>
      <c r="O8" t="s">
        <v>1715</v>
      </c>
      <c r="P8">
        <v>48</v>
      </c>
      <c r="Q8" t="s">
        <v>14</v>
      </c>
      <c r="R8" s="2">
        <v>5.2777777777777778E-2</v>
      </c>
      <c r="S8">
        <v>76</v>
      </c>
      <c r="T8">
        <v>39.35</v>
      </c>
      <c r="U8">
        <v>2</v>
      </c>
      <c r="V8">
        <v>0.1</v>
      </c>
      <c r="W8">
        <v>3.9E-2</v>
      </c>
    </row>
    <row r="9" spans="1:23" x14ac:dyDescent="0.3">
      <c r="A9" t="s">
        <v>805</v>
      </c>
      <c r="B9" s="1">
        <v>45212</v>
      </c>
      <c r="C9" s="2">
        <v>0.14027777777777778</v>
      </c>
      <c r="D9" t="s">
        <v>826</v>
      </c>
      <c r="E9">
        <v>19</v>
      </c>
      <c r="F9" t="s">
        <v>810</v>
      </c>
      <c r="G9" t="s">
        <v>826</v>
      </c>
      <c r="H9" t="s">
        <v>37</v>
      </c>
      <c r="I9">
        <v>-9.4708620000000003</v>
      </c>
      <c r="J9">
        <v>29.234387999999999</v>
      </c>
      <c r="K9" t="s">
        <v>1500</v>
      </c>
      <c r="L9" t="s">
        <v>1501</v>
      </c>
      <c r="M9" t="s">
        <v>257</v>
      </c>
      <c r="N9" t="s">
        <v>37</v>
      </c>
      <c r="O9" t="s">
        <v>1716</v>
      </c>
      <c r="P9">
        <v>110</v>
      </c>
      <c r="Q9" t="s">
        <v>19</v>
      </c>
      <c r="R9" s="2">
        <v>7.7777777777777779E-2</v>
      </c>
      <c r="S9">
        <v>112</v>
      </c>
      <c r="T9">
        <v>98.95</v>
      </c>
      <c r="U9">
        <v>5</v>
      </c>
      <c r="V9">
        <v>0.45</v>
      </c>
      <c r="W9">
        <v>0.44500000000000001</v>
      </c>
    </row>
    <row r="10" spans="1:23" x14ac:dyDescent="0.3">
      <c r="A10" t="s">
        <v>805</v>
      </c>
      <c r="B10" s="1">
        <v>45212</v>
      </c>
      <c r="C10" s="2">
        <v>0.14027777777777778</v>
      </c>
      <c r="D10" t="s">
        <v>826</v>
      </c>
      <c r="E10">
        <v>19</v>
      </c>
      <c r="F10" t="s">
        <v>810</v>
      </c>
      <c r="G10" t="s">
        <v>826</v>
      </c>
      <c r="H10" t="s">
        <v>37</v>
      </c>
      <c r="I10">
        <v>-9.4708620000000003</v>
      </c>
      <c r="J10">
        <v>29.234387999999999</v>
      </c>
      <c r="K10" t="s">
        <v>1500</v>
      </c>
      <c r="L10" t="s">
        <v>1501</v>
      </c>
      <c r="M10" t="s">
        <v>261</v>
      </c>
      <c r="N10" t="s">
        <v>37</v>
      </c>
      <c r="O10" t="s">
        <v>1717</v>
      </c>
      <c r="P10">
        <v>2</v>
      </c>
      <c r="Q10" t="s">
        <v>14</v>
      </c>
      <c r="R10" s="2">
        <v>9.8611111111111108E-2</v>
      </c>
      <c r="S10">
        <v>142</v>
      </c>
      <c r="T10">
        <v>37.799999999999997</v>
      </c>
      <c r="U10">
        <v>0</v>
      </c>
      <c r="V10">
        <v>0.1</v>
      </c>
      <c r="W10">
        <v>3.7999999999999999E-2</v>
      </c>
    </row>
    <row r="11" spans="1:23" x14ac:dyDescent="0.3">
      <c r="A11" t="s">
        <v>805</v>
      </c>
      <c r="B11" s="1">
        <v>45212</v>
      </c>
      <c r="C11" s="2">
        <v>0.14027777777777778</v>
      </c>
      <c r="D11" t="s">
        <v>826</v>
      </c>
      <c r="E11">
        <v>19</v>
      </c>
      <c r="F11" t="s">
        <v>810</v>
      </c>
      <c r="G11" t="s">
        <v>826</v>
      </c>
      <c r="H11" t="s">
        <v>37</v>
      </c>
      <c r="I11">
        <v>-9.4708620000000003</v>
      </c>
      <c r="J11">
        <v>29.234387999999999</v>
      </c>
      <c r="K11" t="s">
        <v>1500</v>
      </c>
      <c r="L11" t="s">
        <v>1501</v>
      </c>
      <c r="M11" t="s">
        <v>271</v>
      </c>
      <c r="N11" t="s">
        <v>37</v>
      </c>
      <c r="O11" t="s">
        <v>1718</v>
      </c>
      <c r="P11">
        <v>63</v>
      </c>
      <c r="Q11" t="s">
        <v>19</v>
      </c>
      <c r="R11" s="2">
        <v>0.2722222222222222</v>
      </c>
      <c r="S11">
        <v>392</v>
      </c>
      <c r="T11">
        <v>93.11</v>
      </c>
      <c r="U11">
        <v>3</v>
      </c>
      <c r="V11">
        <v>0.45</v>
      </c>
      <c r="W11">
        <v>0.41899999999999998</v>
      </c>
    </row>
    <row r="12" spans="1:23" x14ac:dyDescent="0.3">
      <c r="A12" t="s">
        <v>805</v>
      </c>
      <c r="B12" s="1">
        <v>45212</v>
      </c>
      <c r="C12" s="2">
        <v>0.14027777777777778</v>
      </c>
      <c r="D12" t="s">
        <v>826</v>
      </c>
      <c r="E12">
        <v>19</v>
      </c>
      <c r="F12" t="s">
        <v>810</v>
      </c>
      <c r="G12" t="s">
        <v>826</v>
      </c>
      <c r="H12" t="s">
        <v>37</v>
      </c>
      <c r="I12">
        <v>-9.4708620000000003</v>
      </c>
      <c r="J12">
        <v>29.234387999999999</v>
      </c>
      <c r="K12" t="s">
        <v>1500</v>
      </c>
      <c r="L12" t="s">
        <v>1501</v>
      </c>
      <c r="M12" t="s">
        <v>327</v>
      </c>
      <c r="N12" t="s">
        <v>37</v>
      </c>
      <c r="O12" t="s">
        <v>1719</v>
      </c>
      <c r="P12">
        <v>50</v>
      </c>
      <c r="Q12" t="s">
        <v>19</v>
      </c>
      <c r="R12" s="2">
        <v>0.17222222222222222</v>
      </c>
      <c r="S12">
        <v>248</v>
      </c>
      <c r="T12">
        <v>69.42</v>
      </c>
      <c r="U12">
        <v>0</v>
      </c>
      <c r="V12">
        <v>0.45</v>
      </c>
      <c r="W12">
        <v>0.312</v>
      </c>
    </row>
    <row r="13" spans="1:23" x14ac:dyDescent="0.3">
      <c r="A13" t="s">
        <v>805</v>
      </c>
      <c r="B13" s="1">
        <v>45212</v>
      </c>
      <c r="C13" s="2">
        <v>0.14027777777777778</v>
      </c>
      <c r="D13" t="s">
        <v>826</v>
      </c>
      <c r="E13">
        <v>19</v>
      </c>
      <c r="F13" t="s">
        <v>810</v>
      </c>
      <c r="G13" t="s">
        <v>826</v>
      </c>
      <c r="H13" t="s">
        <v>37</v>
      </c>
      <c r="I13">
        <v>-9.4708620000000003</v>
      </c>
      <c r="J13">
        <v>29.234387999999999</v>
      </c>
      <c r="K13" t="s">
        <v>1500</v>
      </c>
      <c r="L13" t="s">
        <v>1501</v>
      </c>
      <c r="M13" t="s">
        <v>348</v>
      </c>
      <c r="N13" t="s">
        <v>37</v>
      </c>
      <c r="O13" t="s">
        <v>1712</v>
      </c>
      <c r="P13">
        <v>55</v>
      </c>
      <c r="Q13" t="s">
        <v>11</v>
      </c>
      <c r="R13" s="2">
        <v>5.9722222222222225E-2</v>
      </c>
      <c r="S13">
        <v>86</v>
      </c>
      <c r="T13">
        <v>17.440000000000001</v>
      </c>
      <c r="U13">
        <v>2</v>
      </c>
      <c r="V13">
        <v>0.45</v>
      </c>
      <c r="W13">
        <v>7.8E-2</v>
      </c>
    </row>
    <row r="14" spans="1:23" x14ac:dyDescent="0.3">
      <c r="A14" t="s">
        <v>805</v>
      </c>
      <c r="B14" s="1">
        <v>45212</v>
      </c>
      <c r="C14" s="2">
        <v>0.14027777777777778</v>
      </c>
      <c r="D14" t="s">
        <v>826</v>
      </c>
      <c r="E14">
        <v>19</v>
      </c>
      <c r="F14" t="s">
        <v>810</v>
      </c>
      <c r="G14" t="s">
        <v>826</v>
      </c>
      <c r="H14" t="s">
        <v>37</v>
      </c>
      <c r="I14">
        <v>-9.4708620000000003</v>
      </c>
      <c r="J14">
        <v>29.234387999999999</v>
      </c>
      <c r="K14" t="s">
        <v>1500</v>
      </c>
      <c r="L14" t="s">
        <v>1501</v>
      </c>
      <c r="M14" t="s">
        <v>358</v>
      </c>
      <c r="N14" t="s">
        <v>37</v>
      </c>
      <c r="O14" t="s">
        <v>1720</v>
      </c>
      <c r="P14">
        <v>85</v>
      </c>
      <c r="Q14" t="s">
        <v>14</v>
      </c>
      <c r="R14" s="2">
        <v>4.1666666666666664E-2</v>
      </c>
      <c r="S14">
        <v>60</v>
      </c>
      <c r="T14">
        <v>26.3</v>
      </c>
      <c r="U14">
        <v>2</v>
      </c>
      <c r="V14">
        <v>0.1</v>
      </c>
      <c r="W14">
        <v>2.5999999999999999E-2</v>
      </c>
    </row>
    <row r="15" spans="1:23" x14ac:dyDescent="0.3">
      <c r="A15" t="s">
        <v>805</v>
      </c>
      <c r="B15" s="1">
        <v>45212</v>
      </c>
      <c r="C15" s="2">
        <v>0.14027777777777778</v>
      </c>
      <c r="D15" t="s">
        <v>826</v>
      </c>
      <c r="E15">
        <v>19</v>
      </c>
      <c r="F15" t="s">
        <v>810</v>
      </c>
      <c r="G15" t="s">
        <v>826</v>
      </c>
      <c r="H15" t="s">
        <v>37</v>
      </c>
      <c r="I15">
        <v>-9.4708620000000003</v>
      </c>
      <c r="J15">
        <v>29.234387999999999</v>
      </c>
      <c r="K15" t="s">
        <v>1500</v>
      </c>
      <c r="L15" t="s">
        <v>1501</v>
      </c>
      <c r="M15" t="s">
        <v>404</v>
      </c>
      <c r="N15" t="s">
        <v>37</v>
      </c>
      <c r="O15" t="s">
        <v>1721</v>
      </c>
      <c r="P15">
        <v>36</v>
      </c>
      <c r="Q15" t="s">
        <v>19</v>
      </c>
      <c r="R15" s="2">
        <v>0.21597222222222223</v>
      </c>
      <c r="S15">
        <v>311</v>
      </c>
      <c r="T15">
        <v>13.19</v>
      </c>
      <c r="U15">
        <v>4</v>
      </c>
      <c r="V15">
        <v>0.45</v>
      </c>
      <c r="W15">
        <v>5.8999999999999997E-2</v>
      </c>
    </row>
    <row r="16" spans="1:23" x14ac:dyDescent="0.3">
      <c r="A16" t="s">
        <v>805</v>
      </c>
      <c r="B16" s="1">
        <v>45212</v>
      </c>
      <c r="C16" s="2">
        <v>0.14027777777777778</v>
      </c>
      <c r="D16" t="s">
        <v>826</v>
      </c>
      <c r="E16">
        <v>19</v>
      </c>
      <c r="F16" t="s">
        <v>810</v>
      </c>
      <c r="G16" t="s">
        <v>826</v>
      </c>
      <c r="H16" t="s">
        <v>37</v>
      </c>
      <c r="I16">
        <v>-9.4708620000000003</v>
      </c>
      <c r="J16">
        <v>29.234387999999999</v>
      </c>
      <c r="K16" t="s">
        <v>1500</v>
      </c>
      <c r="L16" t="s">
        <v>1501</v>
      </c>
      <c r="M16" t="s">
        <v>413</v>
      </c>
      <c r="N16" t="s">
        <v>37</v>
      </c>
      <c r="O16" t="s">
        <v>1722</v>
      </c>
      <c r="P16">
        <v>16</v>
      </c>
      <c r="Q16" t="s">
        <v>11</v>
      </c>
      <c r="R16" s="2">
        <v>0.27152777777777776</v>
      </c>
      <c r="S16">
        <v>391</v>
      </c>
      <c r="T16">
        <v>90.12</v>
      </c>
      <c r="U16">
        <v>5</v>
      </c>
      <c r="V16">
        <v>0.45</v>
      </c>
      <c r="W16">
        <v>0.40600000000000003</v>
      </c>
    </row>
    <row r="17" spans="1:23" x14ac:dyDescent="0.3">
      <c r="A17" t="s">
        <v>805</v>
      </c>
      <c r="B17" s="1">
        <v>45212</v>
      </c>
      <c r="C17" s="2">
        <v>0.14027777777777778</v>
      </c>
      <c r="D17" t="s">
        <v>826</v>
      </c>
      <c r="E17">
        <v>19</v>
      </c>
      <c r="F17" t="s">
        <v>810</v>
      </c>
      <c r="G17" t="s">
        <v>826</v>
      </c>
      <c r="H17" t="s">
        <v>37</v>
      </c>
      <c r="I17">
        <v>-9.4708620000000003</v>
      </c>
      <c r="J17">
        <v>29.234387999999999</v>
      </c>
      <c r="K17" t="s">
        <v>1500</v>
      </c>
      <c r="L17" t="s">
        <v>1501</v>
      </c>
      <c r="M17" t="s">
        <v>416</v>
      </c>
      <c r="N17" t="s">
        <v>37</v>
      </c>
      <c r="O17" t="s">
        <v>1723</v>
      </c>
      <c r="P17">
        <v>94</v>
      </c>
      <c r="Q17" t="s">
        <v>22</v>
      </c>
      <c r="R17" s="2">
        <v>7.9861111111111105E-2</v>
      </c>
      <c r="S17">
        <v>115</v>
      </c>
      <c r="T17">
        <v>19.12</v>
      </c>
      <c r="U17">
        <v>0</v>
      </c>
      <c r="V17">
        <v>0.45</v>
      </c>
      <c r="W17">
        <v>8.5999999999999993E-2</v>
      </c>
    </row>
    <row r="18" spans="1:23" x14ac:dyDescent="0.3">
      <c r="A18" t="s">
        <v>805</v>
      </c>
      <c r="B18" s="1">
        <v>45212</v>
      </c>
      <c r="C18" s="2">
        <v>0.14027777777777778</v>
      </c>
      <c r="D18" t="s">
        <v>826</v>
      </c>
      <c r="E18">
        <v>19</v>
      </c>
      <c r="F18" t="s">
        <v>810</v>
      </c>
      <c r="G18" t="s">
        <v>826</v>
      </c>
      <c r="H18" t="s">
        <v>37</v>
      </c>
      <c r="I18">
        <v>-9.4708620000000003</v>
      </c>
      <c r="J18">
        <v>29.234387999999999</v>
      </c>
      <c r="K18" t="s">
        <v>1500</v>
      </c>
      <c r="L18" t="s">
        <v>1501</v>
      </c>
      <c r="M18" t="s">
        <v>447</v>
      </c>
      <c r="N18" t="s">
        <v>37</v>
      </c>
      <c r="O18" t="s">
        <v>1724</v>
      </c>
      <c r="P18">
        <v>39</v>
      </c>
      <c r="Q18" t="s">
        <v>11</v>
      </c>
      <c r="R18" s="2">
        <v>6.9444444444444447E-4</v>
      </c>
      <c r="S18">
        <v>1</v>
      </c>
      <c r="T18">
        <v>66.94</v>
      </c>
      <c r="U18">
        <v>5</v>
      </c>
      <c r="V18">
        <v>0.45</v>
      </c>
      <c r="W18">
        <v>0.30099999999999999</v>
      </c>
    </row>
    <row r="19" spans="1:23" x14ac:dyDescent="0.3">
      <c r="A19" t="s">
        <v>805</v>
      </c>
      <c r="B19" s="1">
        <v>45212</v>
      </c>
      <c r="C19" s="2">
        <v>0.14027777777777778</v>
      </c>
      <c r="D19" t="s">
        <v>826</v>
      </c>
      <c r="E19">
        <v>19</v>
      </c>
      <c r="F19" t="s">
        <v>810</v>
      </c>
      <c r="G19" t="s">
        <v>826</v>
      </c>
      <c r="H19" t="s">
        <v>37</v>
      </c>
      <c r="I19">
        <v>-9.4708620000000003</v>
      </c>
      <c r="J19">
        <v>29.234387999999999</v>
      </c>
      <c r="K19" t="s">
        <v>1500</v>
      </c>
      <c r="L19" t="s">
        <v>1501</v>
      </c>
      <c r="M19" t="s">
        <v>453</v>
      </c>
      <c r="N19" t="s">
        <v>37</v>
      </c>
      <c r="O19" t="s">
        <v>1725</v>
      </c>
      <c r="P19">
        <v>92</v>
      </c>
      <c r="Q19" t="s">
        <v>19</v>
      </c>
      <c r="R19" s="2">
        <v>2.7777777777777779E-3</v>
      </c>
      <c r="S19">
        <v>4</v>
      </c>
      <c r="T19">
        <v>22.03</v>
      </c>
      <c r="U19">
        <v>3</v>
      </c>
      <c r="V19">
        <v>0.45</v>
      </c>
      <c r="W19">
        <v>9.9000000000000005E-2</v>
      </c>
    </row>
    <row r="20" spans="1:23" x14ac:dyDescent="0.3">
      <c r="A20" t="s">
        <v>805</v>
      </c>
      <c r="B20" s="1">
        <v>45212</v>
      </c>
      <c r="C20" s="2">
        <v>0.14027777777777778</v>
      </c>
      <c r="D20" t="s">
        <v>826</v>
      </c>
      <c r="E20">
        <v>19</v>
      </c>
      <c r="F20" t="s">
        <v>810</v>
      </c>
      <c r="G20" t="s">
        <v>826</v>
      </c>
      <c r="H20" t="s">
        <v>37</v>
      </c>
      <c r="I20">
        <v>-9.4708620000000003</v>
      </c>
      <c r="J20">
        <v>29.234387999999999</v>
      </c>
      <c r="K20" t="s">
        <v>1500</v>
      </c>
      <c r="L20" t="s">
        <v>1501</v>
      </c>
      <c r="M20" t="s">
        <v>457</v>
      </c>
      <c r="N20" t="s">
        <v>37</v>
      </c>
      <c r="O20" t="s">
        <v>1710</v>
      </c>
      <c r="P20">
        <v>115</v>
      </c>
      <c r="Q20" t="s">
        <v>14</v>
      </c>
      <c r="R20" s="2">
        <v>0.18194444444444444</v>
      </c>
      <c r="S20">
        <v>262</v>
      </c>
      <c r="T20">
        <v>66.34</v>
      </c>
      <c r="U20">
        <v>3</v>
      </c>
      <c r="V20">
        <v>0.1</v>
      </c>
      <c r="W20">
        <v>6.6000000000000003E-2</v>
      </c>
    </row>
    <row r="21" spans="1:23" x14ac:dyDescent="0.3">
      <c r="A21" t="s">
        <v>805</v>
      </c>
      <c r="B21" s="1">
        <v>45212</v>
      </c>
      <c r="C21" s="2">
        <v>0.14027777777777778</v>
      </c>
      <c r="D21" t="s">
        <v>826</v>
      </c>
      <c r="E21">
        <v>19</v>
      </c>
      <c r="F21" t="s">
        <v>810</v>
      </c>
      <c r="G21" t="s">
        <v>826</v>
      </c>
      <c r="H21" t="s">
        <v>37</v>
      </c>
      <c r="I21">
        <v>-9.4708620000000003</v>
      </c>
      <c r="J21">
        <v>29.234387999999999</v>
      </c>
      <c r="K21" t="s">
        <v>1500</v>
      </c>
      <c r="L21" t="s">
        <v>1501</v>
      </c>
      <c r="M21" t="s">
        <v>485</v>
      </c>
      <c r="N21" t="s">
        <v>37</v>
      </c>
      <c r="O21" t="s">
        <v>1726</v>
      </c>
      <c r="P21">
        <v>71</v>
      </c>
      <c r="Q21" t="s">
        <v>22</v>
      </c>
      <c r="R21" s="2">
        <v>4.7222222222222221E-2</v>
      </c>
      <c r="S21">
        <v>68</v>
      </c>
      <c r="T21">
        <v>53.11</v>
      </c>
      <c r="U21">
        <v>2</v>
      </c>
      <c r="V21">
        <v>0.45</v>
      </c>
      <c r="W21">
        <v>0.23899999999999999</v>
      </c>
    </row>
    <row r="22" spans="1:23" x14ac:dyDescent="0.3">
      <c r="A22" t="s">
        <v>805</v>
      </c>
      <c r="B22" s="1">
        <v>45212</v>
      </c>
      <c r="C22" s="2">
        <v>0.14027777777777778</v>
      </c>
      <c r="D22" t="s">
        <v>826</v>
      </c>
      <c r="E22">
        <v>19</v>
      </c>
      <c r="F22" t="s">
        <v>810</v>
      </c>
      <c r="G22" t="s">
        <v>826</v>
      </c>
      <c r="H22" t="s">
        <v>37</v>
      </c>
      <c r="I22">
        <v>-9.4708620000000003</v>
      </c>
      <c r="J22">
        <v>29.234387999999999</v>
      </c>
      <c r="K22" t="s">
        <v>1500</v>
      </c>
      <c r="L22" t="s">
        <v>1501</v>
      </c>
      <c r="M22" t="s">
        <v>497</v>
      </c>
      <c r="N22" t="s">
        <v>37</v>
      </c>
      <c r="O22" t="s">
        <v>1727</v>
      </c>
      <c r="P22">
        <v>77</v>
      </c>
      <c r="Q22" t="s">
        <v>22</v>
      </c>
      <c r="R22" s="2">
        <v>0.26041666666666669</v>
      </c>
      <c r="S22">
        <v>375</v>
      </c>
      <c r="T22">
        <v>24.03</v>
      </c>
      <c r="U22">
        <v>1</v>
      </c>
      <c r="V22">
        <v>0.45</v>
      </c>
      <c r="W22">
        <v>0.108</v>
      </c>
    </row>
    <row r="23" spans="1:23" x14ac:dyDescent="0.3">
      <c r="A23" t="s">
        <v>805</v>
      </c>
      <c r="B23" s="1">
        <v>45212</v>
      </c>
      <c r="C23" s="2">
        <v>0.14027777777777778</v>
      </c>
      <c r="D23" t="s">
        <v>826</v>
      </c>
      <c r="E23">
        <v>19</v>
      </c>
      <c r="F23" t="s">
        <v>810</v>
      </c>
      <c r="G23" t="s">
        <v>826</v>
      </c>
      <c r="H23" t="s">
        <v>37</v>
      </c>
      <c r="I23">
        <v>-9.4708620000000003</v>
      </c>
      <c r="J23">
        <v>29.234387999999999</v>
      </c>
      <c r="K23" t="s">
        <v>1500</v>
      </c>
      <c r="L23" t="s">
        <v>1501</v>
      </c>
      <c r="M23" t="s">
        <v>525</v>
      </c>
      <c r="N23" t="s">
        <v>37</v>
      </c>
      <c r="O23" t="s">
        <v>1728</v>
      </c>
      <c r="P23">
        <v>1</v>
      </c>
      <c r="Q23" t="s">
        <v>22</v>
      </c>
      <c r="R23" s="2">
        <v>0.14791666666666667</v>
      </c>
      <c r="S23">
        <v>213</v>
      </c>
      <c r="T23">
        <v>52.16</v>
      </c>
      <c r="U23">
        <v>3</v>
      </c>
      <c r="V23">
        <v>0.45</v>
      </c>
      <c r="W23">
        <v>0.23499999999999999</v>
      </c>
    </row>
    <row r="24" spans="1:23" x14ac:dyDescent="0.3">
      <c r="A24" t="s">
        <v>805</v>
      </c>
      <c r="B24" s="1">
        <v>45212</v>
      </c>
      <c r="C24" s="2">
        <v>0.14027777777777778</v>
      </c>
      <c r="D24" t="s">
        <v>826</v>
      </c>
      <c r="E24">
        <v>19</v>
      </c>
      <c r="F24" t="s">
        <v>810</v>
      </c>
      <c r="G24" t="s">
        <v>826</v>
      </c>
      <c r="H24" t="s">
        <v>37</v>
      </c>
      <c r="I24">
        <v>-9.4708620000000003</v>
      </c>
      <c r="J24">
        <v>29.234387999999999</v>
      </c>
      <c r="K24" t="s">
        <v>1500</v>
      </c>
      <c r="L24" t="s">
        <v>1501</v>
      </c>
      <c r="M24" t="s">
        <v>550</v>
      </c>
      <c r="N24" t="s">
        <v>37</v>
      </c>
      <c r="O24" t="s">
        <v>1729</v>
      </c>
      <c r="P24">
        <v>9</v>
      </c>
      <c r="Q24" t="s">
        <v>19</v>
      </c>
      <c r="R24" s="2">
        <v>7.6388888888888886E-3</v>
      </c>
      <c r="S24">
        <v>11</v>
      </c>
      <c r="T24">
        <v>72.36</v>
      </c>
      <c r="U24">
        <v>2</v>
      </c>
      <c r="V24">
        <v>0.45</v>
      </c>
      <c r="W24">
        <v>0.32600000000000001</v>
      </c>
    </row>
    <row r="25" spans="1:23" x14ac:dyDescent="0.3">
      <c r="A25" t="s">
        <v>805</v>
      </c>
      <c r="B25" s="1">
        <v>45212</v>
      </c>
      <c r="C25" s="2">
        <v>0.14027777777777778</v>
      </c>
      <c r="D25" t="s">
        <v>826</v>
      </c>
      <c r="E25">
        <v>19</v>
      </c>
      <c r="F25" t="s">
        <v>810</v>
      </c>
      <c r="G25" t="s">
        <v>826</v>
      </c>
      <c r="H25" t="s">
        <v>37</v>
      </c>
      <c r="I25">
        <v>-9.4708620000000003</v>
      </c>
      <c r="J25">
        <v>29.234387999999999</v>
      </c>
      <c r="K25" t="s">
        <v>1500</v>
      </c>
      <c r="L25" t="s">
        <v>1501</v>
      </c>
      <c r="M25" t="s">
        <v>569</v>
      </c>
      <c r="N25" t="s">
        <v>37</v>
      </c>
      <c r="O25" t="s">
        <v>1730</v>
      </c>
      <c r="P25">
        <v>18</v>
      </c>
      <c r="Q25" t="s">
        <v>19</v>
      </c>
      <c r="R25" s="2">
        <v>0.30972222222222223</v>
      </c>
      <c r="S25">
        <v>446</v>
      </c>
      <c r="T25">
        <v>97.3</v>
      </c>
      <c r="U25">
        <v>5</v>
      </c>
      <c r="V25">
        <v>0.45</v>
      </c>
      <c r="W25">
        <v>0.438</v>
      </c>
    </row>
    <row r="26" spans="1:23" x14ac:dyDescent="0.3">
      <c r="A26" t="s">
        <v>854</v>
      </c>
      <c r="B26" s="1">
        <v>45219</v>
      </c>
      <c r="C26" s="2">
        <v>0.10138888888888889</v>
      </c>
      <c r="D26" t="s">
        <v>888</v>
      </c>
      <c r="E26">
        <v>75</v>
      </c>
      <c r="F26" t="s">
        <v>807</v>
      </c>
      <c r="G26" t="s">
        <v>888</v>
      </c>
      <c r="H26" t="s">
        <v>10</v>
      </c>
      <c r="I26">
        <v>-7.0076900000000002</v>
      </c>
      <c r="J26">
        <v>27.367121999999998</v>
      </c>
      <c r="K26" t="s">
        <v>1500</v>
      </c>
      <c r="L26" t="s">
        <v>1508</v>
      </c>
      <c r="M26" t="s">
        <v>9</v>
      </c>
      <c r="N26" t="s">
        <v>10</v>
      </c>
      <c r="O26" t="s">
        <v>1714</v>
      </c>
      <c r="P26">
        <v>29</v>
      </c>
      <c r="Q26" t="s">
        <v>11</v>
      </c>
      <c r="R26" s="2">
        <v>0.14861111111111111</v>
      </c>
      <c r="S26">
        <v>214</v>
      </c>
      <c r="T26">
        <v>74.7</v>
      </c>
      <c r="U26">
        <v>3</v>
      </c>
      <c r="V26">
        <v>0.45</v>
      </c>
      <c r="W26">
        <v>0.33600000000000002</v>
      </c>
    </row>
    <row r="27" spans="1:23" x14ac:dyDescent="0.3">
      <c r="A27" t="s">
        <v>854</v>
      </c>
      <c r="B27" s="1">
        <v>45219</v>
      </c>
      <c r="C27" s="2">
        <v>0.10138888888888889</v>
      </c>
      <c r="D27" t="s">
        <v>888</v>
      </c>
      <c r="E27">
        <v>75</v>
      </c>
      <c r="F27" t="s">
        <v>807</v>
      </c>
      <c r="G27" t="s">
        <v>888</v>
      </c>
      <c r="H27" t="s">
        <v>10</v>
      </c>
      <c r="I27">
        <v>-7.0076900000000002</v>
      </c>
      <c r="J27">
        <v>27.367121999999998</v>
      </c>
      <c r="K27" t="s">
        <v>1500</v>
      </c>
      <c r="L27" t="s">
        <v>1508</v>
      </c>
      <c r="M27" t="s">
        <v>53</v>
      </c>
      <c r="N27" t="s">
        <v>10</v>
      </c>
      <c r="O27" t="s">
        <v>1731</v>
      </c>
      <c r="P27">
        <v>103</v>
      </c>
      <c r="Q27" t="s">
        <v>14</v>
      </c>
      <c r="R27" s="2">
        <v>7.2916666666666671E-2</v>
      </c>
      <c r="S27">
        <v>105</v>
      </c>
      <c r="T27">
        <v>61.52</v>
      </c>
      <c r="U27">
        <v>3</v>
      </c>
      <c r="V27">
        <v>0.1</v>
      </c>
      <c r="W27">
        <v>6.2E-2</v>
      </c>
    </row>
    <row r="28" spans="1:23" x14ac:dyDescent="0.3">
      <c r="A28" t="s">
        <v>854</v>
      </c>
      <c r="B28" s="1">
        <v>45219</v>
      </c>
      <c r="C28" s="2">
        <v>0.10138888888888889</v>
      </c>
      <c r="D28" t="s">
        <v>888</v>
      </c>
      <c r="E28">
        <v>75</v>
      </c>
      <c r="F28" t="s">
        <v>807</v>
      </c>
      <c r="G28" t="s">
        <v>888</v>
      </c>
      <c r="H28" t="s">
        <v>10</v>
      </c>
      <c r="I28">
        <v>-7.0076900000000002</v>
      </c>
      <c r="J28">
        <v>27.367121999999998</v>
      </c>
      <c r="K28" t="s">
        <v>1500</v>
      </c>
      <c r="L28" t="s">
        <v>1508</v>
      </c>
      <c r="M28" t="s">
        <v>79</v>
      </c>
      <c r="N28" t="s">
        <v>10</v>
      </c>
      <c r="O28" t="s">
        <v>1722</v>
      </c>
      <c r="P28">
        <v>16</v>
      </c>
      <c r="Q28" t="s">
        <v>19</v>
      </c>
      <c r="R28" s="2">
        <v>2.9861111111111113E-2</v>
      </c>
      <c r="S28">
        <v>43</v>
      </c>
      <c r="T28">
        <v>56.48</v>
      </c>
      <c r="U28">
        <v>0</v>
      </c>
      <c r="V28">
        <v>0.45</v>
      </c>
      <c r="W28">
        <v>0.254</v>
      </c>
    </row>
    <row r="29" spans="1:23" x14ac:dyDescent="0.3">
      <c r="A29" t="s">
        <v>854</v>
      </c>
      <c r="B29" s="1">
        <v>45219</v>
      </c>
      <c r="C29" s="2">
        <v>0.10138888888888889</v>
      </c>
      <c r="D29" t="s">
        <v>888</v>
      </c>
      <c r="E29">
        <v>75</v>
      </c>
      <c r="F29" t="s">
        <v>807</v>
      </c>
      <c r="G29" t="s">
        <v>888</v>
      </c>
      <c r="H29" t="s">
        <v>10</v>
      </c>
      <c r="I29">
        <v>-7.0076900000000002</v>
      </c>
      <c r="J29">
        <v>27.367121999999998</v>
      </c>
      <c r="K29" t="s">
        <v>1500</v>
      </c>
      <c r="L29" t="s">
        <v>1508</v>
      </c>
      <c r="M29" t="s">
        <v>107</v>
      </c>
      <c r="N29" t="s">
        <v>10</v>
      </c>
      <c r="O29" t="s">
        <v>1732</v>
      </c>
      <c r="P29">
        <v>44</v>
      </c>
      <c r="Q29" t="s">
        <v>14</v>
      </c>
      <c r="R29" s="2">
        <v>9.5138888888888884E-2</v>
      </c>
      <c r="S29">
        <v>137</v>
      </c>
      <c r="T29">
        <v>32.58</v>
      </c>
      <c r="U29">
        <v>0</v>
      </c>
      <c r="V29">
        <v>0.1</v>
      </c>
      <c r="W29">
        <v>3.3000000000000002E-2</v>
      </c>
    </row>
    <row r="30" spans="1:23" x14ac:dyDescent="0.3">
      <c r="A30" t="s">
        <v>854</v>
      </c>
      <c r="B30" s="1">
        <v>45219</v>
      </c>
      <c r="C30" s="2">
        <v>0.10138888888888889</v>
      </c>
      <c r="D30" t="s">
        <v>888</v>
      </c>
      <c r="E30">
        <v>75</v>
      </c>
      <c r="F30" t="s">
        <v>807</v>
      </c>
      <c r="G30" t="s">
        <v>888</v>
      </c>
      <c r="H30" t="s">
        <v>10</v>
      </c>
      <c r="I30">
        <v>-7.0076900000000002</v>
      </c>
      <c r="J30">
        <v>27.367121999999998</v>
      </c>
      <c r="K30" t="s">
        <v>1500</v>
      </c>
      <c r="L30" t="s">
        <v>1508</v>
      </c>
      <c r="M30" t="s">
        <v>121</v>
      </c>
      <c r="N30" t="s">
        <v>10</v>
      </c>
      <c r="O30" t="s">
        <v>1733</v>
      </c>
      <c r="P30">
        <v>74</v>
      </c>
      <c r="Q30" t="s">
        <v>22</v>
      </c>
      <c r="R30" s="2">
        <v>6.2500000000000003E-3</v>
      </c>
      <c r="S30">
        <v>9</v>
      </c>
      <c r="T30">
        <v>99.89</v>
      </c>
      <c r="U30">
        <v>0</v>
      </c>
      <c r="V30">
        <v>0.45</v>
      </c>
      <c r="W30">
        <v>0.45</v>
      </c>
    </row>
    <row r="31" spans="1:23" x14ac:dyDescent="0.3">
      <c r="A31" t="s">
        <v>854</v>
      </c>
      <c r="B31" s="1">
        <v>45219</v>
      </c>
      <c r="C31" s="2">
        <v>0.10138888888888889</v>
      </c>
      <c r="D31" t="s">
        <v>888</v>
      </c>
      <c r="E31">
        <v>75</v>
      </c>
      <c r="F31" t="s">
        <v>807</v>
      </c>
      <c r="G31" t="s">
        <v>888</v>
      </c>
      <c r="H31" t="s">
        <v>10</v>
      </c>
      <c r="I31">
        <v>-7.0076900000000002</v>
      </c>
      <c r="J31">
        <v>27.367121999999998</v>
      </c>
      <c r="K31" t="s">
        <v>1500</v>
      </c>
      <c r="L31" t="s">
        <v>1508</v>
      </c>
      <c r="M31" t="s">
        <v>192</v>
      </c>
      <c r="N31" t="s">
        <v>10</v>
      </c>
      <c r="O31" t="s">
        <v>1734</v>
      </c>
      <c r="P31">
        <v>113</v>
      </c>
      <c r="Q31" t="s">
        <v>11</v>
      </c>
      <c r="R31" s="2">
        <v>0.14374999999999999</v>
      </c>
      <c r="S31">
        <v>207</v>
      </c>
      <c r="T31">
        <v>21.55</v>
      </c>
      <c r="U31">
        <v>0</v>
      </c>
      <c r="V31">
        <v>0.45</v>
      </c>
      <c r="W31">
        <v>9.7000000000000003E-2</v>
      </c>
    </row>
    <row r="32" spans="1:23" x14ac:dyDescent="0.3">
      <c r="A32" t="s">
        <v>854</v>
      </c>
      <c r="B32" s="1">
        <v>45219</v>
      </c>
      <c r="C32" s="2">
        <v>0.10138888888888889</v>
      </c>
      <c r="D32" t="s">
        <v>888</v>
      </c>
      <c r="E32">
        <v>75</v>
      </c>
      <c r="F32" t="s">
        <v>807</v>
      </c>
      <c r="G32" t="s">
        <v>888</v>
      </c>
      <c r="H32" t="s">
        <v>10</v>
      </c>
      <c r="I32">
        <v>-7.0076900000000002</v>
      </c>
      <c r="J32">
        <v>27.367121999999998</v>
      </c>
      <c r="K32" t="s">
        <v>1500</v>
      </c>
      <c r="L32" t="s">
        <v>1508</v>
      </c>
      <c r="M32" t="s">
        <v>207</v>
      </c>
      <c r="N32" t="s">
        <v>10</v>
      </c>
      <c r="O32" t="s">
        <v>1725</v>
      </c>
      <c r="P32">
        <v>92</v>
      </c>
      <c r="Q32" t="s">
        <v>11</v>
      </c>
      <c r="R32" s="2">
        <v>8.0555555555555561E-2</v>
      </c>
      <c r="S32">
        <v>116</v>
      </c>
      <c r="T32">
        <v>23.83</v>
      </c>
      <c r="U32">
        <v>3</v>
      </c>
      <c r="V32">
        <v>0.45</v>
      </c>
      <c r="W32">
        <v>0.107</v>
      </c>
    </row>
    <row r="33" spans="1:23" x14ac:dyDescent="0.3">
      <c r="A33" t="s">
        <v>854</v>
      </c>
      <c r="B33" s="1">
        <v>45219</v>
      </c>
      <c r="C33" s="2">
        <v>0.10138888888888889</v>
      </c>
      <c r="D33" t="s">
        <v>888</v>
      </c>
      <c r="E33">
        <v>75</v>
      </c>
      <c r="F33" t="s">
        <v>807</v>
      </c>
      <c r="G33" t="s">
        <v>888</v>
      </c>
      <c r="H33" t="s">
        <v>10</v>
      </c>
      <c r="I33">
        <v>-7.0076900000000002</v>
      </c>
      <c r="J33">
        <v>27.367121999999998</v>
      </c>
      <c r="K33" t="s">
        <v>1500</v>
      </c>
      <c r="L33" t="s">
        <v>1508</v>
      </c>
      <c r="M33" t="s">
        <v>247</v>
      </c>
      <c r="N33" t="s">
        <v>10</v>
      </c>
      <c r="O33" t="s">
        <v>1735</v>
      </c>
      <c r="P33">
        <v>10</v>
      </c>
      <c r="Q33" t="s">
        <v>19</v>
      </c>
      <c r="R33" s="2">
        <v>0.11458333333333333</v>
      </c>
      <c r="S33">
        <v>165</v>
      </c>
      <c r="T33">
        <v>38.619999999999997</v>
      </c>
      <c r="U33">
        <v>2</v>
      </c>
      <c r="V33">
        <v>0.45</v>
      </c>
      <c r="W33">
        <v>0.17399999999999999</v>
      </c>
    </row>
    <row r="34" spans="1:23" x14ac:dyDescent="0.3">
      <c r="A34" t="s">
        <v>854</v>
      </c>
      <c r="B34" s="1">
        <v>45219</v>
      </c>
      <c r="C34" s="2">
        <v>0.10138888888888889</v>
      </c>
      <c r="D34" t="s">
        <v>888</v>
      </c>
      <c r="E34">
        <v>75</v>
      </c>
      <c r="F34" t="s">
        <v>807</v>
      </c>
      <c r="G34" t="s">
        <v>888</v>
      </c>
      <c r="H34" t="s">
        <v>10</v>
      </c>
      <c r="I34">
        <v>-7.0076900000000002</v>
      </c>
      <c r="J34">
        <v>27.367121999999998</v>
      </c>
      <c r="K34" t="s">
        <v>1500</v>
      </c>
      <c r="L34" t="s">
        <v>1508</v>
      </c>
      <c r="M34" t="s">
        <v>252</v>
      </c>
      <c r="N34" t="s">
        <v>10</v>
      </c>
      <c r="O34" t="s">
        <v>1736</v>
      </c>
      <c r="P34">
        <v>60</v>
      </c>
      <c r="Q34" t="s">
        <v>22</v>
      </c>
      <c r="R34" s="2">
        <v>0.11180555555555556</v>
      </c>
      <c r="S34">
        <v>161</v>
      </c>
      <c r="T34">
        <v>62.65</v>
      </c>
      <c r="U34">
        <v>0</v>
      </c>
      <c r="V34">
        <v>0.45</v>
      </c>
      <c r="W34">
        <v>0.28199999999999997</v>
      </c>
    </row>
    <row r="35" spans="1:23" x14ac:dyDescent="0.3">
      <c r="A35" t="s">
        <v>854</v>
      </c>
      <c r="B35" s="1">
        <v>45219</v>
      </c>
      <c r="C35" s="2">
        <v>0.10138888888888889</v>
      </c>
      <c r="D35" t="s">
        <v>888</v>
      </c>
      <c r="E35">
        <v>75</v>
      </c>
      <c r="F35" t="s">
        <v>807</v>
      </c>
      <c r="G35" t="s">
        <v>888</v>
      </c>
      <c r="H35" t="s">
        <v>10</v>
      </c>
      <c r="I35">
        <v>-7.0076900000000002</v>
      </c>
      <c r="J35">
        <v>27.367121999999998</v>
      </c>
      <c r="K35" t="s">
        <v>1500</v>
      </c>
      <c r="L35" t="s">
        <v>1508</v>
      </c>
      <c r="M35" t="s">
        <v>276</v>
      </c>
      <c r="N35" t="s">
        <v>10</v>
      </c>
      <c r="O35" t="s">
        <v>1720</v>
      </c>
      <c r="P35">
        <v>85</v>
      </c>
      <c r="Q35" t="s">
        <v>11</v>
      </c>
      <c r="R35" s="2">
        <v>0.19027777777777777</v>
      </c>
      <c r="S35">
        <v>274</v>
      </c>
      <c r="T35">
        <v>35.03</v>
      </c>
      <c r="U35">
        <v>1</v>
      </c>
      <c r="V35">
        <v>0.45</v>
      </c>
      <c r="W35">
        <v>0.158</v>
      </c>
    </row>
    <row r="36" spans="1:23" x14ac:dyDescent="0.3">
      <c r="A36" t="s">
        <v>854</v>
      </c>
      <c r="B36" s="1">
        <v>45219</v>
      </c>
      <c r="C36" s="2">
        <v>0.10138888888888889</v>
      </c>
      <c r="D36" t="s">
        <v>888</v>
      </c>
      <c r="E36">
        <v>75</v>
      </c>
      <c r="F36" t="s">
        <v>807</v>
      </c>
      <c r="G36" t="s">
        <v>888</v>
      </c>
      <c r="H36" t="s">
        <v>10</v>
      </c>
      <c r="I36">
        <v>-7.0076900000000002</v>
      </c>
      <c r="J36">
        <v>27.367121999999998</v>
      </c>
      <c r="K36" t="s">
        <v>1500</v>
      </c>
      <c r="L36" t="s">
        <v>1508</v>
      </c>
      <c r="M36" t="s">
        <v>288</v>
      </c>
      <c r="N36" t="s">
        <v>10</v>
      </c>
      <c r="O36" t="s">
        <v>1737</v>
      </c>
      <c r="P36">
        <v>3</v>
      </c>
      <c r="Q36" t="s">
        <v>22</v>
      </c>
      <c r="R36" s="2">
        <v>0.24722222222222223</v>
      </c>
      <c r="S36">
        <v>356</v>
      </c>
      <c r="T36">
        <v>91.6</v>
      </c>
      <c r="U36">
        <v>3</v>
      </c>
      <c r="V36">
        <v>0.45</v>
      </c>
      <c r="W36">
        <v>0.41199999999999998</v>
      </c>
    </row>
    <row r="37" spans="1:23" x14ac:dyDescent="0.3">
      <c r="A37" t="s">
        <v>854</v>
      </c>
      <c r="B37" s="1">
        <v>45219</v>
      </c>
      <c r="C37" s="2">
        <v>0.10138888888888889</v>
      </c>
      <c r="D37" t="s">
        <v>888</v>
      </c>
      <c r="E37">
        <v>75</v>
      </c>
      <c r="F37" t="s">
        <v>807</v>
      </c>
      <c r="G37" t="s">
        <v>888</v>
      </c>
      <c r="H37" t="s">
        <v>10</v>
      </c>
      <c r="I37">
        <v>-7.0076900000000002</v>
      </c>
      <c r="J37">
        <v>27.367121999999998</v>
      </c>
      <c r="K37" t="s">
        <v>1500</v>
      </c>
      <c r="L37" t="s">
        <v>1508</v>
      </c>
      <c r="M37" t="s">
        <v>293</v>
      </c>
      <c r="N37" t="s">
        <v>10</v>
      </c>
      <c r="O37" t="s">
        <v>1738</v>
      </c>
      <c r="P37">
        <v>96</v>
      </c>
      <c r="Q37" t="s">
        <v>22</v>
      </c>
      <c r="R37" s="2">
        <v>0.2013888888888889</v>
      </c>
      <c r="S37">
        <v>290</v>
      </c>
      <c r="T37">
        <v>29</v>
      </c>
      <c r="U37">
        <v>3</v>
      </c>
      <c r="V37">
        <v>0.45</v>
      </c>
      <c r="W37">
        <v>0.13</v>
      </c>
    </row>
    <row r="38" spans="1:23" x14ac:dyDescent="0.3">
      <c r="A38" t="s">
        <v>854</v>
      </c>
      <c r="B38" s="1">
        <v>45219</v>
      </c>
      <c r="C38" s="2">
        <v>0.10138888888888889</v>
      </c>
      <c r="D38" t="s">
        <v>888</v>
      </c>
      <c r="E38">
        <v>75</v>
      </c>
      <c r="F38" t="s">
        <v>807</v>
      </c>
      <c r="G38" t="s">
        <v>888</v>
      </c>
      <c r="H38" t="s">
        <v>10</v>
      </c>
      <c r="I38">
        <v>-7.0076900000000002</v>
      </c>
      <c r="J38">
        <v>27.367121999999998</v>
      </c>
      <c r="K38" t="s">
        <v>1500</v>
      </c>
      <c r="L38" t="s">
        <v>1508</v>
      </c>
      <c r="M38" t="s">
        <v>297</v>
      </c>
      <c r="N38" t="s">
        <v>10</v>
      </c>
      <c r="O38" t="s">
        <v>1739</v>
      </c>
      <c r="P38">
        <v>40</v>
      </c>
      <c r="Q38" t="s">
        <v>11</v>
      </c>
      <c r="R38" s="2">
        <v>7.0833333333333331E-2</v>
      </c>
      <c r="S38">
        <v>102</v>
      </c>
      <c r="T38">
        <v>96.59</v>
      </c>
      <c r="U38">
        <v>5</v>
      </c>
      <c r="V38">
        <v>0.45</v>
      </c>
      <c r="W38">
        <v>0.435</v>
      </c>
    </row>
    <row r="39" spans="1:23" x14ac:dyDescent="0.3">
      <c r="A39" t="s">
        <v>854</v>
      </c>
      <c r="B39" s="1">
        <v>45219</v>
      </c>
      <c r="C39" s="2">
        <v>0.10138888888888889</v>
      </c>
      <c r="D39" t="s">
        <v>888</v>
      </c>
      <c r="E39">
        <v>75</v>
      </c>
      <c r="F39" t="s">
        <v>807</v>
      </c>
      <c r="G39" t="s">
        <v>888</v>
      </c>
      <c r="H39" t="s">
        <v>10</v>
      </c>
      <c r="I39">
        <v>-7.0076900000000002</v>
      </c>
      <c r="J39">
        <v>27.367121999999998</v>
      </c>
      <c r="K39" t="s">
        <v>1500</v>
      </c>
      <c r="L39" t="s">
        <v>1508</v>
      </c>
      <c r="M39" t="s">
        <v>304</v>
      </c>
      <c r="N39" t="s">
        <v>10</v>
      </c>
      <c r="O39" t="s">
        <v>1722</v>
      </c>
      <c r="P39">
        <v>16</v>
      </c>
      <c r="Q39" t="s">
        <v>19</v>
      </c>
      <c r="R39" s="2">
        <v>0.32013888888888886</v>
      </c>
      <c r="S39">
        <v>461</v>
      </c>
      <c r="T39">
        <v>38.369999999999997</v>
      </c>
      <c r="U39">
        <v>4</v>
      </c>
      <c r="V39">
        <v>0.45</v>
      </c>
      <c r="W39">
        <v>0.17299999999999999</v>
      </c>
    </row>
    <row r="40" spans="1:23" x14ac:dyDescent="0.3">
      <c r="A40" t="s">
        <v>854</v>
      </c>
      <c r="B40" s="1">
        <v>45219</v>
      </c>
      <c r="C40" s="2">
        <v>0.10138888888888889</v>
      </c>
      <c r="D40" t="s">
        <v>888</v>
      </c>
      <c r="E40">
        <v>75</v>
      </c>
      <c r="F40" t="s">
        <v>807</v>
      </c>
      <c r="G40" t="s">
        <v>888</v>
      </c>
      <c r="H40" t="s">
        <v>10</v>
      </c>
      <c r="I40">
        <v>-7.0076900000000002</v>
      </c>
      <c r="J40">
        <v>27.367121999999998</v>
      </c>
      <c r="K40" t="s">
        <v>1500</v>
      </c>
      <c r="L40" t="s">
        <v>1508</v>
      </c>
      <c r="M40" t="s">
        <v>340</v>
      </c>
      <c r="N40" t="s">
        <v>10</v>
      </c>
      <c r="O40" t="s">
        <v>1740</v>
      </c>
      <c r="P40">
        <v>87</v>
      </c>
      <c r="Q40" t="s">
        <v>19</v>
      </c>
      <c r="R40" s="2">
        <v>1.4583333333333334E-2</v>
      </c>
      <c r="S40">
        <v>21</v>
      </c>
      <c r="T40">
        <v>81.459999999999994</v>
      </c>
      <c r="U40">
        <v>3</v>
      </c>
      <c r="V40">
        <v>0.45</v>
      </c>
      <c r="W40">
        <v>0.36699999999999999</v>
      </c>
    </row>
    <row r="41" spans="1:23" x14ac:dyDescent="0.3">
      <c r="A41" t="s">
        <v>854</v>
      </c>
      <c r="B41" s="1">
        <v>45219</v>
      </c>
      <c r="C41" s="2">
        <v>0.10138888888888889</v>
      </c>
      <c r="D41" t="s">
        <v>888</v>
      </c>
      <c r="E41">
        <v>75</v>
      </c>
      <c r="F41" t="s">
        <v>807</v>
      </c>
      <c r="G41" t="s">
        <v>888</v>
      </c>
      <c r="H41" t="s">
        <v>10</v>
      </c>
      <c r="I41">
        <v>-7.0076900000000002</v>
      </c>
      <c r="J41">
        <v>27.367121999999998</v>
      </c>
      <c r="K41" t="s">
        <v>1500</v>
      </c>
      <c r="L41" t="s">
        <v>1508</v>
      </c>
      <c r="M41" t="s">
        <v>367</v>
      </c>
      <c r="N41" t="s">
        <v>10</v>
      </c>
      <c r="O41" t="s">
        <v>1741</v>
      </c>
      <c r="P41">
        <v>59</v>
      </c>
      <c r="Q41" t="s">
        <v>14</v>
      </c>
      <c r="R41" s="2">
        <v>0.25624999999999998</v>
      </c>
      <c r="S41">
        <v>369</v>
      </c>
      <c r="T41">
        <v>26.64</v>
      </c>
      <c r="U41">
        <v>4</v>
      </c>
      <c r="V41">
        <v>0.1</v>
      </c>
      <c r="W41">
        <v>2.7E-2</v>
      </c>
    </row>
    <row r="42" spans="1:23" x14ac:dyDescent="0.3">
      <c r="A42" t="s">
        <v>854</v>
      </c>
      <c r="B42" s="1">
        <v>45219</v>
      </c>
      <c r="C42" s="2">
        <v>0.10138888888888889</v>
      </c>
      <c r="D42" t="s">
        <v>888</v>
      </c>
      <c r="E42">
        <v>75</v>
      </c>
      <c r="F42" t="s">
        <v>807</v>
      </c>
      <c r="G42" t="s">
        <v>888</v>
      </c>
      <c r="H42" t="s">
        <v>10</v>
      </c>
      <c r="I42">
        <v>-7.0076900000000002</v>
      </c>
      <c r="J42">
        <v>27.367121999999998</v>
      </c>
      <c r="K42" t="s">
        <v>1500</v>
      </c>
      <c r="L42" t="s">
        <v>1508</v>
      </c>
      <c r="M42" t="s">
        <v>403</v>
      </c>
      <c r="N42" t="s">
        <v>10</v>
      </c>
      <c r="O42" t="s">
        <v>1714</v>
      </c>
      <c r="P42">
        <v>29</v>
      </c>
      <c r="Q42" t="s">
        <v>11</v>
      </c>
      <c r="R42" s="2">
        <v>0.24305555555555555</v>
      </c>
      <c r="S42">
        <v>350</v>
      </c>
      <c r="T42">
        <v>84.32</v>
      </c>
      <c r="U42">
        <v>3</v>
      </c>
      <c r="V42">
        <v>0.45</v>
      </c>
      <c r="W42">
        <v>0.379</v>
      </c>
    </row>
    <row r="43" spans="1:23" x14ac:dyDescent="0.3">
      <c r="A43" t="s">
        <v>854</v>
      </c>
      <c r="B43" s="1">
        <v>45219</v>
      </c>
      <c r="C43" s="2">
        <v>0.10138888888888889</v>
      </c>
      <c r="D43" t="s">
        <v>888</v>
      </c>
      <c r="E43">
        <v>75</v>
      </c>
      <c r="F43" t="s">
        <v>807</v>
      </c>
      <c r="G43" t="s">
        <v>888</v>
      </c>
      <c r="H43" t="s">
        <v>10</v>
      </c>
      <c r="I43">
        <v>-7.0076900000000002</v>
      </c>
      <c r="J43">
        <v>27.367121999999998</v>
      </c>
      <c r="K43" t="s">
        <v>1500</v>
      </c>
      <c r="L43" t="s">
        <v>1508</v>
      </c>
      <c r="M43" t="s">
        <v>424</v>
      </c>
      <c r="N43" t="s">
        <v>10</v>
      </c>
      <c r="O43" t="s">
        <v>1742</v>
      </c>
      <c r="P43">
        <v>68</v>
      </c>
      <c r="Q43" t="s">
        <v>19</v>
      </c>
      <c r="R43" s="2">
        <v>0.33819444444444446</v>
      </c>
      <c r="S43">
        <v>487</v>
      </c>
      <c r="T43">
        <v>69.099999999999994</v>
      </c>
      <c r="U43">
        <v>5</v>
      </c>
      <c r="V43">
        <v>0.45</v>
      </c>
      <c r="W43">
        <v>0.311</v>
      </c>
    </row>
    <row r="44" spans="1:23" x14ac:dyDescent="0.3">
      <c r="A44" t="s">
        <v>854</v>
      </c>
      <c r="B44" s="1">
        <v>45219</v>
      </c>
      <c r="C44" s="2">
        <v>0.10138888888888889</v>
      </c>
      <c r="D44" t="s">
        <v>888</v>
      </c>
      <c r="E44">
        <v>75</v>
      </c>
      <c r="F44" t="s">
        <v>807</v>
      </c>
      <c r="G44" t="s">
        <v>888</v>
      </c>
      <c r="H44" t="s">
        <v>10</v>
      </c>
      <c r="I44">
        <v>-7.0076900000000002</v>
      </c>
      <c r="J44">
        <v>27.367121999999998</v>
      </c>
      <c r="K44" t="s">
        <v>1500</v>
      </c>
      <c r="L44" t="s">
        <v>1508</v>
      </c>
      <c r="M44" t="s">
        <v>428</v>
      </c>
      <c r="N44" t="s">
        <v>10</v>
      </c>
      <c r="O44" t="s">
        <v>1743</v>
      </c>
      <c r="P44">
        <v>111</v>
      </c>
      <c r="Q44" t="s">
        <v>19</v>
      </c>
      <c r="R44" s="2">
        <v>0.13472222222222222</v>
      </c>
      <c r="S44">
        <v>194</v>
      </c>
      <c r="T44">
        <v>48.55</v>
      </c>
      <c r="U44">
        <v>2</v>
      </c>
      <c r="V44">
        <v>0.45</v>
      </c>
      <c r="W44">
        <v>0.218</v>
      </c>
    </row>
    <row r="45" spans="1:23" x14ac:dyDescent="0.3">
      <c r="A45" t="s">
        <v>854</v>
      </c>
      <c r="B45" s="1">
        <v>45219</v>
      </c>
      <c r="C45" s="2">
        <v>0.10138888888888889</v>
      </c>
      <c r="D45" t="s">
        <v>888</v>
      </c>
      <c r="E45">
        <v>75</v>
      </c>
      <c r="F45" t="s">
        <v>807</v>
      </c>
      <c r="G45" t="s">
        <v>888</v>
      </c>
      <c r="H45" t="s">
        <v>10</v>
      </c>
      <c r="I45">
        <v>-7.0076900000000002</v>
      </c>
      <c r="J45">
        <v>27.367121999999998</v>
      </c>
      <c r="K45" t="s">
        <v>1500</v>
      </c>
      <c r="L45" t="s">
        <v>1508</v>
      </c>
      <c r="M45" t="s">
        <v>440</v>
      </c>
      <c r="N45" t="s">
        <v>10</v>
      </c>
      <c r="O45" t="s">
        <v>1744</v>
      </c>
      <c r="P45">
        <v>24</v>
      </c>
      <c r="Q45" t="s">
        <v>22</v>
      </c>
      <c r="R45" s="2">
        <v>0.2722222222222222</v>
      </c>
      <c r="S45">
        <v>392</v>
      </c>
      <c r="T45">
        <v>27.06</v>
      </c>
      <c r="U45">
        <v>1</v>
      </c>
      <c r="V45">
        <v>0.45</v>
      </c>
      <c r="W45">
        <v>0.122</v>
      </c>
    </row>
    <row r="46" spans="1:23" x14ac:dyDescent="0.3">
      <c r="A46" t="s">
        <v>854</v>
      </c>
      <c r="B46" s="1">
        <v>45219</v>
      </c>
      <c r="C46" s="2">
        <v>0.10138888888888889</v>
      </c>
      <c r="D46" t="s">
        <v>888</v>
      </c>
      <c r="E46">
        <v>75</v>
      </c>
      <c r="F46" t="s">
        <v>807</v>
      </c>
      <c r="G46" t="s">
        <v>888</v>
      </c>
      <c r="H46" t="s">
        <v>10</v>
      </c>
      <c r="I46">
        <v>-7.0076900000000002</v>
      </c>
      <c r="J46">
        <v>27.367121999999998</v>
      </c>
      <c r="K46" t="s">
        <v>1500</v>
      </c>
      <c r="L46" t="s">
        <v>1508</v>
      </c>
      <c r="M46" t="s">
        <v>450</v>
      </c>
      <c r="N46" t="s">
        <v>10</v>
      </c>
      <c r="O46" t="s">
        <v>1745</v>
      </c>
      <c r="P46">
        <v>47</v>
      </c>
      <c r="Q46" t="s">
        <v>19</v>
      </c>
      <c r="R46" s="2">
        <v>7.7083333333333337E-2</v>
      </c>
      <c r="S46">
        <v>111</v>
      </c>
      <c r="T46">
        <v>95.18</v>
      </c>
      <c r="U46">
        <v>0</v>
      </c>
      <c r="V46">
        <v>0.45</v>
      </c>
      <c r="W46">
        <v>0.42799999999999999</v>
      </c>
    </row>
    <row r="47" spans="1:23" x14ac:dyDescent="0.3">
      <c r="A47" t="s">
        <v>854</v>
      </c>
      <c r="B47" s="1">
        <v>45219</v>
      </c>
      <c r="C47" s="2">
        <v>0.10138888888888889</v>
      </c>
      <c r="D47" t="s">
        <v>888</v>
      </c>
      <c r="E47">
        <v>75</v>
      </c>
      <c r="F47" t="s">
        <v>807</v>
      </c>
      <c r="G47" t="s">
        <v>888</v>
      </c>
      <c r="H47" t="s">
        <v>10</v>
      </c>
      <c r="I47">
        <v>-7.0076900000000002</v>
      </c>
      <c r="J47">
        <v>27.367121999999998</v>
      </c>
      <c r="K47" t="s">
        <v>1500</v>
      </c>
      <c r="L47" t="s">
        <v>1508</v>
      </c>
      <c r="M47" t="s">
        <v>475</v>
      </c>
      <c r="N47" t="s">
        <v>10</v>
      </c>
      <c r="O47" t="s">
        <v>1746</v>
      </c>
      <c r="P47">
        <v>33</v>
      </c>
      <c r="Q47" t="s">
        <v>19</v>
      </c>
      <c r="R47" s="2">
        <v>0.18958333333333333</v>
      </c>
      <c r="S47">
        <v>273</v>
      </c>
      <c r="T47">
        <v>49.8</v>
      </c>
      <c r="U47">
        <v>0</v>
      </c>
      <c r="V47">
        <v>0.45</v>
      </c>
      <c r="W47">
        <v>0.224</v>
      </c>
    </row>
    <row r="48" spans="1:23" x14ac:dyDescent="0.3">
      <c r="A48" t="s">
        <v>854</v>
      </c>
      <c r="B48" s="1">
        <v>45219</v>
      </c>
      <c r="C48" s="2">
        <v>0.10138888888888889</v>
      </c>
      <c r="D48" t="s">
        <v>888</v>
      </c>
      <c r="E48">
        <v>75</v>
      </c>
      <c r="F48" t="s">
        <v>807</v>
      </c>
      <c r="G48" t="s">
        <v>888</v>
      </c>
      <c r="H48" t="s">
        <v>10</v>
      </c>
      <c r="I48">
        <v>-7.0076900000000002</v>
      </c>
      <c r="J48">
        <v>27.367121999999998</v>
      </c>
      <c r="K48" t="s">
        <v>1500</v>
      </c>
      <c r="L48" t="s">
        <v>1508</v>
      </c>
      <c r="M48" t="s">
        <v>482</v>
      </c>
      <c r="N48" t="s">
        <v>10</v>
      </c>
      <c r="O48" t="s">
        <v>1747</v>
      </c>
      <c r="P48">
        <v>86</v>
      </c>
      <c r="Q48" t="s">
        <v>11</v>
      </c>
      <c r="R48" s="2">
        <v>0.31388888888888888</v>
      </c>
      <c r="S48">
        <v>452</v>
      </c>
      <c r="T48">
        <v>75.680000000000007</v>
      </c>
      <c r="U48">
        <v>0</v>
      </c>
      <c r="V48">
        <v>0.45</v>
      </c>
      <c r="W48">
        <v>0.34100000000000003</v>
      </c>
    </row>
    <row r="49" spans="1:23" x14ac:dyDescent="0.3">
      <c r="A49" t="s">
        <v>854</v>
      </c>
      <c r="B49" s="1">
        <v>45219</v>
      </c>
      <c r="C49" s="2">
        <v>0.10138888888888889</v>
      </c>
      <c r="D49" t="s">
        <v>888</v>
      </c>
      <c r="E49">
        <v>75</v>
      </c>
      <c r="F49" t="s">
        <v>807</v>
      </c>
      <c r="G49" t="s">
        <v>888</v>
      </c>
      <c r="H49" t="s">
        <v>10</v>
      </c>
      <c r="I49">
        <v>-7.0076900000000002</v>
      </c>
      <c r="J49">
        <v>27.367121999999998</v>
      </c>
      <c r="K49" t="s">
        <v>1500</v>
      </c>
      <c r="L49" t="s">
        <v>1508</v>
      </c>
      <c r="M49" t="s">
        <v>490</v>
      </c>
      <c r="N49" t="s">
        <v>10</v>
      </c>
      <c r="O49" t="s">
        <v>1745</v>
      </c>
      <c r="P49">
        <v>47</v>
      </c>
      <c r="Q49" t="s">
        <v>14</v>
      </c>
      <c r="R49" s="2">
        <v>0.22777777777777777</v>
      </c>
      <c r="S49">
        <v>328</v>
      </c>
      <c r="T49">
        <v>61.27</v>
      </c>
      <c r="U49">
        <v>3</v>
      </c>
      <c r="V49">
        <v>0.1</v>
      </c>
      <c r="W49">
        <v>6.0999999999999999E-2</v>
      </c>
    </row>
    <row r="50" spans="1:23" x14ac:dyDescent="0.3">
      <c r="A50" t="s">
        <v>854</v>
      </c>
      <c r="B50" s="1">
        <v>45219</v>
      </c>
      <c r="C50" s="2">
        <v>0.10138888888888889</v>
      </c>
      <c r="D50" t="s">
        <v>888</v>
      </c>
      <c r="E50">
        <v>75</v>
      </c>
      <c r="F50" t="s">
        <v>807</v>
      </c>
      <c r="G50" t="s">
        <v>888</v>
      </c>
      <c r="H50" t="s">
        <v>10</v>
      </c>
      <c r="I50">
        <v>-7.0076900000000002</v>
      </c>
      <c r="J50">
        <v>27.367121999999998</v>
      </c>
      <c r="K50" t="s">
        <v>1500</v>
      </c>
      <c r="L50" t="s">
        <v>1508</v>
      </c>
      <c r="M50" t="s">
        <v>494</v>
      </c>
      <c r="N50" t="s">
        <v>10</v>
      </c>
      <c r="O50" t="s">
        <v>1738</v>
      </c>
      <c r="P50">
        <v>96</v>
      </c>
      <c r="Q50" t="s">
        <v>11</v>
      </c>
      <c r="R50" s="2">
        <v>0.18958333333333333</v>
      </c>
      <c r="S50">
        <v>273</v>
      </c>
      <c r="T50">
        <v>37.909999999999997</v>
      </c>
      <c r="U50">
        <v>2</v>
      </c>
      <c r="V50">
        <v>0.45</v>
      </c>
      <c r="W50">
        <v>0.17100000000000001</v>
      </c>
    </row>
    <row r="51" spans="1:23" x14ac:dyDescent="0.3">
      <c r="A51" t="s">
        <v>854</v>
      </c>
      <c r="B51" s="1">
        <v>45219</v>
      </c>
      <c r="C51" s="2">
        <v>0.10138888888888889</v>
      </c>
      <c r="D51" t="s">
        <v>888</v>
      </c>
      <c r="E51">
        <v>75</v>
      </c>
      <c r="F51" t="s">
        <v>807</v>
      </c>
      <c r="G51" t="s">
        <v>888</v>
      </c>
      <c r="H51" t="s">
        <v>10</v>
      </c>
      <c r="I51">
        <v>-7.0076900000000002</v>
      </c>
      <c r="J51">
        <v>27.367121999999998</v>
      </c>
      <c r="K51" t="s">
        <v>1500</v>
      </c>
      <c r="L51" t="s">
        <v>1508</v>
      </c>
      <c r="M51" t="s">
        <v>509</v>
      </c>
      <c r="N51" t="s">
        <v>10</v>
      </c>
      <c r="O51" t="s">
        <v>1748</v>
      </c>
      <c r="P51">
        <v>45</v>
      </c>
      <c r="Q51" t="s">
        <v>11</v>
      </c>
      <c r="R51" s="2">
        <v>0.16944444444444445</v>
      </c>
      <c r="S51">
        <v>244</v>
      </c>
      <c r="T51">
        <v>55.17</v>
      </c>
      <c r="U51">
        <v>2</v>
      </c>
      <c r="V51">
        <v>0.45</v>
      </c>
      <c r="W51">
        <v>0.248</v>
      </c>
    </row>
    <row r="52" spans="1:23" x14ac:dyDescent="0.3">
      <c r="A52" t="s">
        <v>854</v>
      </c>
      <c r="B52" s="1">
        <v>45219</v>
      </c>
      <c r="C52" s="2">
        <v>0.10138888888888889</v>
      </c>
      <c r="D52" t="s">
        <v>888</v>
      </c>
      <c r="E52">
        <v>75</v>
      </c>
      <c r="F52" t="s">
        <v>807</v>
      </c>
      <c r="G52" t="s">
        <v>888</v>
      </c>
      <c r="H52" t="s">
        <v>10</v>
      </c>
      <c r="I52">
        <v>-7.0076900000000002</v>
      </c>
      <c r="J52">
        <v>27.367121999999998</v>
      </c>
      <c r="K52" t="s">
        <v>1500</v>
      </c>
      <c r="L52" t="s">
        <v>1508</v>
      </c>
      <c r="M52" t="s">
        <v>515</v>
      </c>
      <c r="N52" t="s">
        <v>10</v>
      </c>
      <c r="O52" t="s">
        <v>1720</v>
      </c>
      <c r="P52">
        <v>85</v>
      </c>
      <c r="Q52" t="s">
        <v>14</v>
      </c>
      <c r="R52" s="2">
        <v>5.2083333333333336E-2</v>
      </c>
      <c r="S52">
        <v>75</v>
      </c>
      <c r="T52">
        <v>98.01</v>
      </c>
      <c r="U52">
        <v>1</v>
      </c>
      <c r="V52">
        <v>0.1</v>
      </c>
      <c r="W52">
        <v>9.8000000000000004E-2</v>
      </c>
    </row>
    <row r="53" spans="1:23" x14ac:dyDescent="0.3">
      <c r="A53" t="s">
        <v>854</v>
      </c>
      <c r="B53" s="1">
        <v>45219</v>
      </c>
      <c r="C53" s="2">
        <v>0.10138888888888889</v>
      </c>
      <c r="D53" t="s">
        <v>888</v>
      </c>
      <c r="E53">
        <v>75</v>
      </c>
      <c r="F53" t="s">
        <v>807</v>
      </c>
      <c r="G53" t="s">
        <v>888</v>
      </c>
      <c r="H53" t="s">
        <v>10</v>
      </c>
      <c r="I53">
        <v>-7.0076900000000002</v>
      </c>
      <c r="J53">
        <v>27.367121999999998</v>
      </c>
      <c r="K53" t="s">
        <v>1500</v>
      </c>
      <c r="L53" t="s">
        <v>1508</v>
      </c>
      <c r="M53" t="s">
        <v>544</v>
      </c>
      <c r="N53" t="s">
        <v>10</v>
      </c>
      <c r="O53" t="s">
        <v>1712</v>
      </c>
      <c r="P53">
        <v>55</v>
      </c>
      <c r="Q53" t="s">
        <v>19</v>
      </c>
      <c r="R53" s="2">
        <v>0.24652777777777779</v>
      </c>
      <c r="S53">
        <v>355</v>
      </c>
      <c r="T53">
        <v>59.65</v>
      </c>
      <c r="U53">
        <v>0</v>
      </c>
      <c r="V53">
        <v>0.45</v>
      </c>
      <c r="W53">
        <v>0.26800000000000002</v>
      </c>
    </row>
    <row r="54" spans="1:23" x14ac:dyDescent="0.3">
      <c r="A54" t="s">
        <v>854</v>
      </c>
      <c r="B54" s="1">
        <v>45219</v>
      </c>
      <c r="C54" s="2">
        <v>0.10138888888888889</v>
      </c>
      <c r="D54" t="s">
        <v>888</v>
      </c>
      <c r="E54">
        <v>75</v>
      </c>
      <c r="F54" t="s">
        <v>807</v>
      </c>
      <c r="G54" t="s">
        <v>888</v>
      </c>
      <c r="H54" t="s">
        <v>10</v>
      </c>
      <c r="I54">
        <v>-7.0076900000000002</v>
      </c>
      <c r="J54">
        <v>27.367121999999998</v>
      </c>
      <c r="K54" t="s">
        <v>1500</v>
      </c>
      <c r="L54" t="s">
        <v>1508</v>
      </c>
      <c r="M54" t="s">
        <v>567</v>
      </c>
      <c r="N54" t="s">
        <v>10</v>
      </c>
      <c r="O54" t="s">
        <v>1749</v>
      </c>
      <c r="P54">
        <v>84</v>
      </c>
      <c r="Q54" t="s">
        <v>19</v>
      </c>
      <c r="R54" s="2">
        <v>0.25277777777777777</v>
      </c>
      <c r="S54">
        <v>364</v>
      </c>
      <c r="T54">
        <v>87.79</v>
      </c>
      <c r="U54">
        <v>3</v>
      </c>
      <c r="V54">
        <v>0.45</v>
      </c>
      <c r="W54">
        <v>0.39500000000000002</v>
      </c>
    </row>
    <row r="55" spans="1:23" x14ac:dyDescent="0.3">
      <c r="A55" t="s">
        <v>805</v>
      </c>
      <c r="B55" s="1">
        <v>45213</v>
      </c>
      <c r="C55" s="2">
        <v>4.2361111111111113E-2</v>
      </c>
      <c r="D55" t="s">
        <v>814</v>
      </c>
      <c r="E55">
        <v>119</v>
      </c>
      <c r="F55" t="s">
        <v>810</v>
      </c>
      <c r="G55" t="s">
        <v>814</v>
      </c>
      <c r="H55" t="s">
        <v>62</v>
      </c>
      <c r="I55">
        <v>-2.8211520000000001</v>
      </c>
      <c r="J55">
        <v>20.651419000000001</v>
      </c>
      <c r="K55" t="s">
        <v>1495</v>
      </c>
      <c r="L55" t="s">
        <v>1496</v>
      </c>
      <c r="M55" t="s">
        <v>61</v>
      </c>
      <c r="N55" t="s">
        <v>62</v>
      </c>
      <c r="O55" t="s">
        <v>1750</v>
      </c>
      <c r="P55">
        <v>101</v>
      </c>
      <c r="Q55" t="s">
        <v>14</v>
      </c>
      <c r="R55" s="2">
        <v>0.23125000000000001</v>
      </c>
      <c r="S55">
        <v>333</v>
      </c>
      <c r="T55">
        <v>74.319999999999993</v>
      </c>
      <c r="U55">
        <v>1</v>
      </c>
      <c r="V55">
        <v>0.1</v>
      </c>
      <c r="W55">
        <v>7.3999999999999996E-2</v>
      </c>
    </row>
    <row r="56" spans="1:23" x14ac:dyDescent="0.3">
      <c r="A56" t="s">
        <v>805</v>
      </c>
      <c r="B56" s="1">
        <v>45213</v>
      </c>
      <c r="C56" s="2">
        <v>4.2361111111111113E-2</v>
      </c>
      <c r="D56" t="s">
        <v>814</v>
      </c>
      <c r="E56">
        <v>119</v>
      </c>
      <c r="F56" t="s">
        <v>810</v>
      </c>
      <c r="G56" t="s">
        <v>814</v>
      </c>
      <c r="H56" t="s">
        <v>62</v>
      </c>
      <c r="I56">
        <v>-2.8211520000000001</v>
      </c>
      <c r="J56">
        <v>20.651419000000001</v>
      </c>
      <c r="K56" t="s">
        <v>1495</v>
      </c>
      <c r="L56" t="s">
        <v>1496</v>
      </c>
      <c r="M56" t="s">
        <v>74</v>
      </c>
      <c r="N56" t="s">
        <v>62</v>
      </c>
      <c r="O56" t="s">
        <v>1751</v>
      </c>
      <c r="P56">
        <v>65</v>
      </c>
      <c r="Q56" t="s">
        <v>11</v>
      </c>
      <c r="R56" s="2">
        <v>0.27569444444444446</v>
      </c>
      <c r="S56">
        <v>397</v>
      </c>
      <c r="T56">
        <v>22.6</v>
      </c>
      <c r="U56">
        <v>5</v>
      </c>
      <c r="V56">
        <v>0.45</v>
      </c>
      <c r="W56">
        <v>0.10199999999999999</v>
      </c>
    </row>
    <row r="57" spans="1:23" x14ac:dyDescent="0.3">
      <c r="A57" t="s">
        <v>805</v>
      </c>
      <c r="B57" s="1">
        <v>45213</v>
      </c>
      <c r="C57" s="2">
        <v>4.2361111111111113E-2</v>
      </c>
      <c r="D57" t="s">
        <v>814</v>
      </c>
      <c r="E57">
        <v>119</v>
      </c>
      <c r="F57" t="s">
        <v>810</v>
      </c>
      <c r="G57" t="s">
        <v>814</v>
      </c>
      <c r="H57" t="s">
        <v>62</v>
      </c>
      <c r="I57">
        <v>-2.8211520000000001</v>
      </c>
      <c r="J57">
        <v>20.651419000000001</v>
      </c>
      <c r="K57" t="s">
        <v>1495</v>
      </c>
      <c r="L57" t="s">
        <v>1496</v>
      </c>
      <c r="M57" t="s">
        <v>91</v>
      </c>
      <c r="N57" t="s">
        <v>62</v>
      </c>
      <c r="O57" t="s">
        <v>1747</v>
      </c>
      <c r="P57">
        <v>86</v>
      </c>
      <c r="Q57" t="s">
        <v>19</v>
      </c>
      <c r="R57" s="2">
        <v>0.31944444444444442</v>
      </c>
      <c r="S57">
        <v>460</v>
      </c>
      <c r="T57">
        <v>22.81</v>
      </c>
      <c r="U57">
        <v>4</v>
      </c>
      <c r="V57">
        <v>0.45</v>
      </c>
      <c r="W57">
        <v>0.10299999999999999</v>
      </c>
    </row>
    <row r="58" spans="1:23" x14ac:dyDescent="0.3">
      <c r="A58" t="s">
        <v>805</v>
      </c>
      <c r="B58" s="1">
        <v>45213</v>
      </c>
      <c r="C58" s="2">
        <v>4.2361111111111113E-2</v>
      </c>
      <c r="D58" t="s">
        <v>814</v>
      </c>
      <c r="E58">
        <v>119</v>
      </c>
      <c r="F58" t="s">
        <v>810</v>
      </c>
      <c r="G58" t="s">
        <v>814</v>
      </c>
      <c r="H58" t="s">
        <v>62</v>
      </c>
      <c r="I58">
        <v>-2.8211520000000001</v>
      </c>
      <c r="J58">
        <v>20.651419000000001</v>
      </c>
      <c r="K58" t="s">
        <v>1495</v>
      </c>
      <c r="L58" t="s">
        <v>1496</v>
      </c>
      <c r="M58" t="s">
        <v>108</v>
      </c>
      <c r="N58" t="s">
        <v>62</v>
      </c>
      <c r="O58" t="s">
        <v>1752</v>
      </c>
      <c r="P58">
        <v>70</v>
      </c>
      <c r="Q58" t="s">
        <v>19</v>
      </c>
      <c r="R58" s="2">
        <v>2.1527777777777778E-2</v>
      </c>
      <c r="S58">
        <v>31</v>
      </c>
      <c r="T58">
        <v>71.2</v>
      </c>
      <c r="U58">
        <v>4</v>
      </c>
      <c r="V58">
        <v>0.45</v>
      </c>
      <c r="W58">
        <v>0.32</v>
      </c>
    </row>
    <row r="59" spans="1:23" x14ac:dyDescent="0.3">
      <c r="A59" t="s">
        <v>805</v>
      </c>
      <c r="B59" s="1">
        <v>45213</v>
      </c>
      <c r="C59" s="2">
        <v>4.2361111111111113E-2</v>
      </c>
      <c r="D59" t="s">
        <v>814</v>
      </c>
      <c r="E59">
        <v>119</v>
      </c>
      <c r="F59" t="s">
        <v>810</v>
      </c>
      <c r="G59" t="s">
        <v>814</v>
      </c>
      <c r="H59" t="s">
        <v>62</v>
      </c>
      <c r="I59">
        <v>-2.8211520000000001</v>
      </c>
      <c r="J59">
        <v>20.651419000000001</v>
      </c>
      <c r="K59" t="s">
        <v>1495</v>
      </c>
      <c r="L59" t="s">
        <v>1496</v>
      </c>
      <c r="M59" t="s">
        <v>120</v>
      </c>
      <c r="N59" t="s">
        <v>62</v>
      </c>
      <c r="O59" t="s">
        <v>1753</v>
      </c>
      <c r="P59">
        <v>4</v>
      </c>
      <c r="Q59" t="s">
        <v>19</v>
      </c>
      <c r="R59" s="2">
        <v>0.31458333333333333</v>
      </c>
      <c r="S59">
        <v>453</v>
      </c>
      <c r="T59">
        <v>75.260000000000005</v>
      </c>
      <c r="U59">
        <v>5</v>
      </c>
      <c r="V59">
        <v>0.45</v>
      </c>
      <c r="W59">
        <v>0.33900000000000002</v>
      </c>
    </row>
    <row r="60" spans="1:23" x14ac:dyDescent="0.3">
      <c r="A60" t="s">
        <v>805</v>
      </c>
      <c r="B60" s="1">
        <v>45213</v>
      </c>
      <c r="C60" s="2">
        <v>4.2361111111111113E-2</v>
      </c>
      <c r="D60" t="s">
        <v>814</v>
      </c>
      <c r="E60">
        <v>119</v>
      </c>
      <c r="F60" t="s">
        <v>810</v>
      </c>
      <c r="G60" t="s">
        <v>814</v>
      </c>
      <c r="H60" t="s">
        <v>62</v>
      </c>
      <c r="I60">
        <v>-2.8211520000000001</v>
      </c>
      <c r="J60">
        <v>20.651419000000001</v>
      </c>
      <c r="K60" t="s">
        <v>1495</v>
      </c>
      <c r="L60" t="s">
        <v>1496</v>
      </c>
      <c r="M60" t="s">
        <v>147</v>
      </c>
      <c r="N60" t="s">
        <v>62</v>
      </c>
      <c r="O60" t="s">
        <v>1754</v>
      </c>
      <c r="P60">
        <v>114</v>
      </c>
      <c r="Q60" t="s">
        <v>11</v>
      </c>
      <c r="R60" s="2">
        <v>0.16111111111111112</v>
      </c>
      <c r="S60">
        <v>232</v>
      </c>
      <c r="T60">
        <v>42.2</v>
      </c>
      <c r="U60">
        <v>2</v>
      </c>
      <c r="V60">
        <v>0.45</v>
      </c>
      <c r="W60">
        <v>0.19</v>
      </c>
    </row>
    <row r="61" spans="1:23" x14ac:dyDescent="0.3">
      <c r="A61" t="s">
        <v>805</v>
      </c>
      <c r="B61" s="1">
        <v>45213</v>
      </c>
      <c r="C61" s="2">
        <v>4.2361111111111113E-2</v>
      </c>
      <c r="D61" t="s">
        <v>814</v>
      </c>
      <c r="E61">
        <v>119</v>
      </c>
      <c r="F61" t="s">
        <v>810</v>
      </c>
      <c r="G61" t="s">
        <v>814</v>
      </c>
      <c r="H61" t="s">
        <v>62</v>
      </c>
      <c r="I61">
        <v>-2.8211520000000001</v>
      </c>
      <c r="J61">
        <v>20.651419000000001</v>
      </c>
      <c r="K61" t="s">
        <v>1495</v>
      </c>
      <c r="L61" t="s">
        <v>1496</v>
      </c>
      <c r="M61" t="s">
        <v>210</v>
      </c>
      <c r="N61" t="s">
        <v>62</v>
      </c>
      <c r="O61" t="s">
        <v>1755</v>
      </c>
      <c r="P61">
        <v>35</v>
      </c>
      <c r="Q61" t="s">
        <v>22</v>
      </c>
      <c r="R61" s="2">
        <v>7.4305555555555555E-2</v>
      </c>
      <c r="S61">
        <v>107</v>
      </c>
      <c r="T61">
        <v>66.69</v>
      </c>
      <c r="U61">
        <v>4</v>
      </c>
      <c r="V61">
        <v>0.45</v>
      </c>
      <c r="W61">
        <v>0.3</v>
      </c>
    </row>
    <row r="62" spans="1:23" x14ac:dyDescent="0.3">
      <c r="A62" t="s">
        <v>805</v>
      </c>
      <c r="B62" s="1">
        <v>45213</v>
      </c>
      <c r="C62" s="2">
        <v>4.2361111111111113E-2</v>
      </c>
      <c r="D62" t="s">
        <v>814</v>
      </c>
      <c r="E62">
        <v>119</v>
      </c>
      <c r="F62" t="s">
        <v>810</v>
      </c>
      <c r="G62" t="s">
        <v>814</v>
      </c>
      <c r="H62" t="s">
        <v>62</v>
      </c>
      <c r="I62">
        <v>-2.8211520000000001</v>
      </c>
      <c r="J62">
        <v>20.651419000000001</v>
      </c>
      <c r="K62" t="s">
        <v>1495</v>
      </c>
      <c r="L62" t="s">
        <v>1496</v>
      </c>
      <c r="M62" t="s">
        <v>221</v>
      </c>
      <c r="N62" t="s">
        <v>62</v>
      </c>
      <c r="O62" t="s">
        <v>1710</v>
      </c>
      <c r="P62">
        <v>115</v>
      </c>
      <c r="Q62" t="s">
        <v>19</v>
      </c>
      <c r="R62" s="2">
        <v>0.16388888888888889</v>
      </c>
      <c r="S62">
        <v>236</v>
      </c>
      <c r="T62">
        <v>50.64</v>
      </c>
      <c r="U62">
        <v>1</v>
      </c>
      <c r="V62">
        <v>0.45</v>
      </c>
      <c r="W62">
        <v>0.22800000000000001</v>
      </c>
    </row>
    <row r="63" spans="1:23" x14ac:dyDescent="0.3">
      <c r="A63" t="s">
        <v>805</v>
      </c>
      <c r="B63" s="1">
        <v>45213</v>
      </c>
      <c r="C63" s="2">
        <v>4.2361111111111113E-2</v>
      </c>
      <c r="D63" t="s">
        <v>814</v>
      </c>
      <c r="E63">
        <v>119</v>
      </c>
      <c r="F63" t="s">
        <v>810</v>
      </c>
      <c r="G63" t="s">
        <v>814</v>
      </c>
      <c r="H63" t="s">
        <v>62</v>
      </c>
      <c r="I63">
        <v>-2.8211520000000001</v>
      </c>
      <c r="J63">
        <v>20.651419000000001</v>
      </c>
      <c r="K63" t="s">
        <v>1495</v>
      </c>
      <c r="L63" t="s">
        <v>1496</v>
      </c>
      <c r="M63" t="s">
        <v>262</v>
      </c>
      <c r="N63" t="s">
        <v>62</v>
      </c>
      <c r="O63" t="s">
        <v>1746</v>
      </c>
      <c r="P63">
        <v>33</v>
      </c>
      <c r="Q63" t="s">
        <v>19</v>
      </c>
      <c r="R63" s="2">
        <v>0.23055555555555557</v>
      </c>
      <c r="S63">
        <v>332</v>
      </c>
      <c r="T63">
        <v>76.41</v>
      </c>
      <c r="U63">
        <v>1</v>
      </c>
      <c r="V63">
        <v>0.45</v>
      </c>
      <c r="W63">
        <v>0.34399999999999997</v>
      </c>
    </row>
    <row r="64" spans="1:23" x14ac:dyDescent="0.3">
      <c r="A64" t="s">
        <v>805</v>
      </c>
      <c r="B64" s="1">
        <v>45213</v>
      </c>
      <c r="C64" s="2">
        <v>4.2361111111111113E-2</v>
      </c>
      <c r="D64" t="s">
        <v>814</v>
      </c>
      <c r="E64">
        <v>119</v>
      </c>
      <c r="F64" t="s">
        <v>810</v>
      </c>
      <c r="G64" t="s">
        <v>814</v>
      </c>
      <c r="H64" t="s">
        <v>62</v>
      </c>
      <c r="I64">
        <v>-2.8211520000000001</v>
      </c>
      <c r="J64">
        <v>20.651419000000001</v>
      </c>
      <c r="K64" t="s">
        <v>1495</v>
      </c>
      <c r="L64" t="s">
        <v>1496</v>
      </c>
      <c r="M64" t="s">
        <v>392</v>
      </c>
      <c r="N64" t="s">
        <v>62</v>
      </c>
      <c r="O64" t="s">
        <v>1756</v>
      </c>
      <c r="P64">
        <v>89</v>
      </c>
      <c r="Q64" t="s">
        <v>22</v>
      </c>
      <c r="R64" s="2">
        <v>0.2902777777777778</v>
      </c>
      <c r="S64">
        <v>418</v>
      </c>
      <c r="T64">
        <v>86.63</v>
      </c>
      <c r="U64">
        <v>4</v>
      </c>
      <c r="V64">
        <v>0.45</v>
      </c>
      <c r="W64">
        <v>0.39</v>
      </c>
    </row>
    <row r="65" spans="1:23" x14ac:dyDescent="0.3">
      <c r="A65" t="s">
        <v>805</v>
      </c>
      <c r="B65" s="1">
        <v>45213</v>
      </c>
      <c r="C65" s="2">
        <v>4.2361111111111113E-2</v>
      </c>
      <c r="D65" t="s">
        <v>814</v>
      </c>
      <c r="E65">
        <v>119</v>
      </c>
      <c r="F65" t="s">
        <v>810</v>
      </c>
      <c r="G65" t="s">
        <v>814</v>
      </c>
      <c r="H65" t="s">
        <v>62</v>
      </c>
      <c r="I65">
        <v>-2.8211520000000001</v>
      </c>
      <c r="J65">
        <v>20.651419000000001</v>
      </c>
      <c r="K65" t="s">
        <v>1495</v>
      </c>
      <c r="L65" t="s">
        <v>1496</v>
      </c>
      <c r="M65" t="s">
        <v>471</v>
      </c>
      <c r="N65" t="s">
        <v>62</v>
      </c>
      <c r="O65" t="s">
        <v>1757</v>
      </c>
      <c r="P65">
        <v>78</v>
      </c>
      <c r="Q65" t="s">
        <v>11</v>
      </c>
      <c r="R65" s="2">
        <v>4.1666666666666664E-2</v>
      </c>
      <c r="S65">
        <v>60</v>
      </c>
      <c r="T65">
        <v>33.159999999999997</v>
      </c>
      <c r="U65">
        <v>5</v>
      </c>
      <c r="V65">
        <v>0.45</v>
      </c>
      <c r="W65">
        <v>0.14899999999999999</v>
      </c>
    </row>
    <row r="66" spans="1:23" x14ac:dyDescent="0.3">
      <c r="A66" t="s">
        <v>805</v>
      </c>
      <c r="B66" s="1">
        <v>45213</v>
      </c>
      <c r="C66" s="2">
        <v>4.2361111111111113E-2</v>
      </c>
      <c r="D66" t="s">
        <v>814</v>
      </c>
      <c r="E66">
        <v>119</v>
      </c>
      <c r="F66" t="s">
        <v>810</v>
      </c>
      <c r="G66" t="s">
        <v>814</v>
      </c>
      <c r="H66" t="s">
        <v>62</v>
      </c>
      <c r="I66">
        <v>-2.8211520000000001</v>
      </c>
      <c r="J66">
        <v>20.651419000000001</v>
      </c>
      <c r="K66" t="s">
        <v>1495</v>
      </c>
      <c r="L66" t="s">
        <v>1496</v>
      </c>
      <c r="M66" t="s">
        <v>480</v>
      </c>
      <c r="N66" t="s">
        <v>62</v>
      </c>
      <c r="O66" t="s">
        <v>1758</v>
      </c>
      <c r="P66">
        <v>15</v>
      </c>
      <c r="Q66" t="s">
        <v>11</v>
      </c>
      <c r="R66" s="2">
        <v>5.2083333333333336E-2</v>
      </c>
      <c r="S66">
        <v>75</v>
      </c>
      <c r="T66">
        <v>45.59</v>
      </c>
      <c r="U66">
        <v>0</v>
      </c>
      <c r="V66">
        <v>0.45</v>
      </c>
      <c r="W66">
        <v>0.20499999999999999</v>
      </c>
    </row>
    <row r="67" spans="1:23" x14ac:dyDescent="0.3">
      <c r="A67" t="s">
        <v>805</v>
      </c>
      <c r="B67" s="1">
        <v>45213</v>
      </c>
      <c r="C67" s="2">
        <v>4.2361111111111113E-2</v>
      </c>
      <c r="D67" t="s">
        <v>814</v>
      </c>
      <c r="E67">
        <v>119</v>
      </c>
      <c r="F67" t="s">
        <v>810</v>
      </c>
      <c r="G67" t="s">
        <v>814</v>
      </c>
      <c r="H67" t="s">
        <v>62</v>
      </c>
      <c r="I67">
        <v>-2.8211520000000001</v>
      </c>
      <c r="J67">
        <v>20.651419000000001</v>
      </c>
      <c r="K67" t="s">
        <v>1495</v>
      </c>
      <c r="L67" t="s">
        <v>1496</v>
      </c>
      <c r="M67" t="s">
        <v>492</v>
      </c>
      <c r="N67" t="s">
        <v>62</v>
      </c>
      <c r="O67" t="s">
        <v>1759</v>
      </c>
      <c r="P67">
        <v>104</v>
      </c>
      <c r="Q67" t="s">
        <v>14</v>
      </c>
      <c r="R67" s="2">
        <v>0.29236111111111113</v>
      </c>
      <c r="S67">
        <v>421</v>
      </c>
      <c r="T67">
        <v>26.24</v>
      </c>
      <c r="U67">
        <v>3</v>
      </c>
      <c r="V67">
        <v>0.1</v>
      </c>
      <c r="W67">
        <v>2.5999999999999999E-2</v>
      </c>
    </row>
    <row r="68" spans="1:23" x14ac:dyDescent="0.3">
      <c r="A68" t="s">
        <v>805</v>
      </c>
      <c r="B68" s="1">
        <v>45213</v>
      </c>
      <c r="C68" s="2">
        <v>4.2361111111111113E-2</v>
      </c>
      <c r="D68" t="s">
        <v>814</v>
      </c>
      <c r="E68">
        <v>119</v>
      </c>
      <c r="F68" t="s">
        <v>810</v>
      </c>
      <c r="G68" t="s">
        <v>814</v>
      </c>
      <c r="H68" t="s">
        <v>62</v>
      </c>
      <c r="I68">
        <v>-2.8211520000000001</v>
      </c>
      <c r="J68">
        <v>20.651419000000001</v>
      </c>
      <c r="K68" t="s">
        <v>1495</v>
      </c>
      <c r="L68" t="s">
        <v>1496</v>
      </c>
      <c r="M68" t="s">
        <v>503</v>
      </c>
      <c r="N68" t="s">
        <v>62</v>
      </c>
      <c r="O68" t="s">
        <v>1747</v>
      </c>
      <c r="P68">
        <v>86</v>
      </c>
      <c r="Q68" t="s">
        <v>11</v>
      </c>
      <c r="R68" s="2">
        <v>1.8749999999999999E-2</v>
      </c>
      <c r="S68">
        <v>27</v>
      </c>
      <c r="T68">
        <v>84.94</v>
      </c>
      <c r="U68">
        <v>4</v>
      </c>
      <c r="V68">
        <v>0.45</v>
      </c>
      <c r="W68">
        <v>0.38200000000000001</v>
      </c>
    </row>
    <row r="69" spans="1:23" x14ac:dyDescent="0.3">
      <c r="A69" t="s">
        <v>805</v>
      </c>
      <c r="B69" s="1">
        <v>45213</v>
      </c>
      <c r="C69" s="2">
        <v>4.2361111111111113E-2</v>
      </c>
      <c r="D69" t="s">
        <v>814</v>
      </c>
      <c r="E69">
        <v>119</v>
      </c>
      <c r="F69" t="s">
        <v>810</v>
      </c>
      <c r="G69" t="s">
        <v>814</v>
      </c>
      <c r="H69" t="s">
        <v>62</v>
      </c>
      <c r="I69">
        <v>-2.8211520000000001</v>
      </c>
      <c r="J69">
        <v>20.651419000000001</v>
      </c>
      <c r="K69" t="s">
        <v>1495</v>
      </c>
      <c r="L69" t="s">
        <v>1496</v>
      </c>
      <c r="M69" t="s">
        <v>540</v>
      </c>
      <c r="N69" t="s">
        <v>62</v>
      </c>
      <c r="O69" t="s">
        <v>1760</v>
      </c>
      <c r="P69">
        <v>105</v>
      </c>
      <c r="Q69" t="s">
        <v>22</v>
      </c>
      <c r="R69" s="2">
        <v>0.11944444444444445</v>
      </c>
      <c r="S69">
        <v>172</v>
      </c>
      <c r="T69">
        <v>15.88</v>
      </c>
      <c r="U69">
        <v>5</v>
      </c>
      <c r="V69">
        <v>0.45</v>
      </c>
      <c r="W69">
        <v>7.0999999999999994E-2</v>
      </c>
    </row>
    <row r="70" spans="1:23" x14ac:dyDescent="0.3">
      <c r="A70" t="s">
        <v>805</v>
      </c>
      <c r="B70" s="1">
        <v>45213</v>
      </c>
      <c r="C70" s="2">
        <v>4.2361111111111113E-2</v>
      </c>
      <c r="D70" t="s">
        <v>814</v>
      </c>
      <c r="E70">
        <v>119</v>
      </c>
      <c r="F70" t="s">
        <v>810</v>
      </c>
      <c r="G70" t="s">
        <v>814</v>
      </c>
      <c r="H70" t="s">
        <v>62</v>
      </c>
      <c r="I70">
        <v>-2.8211520000000001</v>
      </c>
      <c r="J70">
        <v>20.651419000000001</v>
      </c>
      <c r="K70" t="s">
        <v>1495</v>
      </c>
      <c r="L70" t="s">
        <v>1496</v>
      </c>
      <c r="M70" t="s">
        <v>568</v>
      </c>
      <c r="N70" t="s">
        <v>62</v>
      </c>
      <c r="O70" t="s">
        <v>1761</v>
      </c>
      <c r="P70">
        <v>119</v>
      </c>
      <c r="Q70" t="s">
        <v>22</v>
      </c>
      <c r="R70" s="2">
        <v>0.16041666666666668</v>
      </c>
      <c r="S70">
        <v>231</v>
      </c>
      <c r="T70">
        <v>20.22</v>
      </c>
      <c r="U70">
        <v>2</v>
      </c>
      <c r="V70">
        <v>0.45</v>
      </c>
      <c r="W70">
        <v>9.0999999999999998E-2</v>
      </c>
    </row>
    <row r="71" spans="1:23" x14ac:dyDescent="0.3">
      <c r="A71" t="s">
        <v>854</v>
      </c>
      <c r="B71" s="1">
        <v>45213</v>
      </c>
      <c r="C71" s="2">
        <v>0.25416666666666665</v>
      </c>
      <c r="D71" t="s">
        <v>857</v>
      </c>
      <c r="E71">
        <v>73</v>
      </c>
      <c r="F71" t="s">
        <v>812</v>
      </c>
      <c r="G71" t="s">
        <v>857</v>
      </c>
      <c r="H71" t="s">
        <v>13</v>
      </c>
      <c r="I71">
        <v>-5.1030600000000002</v>
      </c>
      <c r="J71">
        <v>22.849231</v>
      </c>
      <c r="K71" t="s">
        <v>1495</v>
      </c>
      <c r="L71" t="s">
        <v>1501</v>
      </c>
      <c r="M71" t="s">
        <v>12</v>
      </c>
      <c r="N71" t="s">
        <v>13</v>
      </c>
      <c r="O71" t="s">
        <v>1718</v>
      </c>
      <c r="P71">
        <v>63</v>
      </c>
      <c r="Q71" t="s">
        <v>14</v>
      </c>
      <c r="R71" s="2">
        <v>0.1423611111111111</v>
      </c>
      <c r="S71">
        <v>205</v>
      </c>
      <c r="T71">
        <v>89.19</v>
      </c>
      <c r="U71">
        <v>0</v>
      </c>
      <c r="V71">
        <v>0.1</v>
      </c>
      <c r="W71">
        <v>8.8999999999999996E-2</v>
      </c>
    </row>
    <row r="72" spans="1:23" x14ac:dyDescent="0.3">
      <c r="A72" t="s">
        <v>854</v>
      </c>
      <c r="B72" s="1">
        <v>45213</v>
      </c>
      <c r="C72" s="2">
        <v>0.25416666666666665</v>
      </c>
      <c r="D72" t="s">
        <v>857</v>
      </c>
      <c r="E72">
        <v>73</v>
      </c>
      <c r="F72" t="s">
        <v>812</v>
      </c>
      <c r="G72" t="s">
        <v>857</v>
      </c>
      <c r="H72" t="s">
        <v>13</v>
      </c>
      <c r="I72">
        <v>-5.1030600000000002</v>
      </c>
      <c r="J72">
        <v>22.849231</v>
      </c>
      <c r="K72" t="s">
        <v>1495</v>
      </c>
      <c r="L72" t="s">
        <v>1501</v>
      </c>
      <c r="M72" t="s">
        <v>41</v>
      </c>
      <c r="N72" t="s">
        <v>13</v>
      </c>
      <c r="O72" t="s">
        <v>1756</v>
      </c>
      <c r="P72">
        <v>89</v>
      </c>
      <c r="Q72" t="s">
        <v>11</v>
      </c>
      <c r="R72" s="2">
        <v>9.930555555555555E-2</v>
      </c>
      <c r="S72">
        <v>143</v>
      </c>
      <c r="T72">
        <v>48.05</v>
      </c>
      <c r="U72">
        <v>4</v>
      </c>
      <c r="V72">
        <v>0.45</v>
      </c>
      <c r="W72">
        <v>0.216</v>
      </c>
    </row>
    <row r="73" spans="1:23" x14ac:dyDescent="0.3">
      <c r="A73" t="s">
        <v>854</v>
      </c>
      <c r="B73" s="1">
        <v>45213</v>
      </c>
      <c r="C73" s="2">
        <v>0.25416666666666665</v>
      </c>
      <c r="D73" t="s">
        <v>857</v>
      </c>
      <c r="E73">
        <v>73</v>
      </c>
      <c r="F73" t="s">
        <v>812</v>
      </c>
      <c r="G73" t="s">
        <v>857</v>
      </c>
      <c r="H73" t="s">
        <v>13</v>
      </c>
      <c r="I73">
        <v>-5.1030600000000002</v>
      </c>
      <c r="J73">
        <v>22.849231</v>
      </c>
      <c r="K73" t="s">
        <v>1495</v>
      </c>
      <c r="L73" t="s">
        <v>1501</v>
      </c>
      <c r="M73" t="s">
        <v>69</v>
      </c>
      <c r="N73" t="s">
        <v>13</v>
      </c>
      <c r="O73" t="s">
        <v>1762</v>
      </c>
      <c r="P73">
        <v>14</v>
      </c>
      <c r="Q73" t="s">
        <v>19</v>
      </c>
      <c r="R73" s="2">
        <v>0.28819444444444442</v>
      </c>
      <c r="S73">
        <v>415</v>
      </c>
      <c r="T73">
        <v>36.93</v>
      </c>
      <c r="U73">
        <v>5</v>
      </c>
      <c r="V73">
        <v>0.45</v>
      </c>
      <c r="W73">
        <v>0.16600000000000001</v>
      </c>
    </row>
    <row r="74" spans="1:23" x14ac:dyDescent="0.3">
      <c r="A74" t="s">
        <v>854</v>
      </c>
      <c r="B74" s="1">
        <v>45213</v>
      </c>
      <c r="C74" s="2">
        <v>0.25416666666666665</v>
      </c>
      <c r="D74" t="s">
        <v>857</v>
      </c>
      <c r="E74">
        <v>73</v>
      </c>
      <c r="F74" t="s">
        <v>812</v>
      </c>
      <c r="G74" t="s">
        <v>857</v>
      </c>
      <c r="H74" t="s">
        <v>13</v>
      </c>
      <c r="I74">
        <v>-5.1030600000000002</v>
      </c>
      <c r="J74">
        <v>22.849231</v>
      </c>
      <c r="K74" t="s">
        <v>1495</v>
      </c>
      <c r="L74" t="s">
        <v>1501</v>
      </c>
      <c r="M74" t="s">
        <v>166</v>
      </c>
      <c r="N74" t="s">
        <v>13</v>
      </c>
      <c r="O74" t="s">
        <v>1745</v>
      </c>
      <c r="P74">
        <v>47</v>
      </c>
      <c r="Q74" t="s">
        <v>19</v>
      </c>
      <c r="R74" s="2">
        <v>6.805555555555555E-2</v>
      </c>
      <c r="S74">
        <v>98</v>
      </c>
      <c r="T74">
        <v>16.16</v>
      </c>
      <c r="U74">
        <v>5</v>
      </c>
      <c r="V74">
        <v>0.45</v>
      </c>
      <c r="W74">
        <v>7.2999999999999995E-2</v>
      </c>
    </row>
    <row r="75" spans="1:23" x14ac:dyDescent="0.3">
      <c r="A75" t="s">
        <v>854</v>
      </c>
      <c r="B75" s="1">
        <v>45213</v>
      </c>
      <c r="C75" s="2">
        <v>0.25416666666666665</v>
      </c>
      <c r="D75" t="s">
        <v>857</v>
      </c>
      <c r="E75">
        <v>73</v>
      </c>
      <c r="F75" t="s">
        <v>812</v>
      </c>
      <c r="G75" t="s">
        <v>857</v>
      </c>
      <c r="H75" t="s">
        <v>13</v>
      </c>
      <c r="I75">
        <v>-5.1030600000000002</v>
      </c>
      <c r="J75">
        <v>22.849231</v>
      </c>
      <c r="K75" t="s">
        <v>1495</v>
      </c>
      <c r="L75" t="s">
        <v>1501</v>
      </c>
      <c r="M75" t="s">
        <v>169</v>
      </c>
      <c r="N75" t="s">
        <v>13</v>
      </c>
      <c r="O75" t="s">
        <v>1763</v>
      </c>
      <c r="P75">
        <v>6</v>
      </c>
      <c r="Q75" t="s">
        <v>19</v>
      </c>
      <c r="R75" s="2">
        <v>4.1666666666666666E-3</v>
      </c>
      <c r="S75">
        <v>6</v>
      </c>
      <c r="T75">
        <v>72.27</v>
      </c>
      <c r="U75">
        <v>4</v>
      </c>
      <c r="V75">
        <v>0.45</v>
      </c>
      <c r="W75">
        <v>0.32500000000000001</v>
      </c>
    </row>
    <row r="76" spans="1:23" x14ac:dyDescent="0.3">
      <c r="A76" t="s">
        <v>854</v>
      </c>
      <c r="B76" s="1">
        <v>45213</v>
      </c>
      <c r="C76" s="2">
        <v>0.25416666666666665</v>
      </c>
      <c r="D76" t="s">
        <v>857</v>
      </c>
      <c r="E76">
        <v>73</v>
      </c>
      <c r="F76" t="s">
        <v>812</v>
      </c>
      <c r="G76" t="s">
        <v>857</v>
      </c>
      <c r="H76" t="s">
        <v>13</v>
      </c>
      <c r="I76">
        <v>-5.1030600000000002</v>
      </c>
      <c r="J76">
        <v>22.849231</v>
      </c>
      <c r="K76" t="s">
        <v>1495</v>
      </c>
      <c r="L76" t="s">
        <v>1501</v>
      </c>
      <c r="M76" t="s">
        <v>170</v>
      </c>
      <c r="N76" t="s">
        <v>13</v>
      </c>
      <c r="O76" t="s">
        <v>1754</v>
      </c>
      <c r="P76">
        <v>114</v>
      </c>
      <c r="Q76" t="s">
        <v>19</v>
      </c>
      <c r="R76" s="2">
        <v>0.21111111111111111</v>
      </c>
      <c r="S76">
        <v>304</v>
      </c>
      <c r="T76">
        <v>52.07</v>
      </c>
      <c r="U76">
        <v>1</v>
      </c>
      <c r="V76">
        <v>0.45</v>
      </c>
      <c r="W76">
        <v>0.23400000000000001</v>
      </c>
    </row>
    <row r="77" spans="1:23" x14ac:dyDescent="0.3">
      <c r="A77" t="s">
        <v>854</v>
      </c>
      <c r="B77" s="1">
        <v>45213</v>
      </c>
      <c r="C77" s="2">
        <v>0.25416666666666665</v>
      </c>
      <c r="D77" t="s">
        <v>857</v>
      </c>
      <c r="E77">
        <v>73</v>
      </c>
      <c r="F77" t="s">
        <v>812</v>
      </c>
      <c r="G77" t="s">
        <v>857</v>
      </c>
      <c r="H77" t="s">
        <v>13</v>
      </c>
      <c r="I77">
        <v>-5.1030600000000002</v>
      </c>
      <c r="J77">
        <v>22.849231</v>
      </c>
      <c r="K77" t="s">
        <v>1495</v>
      </c>
      <c r="L77" t="s">
        <v>1501</v>
      </c>
      <c r="M77" t="s">
        <v>187</v>
      </c>
      <c r="N77" t="s">
        <v>13</v>
      </c>
      <c r="O77" t="s">
        <v>1753</v>
      </c>
      <c r="P77">
        <v>4</v>
      </c>
      <c r="Q77" t="s">
        <v>19</v>
      </c>
      <c r="R77" s="2">
        <v>0.15763888888888888</v>
      </c>
      <c r="S77">
        <v>227</v>
      </c>
      <c r="T77">
        <v>83.32</v>
      </c>
      <c r="U77">
        <v>2</v>
      </c>
      <c r="V77">
        <v>0.45</v>
      </c>
      <c r="W77">
        <v>0.375</v>
      </c>
    </row>
    <row r="78" spans="1:23" x14ac:dyDescent="0.3">
      <c r="A78" t="s">
        <v>854</v>
      </c>
      <c r="B78" s="1">
        <v>45213</v>
      </c>
      <c r="C78" s="2">
        <v>0.25416666666666665</v>
      </c>
      <c r="D78" t="s">
        <v>857</v>
      </c>
      <c r="E78">
        <v>73</v>
      </c>
      <c r="F78" t="s">
        <v>812</v>
      </c>
      <c r="G78" t="s">
        <v>857</v>
      </c>
      <c r="H78" t="s">
        <v>13</v>
      </c>
      <c r="I78">
        <v>-5.1030600000000002</v>
      </c>
      <c r="J78">
        <v>22.849231</v>
      </c>
      <c r="K78" t="s">
        <v>1495</v>
      </c>
      <c r="L78" t="s">
        <v>1501</v>
      </c>
      <c r="M78" t="s">
        <v>235</v>
      </c>
      <c r="N78" t="s">
        <v>13</v>
      </c>
      <c r="O78" t="s">
        <v>1764</v>
      </c>
      <c r="P78">
        <v>108</v>
      </c>
      <c r="Q78" t="s">
        <v>11</v>
      </c>
      <c r="R78" s="2">
        <v>0.15972222222222221</v>
      </c>
      <c r="S78">
        <v>230</v>
      </c>
      <c r="T78">
        <v>16.3</v>
      </c>
      <c r="U78">
        <v>5</v>
      </c>
      <c r="V78">
        <v>0.45</v>
      </c>
      <c r="W78">
        <v>7.2999999999999995E-2</v>
      </c>
    </row>
    <row r="79" spans="1:23" x14ac:dyDescent="0.3">
      <c r="A79" t="s">
        <v>854</v>
      </c>
      <c r="B79" s="1">
        <v>45213</v>
      </c>
      <c r="C79" s="2">
        <v>0.25416666666666665</v>
      </c>
      <c r="D79" t="s">
        <v>857</v>
      </c>
      <c r="E79">
        <v>73</v>
      </c>
      <c r="F79" t="s">
        <v>812</v>
      </c>
      <c r="G79" t="s">
        <v>857</v>
      </c>
      <c r="H79" t="s">
        <v>13</v>
      </c>
      <c r="I79">
        <v>-5.1030600000000002</v>
      </c>
      <c r="J79">
        <v>22.849231</v>
      </c>
      <c r="K79" t="s">
        <v>1495</v>
      </c>
      <c r="L79" t="s">
        <v>1501</v>
      </c>
      <c r="M79" t="s">
        <v>255</v>
      </c>
      <c r="N79" t="s">
        <v>13</v>
      </c>
      <c r="O79" t="s">
        <v>1738</v>
      </c>
      <c r="P79">
        <v>96</v>
      </c>
      <c r="Q79" t="s">
        <v>22</v>
      </c>
      <c r="R79" s="2">
        <v>7.4999999999999997E-2</v>
      </c>
      <c r="S79">
        <v>108</v>
      </c>
      <c r="T79">
        <v>30.92</v>
      </c>
      <c r="U79">
        <v>1</v>
      </c>
      <c r="V79">
        <v>0.45</v>
      </c>
      <c r="W79">
        <v>0.13900000000000001</v>
      </c>
    </row>
    <row r="80" spans="1:23" x14ac:dyDescent="0.3">
      <c r="A80" t="s">
        <v>854</v>
      </c>
      <c r="B80" s="1">
        <v>45213</v>
      </c>
      <c r="C80" s="2">
        <v>0.25416666666666665</v>
      </c>
      <c r="D80" t="s">
        <v>857</v>
      </c>
      <c r="E80">
        <v>73</v>
      </c>
      <c r="F80" t="s">
        <v>812</v>
      </c>
      <c r="G80" t="s">
        <v>857</v>
      </c>
      <c r="H80" t="s">
        <v>13</v>
      </c>
      <c r="I80">
        <v>-5.1030600000000002</v>
      </c>
      <c r="J80">
        <v>22.849231</v>
      </c>
      <c r="K80" t="s">
        <v>1495</v>
      </c>
      <c r="L80" t="s">
        <v>1501</v>
      </c>
      <c r="M80" t="s">
        <v>269</v>
      </c>
      <c r="N80" t="s">
        <v>13</v>
      </c>
      <c r="O80" t="s">
        <v>1738</v>
      </c>
      <c r="P80">
        <v>96</v>
      </c>
      <c r="Q80" t="s">
        <v>22</v>
      </c>
      <c r="R80" s="2">
        <v>0.14583333333333334</v>
      </c>
      <c r="S80">
        <v>210</v>
      </c>
      <c r="T80">
        <v>28.39</v>
      </c>
      <c r="U80">
        <v>3</v>
      </c>
      <c r="V80">
        <v>0.45</v>
      </c>
      <c r="W80">
        <v>0.128</v>
      </c>
    </row>
    <row r="81" spans="1:23" x14ac:dyDescent="0.3">
      <c r="A81" t="s">
        <v>854</v>
      </c>
      <c r="B81" s="1">
        <v>45213</v>
      </c>
      <c r="C81" s="2">
        <v>0.25416666666666665</v>
      </c>
      <c r="D81" t="s">
        <v>857</v>
      </c>
      <c r="E81">
        <v>73</v>
      </c>
      <c r="F81" t="s">
        <v>812</v>
      </c>
      <c r="G81" t="s">
        <v>857</v>
      </c>
      <c r="H81" t="s">
        <v>13</v>
      </c>
      <c r="I81">
        <v>-5.1030600000000002</v>
      </c>
      <c r="J81">
        <v>22.849231</v>
      </c>
      <c r="K81" t="s">
        <v>1495</v>
      </c>
      <c r="L81" t="s">
        <v>1501</v>
      </c>
      <c r="M81" t="s">
        <v>402</v>
      </c>
      <c r="N81" t="s">
        <v>13</v>
      </c>
      <c r="O81" t="s">
        <v>1731</v>
      </c>
      <c r="P81">
        <v>103</v>
      </c>
      <c r="Q81" t="s">
        <v>14</v>
      </c>
      <c r="R81" s="2">
        <v>0.1875</v>
      </c>
      <c r="S81">
        <v>270</v>
      </c>
      <c r="T81">
        <v>67.87</v>
      </c>
      <c r="U81">
        <v>3</v>
      </c>
      <c r="V81">
        <v>0.1</v>
      </c>
      <c r="W81">
        <v>6.8000000000000005E-2</v>
      </c>
    </row>
    <row r="82" spans="1:23" x14ac:dyDescent="0.3">
      <c r="A82" t="s">
        <v>854</v>
      </c>
      <c r="B82" s="1">
        <v>45213</v>
      </c>
      <c r="C82" s="2">
        <v>0.25416666666666665</v>
      </c>
      <c r="D82" t="s">
        <v>857</v>
      </c>
      <c r="E82">
        <v>73</v>
      </c>
      <c r="F82" t="s">
        <v>812</v>
      </c>
      <c r="G82" t="s">
        <v>857</v>
      </c>
      <c r="H82" t="s">
        <v>13</v>
      </c>
      <c r="I82">
        <v>-5.1030600000000002</v>
      </c>
      <c r="J82">
        <v>22.849231</v>
      </c>
      <c r="K82" t="s">
        <v>1495</v>
      </c>
      <c r="L82" t="s">
        <v>1501</v>
      </c>
      <c r="M82" t="s">
        <v>419</v>
      </c>
      <c r="N82" t="s">
        <v>13</v>
      </c>
      <c r="O82" t="s">
        <v>1765</v>
      </c>
      <c r="P82">
        <v>76</v>
      </c>
      <c r="Q82" t="s">
        <v>11</v>
      </c>
      <c r="R82" s="2">
        <v>0.12986111111111112</v>
      </c>
      <c r="S82">
        <v>187</v>
      </c>
      <c r="T82">
        <v>56.29</v>
      </c>
      <c r="U82">
        <v>1</v>
      </c>
      <c r="V82">
        <v>0.45</v>
      </c>
      <c r="W82">
        <v>0.253</v>
      </c>
    </row>
    <row r="83" spans="1:23" x14ac:dyDescent="0.3">
      <c r="A83" t="s">
        <v>854</v>
      </c>
      <c r="B83" s="1">
        <v>45213</v>
      </c>
      <c r="C83" s="2">
        <v>0.25416666666666665</v>
      </c>
      <c r="D83" t="s">
        <v>857</v>
      </c>
      <c r="E83">
        <v>73</v>
      </c>
      <c r="F83" t="s">
        <v>812</v>
      </c>
      <c r="G83" t="s">
        <v>857</v>
      </c>
      <c r="H83" t="s">
        <v>13</v>
      </c>
      <c r="I83">
        <v>-5.1030600000000002</v>
      </c>
      <c r="J83">
        <v>22.849231</v>
      </c>
      <c r="K83" t="s">
        <v>1495</v>
      </c>
      <c r="L83" t="s">
        <v>1501</v>
      </c>
      <c r="M83" t="s">
        <v>438</v>
      </c>
      <c r="N83" t="s">
        <v>13</v>
      </c>
      <c r="O83" t="s">
        <v>1766</v>
      </c>
      <c r="P83">
        <v>97</v>
      </c>
      <c r="Q83" t="s">
        <v>14</v>
      </c>
      <c r="R83" s="2">
        <v>0.19166666666666668</v>
      </c>
      <c r="S83">
        <v>276</v>
      </c>
      <c r="T83">
        <v>88.35</v>
      </c>
      <c r="U83">
        <v>0</v>
      </c>
      <c r="V83">
        <v>0.1</v>
      </c>
      <c r="W83">
        <v>8.7999999999999995E-2</v>
      </c>
    </row>
    <row r="84" spans="1:23" x14ac:dyDescent="0.3">
      <c r="A84" t="s">
        <v>854</v>
      </c>
      <c r="B84" s="1">
        <v>45213</v>
      </c>
      <c r="C84" s="2">
        <v>0.25416666666666665</v>
      </c>
      <c r="D84" t="s">
        <v>857</v>
      </c>
      <c r="E84">
        <v>73</v>
      </c>
      <c r="F84" t="s">
        <v>812</v>
      </c>
      <c r="G84" t="s">
        <v>857</v>
      </c>
      <c r="H84" t="s">
        <v>13</v>
      </c>
      <c r="I84">
        <v>-5.1030600000000002</v>
      </c>
      <c r="J84">
        <v>22.849231</v>
      </c>
      <c r="K84" t="s">
        <v>1495</v>
      </c>
      <c r="L84" t="s">
        <v>1501</v>
      </c>
      <c r="M84" t="s">
        <v>449</v>
      </c>
      <c r="N84" t="s">
        <v>13</v>
      </c>
      <c r="O84" t="s">
        <v>1755</v>
      </c>
      <c r="P84">
        <v>35</v>
      </c>
      <c r="Q84" t="s">
        <v>14</v>
      </c>
      <c r="R84" s="2">
        <v>0.20277777777777778</v>
      </c>
      <c r="S84">
        <v>292</v>
      </c>
      <c r="T84">
        <v>39.21</v>
      </c>
      <c r="U84">
        <v>1</v>
      </c>
      <c r="V84">
        <v>0.1</v>
      </c>
      <c r="W84">
        <v>3.9E-2</v>
      </c>
    </row>
    <row r="85" spans="1:23" x14ac:dyDescent="0.3">
      <c r="A85" t="s">
        <v>854</v>
      </c>
      <c r="B85" s="1">
        <v>45213</v>
      </c>
      <c r="C85" s="2">
        <v>0.25416666666666665</v>
      </c>
      <c r="D85" t="s">
        <v>857</v>
      </c>
      <c r="E85">
        <v>73</v>
      </c>
      <c r="F85" t="s">
        <v>812</v>
      </c>
      <c r="G85" t="s">
        <v>857</v>
      </c>
      <c r="H85" t="s">
        <v>13</v>
      </c>
      <c r="I85">
        <v>-5.1030600000000002</v>
      </c>
      <c r="J85">
        <v>22.849231</v>
      </c>
      <c r="K85" t="s">
        <v>1495</v>
      </c>
      <c r="L85" t="s">
        <v>1501</v>
      </c>
      <c r="M85" t="s">
        <v>522</v>
      </c>
      <c r="N85" t="s">
        <v>13</v>
      </c>
      <c r="O85" t="s">
        <v>1731</v>
      </c>
      <c r="P85">
        <v>103</v>
      </c>
      <c r="Q85" t="s">
        <v>22</v>
      </c>
      <c r="R85" s="2">
        <v>0.20208333333333334</v>
      </c>
      <c r="S85">
        <v>291</v>
      </c>
      <c r="T85">
        <v>60.34</v>
      </c>
      <c r="U85">
        <v>5</v>
      </c>
      <c r="V85">
        <v>0.45</v>
      </c>
      <c r="W85">
        <v>0.27200000000000002</v>
      </c>
    </row>
    <row r="86" spans="1:23" x14ac:dyDescent="0.3">
      <c r="A86" t="s">
        <v>854</v>
      </c>
      <c r="B86" s="1">
        <v>45213</v>
      </c>
      <c r="C86" s="2">
        <v>0.25416666666666665</v>
      </c>
      <c r="D86" t="s">
        <v>857</v>
      </c>
      <c r="E86">
        <v>73</v>
      </c>
      <c r="F86" t="s">
        <v>812</v>
      </c>
      <c r="G86" t="s">
        <v>857</v>
      </c>
      <c r="H86" t="s">
        <v>13</v>
      </c>
      <c r="I86">
        <v>-5.1030600000000002</v>
      </c>
      <c r="J86">
        <v>22.849231</v>
      </c>
      <c r="K86" t="s">
        <v>1495</v>
      </c>
      <c r="L86" t="s">
        <v>1501</v>
      </c>
      <c r="M86" t="s">
        <v>524</v>
      </c>
      <c r="N86" t="s">
        <v>13</v>
      </c>
      <c r="O86" t="s">
        <v>1750</v>
      </c>
      <c r="P86">
        <v>101</v>
      </c>
      <c r="Q86" t="s">
        <v>19</v>
      </c>
      <c r="R86" s="2">
        <v>0.28888888888888886</v>
      </c>
      <c r="S86">
        <v>416</v>
      </c>
      <c r="T86">
        <v>83.49</v>
      </c>
      <c r="U86">
        <v>2</v>
      </c>
      <c r="V86">
        <v>0.45</v>
      </c>
      <c r="W86">
        <v>0.376</v>
      </c>
    </row>
    <row r="87" spans="1:23" x14ac:dyDescent="0.3">
      <c r="A87" t="s">
        <v>854</v>
      </c>
      <c r="B87" s="1">
        <v>45213</v>
      </c>
      <c r="C87" s="2">
        <v>0.25416666666666665</v>
      </c>
      <c r="D87" t="s">
        <v>857</v>
      </c>
      <c r="E87">
        <v>73</v>
      </c>
      <c r="F87" t="s">
        <v>812</v>
      </c>
      <c r="G87" t="s">
        <v>857</v>
      </c>
      <c r="H87" t="s">
        <v>13</v>
      </c>
      <c r="I87">
        <v>-5.1030600000000002</v>
      </c>
      <c r="J87">
        <v>22.849231</v>
      </c>
      <c r="K87" t="s">
        <v>1495</v>
      </c>
      <c r="L87" t="s">
        <v>1501</v>
      </c>
      <c r="M87" t="s">
        <v>571</v>
      </c>
      <c r="N87" t="s">
        <v>13</v>
      </c>
      <c r="O87" t="s">
        <v>1767</v>
      </c>
      <c r="P87">
        <v>73</v>
      </c>
      <c r="Q87" t="s">
        <v>14</v>
      </c>
      <c r="R87" s="2">
        <v>0.18611111111111112</v>
      </c>
      <c r="S87">
        <v>268</v>
      </c>
      <c r="T87">
        <v>56.86</v>
      </c>
      <c r="U87">
        <v>5</v>
      </c>
      <c r="V87">
        <v>0.1</v>
      </c>
      <c r="W87">
        <v>5.7000000000000002E-2</v>
      </c>
    </row>
    <row r="88" spans="1:23" x14ac:dyDescent="0.3">
      <c r="A88" t="s">
        <v>805</v>
      </c>
      <c r="B88" s="1">
        <v>45202</v>
      </c>
      <c r="C88" s="2">
        <v>0.25972222222222224</v>
      </c>
      <c r="D88" t="s">
        <v>815</v>
      </c>
      <c r="E88">
        <v>79</v>
      </c>
      <c r="F88" t="s">
        <v>807</v>
      </c>
      <c r="G88" t="s">
        <v>815</v>
      </c>
      <c r="H88" t="s">
        <v>33</v>
      </c>
      <c r="I88">
        <v>-1.648264</v>
      </c>
      <c r="J88">
        <v>28.866143999999998</v>
      </c>
      <c r="K88" t="s">
        <v>1495</v>
      </c>
      <c r="L88" t="s">
        <v>1496</v>
      </c>
      <c r="M88" t="s">
        <v>32</v>
      </c>
      <c r="N88" t="s">
        <v>33</v>
      </c>
      <c r="O88" t="s">
        <v>1768</v>
      </c>
      <c r="P88">
        <v>72</v>
      </c>
      <c r="Q88" t="s">
        <v>14</v>
      </c>
      <c r="R88" s="2">
        <v>0.1111111111111111</v>
      </c>
      <c r="S88">
        <v>160</v>
      </c>
      <c r="T88">
        <v>90.13</v>
      </c>
      <c r="U88">
        <v>2</v>
      </c>
      <c r="V88">
        <v>0.1</v>
      </c>
      <c r="W88">
        <v>0.09</v>
      </c>
    </row>
    <row r="89" spans="1:23" x14ac:dyDescent="0.3">
      <c r="A89" t="s">
        <v>805</v>
      </c>
      <c r="B89" s="1">
        <v>45202</v>
      </c>
      <c r="C89" s="2">
        <v>0.25972222222222224</v>
      </c>
      <c r="D89" t="s">
        <v>815</v>
      </c>
      <c r="E89">
        <v>79</v>
      </c>
      <c r="F89" t="s">
        <v>807</v>
      </c>
      <c r="G89" t="s">
        <v>815</v>
      </c>
      <c r="H89" t="s">
        <v>33</v>
      </c>
      <c r="I89">
        <v>-1.648264</v>
      </c>
      <c r="J89">
        <v>28.866143999999998</v>
      </c>
      <c r="K89" t="s">
        <v>1495</v>
      </c>
      <c r="L89" t="s">
        <v>1496</v>
      </c>
      <c r="M89" t="s">
        <v>46</v>
      </c>
      <c r="N89" t="s">
        <v>33</v>
      </c>
      <c r="O89" t="s">
        <v>1747</v>
      </c>
      <c r="P89">
        <v>86</v>
      </c>
      <c r="Q89" t="s">
        <v>11</v>
      </c>
      <c r="R89" s="2">
        <v>0.32708333333333334</v>
      </c>
      <c r="S89">
        <v>471</v>
      </c>
      <c r="T89">
        <v>33.380000000000003</v>
      </c>
      <c r="U89">
        <v>4</v>
      </c>
      <c r="V89">
        <v>0.45</v>
      </c>
      <c r="W89">
        <v>0.15</v>
      </c>
    </row>
    <row r="90" spans="1:23" x14ac:dyDescent="0.3">
      <c r="A90" t="s">
        <v>805</v>
      </c>
      <c r="B90" s="1">
        <v>45202</v>
      </c>
      <c r="C90" s="2">
        <v>0.25972222222222224</v>
      </c>
      <c r="D90" t="s">
        <v>815</v>
      </c>
      <c r="E90">
        <v>79</v>
      </c>
      <c r="F90" t="s">
        <v>807</v>
      </c>
      <c r="G90" t="s">
        <v>815</v>
      </c>
      <c r="H90" t="s">
        <v>33</v>
      </c>
      <c r="I90">
        <v>-1.648264</v>
      </c>
      <c r="J90">
        <v>28.866143999999998</v>
      </c>
      <c r="K90" t="s">
        <v>1495</v>
      </c>
      <c r="L90" t="s">
        <v>1496</v>
      </c>
      <c r="M90" t="s">
        <v>58</v>
      </c>
      <c r="N90" t="s">
        <v>33</v>
      </c>
      <c r="O90" t="s">
        <v>1758</v>
      </c>
      <c r="P90">
        <v>15</v>
      </c>
      <c r="Q90" t="s">
        <v>14</v>
      </c>
      <c r="R90" s="2">
        <v>0.27986111111111112</v>
      </c>
      <c r="S90">
        <v>403</v>
      </c>
      <c r="T90">
        <v>77.12</v>
      </c>
      <c r="U90">
        <v>1</v>
      </c>
      <c r="V90">
        <v>0.1</v>
      </c>
      <c r="W90">
        <v>7.6999999999999999E-2</v>
      </c>
    </row>
    <row r="91" spans="1:23" x14ac:dyDescent="0.3">
      <c r="A91" t="s">
        <v>805</v>
      </c>
      <c r="B91" s="1">
        <v>45202</v>
      </c>
      <c r="C91" s="2">
        <v>0.25972222222222224</v>
      </c>
      <c r="D91" t="s">
        <v>815</v>
      </c>
      <c r="E91">
        <v>79</v>
      </c>
      <c r="F91" t="s">
        <v>807</v>
      </c>
      <c r="G91" t="s">
        <v>815</v>
      </c>
      <c r="H91" t="s">
        <v>33</v>
      </c>
      <c r="I91">
        <v>-1.648264</v>
      </c>
      <c r="J91">
        <v>28.866143999999998</v>
      </c>
      <c r="K91" t="s">
        <v>1495</v>
      </c>
      <c r="L91" t="s">
        <v>1496</v>
      </c>
      <c r="M91" t="s">
        <v>111</v>
      </c>
      <c r="N91" t="s">
        <v>33</v>
      </c>
      <c r="O91" t="s">
        <v>1754</v>
      </c>
      <c r="P91">
        <v>114</v>
      </c>
      <c r="Q91" t="s">
        <v>11</v>
      </c>
      <c r="R91" s="2">
        <v>0.19652777777777777</v>
      </c>
      <c r="S91">
        <v>283</v>
      </c>
      <c r="T91">
        <v>29.15</v>
      </c>
      <c r="U91">
        <v>3</v>
      </c>
      <c r="V91">
        <v>0.45</v>
      </c>
      <c r="W91">
        <v>0.13100000000000001</v>
      </c>
    </row>
    <row r="92" spans="1:23" x14ac:dyDescent="0.3">
      <c r="A92" t="s">
        <v>805</v>
      </c>
      <c r="B92" s="1">
        <v>45202</v>
      </c>
      <c r="C92" s="2">
        <v>0.25972222222222224</v>
      </c>
      <c r="D92" t="s">
        <v>815</v>
      </c>
      <c r="E92">
        <v>79</v>
      </c>
      <c r="F92" t="s">
        <v>807</v>
      </c>
      <c r="G92" t="s">
        <v>815</v>
      </c>
      <c r="H92" t="s">
        <v>33</v>
      </c>
      <c r="I92">
        <v>-1.648264</v>
      </c>
      <c r="J92">
        <v>28.866143999999998</v>
      </c>
      <c r="K92" t="s">
        <v>1495</v>
      </c>
      <c r="L92" t="s">
        <v>1496</v>
      </c>
      <c r="M92" t="s">
        <v>153</v>
      </c>
      <c r="N92" t="s">
        <v>33</v>
      </c>
      <c r="O92" t="s">
        <v>1749</v>
      </c>
      <c r="P92">
        <v>84</v>
      </c>
      <c r="Q92" t="s">
        <v>19</v>
      </c>
      <c r="R92" s="2">
        <v>0.22013888888888888</v>
      </c>
      <c r="S92">
        <v>317</v>
      </c>
      <c r="T92">
        <v>36.200000000000003</v>
      </c>
      <c r="U92">
        <v>3</v>
      </c>
      <c r="V92">
        <v>0.45</v>
      </c>
      <c r="W92">
        <v>0.16300000000000001</v>
      </c>
    </row>
    <row r="93" spans="1:23" x14ac:dyDescent="0.3">
      <c r="A93" t="s">
        <v>805</v>
      </c>
      <c r="B93" s="1">
        <v>45202</v>
      </c>
      <c r="C93" s="2">
        <v>0.25972222222222224</v>
      </c>
      <c r="D93" t="s">
        <v>815</v>
      </c>
      <c r="E93">
        <v>79</v>
      </c>
      <c r="F93" t="s">
        <v>807</v>
      </c>
      <c r="G93" t="s">
        <v>815</v>
      </c>
      <c r="H93" t="s">
        <v>33</v>
      </c>
      <c r="I93">
        <v>-1.648264</v>
      </c>
      <c r="J93">
        <v>28.866143999999998</v>
      </c>
      <c r="K93" t="s">
        <v>1495</v>
      </c>
      <c r="L93" t="s">
        <v>1496</v>
      </c>
      <c r="M93" t="s">
        <v>155</v>
      </c>
      <c r="N93" t="s">
        <v>33</v>
      </c>
      <c r="O93" t="s">
        <v>1716</v>
      </c>
      <c r="P93">
        <v>110</v>
      </c>
      <c r="Q93" t="s">
        <v>11</v>
      </c>
      <c r="R93" s="2">
        <v>3.5416666666666666E-2</v>
      </c>
      <c r="S93">
        <v>51</v>
      </c>
      <c r="T93">
        <v>56.59</v>
      </c>
      <c r="U93">
        <v>5</v>
      </c>
      <c r="V93">
        <v>0.45</v>
      </c>
      <c r="W93">
        <v>0.255</v>
      </c>
    </row>
    <row r="94" spans="1:23" x14ac:dyDescent="0.3">
      <c r="A94" t="s">
        <v>805</v>
      </c>
      <c r="B94" s="1">
        <v>45202</v>
      </c>
      <c r="C94" s="2">
        <v>0.25972222222222224</v>
      </c>
      <c r="D94" t="s">
        <v>815</v>
      </c>
      <c r="E94">
        <v>79</v>
      </c>
      <c r="F94" t="s">
        <v>807</v>
      </c>
      <c r="G94" t="s">
        <v>815</v>
      </c>
      <c r="H94" t="s">
        <v>33</v>
      </c>
      <c r="I94">
        <v>-1.648264</v>
      </c>
      <c r="J94">
        <v>28.866143999999998</v>
      </c>
      <c r="K94" t="s">
        <v>1495</v>
      </c>
      <c r="L94" t="s">
        <v>1496</v>
      </c>
      <c r="M94" t="s">
        <v>165</v>
      </c>
      <c r="N94" t="s">
        <v>33</v>
      </c>
      <c r="O94" t="s">
        <v>1769</v>
      </c>
      <c r="P94">
        <v>64</v>
      </c>
      <c r="Q94" t="s">
        <v>14</v>
      </c>
      <c r="R94" s="2">
        <v>0.20833333333333334</v>
      </c>
      <c r="S94">
        <v>300</v>
      </c>
      <c r="T94">
        <v>28.11</v>
      </c>
      <c r="U94">
        <v>2</v>
      </c>
      <c r="V94">
        <v>0.1</v>
      </c>
      <c r="W94">
        <v>2.8000000000000001E-2</v>
      </c>
    </row>
    <row r="95" spans="1:23" x14ac:dyDescent="0.3">
      <c r="A95" t="s">
        <v>805</v>
      </c>
      <c r="B95" s="1">
        <v>45202</v>
      </c>
      <c r="C95" s="2">
        <v>0.25972222222222224</v>
      </c>
      <c r="D95" t="s">
        <v>815</v>
      </c>
      <c r="E95">
        <v>79</v>
      </c>
      <c r="F95" t="s">
        <v>807</v>
      </c>
      <c r="G95" t="s">
        <v>815</v>
      </c>
      <c r="H95" t="s">
        <v>33</v>
      </c>
      <c r="I95">
        <v>-1.648264</v>
      </c>
      <c r="J95">
        <v>28.866143999999998</v>
      </c>
      <c r="K95" t="s">
        <v>1495</v>
      </c>
      <c r="L95" t="s">
        <v>1496</v>
      </c>
      <c r="M95" t="s">
        <v>186</v>
      </c>
      <c r="N95" t="s">
        <v>33</v>
      </c>
      <c r="O95" t="s">
        <v>1759</v>
      </c>
      <c r="P95">
        <v>104</v>
      </c>
      <c r="Q95" t="s">
        <v>14</v>
      </c>
      <c r="R95" s="2">
        <v>0.22013888888888888</v>
      </c>
      <c r="S95">
        <v>317</v>
      </c>
      <c r="T95">
        <v>79.150000000000006</v>
      </c>
      <c r="U95">
        <v>1</v>
      </c>
      <c r="V95">
        <v>0.1</v>
      </c>
      <c r="W95">
        <v>7.9000000000000001E-2</v>
      </c>
    </row>
    <row r="96" spans="1:23" x14ac:dyDescent="0.3">
      <c r="A96" t="s">
        <v>805</v>
      </c>
      <c r="B96" s="1">
        <v>45202</v>
      </c>
      <c r="C96" s="2">
        <v>0.25972222222222224</v>
      </c>
      <c r="D96" t="s">
        <v>815</v>
      </c>
      <c r="E96">
        <v>79</v>
      </c>
      <c r="F96" t="s">
        <v>807</v>
      </c>
      <c r="G96" t="s">
        <v>815</v>
      </c>
      <c r="H96" t="s">
        <v>33</v>
      </c>
      <c r="I96">
        <v>-1.648264</v>
      </c>
      <c r="J96">
        <v>28.866143999999998</v>
      </c>
      <c r="K96" t="s">
        <v>1495</v>
      </c>
      <c r="L96" t="s">
        <v>1496</v>
      </c>
      <c r="M96" t="s">
        <v>199</v>
      </c>
      <c r="N96" t="s">
        <v>33</v>
      </c>
      <c r="O96" t="s">
        <v>1736</v>
      </c>
      <c r="P96">
        <v>60</v>
      </c>
      <c r="Q96" t="s">
        <v>14</v>
      </c>
      <c r="R96" s="2">
        <v>0.23194444444444445</v>
      </c>
      <c r="S96">
        <v>334</v>
      </c>
      <c r="T96">
        <v>71.72</v>
      </c>
      <c r="U96">
        <v>3</v>
      </c>
      <c r="V96">
        <v>0.1</v>
      </c>
      <c r="W96">
        <v>7.1999999999999995E-2</v>
      </c>
    </row>
    <row r="97" spans="1:23" x14ac:dyDescent="0.3">
      <c r="A97" t="s">
        <v>805</v>
      </c>
      <c r="B97" s="1">
        <v>45202</v>
      </c>
      <c r="C97" s="2">
        <v>0.25972222222222224</v>
      </c>
      <c r="D97" t="s">
        <v>815</v>
      </c>
      <c r="E97">
        <v>79</v>
      </c>
      <c r="F97" t="s">
        <v>807</v>
      </c>
      <c r="G97" t="s">
        <v>815</v>
      </c>
      <c r="H97" t="s">
        <v>33</v>
      </c>
      <c r="I97">
        <v>-1.648264</v>
      </c>
      <c r="J97">
        <v>28.866143999999998</v>
      </c>
      <c r="K97" t="s">
        <v>1495</v>
      </c>
      <c r="L97" t="s">
        <v>1496</v>
      </c>
      <c r="M97" t="s">
        <v>200</v>
      </c>
      <c r="N97" t="s">
        <v>33</v>
      </c>
      <c r="O97" t="s">
        <v>1770</v>
      </c>
      <c r="P97">
        <v>23</v>
      </c>
      <c r="Q97" t="s">
        <v>14</v>
      </c>
      <c r="R97" s="2">
        <v>0.18194444444444444</v>
      </c>
      <c r="S97">
        <v>262</v>
      </c>
      <c r="T97">
        <v>46.3</v>
      </c>
      <c r="U97">
        <v>1</v>
      </c>
      <c r="V97">
        <v>0.1</v>
      </c>
      <c r="W97">
        <v>4.5999999999999999E-2</v>
      </c>
    </row>
    <row r="98" spans="1:23" x14ac:dyDescent="0.3">
      <c r="A98" t="s">
        <v>805</v>
      </c>
      <c r="B98" s="1">
        <v>45202</v>
      </c>
      <c r="C98" s="2">
        <v>0.25972222222222224</v>
      </c>
      <c r="D98" t="s">
        <v>815</v>
      </c>
      <c r="E98">
        <v>79</v>
      </c>
      <c r="F98" t="s">
        <v>807</v>
      </c>
      <c r="G98" t="s">
        <v>815</v>
      </c>
      <c r="H98" t="s">
        <v>33</v>
      </c>
      <c r="I98">
        <v>-1.648264</v>
      </c>
      <c r="J98">
        <v>28.866143999999998</v>
      </c>
      <c r="K98" t="s">
        <v>1495</v>
      </c>
      <c r="L98" t="s">
        <v>1496</v>
      </c>
      <c r="M98" t="s">
        <v>214</v>
      </c>
      <c r="N98" t="s">
        <v>33</v>
      </c>
      <c r="O98" t="s">
        <v>1771</v>
      </c>
      <c r="P98">
        <v>118</v>
      </c>
      <c r="Q98" t="s">
        <v>19</v>
      </c>
      <c r="R98" s="2">
        <v>0.20833333333333334</v>
      </c>
      <c r="S98">
        <v>300</v>
      </c>
      <c r="T98">
        <v>98.22</v>
      </c>
      <c r="U98">
        <v>4</v>
      </c>
      <c r="V98">
        <v>0.45</v>
      </c>
      <c r="W98">
        <v>0.442</v>
      </c>
    </row>
    <row r="99" spans="1:23" x14ac:dyDescent="0.3">
      <c r="A99" t="s">
        <v>805</v>
      </c>
      <c r="B99" s="1">
        <v>45202</v>
      </c>
      <c r="C99" s="2">
        <v>0.25972222222222224</v>
      </c>
      <c r="D99" t="s">
        <v>815</v>
      </c>
      <c r="E99">
        <v>79</v>
      </c>
      <c r="F99" t="s">
        <v>807</v>
      </c>
      <c r="G99" t="s">
        <v>815</v>
      </c>
      <c r="H99" t="s">
        <v>33</v>
      </c>
      <c r="I99">
        <v>-1.648264</v>
      </c>
      <c r="J99">
        <v>28.866143999999998</v>
      </c>
      <c r="K99" t="s">
        <v>1495</v>
      </c>
      <c r="L99" t="s">
        <v>1496</v>
      </c>
      <c r="M99" t="s">
        <v>229</v>
      </c>
      <c r="N99" t="s">
        <v>33</v>
      </c>
      <c r="O99" t="s">
        <v>1712</v>
      </c>
      <c r="P99">
        <v>55</v>
      </c>
      <c r="Q99" t="s">
        <v>11</v>
      </c>
      <c r="R99" s="2">
        <v>0.27361111111111114</v>
      </c>
      <c r="S99">
        <v>394</v>
      </c>
      <c r="T99">
        <v>26.8</v>
      </c>
      <c r="U99">
        <v>4</v>
      </c>
      <c r="V99">
        <v>0.45</v>
      </c>
      <c r="W99">
        <v>0.121</v>
      </c>
    </row>
    <row r="100" spans="1:23" x14ac:dyDescent="0.3">
      <c r="A100" t="s">
        <v>805</v>
      </c>
      <c r="B100" s="1">
        <v>45202</v>
      </c>
      <c r="C100" s="2">
        <v>0.25972222222222224</v>
      </c>
      <c r="D100" t="s">
        <v>815</v>
      </c>
      <c r="E100">
        <v>79</v>
      </c>
      <c r="F100" t="s">
        <v>807</v>
      </c>
      <c r="G100" t="s">
        <v>815</v>
      </c>
      <c r="H100" t="s">
        <v>33</v>
      </c>
      <c r="I100">
        <v>-1.648264</v>
      </c>
      <c r="J100">
        <v>28.866143999999998</v>
      </c>
      <c r="K100" t="s">
        <v>1495</v>
      </c>
      <c r="L100" t="s">
        <v>1496</v>
      </c>
      <c r="M100" t="s">
        <v>274</v>
      </c>
      <c r="N100" t="s">
        <v>33</v>
      </c>
      <c r="O100" t="s">
        <v>1772</v>
      </c>
      <c r="P100">
        <v>11</v>
      </c>
      <c r="Q100" t="s">
        <v>19</v>
      </c>
      <c r="R100" s="2">
        <v>3.6111111111111108E-2</v>
      </c>
      <c r="S100">
        <v>52</v>
      </c>
      <c r="T100">
        <v>76.53</v>
      </c>
      <c r="U100">
        <v>5</v>
      </c>
      <c r="V100">
        <v>0.45</v>
      </c>
      <c r="W100">
        <v>0.34399999999999997</v>
      </c>
    </row>
    <row r="101" spans="1:23" x14ac:dyDescent="0.3">
      <c r="A101" t="s">
        <v>805</v>
      </c>
      <c r="B101" s="1">
        <v>45202</v>
      </c>
      <c r="C101" s="2">
        <v>0.25972222222222224</v>
      </c>
      <c r="D101" t="s">
        <v>815</v>
      </c>
      <c r="E101">
        <v>79</v>
      </c>
      <c r="F101" t="s">
        <v>807</v>
      </c>
      <c r="G101" t="s">
        <v>815</v>
      </c>
      <c r="H101" t="s">
        <v>33</v>
      </c>
      <c r="I101">
        <v>-1.648264</v>
      </c>
      <c r="J101">
        <v>28.866143999999998</v>
      </c>
      <c r="K101" t="s">
        <v>1495</v>
      </c>
      <c r="L101" t="s">
        <v>1496</v>
      </c>
      <c r="M101" t="s">
        <v>329</v>
      </c>
      <c r="N101" t="s">
        <v>33</v>
      </c>
      <c r="O101" t="s">
        <v>1712</v>
      </c>
      <c r="P101">
        <v>55</v>
      </c>
      <c r="Q101" t="s">
        <v>14</v>
      </c>
      <c r="R101" s="2">
        <v>0.27013888888888887</v>
      </c>
      <c r="S101">
        <v>389</v>
      </c>
      <c r="T101">
        <v>67.430000000000007</v>
      </c>
      <c r="U101">
        <v>3</v>
      </c>
      <c r="V101">
        <v>0.1</v>
      </c>
      <c r="W101">
        <v>6.7000000000000004E-2</v>
      </c>
    </row>
    <row r="102" spans="1:23" x14ac:dyDescent="0.3">
      <c r="A102" t="s">
        <v>805</v>
      </c>
      <c r="B102" s="1">
        <v>45202</v>
      </c>
      <c r="C102" s="2">
        <v>0.25972222222222224</v>
      </c>
      <c r="D102" t="s">
        <v>815</v>
      </c>
      <c r="E102">
        <v>79</v>
      </c>
      <c r="F102" t="s">
        <v>807</v>
      </c>
      <c r="G102" t="s">
        <v>815</v>
      </c>
      <c r="H102" t="s">
        <v>33</v>
      </c>
      <c r="I102">
        <v>-1.648264</v>
      </c>
      <c r="J102">
        <v>28.866143999999998</v>
      </c>
      <c r="K102" t="s">
        <v>1495</v>
      </c>
      <c r="L102" t="s">
        <v>1496</v>
      </c>
      <c r="M102" t="s">
        <v>331</v>
      </c>
      <c r="N102" t="s">
        <v>33</v>
      </c>
      <c r="O102" t="s">
        <v>1773</v>
      </c>
      <c r="P102">
        <v>32</v>
      </c>
      <c r="Q102" t="s">
        <v>14</v>
      </c>
      <c r="R102" s="2">
        <v>2.7777777777777779E-3</v>
      </c>
      <c r="S102">
        <v>4</v>
      </c>
      <c r="T102">
        <v>39</v>
      </c>
      <c r="U102">
        <v>0</v>
      </c>
      <c r="V102">
        <v>0.1</v>
      </c>
      <c r="W102">
        <v>3.9E-2</v>
      </c>
    </row>
    <row r="103" spans="1:23" x14ac:dyDescent="0.3">
      <c r="A103" t="s">
        <v>805</v>
      </c>
      <c r="B103" s="1">
        <v>45202</v>
      </c>
      <c r="C103" s="2">
        <v>0.25972222222222224</v>
      </c>
      <c r="D103" t="s">
        <v>815</v>
      </c>
      <c r="E103">
        <v>79</v>
      </c>
      <c r="F103" t="s">
        <v>807</v>
      </c>
      <c r="G103" t="s">
        <v>815</v>
      </c>
      <c r="H103" t="s">
        <v>33</v>
      </c>
      <c r="I103">
        <v>-1.648264</v>
      </c>
      <c r="J103">
        <v>28.866143999999998</v>
      </c>
      <c r="K103" t="s">
        <v>1495</v>
      </c>
      <c r="L103" t="s">
        <v>1496</v>
      </c>
      <c r="M103" t="s">
        <v>380</v>
      </c>
      <c r="N103" t="s">
        <v>33</v>
      </c>
      <c r="O103" t="s">
        <v>1774</v>
      </c>
      <c r="P103">
        <v>19</v>
      </c>
      <c r="Q103" t="s">
        <v>22</v>
      </c>
      <c r="R103" s="2">
        <v>0.23194444444444445</v>
      </c>
      <c r="S103">
        <v>334</v>
      </c>
      <c r="T103">
        <v>96.91</v>
      </c>
      <c r="U103">
        <v>1</v>
      </c>
      <c r="V103">
        <v>0.45</v>
      </c>
      <c r="W103">
        <v>0.436</v>
      </c>
    </row>
    <row r="104" spans="1:23" x14ac:dyDescent="0.3">
      <c r="A104" t="s">
        <v>805</v>
      </c>
      <c r="B104" s="1">
        <v>45202</v>
      </c>
      <c r="C104" s="2">
        <v>0.25972222222222224</v>
      </c>
      <c r="D104" t="s">
        <v>815</v>
      </c>
      <c r="E104">
        <v>79</v>
      </c>
      <c r="F104" t="s">
        <v>807</v>
      </c>
      <c r="G104" t="s">
        <v>815</v>
      </c>
      <c r="H104" t="s">
        <v>33</v>
      </c>
      <c r="I104">
        <v>-1.648264</v>
      </c>
      <c r="J104">
        <v>28.866143999999998</v>
      </c>
      <c r="K104" t="s">
        <v>1495</v>
      </c>
      <c r="L104" t="s">
        <v>1496</v>
      </c>
      <c r="M104" t="s">
        <v>407</v>
      </c>
      <c r="N104" t="s">
        <v>33</v>
      </c>
      <c r="O104" t="s">
        <v>1775</v>
      </c>
      <c r="P104">
        <v>49</v>
      </c>
      <c r="Q104" t="s">
        <v>14</v>
      </c>
      <c r="R104" s="2">
        <v>0.15902777777777777</v>
      </c>
      <c r="S104">
        <v>229</v>
      </c>
      <c r="T104">
        <v>53.94</v>
      </c>
      <c r="U104">
        <v>5</v>
      </c>
      <c r="V104">
        <v>0.1</v>
      </c>
      <c r="W104">
        <v>5.3999999999999999E-2</v>
      </c>
    </row>
    <row r="105" spans="1:23" x14ac:dyDescent="0.3">
      <c r="A105" t="s">
        <v>805</v>
      </c>
      <c r="B105" s="1">
        <v>45202</v>
      </c>
      <c r="C105" s="2">
        <v>0.25972222222222224</v>
      </c>
      <c r="D105" t="s">
        <v>815</v>
      </c>
      <c r="E105">
        <v>79</v>
      </c>
      <c r="F105" t="s">
        <v>807</v>
      </c>
      <c r="G105" t="s">
        <v>815</v>
      </c>
      <c r="H105" t="s">
        <v>33</v>
      </c>
      <c r="I105">
        <v>-1.648264</v>
      </c>
      <c r="J105">
        <v>28.866143999999998</v>
      </c>
      <c r="K105" t="s">
        <v>1495</v>
      </c>
      <c r="L105" t="s">
        <v>1496</v>
      </c>
      <c r="M105" t="s">
        <v>415</v>
      </c>
      <c r="N105" t="s">
        <v>33</v>
      </c>
      <c r="O105" t="s">
        <v>1742</v>
      </c>
      <c r="P105">
        <v>68</v>
      </c>
      <c r="Q105" t="s">
        <v>14</v>
      </c>
      <c r="R105" s="2">
        <v>0.32083333333333336</v>
      </c>
      <c r="S105">
        <v>462</v>
      </c>
      <c r="T105">
        <v>41.91</v>
      </c>
      <c r="U105">
        <v>1</v>
      </c>
      <c r="V105">
        <v>0.1</v>
      </c>
      <c r="W105">
        <v>4.2000000000000003E-2</v>
      </c>
    </row>
    <row r="106" spans="1:23" x14ac:dyDescent="0.3">
      <c r="A106" t="s">
        <v>805</v>
      </c>
      <c r="B106" s="1">
        <v>45202</v>
      </c>
      <c r="C106" s="2">
        <v>0.25972222222222224</v>
      </c>
      <c r="D106" t="s">
        <v>815</v>
      </c>
      <c r="E106">
        <v>79</v>
      </c>
      <c r="F106" t="s">
        <v>807</v>
      </c>
      <c r="G106" t="s">
        <v>815</v>
      </c>
      <c r="H106" t="s">
        <v>33</v>
      </c>
      <c r="I106">
        <v>-1.648264</v>
      </c>
      <c r="J106">
        <v>28.866143999999998</v>
      </c>
      <c r="K106" t="s">
        <v>1495</v>
      </c>
      <c r="L106" t="s">
        <v>1496</v>
      </c>
      <c r="M106" t="s">
        <v>451</v>
      </c>
      <c r="N106" t="s">
        <v>33</v>
      </c>
      <c r="O106" t="s">
        <v>1721</v>
      </c>
      <c r="P106">
        <v>36</v>
      </c>
      <c r="Q106" t="s">
        <v>19</v>
      </c>
      <c r="R106" s="2">
        <v>0.21041666666666667</v>
      </c>
      <c r="S106">
        <v>303</v>
      </c>
      <c r="T106">
        <v>89.56</v>
      </c>
      <c r="U106">
        <v>1</v>
      </c>
      <c r="V106">
        <v>0.45</v>
      </c>
      <c r="W106">
        <v>0.40300000000000002</v>
      </c>
    </row>
    <row r="107" spans="1:23" x14ac:dyDescent="0.3">
      <c r="A107" t="s">
        <v>805</v>
      </c>
      <c r="B107" s="1">
        <v>45202</v>
      </c>
      <c r="C107" s="2">
        <v>0.25972222222222224</v>
      </c>
      <c r="D107" t="s">
        <v>815</v>
      </c>
      <c r="E107">
        <v>79</v>
      </c>
      <c r="F107" t="s">
        <v>807</v>
      </c>
      <c r="G107" t="s">
        <v>815</v>
      </c>
      <c r="H107" t="s">
        <v>33</v>
      </c>
      <c r="I107">
        <v>-1.648264</v>
      </c>
      <c r="J107">
        <v>28.866143999999998</v>
      </c>
      <c r="K107" t="s">
        <v>1495</v>
      </c>
      <c r="L107" t="s">
        <v>1496</v>
      </c>
      <c r="M107" t="s">
        <v>462</v>
      </c>
      <c r="N107" t="s">
        <v>33</v>
      </c>
      <c r="O107" t="s">
        <v>1776</v>
      </c>
      <c r="P107">
        <v>7</v>
      </c>
      <c r="Q107" t="s">
        <v>14</v>
      </c>
      <c r="R107" s="2">
        <v>0.18611111111111112</v>
      </c>
      <c r="S107">
        <v>268</v>
      </c>
      <c r="T107">
        <v>33.04</v>
      </c>
      <c r="U107">
        <v>5</v>
      </c>
      <c r="V107">
        <v>0.1</v>
      </c>
      <c r="W107">
        <v>3.3000000000000002E-2</v>
      </c>
    </row>
    <row r="108" spans="1:23" x14ac:dyDescent="0.3">
      <c r="A108" t="s">
        <v>805</v>
      </c>
      <c r="B108" s="1">
        <v>45202</v>
      </c>
      <c r="C108" s="2">
        <v>0.25972222222222224</v>
      </c>
      <c r="D108" t="s">
        <v>815</v>
      </c>
      <c r="E108">
        <v>79</v>
      </c>
      <c r="F108" t="s">
        <v>807</v>
      </c>
      <c r="G108" t="s">
        <v>815</v>
      </c>
      <c r="H108" t="s">
        <v>33</v>
      </c>
      <c r="I108">
        <v>-1.648264</v>
      </c>
      <c r="J108">
        <v>28.866143999999998</v>
      </c>
      <c r="K108" t="s">
        <v>1495</v>
      </c>
      <c r="L108" t="s">
        <v>1496</v>
      </c>
      <c r="M108" t="s">
        <v>473</v>
      </c>
      <c r="N108" t="s">
        <v>33</v>
      </c>
      <c r="O108" t="s">
        <v>1777</v>
      </c>
      <c r="P108">
        <v>56</v>
      </c>
      <c r="Q108" t="s">
        <v>19</v>
      </c>
      <c r="R108" s="2">
        <v>7.9166666666666663E-2</v>
      </c>
      <c r="S108">
        <v>114</v>
      </c>
      <c r="T108">
        <v>64.39</v>
      </c>
      <c r="U108">
        <v>1</v>
      </c>
      <c r="V108">
        <v>0.45</v>
      </c>
      <c r="W108">
        <v>0.28999999999999998</v>
      </c>
    </row>
    <row r="109" spans="1:23" x14ac:dyDescent="0.3">
      <c r="A109" t="s">
        <v>805</v>
      </c>
      <c r="B109" s="1">
        <v>45202</v>
      </c>
      <c r="C109" s="2">
        <v>0.25972222222222224</v>
      </c>
      <c r="D109" t="s">
        <v>815</v>
      </c>
      <c r="E109">
        <v>79</v>
      </c>
      <c r="F109" t="s">
        <v>807</v>
      </c>
      <c r="G109" t="s">
        <v>815</v>
      </c>
      <c r="H109" t="s">
        <v>33</v>
      </c>
      <c r="I109">
        <v>-1.648264</v>
      </c>
      <c r="J109">
        <v>28.866143999999998</v>
      </c>
      <c r="K109" t="s">
        <v>1495</v>
      </c>
      <c r="L109" t="s">
        <v>1496</v>
      </c>
      <c r="M109" t="s">
        <v>478</v>
      </c>
      <c r="N109" t="s">
        <v>33</v>
      </c>
      <c r="O109" t="s">
        <v>1778</v>
      </c>
      <c r="P109">
        <v>43</v>
      </c>
      <c r="Q109" t="s">
        <v>19</v>
      </c>
      <c r="R109" s="2">
        <v>1.3888888888888888E-2</v>
      </c>
      <c r="S109">
        <v>20</v>
      </c>
      <c r="T109">
        <v>66.680000000000007</v>
      </c>
      <c r="U109">
        <v>5</v>
      </c>
      <c r="V109">
        <v>0.45</v>
      </c>
      <c r="W109">
        <v>0.3</v>
      </c>
    </row>
    <row r="110" spans="1:23" x14ac:dyDescent="0.3">
      <c r="A110" t="s">
        <v>854</v>
      </c>
      <c r="B110" s="1">
        <v>45221</v>
      </c>
      <c r="C110" s="2">
        <v>0.77500000000000002</v>
      </c>
      <c r="D110" t="s">
        <v>889</v>
      </c>
      <c r="E110">
        <v>24</v>
      </c>
      <c r="F110" t="s">
        <v>807</v>
      </c>
      <c r="G110" t="s">
        <v>889</v>
      </c>
      <c r="H110" t="s">
        <v>16</v>
      </c>
      <c r="I110">
        <v>-11.514188000000001</v>
      </c>
      <c r="J110">
        <v>15.971181</v>
      </c>
      <c r="K110" t="s">
        <v>1495</v>
      </c>
      <c r="L110" t="s">
        <v>1496</v>
      </c>
      <c r="M110" t="s">
        <v>15</v>
      </c>
      <c r="N110" t="s">
        <v>16</v>
      </c>
      <c r="O110" t="s">
        <v>1779</v>
      </c>
      <c r="P110">
        <v>34</v>
      </c>
      <c r="Q110" t="s">
        <v>14</v>
      </c>
      <c r="R110" s="2">
        <v>0.31458333333333333</v>
      </c>
      <c r="S110">
        <v>453</v>
      </c>
      <c r="T110">
        <v>56.84</v>
      </c>
      <c r="U110">
        <v>0</v>
      </c>
      <c r="V110">
        <v>0.1</v>
      </c>
      <c r="W110">
        <v>5.7000000000000002E-2</v>
      </c>
    </row>
    <row r="111" spans="1:23" x14ac:dyDescent="0.3">
      <c r="A111" t="s">
        <v>854</v>
      </c>
      <c r="B111" s="1">
        <v>45221</v>
      </c>
      <c r="C111" s="2">
        <v>0.77500000000000002</v>
      </c>
      <c r="D111" t="s">
        <v>889</v>
      </c>
      <c r="E111">
        <v>24</v>
      </c>
      <c r="F111" t="s">
        <v>807</v>
      </c>
      <c r="G111" t="s">
        <v>889</v>
      </c>
      <c r="H111" t="s">
        <v>16</v>
      </c>
      <c r="I111">
        <v>-11.514188000000001</v>
      </c>
      <c r="J111">
        <v>15.971181</v>
      </c>
      <c r="K111" t="s">
        <v>1495</v>
      </c>
      <c r="L111" t="s">
        <v>1496</v>
      </c>
      <c r="M111" t="s">
        <v>156</v>
      </c>
      <c r="N111" t="s">
        <v>16</v>
      </c>
      <c r="O111" t="s">
        <v>1780</v>
      </c>
      <c r="P111">
        <v>42</v>
      </c>
      <c r="Q111" t="s">
        <v>22</v>
      </c>
      <c r="R111" s="2">
        <v>0.12013888888888889</v>
      </c>
      <c r="S111">
        <v>173</v>
      </c>
      <c r="T111">
        <v>69.19</v>
      </c>
      <c r="U111">
        <v>4</v>
      </c>
      <c r="V111">
        <v>0.45</v>
      </c>
      <c r="W111">
        <v>0.311</v>
      </c>
    </row>
    <row r="112" spans="1:23" x14ac:dyDescent="0.3">
      <c r="A112" t="s">
        <v>854</v>
      </c>
      <c r="B112" s="1">
        <v>45221</v>
      </c>
      <c r="C112" s="2">
        <v>0.77500000000000002</v>
      </c>
      <c r="D112" t="s">
        <v>889</v>
      </c>
      <c r="E112">
        <v>24</v>
      </c>
      <c r="F112" t="s">
        <v>807</v>
      </c>
      <c r="G112" t="s">
        <v>889</v>
      </c>
      <c r="H112" t="s">
        <v>16</v>
      </c>
      <c r="I112">
        <v>-11.514188000000001</v>
      </c>
      <c r="J112">
        <v>15.971181</v>
      </c>
      <c r="K112" t="s">
        <v>1495</v>
      </c>
      <c r="L112" t="s">
        <v>1496</v>
      </c>
      <c r="M112" t="s">
        <v>208</v>
      </c>
      <c r="N112" t="s">
        <v>16</v>
      </c>
      <c r="O112" t="s">
        <v>1769</v>
      </c>
      <c r="P112">
        <v>64</v>
      </c>
      <c r="Q112" t="s">
        <v>14</v>
      </c>
      <c r="R112" s="2">
        <v>0.25694444444444442</v>
      </c>
      <c r="S112">
        <v>370</v>
      </c>
      <c r="T112">
        <v>95.74</v>
      </c>
      <c r="U112">
        <v>1</v>
      </c>
      <c r="V112">
        <v>0.1</v>
      </c>
      <c r="W112">
        <v>9.6000000000000002E-2</v>
      </c>
    </row>
    <row r="113" spans="1:23" x14ac:dyDescent="0.3">
      <c r="A113" t="s">
        <v>854</v>
      </c>
      <c r="B113" s="1">
        <v>45221</v>
      </c>
      <c r="C113" s="2">
        <v>0.77500000000000002</v>
      </c>
      <c r="D113" t="s">
        <v>889</v>
      </c>
      <c r="E113">
        <v>24</v>
      </c>
      <c r="F113" t="s">
        <v>807</v>
      </c>
      <c r="G113" t="s">
        <v>889</v>
      </c>
      <c r="H113" t="s">
        <v>16</v>
      </c>
      <c r="I113">
        <v>-11.514188000000001</v>
      </c>
      <c r="J113">
        <v>15.971181</v>
      </c>
      <c r="K113" t="s">
        <v>1495</v>
      </c>
      <c r="L113" t="s">
        <v>1496</v>
      </c>
      <c r="M113" t="s">
        <v>222</v>
      </c>
      <c r="N113" t="s">
        <v>16</v>
      </c>
      <c r="O113" t="s">
        <v>1781</v>
      </c>
      <c r="P113">
        <v>26</v>
      </c>
      <c r="Q113" t="s">
        <v>19</v>
      </c>
      <c r="R113" s="2">
        <v>0.12083333333333333</v>
      </c>
      <c r="S113">
        <v>174</v>
      </c>
      <c r="T113">
        <v>90.53</v>
      </c>
      <c r="U113">
        <v>3</v>
      </c>
      <c r="V113">
        <v>0.45</v>
      </c>
      <c r="W113">
        <v>0.40699999999999997</v>
      </c>
    </row>
    <row r="114" spans="1:23" x14ac:dyDescent="0.3">
      <c r="A114" t="s">
        <v>854</v>
      </c>
      <c r="B114" s="1">
        <v>45221</v>
      </c>
      <c r="C114" s="2">
        <v>0.77500000000000002</v>
      </c>
      <c r="D114" t="s">
        <v>889</v>
      </c>
      <c r="E114">
        <v>24</v>
      </c>
      <c r="F114" t="s">
        <v>807</v>
      </c>
      <c r="G114" t="s">
        <v>889</v>
      </c>
      <c r="H114" t="s">
        <v>16</v>
      </c>
      <c r="I114">
        <v>-11.514188000000001</v>
      </c>
      <c r="J114">
        <v>15.971181</v>
      </c>
      <c r="K114" t="s">
        <v>1495</v>
      </c>
      <c r="L114" t="s">
        <v>1496</v>
      </c>
      <c r="M114" t="s">
        <v>266</v>
      </c>
      <c r="N114" t="s">
        <v>16</v>
      </c>
      <c r="O114" t="s">
        <v>1730</v>
      </c>
      <c r="P114">
        <v>18</v>
      </c>
      <c r="Q114" t="s">
        <v>22</v>
      </c>
      <c r="R114" s="2">
        <v>2.361111111111111E-2</v>
      </c>
      <c r="S114">
        <v>34</v>
      </c>
      <c r="T114">
        <v>43.71</v>
      </c>
      <c r="U114">
        <v>1</v>
      </c>
      <c r="V114">
        <v>0.45</v>
      </c>
      <c r="W114">
        <v>0.19700000000000001</v>
      </c>
    </row>
    <row r="115" spans="1:23" x14ac:dyDescent="0.3">
      <c r="A115" t="s">
        <v>854</v>
      </c>
      <c r="B115" s="1">
        <v>45221</v>
      </c>
      <c r="C115" s="2">
        <v>0.77500000000000002</v>
      </c>
      <c r="D115" t="s">
        <v>889</v>
      </c>
      <c r="E115">
        <v>24</v>
      </c>
      <c r="F115" t="s">
        <v>807</v>
      </c>
      <c r="G115" t="s">
        <v>889</v>
      </c>
      <c r="H115" t="s">
        <v>16</v>
      </c>
      <c r="I115">
        <v>-11.514188000000001</v>
      </c>
      <c r="J115">
        <v>15.971181</v>
      </c>
      <c r="K115" t="s">
        <v>1495</v>
      </c>
      <c r="L115" t="s">
        <v>1496</v>
      </c>
      <c r="M115" t="s">
        <v>343</v>
      </c>
      <c r="N115" t="s">
        <v>16</v>
      </c>
      <c r="O115" t="s">
        <v>1765</v>
      </c>
      <c r="P115">
        <v>76</v>
      </c>
      <c r="Q115" t="s">
        <v>19</v>
      </c>
      <c r="R115" s="2">
        <v>0.13333333333333333</v>
      </c>
      <c r="S115">
        <v>192</v>
      </c>
      <c r="T115">
        <v>68.53</v>
      </c>
      <c r="U115">
        <v>0</v>
      </c>
      <c r="V115">
        <v>0.45</v>
      </c>
      <c r="W115">
        <v>0.308</v>
      </c>
    </row>
    <row r="116" spans="1:23" x14ac:dyDescent="0.3">
      <c r="A116" t="s">
        <v>854</v>
      </c>
      <c r="B116" s="1">
        <v>45221</v>
      </c>
      <c r="C116" s="2">
        <v>0.77500000000000002</v>
      </c>
      <c r="D116" t="s">
        <v>889</v>
      </c>
      <c r="E116">
        <v>24</v>
      </c>
      <c r="F116" t="s">
        <v>807</v>
      </c>
      <c r="G116" t="s">
        <v>889</v>
      </c>
      <c r="H116" t="s">
        <v>16</v>
      </c>
      <c r="I116">
        <v>-11.514188000000001</v>
      </c>
      <c r="J116">
        <v>15.971181</v>
      </c>
      <c r="K116" t="s">
        <v>1495</v>
      </c>
      <c r="L116" t="s">
        <v>1496</v>
      </c>
      <c r="M116" t="s">
        <v>355</v>
      </c>
      <c r="N116" t="s">
        <v>16</v>
      </c>
      <c r="O116" t="s">
        <v>1782</v>
      </c>
      <c r="P116">
        <v>102</v>
      </c>
      <c r="Q116" t="s">
        <v>19</v>
      </c>
      <c r="R116" s="2">
        <v>6.3194444444444442E-2</v>
      </c>
      <c r="S116">
        <v>91</v>
      </c>
      <c r="T116">
        <v>34.64</v>
      </c>
      <c r="U116">
        <v>2</v>
      </c>
      <c r="V116">
        <v>0.45</v>
      </c>
      <c r="W116">
        <v>0.156</v>
      </c>
    </row>
    <row r="117" spans="1:23" x14ac:dyDescent="0.3">
      <c r="A117" t="s">
        <v>854</v>
      </c>
      <c r="B117" s="1">
        <v>45221</v>
      </c>
      <c r="C117" s="2">
        <v>0.77500000000000002</v>
      </c>
      <c r="D117" t="s">
        <v>889</v>
      </c>
      <c r="E117">
        <v>24</v>
      </c>
      <c r="F117" t="s">
        <v>807</v>
      </c>
      <c r="G117" t="s">
        <v>889</v>
      </c>
      <c r="H117" t="s">
        <v>16</v>
      </c>
      <c r="I117">
        <v>-11.514188000000001</v>
      </c>
      <c r="J117">
        <v>15.971181</v>
      </c>
      <c r="K117" t="s">
        <v>1495</v>
      </c>
      <c r="L117" t="s">
        <v>1496</v>
      </c>
      <c r="M117" t="s">
        <v>363</v>
      </c>
      <c r="N117" t="s">
        <v>16</v>
      </c>
      <c r="O117" t="s">
        <v>1783</v>
      </c>
      <c r="P117">
        <v>51</v>
      </c>
      <c r="Q117" t="s">
        <v>11</v>
      </c>
      <c r="R117" s="2">
        <v>0.15416666666666667</v>
      </c>
      <c r="S117">
        <v>222</v>
      </c>
      <c r="T117">
        <v>18.95</v>
      </c>
      <c r="U117">
        <v>4</v>
      </c>
      <c r="V117">
        <v>0.45</v>
      </c>
      <c r="W117">
        <v>8.5000000000000006E-2</v>
      </c>
    </row>
    <row r="118" spans="1:23" x14ac:dyDescent="0.3">
      <c r="A118" t="s">
        <v>854</v>
      </c>
      <c r="B118" s="1">
        <v>45221</v>
      </c>
      <c r="C118" s="2">
        <v>0.77500000000000002</v>
      </c>
      <c r="D118" t="s">
        <v>889</v>
      </c>
      <c r="E118">
        <v>24</v>
      </c>
      <c r="F118" t="s">
        <v>807</v>
      </c>
      <c r="G118" t="s">
        <v>889</v>
      </c>
      <c r="H118" t="s">
        <v>16</v>
      </c>
      <c r="I118">
        <v>-11.514188000000001</v>
      </c>
      <c r="J118">
        <v>15.971181</v>
      </c>
      <c r="K118" t="s">
        <v>1495</v>
      </c>
      <c r="L118" t="s">
        <v>1496</v>
      </c>
      <c r="M118" t="s">
        <v>364</v>
      </c>
      <c r="N118" t="s">
        <v>16</v>
      </c>
      <c r="O118" t="s">
        <v>1717</v>
      </c>
      <c r="P118">
        <v>2</v>
      </c>
      <c r="Q118" t="s">
        <v>14</v>
      </c>
      <c r="R118" s="2">
        <v>0.34444444444444444</v>
      </c>
      <c r="S118">
        <v>496</v>
      </c>
      <c r="T118">
        <v>15.71</v>
      </c>
      <c r="U118">
        <v>3</v>
      </c>
      <c r="V118">
        <v>0.1</v>
      </c>
      <c r="W118">
        <v>1.6E-2</v>
      </c>
    </row>
    <row r="119" spans="1:23" x14ac:dyDescent="0.3">
      <c r="A119" t="s">
        <v>854</v>
      </c>
      <c r="B119" s="1">
        <v>45221</v>
      </c>
      <c r="C119" s="2">
        <v>0.77500000000000002</v>
      </c>
      <c r="D119" t="s">
        <v>889</v>
      </c>
      <c r="E119">
        <v>24</v>
      </c>
      <c r="F119" t="s">
        <v>807</v>
      </c>
      <c r="G119" t="s">
        <v>889</v>
      </c>
      <c r="H119" t="s">
        <v>16</v>
      </c>
      <c r="I119">
        <v>-11.514188000000001</v>
      </c>
      <c r="J119">
        <v>15.971181</v>
      </c>
      <c r="K119" t="s">
        <v>1495</v>
      </c>
      <c r="L119" t="s">
        <v>1496</v>
      </c>
      <c r="M119" t="s">
        <v>396</v>
      </c>
      <c r="N119" t="s">
        <v>16</v>
      </c>
      <c r="O119" t="s">
        <v>1784</v>
      </c>
      <c r="P119">
        <v>117</v>
      </c>
      <c r="Q119" t="s">
        <v>22</v>
      </c>
      <c r="R119" s="2">
        <v>0.23472222222222222</v>
      </c>
      <c r="S119">
        <v>338</v>
      </c>
      <c r="T119">
        <v>29.18</v>
      </c>
      <c r="U119">
        <v>5</v>
      </c>
      <c r="V119">
        <v>0.45</v>
      </c>
      <c r="W119">
        <v>0.13100000000000001</v>
      </c>
    </row>
    <row r="120" spans="1:23" x14ac:dyDescent="0.3">
      <c r="A120" t="s">
        <v>854</v>
      </c>
      <c r="B120" s="1">
        <v>45221</v>
      </c>
      <c r="C120" s="2">
        <v>0.77500000000000002</v>
      </c>
      <c r="D120" t="s">
        <v>889</v>
      </c>
      <c r="E120">
        <v>24</v>
      </c>
      <c r="F120" t="s">
        <v>807</v>
      </c>
      <c r="G120" t="s">
        <v>889</v>
      </c>
      <c r="H120" t="s">
        <v>16</v>
      </c>
      <c r="I120">
        <v>-11.514188000000001</v>
      </c>
      <c r="J120">
        <v>15.971181</v>
      </c>
      <c r="K120" t="s">
        <v>1495</v>
      </c>
      <c r="L120" t="s">
        <v>1496</v>
      </c>
      <c r="M120" t="s">
        <v>409</v>
      </c>
      <c r="N120" t="s">
        <v>16</v>
      </c>
      <c r="O120" t="s">
        <v>1775</v>
      </c>
      <c r="P120">
        <v>49</v>
      </c>
      <c r="Q120" t="s">
        <v>22</v>
      </c>
      <c r="R120" s="2">
        <v>5.9722222222222225E-2</v>
      </c>
      <c r="S120">
        <v>86</v>
      </c>
      <c r="T120">
        <v>65.400000000000006</v>
      </c>
      <c r="U120">
        <v>2</v>
      </c>
      <c r="V120">
        <v>0.45</v>
      </c>
      <c r="W120">
        <v>0.29399999999999998</v>
      </c>
    </row>
    <row r="121" spans="1:23" x14ac:dyDescent="0.3">
      <c r="A121" t="s">
        <v>854</v>
      </c>
      <c r="B121" s="1">
        <v>45221</v>
      </c>
      <c r="C121" s="2">
        <v>0.77500000000000002</v>
      </c>
      <c r="D121" t="s">
        <v>889</v>
      </c>
      <c r="E121">
        <v>24</v>
      </c>
      <c r="F121" t="s">
        <v>807</v>
      </c>
      <c r="G121" t="s">
        <v>889</v>
      </c>
      <c r="H121" t="s">
        <v>16</v>
      </c>
      <c r="I121">
        <v>-11.514188000000001</v>
      </c>
      <c r="J121">
        <v>15.971181</v>
      </c>
      <c r="K121" t="s">
        <v>1495</v>
      </c>
      <c r="L121" t="s">
        <v>1496</v>
      </c>
      <c r="M121" t="s">
        <v>412</v>
      </c>
      <c r="N121" t="s">
        <v>16</v>
      </c>
      <c r="O121" t="s">
        <v>1761</v>
      </c>
      <c r="P121">
        <v>119</v>
      </c>
      <c r="Q121" t="s">
        <v>14</v>
      </c>
      <c r="R121" s="2">
        <v>0.31319444444444444</v>
      </c>
      <c r="S121">
        <v>451</v>
      </c>
      <c r="T121">
        <v>10.46</v>
      </c>
      <c r="U121">
        <v>5</v>
      </c>
      <c r="V121">
        <v>0.1</v>
      </c>
      <c r="W121">
        <v>0.01</v>
      </c>
    </row>
    <row r="122" spans="1:23" x14ac:dyDescent="0.3">
      <c r="A122" t="s">
        <v>854</v>
      </c>
      <c r="B122" s="1">
        <v>45221</v>
      </c>
      <c r="C122" s="2">
        <v>0.77500000000000002</v>
      </c>
      <c r="D122" t="s">
        <v>889</v>
      </c>
      <c r="E122">
        <v>24</v>
      </c>
      <c r="F122" t="s">
        <v>807</v>
      </c>
      <c r="G122" t="s">
        <v>889</v>
      </c>
      <c r="H122" t="s">
        <v>16</v>
      </c>
      <c r="I122">
        <v>-11.514188000000001</v>
      </c>
      <c r="J122">
        <v>15.971181</v>
      </c>
      <c r="K122" t="s">
        <v>1495</v>
      </c>
      <c r="L122" t="s">
        <v>1496</v>
      </c>
      <c r="M122" t="s">
        <v>414</v>
      </c>
      <c r="N122" t="s">
        <v>16</v>
      </c>
      <c r="O122" t="s">
        <v>1770</v>
      </c>
      <c r="P122">
        <v>23</v>
      </c>
      <c r="Q122" t="s">
        <v>11</v>
      </c>
      <c r="R122" s="2">
        <v>0.18611111111111112</v>
      </c>
      <c r="S122">
        <v>268</v>
      </c>
      <c r="T122">
        <v>26.75</v>
      </c>
      <c r="U122">
        <v>3</v>
      </c>
      <c r="V122">
        <v>0.45</v>
      </c>
      <c r="W122">
        <v>0.12</v>
      </c>
    </row>
    <row r="123" spans="1:23" x14ac:dyDescent="0.3">
      <c r="A123" t="s">
        <v>854</v>
      </c>
      <c r="B123" s="1">
        <v>45221</v>
      </c>
      <c r="C123" s="2">
        <v>0.77500000000000002</v>
      </c>
      <c r="D123" t="s">
        <v>889</v>
      </c>
      <c r="E123">
        <v>24</v>
      </c>
      <c r="F123" t="s">
        <v>807</v>
      </c>
      <c r="G123" t="s">
        <v>889</v>
      </c>
      <c r="H123" t="s">
        <v>16</v>
      </c>
      <c r="I123">
        <v>-11.514188000000001</v>
      </c>
      <c r="J123">
        <v>15.971181</v>
      </c>
      <c r="K123" t="s">
        <v>1495</v>
      </c>
      <c r="L123" t="s">
        <v>1496</v>
      </c>
      <c r="M123" t="s">
        <v>420</v>
      </c>
      <c r="N123" t="s">
        <v>16</v>
      </c>
      <c r="O123" t="s">
        <v>1785</v>
      </c>
      <c r="P123">
        <v>106</v>
      </c>
      <c r="Q123" t="s">
        <v>14</v>
      </c>
      <c r="R123" s="2">
        <v>0.29791666666666666</v>
      </c>
      <c r="S123">
        <v>429</v>
      </c>
      <c r="T123">
        <v>23.83</v>
      </c>
      <c r="U123">
        <v>1</v>
      </c>
      <c r="V123">
        <v>0.1</v>
      </c>
      <c r="W123">
        <v>2.4E-2</v>
      </c>
    </row>
    <row r="124" spans="1:23" x14ac:dyDescent="0.3">
      <c r="A124" t="s">
        <v>854</v>
      </c>
      <c r="B124" s="1">
        <v>45221</v>
      </c>
      <c r="C124" s="2">
        <v>0.77500000000000002</v>
      </c>
      <c r="D124" t="s">
        <v>889</v>
      </c>
      <c r="E124">
        <v>24</v>
      </c>
      <c r="F124" t="s">
        <v>807</v>
      </c>
      <c r="G124" t="s">
        <v>889</v>
      </c>
      <c r="H124" t="s">
        <v>16</v>
      </c>
      <c r="I124">
        <v>-11.514188000000001</v>
      </c>
      <c r="J124">
        <v>15.971181</v>
      </c>
      <c r="K124" t="s">
        <v>1495</v>
      </c>
      <c r="L124" t="s">
        <v>1496</v>
      </c>
      <c r="M124" t="s">
        <v>443</v>
      </c>
      <c r="N124" t="s">
        <v>16</v>
      </c>
      <c r="O124" t="s">
        <v>1786</v>
      </c>
      <c r="P124">
        <v>95</v>
      </c>
      <c r="Q124" t="s">
        <v>11</v>
      </c>
      <c r="R124" s="2">
        <v>0.10277777777777777</v>
      </c>
      <c r="S124">
        <v>148</v>
      </c>
      <c r="T124">
        <v>76.95</v>
      </c>
      <c r="U124">
        <v>5</v>
      </c>
      <c r="V124">
        <v>0.45</v>
      </c>
      <c r="W124">
        <v>0.34599999999999997</v>
      </c>
    </row>
    <row r="125" spans="1:23" x14ac:dyDescent="0.3">
      <c r="A125" t="s">
        <v>854</v>
      </c>
      <c r="B125" s="1">
        <v>45221</v>
      </c>
      <c r="C125" s="2">
        <v>0.77500000000000002</v>
      </c>
      <c r="D125" t="s">
        <v>889</v>
      </c>
      <c r="E125">
        <v>24</v>
      </c>
      <c r="F125" t="s">
        <v>807</v>
      </c>
      <c r="G125" t="s">
        <v>889</v>
      </c>
      <c r="H125" t="s">
        <v>16</v>
      </c>
      <c r="I125">
        <v>-11.514188000000001</v>
      </c>
      <c r="J125">
        <v>15.971181</v>
      </c>
      <c r="K125" t="s">
        <v>1495</v>
      </c>
      <c r="L125" t="s">
        <v>1496</v>
      </c>
      <c r="M125" t="s">
        <v>464</v>
      </c>
      <c r="N125" t="s">
        <v>16</v>
      </c>
      <c r="O125" t="s">
        <v>1738</v>
      </c>
      <c r="P125">
        <v>96</v>
      </c>
      <c r="Q125" t="s">
        <v>22</v>
      </c>
      <c r="R125" s="2">
        <v>0.1076388888888889</v>
      </c>
      <c r="S125">
        <v>155</v>
      </c>
      <c r="T125">
        <v>69.16</v>
      </c>
      <c r="U125">
        <v>4</v>
      </c>
      <c r="V125">
        <v>0.45</v>
      </c>
      <c r="W125">
        <v>0.311</v>
      </c>
    </row>
    <row r="126" spans="1:23" x14ac:dyDescent="0.3">
      <c r="A126" t="s">
        <v>854</v>
      </c>
      <c r="B126" s="1">
        <v>45221</v>
      </c>
      <c r="C126" s="2">
        <v>0.77500000000000002</v>
      </c>
      <c r="D126" t="s">
        <v>889</v>
      </c>
      <c r="E126">
        <v>24</v>
      </c>
      <c r="F126" t="s">
        <v>807</v>
      </c>
      <c r="G126" t="s">
        <v>889</v>
      </c>
      <c r="H126" t="s">
        <v>16</v>
      </c>
      <c r="I126">
        <v>-11.514188000000001</v>
      </c>
      <c r="J126">
        <v>15.971181</v>
      </c>
      <c r="K126" t="s">
        <v>1495</v>
      </c>
      <c r="L126" t="s">
        <v>1496</v>
      </c>
      <c r="M126" t="s">
        <v>465</v>
      </c>
      <c r="N126" t="s">
        <v>16</v>
      </c>
      <c r="O126" t="s">
        <v>1780</v>
      </c>
      <c r="P126">
        <v>42</v>
      </c>
      <c r="Q126" t="s">
        <v>19</v>
      </c>
      <c r="R126" s="2">
        <v>0.30277777777777776</v>
      </c>
      <c r="S126">
        <v>436</v>
      </c>
      <c r="T126">
        <v>88.12</v>
      </c>
      <c r="U126">
        <v>0</v>
      </c>
      <c r="V126">
        <v>0.45</v>
      </c>
      <c r="W126">
        <v>0.39700000000000002</v>
      </c>
    </row>
    <row r="127" spans="1:23" x14ac:dyDescent="0.3">
      <c r="A127" t="s">
        <v>854</v>
      </c>
      <c r="B127" s="1">
        <v>45221</v>
      </c>
      <c r="C127" s="2">
        <v>0.77500000000000002</v>
      </c>
      <c r="D127" t="s">
        <v>889</v>
      </c>
      <c r="E127">
        <v>24</v>
      </c>
      <c r="F127" t="s">
        <v>807</v>
      </c>
      <c r="G127" t="s">
        <v>889</v>
      </c>
      <c r="H127" t="s">
        <v>16</v>
      </c>
      <c r="I127">
        <v>-11.514188000000001</v>
      </c>
      <c r="J127">
        <v>15.971181</v>
      </c>
      <c r="K127" t="s">
        <v>1495</v>
      </c>
      <c r="L127" t="s">
        <v>1496</v>
      </c>
      <c r="M127" t="s">
        <v>486</v>
      </c>
      <c r="N127" t="s">
        <v>16</v>
      </c>
      <c r="O127" t="s">
        <v>1787</v>
      </c>
      <c r="P127">
        <v>99</v>
      </c>
      <c r="Q127" t="s">
        <v>14</v>
      </c>
      <c r="R127" s="2">
        <v>9.583333333333334E-2</v>
      </c>
      <c r="S127">
        <v>138</v>
      </c>
      <c r="T127">
        <v>54.64</v>
      </c>
      <c r="U127">
        <v>5</v>
      </c>
      <c r="V127">
        <v>0.1</v>
      </c>
      <c r="W127">
        <v>5.5E-2</v>
      </c>
    </row>
    <row r="128" spans="1:23" x14ac:dyDescent="0.3">
      <c r="A128" t="s">
        <v>854</v>
      </c>
      <c r="B128" s="1">
        <v>45221</v>
      </c>
      <c r="C128" s="2">
        <v>0.77500000000000002</v>
      </c>
      <c r="D128" t="s">
        <v>889</v>
      </c>
      <c r="E128">
        <v>24</v>
      </c>
      <c r="F128" t="s">
        <v>807</v>
      </c>
      <c r="G128" t="s">
        <v>889</v>
      </c>
      <c r="H128" t="s">
        <v>16</v>
      </c>
      <c r="I128">
        <v>-11.514188000000001</v>
      </c>
      <c r="J128">
        <v>15.971181</v>
      </c>
      <c r="K128" t="s">
        <v>1495</v>
      </c>
      <c r="L128" t="s">
        <v>1496</v>
      </c>
      <c r="M128" t="s">
        <v>499</v>
      </c>
      <c r="N128" t="s">
        <v>16</v>
      </c>
      <c r="O128" t="s">
        <v>1740</v>
      </c>
      <c r="P128">
        <v>87</v>
      </c>
      <c r="Q128" t="s">
        <v>11</v>
      </c>
      <c r="R128" s="2">
        <v>0.24722222222222223</v>
      </c>
      <c r="S128">
        <v>356</v>
      </c>
      <c r="T128">
        <v>12.89</v>
      </c>
      <c r="U128">
        <v>0</v>
      </c>
      <c r="V128">
        <v>0.45</v>
      </c>
      <c r="W128">
        <v>5.8000000000000003E-2</v>
      </c>
    </row>
    <row r="129" spans="1:23" x14ac:dyDescent="0.3">
      <c r="A129" t="s">
        <v>854</v>
      </c>
      <c r="B129" s="1">
        <v>45221</v>
      </c>
      <c r="C129" s="2">
        <v>0.77500000000000002</v>
      </c>
      <c r="D129" t="s">
        <v>889</v>
      </c>
      <c r="E129">
        <v>24</v>
      </c>
      <c r="F129" t="s">
        <v>807</v>
      </c>
      <c r="G129" t="s">
        <v>889</v>
      </c>
      <c r="H129" t="s">
        <v>16</v>
      </c>
      <c r="I129">
        <v>-11.514188000000001</v>
      </c>
      <c r="J129">
        <v>15.971181</v>
      </c>
      <c r="K129" t="s">
        <v>1495</v>
      </c>
      <c r="L129" t="s">
        <v>1496</v>
      </c>
      <c r="M129" t="s">
        <v>519</v>
      </c>
      <c r="N129" t="s">
        <v>16</v>
      </c>
      <c r="O129" t="s">
        <v>1759</v>
      </c>
      <c r="P129">
        <v>104</v>
      </c>
      <c r="Q129" t="s">
        <v>14</v>
      </c>
      <c r="R129" s="2">
        <v>8.6805555555555552E-2</v>
      </c>
      <c r="S129">
        <v>125</v>
      </c>
      <c r="T129">
        <v>29.7</v>
      </c>
      <c r="U129">
        <v>2</v>
      </c>
      <c r="V129">
        <v>0.1</v>
      </c>
      <c r="W129">
        <v>0.03</v>
      </c>
    </row>
    <row r="130" spans="1:23" x14ac:dyDescent="0.3">
      <c r="A130" t="s">
        <v>854</v>
      </c>
      <c r="B130" s="1">
        <v>45221</v>
      </c>
      <c r="C130" s="2">
        <v>0.77500000000000002</v>
      </c>
      <c r="D130" t="s">
        <v>889</v>
      </c>
      <c r="E130">
        <v>24</v>
      </c>
      <c r="F130" t="s">
        <v>807</v>
      </c>
      <c r="G130" t="s">
        <v>889</v>
      </c>
      <c r="H130" t="s">
        <v>16</v>
      </c>
      <c r="I130">
        <v>-11.514188000000001</v>
      </c>
      <c r="J130">
        <v>15.971181</v>
      </c>
      <c r="K130" t="s">
        <v>1495</v>
      </c>
      <c r="L130" t="s">
        <v>1496</v>
      </c>
      <c r="M130" t="s">
        <v>547</v>
      </c>
      <c r="N130" t="s">
        <v>16</v>
      </c>
      <c r="O130" t="s">
        <v>1788</v>
      </c>
      <c r="P130">
        <v>120</v>
      </c>
      <c r="Q130" t="s">
        <v>19</v>
      </c>
      <c r="R130" s="2">
        <v>1.8749999999999999E-2</v>
      </c>
      <c r="S130">
        <v>27</v>
      </c>
      <c r="T130">
        <v>24.46</v>
      </c>
      <c r="U130">
        <v>3</v>
      </c>
      <c r="V130">
        <v>0.45</v>
      </c>
      <c r="W130">
        <v>0.11</v>
      </c>
    </row>
    <row r="131" spans="1:23" x14ac:dyDescent="0.3">
      <c r="A131" t="s">
        <v>854</v>
      </c>
      <c r="B131" s="1">
        <v>45221</v>
      </c>
      <c r="C131" s="2">
        <v>0.77500000000000002</v>
      </c>
      <c r="D131" t="s">
        <v>889</v>
      </c>
      <c r="E131">
        <v>24</v>
      </c>
      <c r="F131" t="s">
        <v>807</v>
      </c>
      <c r="G131" t="s">
        <v>889</v>
      </c>
      <c r="H131" t="s">
        <v>16</v>
      </c>
      <c r="I131">
        <v>-11.514188000000001</v>
      </c>
      <c r="J131">
        <v>15.971181</v>
      </c>
      <c r="K131" t="s">
        <v>1495</v>
      </c>
      <c r="L131" t="s">
        <v>1496</v>
      </c>
      <c r="M131" t="s">
        <v>556</v>
      </c>
      <c r="N131" t="s">
        <v>16</v>
      </c>
      <c r="O131" t="s">
        <v>1735</v>
      </c>
      <c r="P131">
        <v>10</v>
      </c>
      <c r="Q131" t="s">
        <v>14</v>
      </c>
      <c r="R131" s="2">
        <v>8.9583333333333334E-2</v>
      </c>
      <c r="S131">
        <v>129</v>
      </c>
      <c r="T131">
        <v>70.12</v>
      </c>
      <c r="U131">
        <v>0</v>
      </c>
      <c r="V131">
        <v>0.1</v>
      </c>
      <c r="W131">
        <v>7.0000000000000007E-2</v>
      </c>
    </row>
    <row r="132" spans="1:23" x14ac:dyDescent="0.3">
      <c r="A132" t="s">
        <v>898</v>
      </c>
      <c r="B132" s="1">
        <v>45210</v>
      </c>
      <c r="C132" s="2">
        <v>0.56805555555555554</v>
      </c>
      <c r="D132" t="s">
        <v>904</v>
      </c>
      <c r="E132">
        <v>96</v>
      </c>
      <c r="F132" t="s">
        <v>807</v>
      </c>
      <c r="G132" t="s">
        <v>904</v>
      </c>
      <c r="H132" t="s">
        <v>64</v>
      </c>
      <c r="I132">
        <v>-5.4126279999999998</v>
      </c>
      <c r="J132">
        <v>25.498235999999999</v>
      </c>
      <c r="K132" t="s">
        <v>1495</v>
      </c>
      <c r="L132" t="s">
        <v>1501</v>
      </c>
      <c r="M132" t="s">
        <v>63</v>
      </c>
      <c r="N132" t="s">
        <v>64</v>
      </c>
      <c r="O132" t="s">
        <v>1789</v>
      </c>
      <c r="P132">
        <v>79</v>
      </c>
      <c r="Q132" t="s">
        <v>11</v>
      </c>
      <c r="R132" s="2">
        <v>0.15694444444444444</v>
      </c>
      <c r="S132">
        <v>226</v>
      </c>
      <c r="T132">
        <v>94.38</v>
      </c>
      <c r="U132">
        <v>3</v>
      </c>
      <c r="V132">
        <v>0.45</v>
      </c>
      <c r="W132">
        <v>0.42499999999999999</v>
      </c>
    </row>
    <row r="133" spans="1:23" x14ac:dyDescent="0.3">
      <c r="A133" t="s">
        <v>898</v>
      </c>
      <c r="B133" s="1">
        <v>45210</v>
      </c>
      <c r="C133" s="2">
        <v>0.56805555555555554</v>
      </c>
      <c r="D133" t="s">
        <v>904</v>
      </c>
      <c r="E133">
        <v>96</v>
      </c>
      <c r="F133" t="s">
        <v>807</v>
      </c>
      <c r="G133" t="s">
        <v>904</v>
      </c>
      <c r="H133" t="s">
        <v>64</v>
      </c>
      <c r="I133">
        <v>-5.4126279999999998</v>
      </c>
      <c r="J133">
        <v>25.498235999999999</v>
      </c>
      <c r="K133" t="s">
        <v>1495</v>
      </c>
      <c r="L133" t="s">
        <v>1501</v>
      </c>
      <c r="M133" t="s">
        <v>101</v>
      </c>
      <c r="N133" t="s">
        <v>64</v>
      </c>
      <c r="O133" t="s">
        <v>1790</v>
      </c>
      <c r="P133">
        <v>80</v>
      </c>
      <c r="Q133" t="s">
        <v>19</v>
      </c>
      <c r="R133" s="2">
        <v>0.18055555555555555</v>
      </c>
      <c r="S133">
        <v>260</v>
      </c>
      <c r="T133">
        <v>65.87</v>
      </c>
      <c r="U133">
        <v>3</v>
      </c>
      <c r="V133">
        <v>0.45</v>
      </c>
      <c r="W133">
        <v>0.29599999999999999</v>
      </c>
    </row>
    <row r="134" spans="1:23" x14ac:dyDescent="0.3">
      <c r="A134" t="s">
        <v>898</v>
      </c>
      <c r="B134" s="1">
        <v>45210</v>
      </c>
      <c r="C134" s="2">
        <v>0.56805555555555554</v>
      </c>
      <c r="D134" t="s">
        <v>904</v>
      </c>
      <c r="E134">
        <v>96</v>
      </c>
      <c r="F134" t="s">
        <v>807</v>
      </c>
      <c r="G134" t="s">
        <v>904</v>
      </c>
      <c r="H134" t="s">
        <v>64</v>
      </c>
      <c r="I134">
        <v>-5.4126279999999998</v>
      </c>
      <c r="J134">
        <v>25.498235999999999</v>
      </c>
      <c r="K134" t="s">
        <v>1495</v>
      </c>
      <c r="L134" t="s">
        <v>1501</v>
      </c>
      <c r="M134" t="s">
        <v>115</v>
      </c>
      <c r="N134" t="s">
        <v>64</v>
      </c>
      <c r="O134" t="s">
        <v>1713</v>
      </c>
      <c r="P134">
        <v>83</v>
      </c>
      <c r="Q134" t="s">
        <v>22</v>
      </c>
      <c r="R134" s="2">
        <v>9.7222222222222224E-3</v>
      </c>
      <c r="S134">
        <v>14</v>
      </c>
      <c r="T134">
        <v>58.07</v>
      </c>
      <c r="U134">
        <v>3</v>
      </c>
      <c r="V134">
        <v>0.45</v>
      </c>
      <c r="W134">
        <v>0.26100000000000001</v>
      </c>
    </row>
    <row r="135" spans="1:23" x14ac:dyDescent="0.3">
      <c r="A135" t="s">
        <v>898</v>
      </c>
      <c r="B135" s="1">
        <v>45210</v>
      </c>
      <c r="C135" s="2">
        <v>0.56805555555555554</v>
      </c>
      <c r="D135" t="s">
        <v>904</v>
      </c>
      <c r="E135">
        <v>96</v>
      </c>
      <c r="F135" t="s">
        <v>807</v>
      </c>
      <c r="G135" t="s">
        <v>904</v>
      </c>
      <c r="H135" t="s">
        <v>64</v>
      </c>
      <c r="I135">
        <v>-5.4126279999999998</v>
      </c>
      <c r="J135">
        <v>25.498235999999999</v>
      </c>
      <c r="K135" t="s">
        <v>1495</v>
      </c>
      <c r="L135" t="s">
        <v>1501</v>
      </c>
      <c r="M135" t="s">
        <v>154</v>
      </c>
      <c r="N135" t="s">
        <v>64</v>
      </c>
      <c r="O135" t="s">
        <v>1776</v>
      </c>
      <c r="P135">
        <v>7</v>
      </c>
      <c r="Q135" t="s">
        <v>11</v>
      </c>
      <c r="R135" s="2">
        <v>0.22013888888888888</v>
      </c>
      <c r="S135">
        <v>317</v>
      </c>
      <c r="T135">
        <v>97.32</v>
      </c>
      <c r="U135">
        <v>1</v>
      </c>
      <c r="V135">
        <v>0.45</v>
      </c>
      <c r="W135">
        <v>0.438</v>
      </c>
    </row>
    <row r="136" spans="1:23" x14ac:dyDescent="0.3">
      <c r="A136" t="s">
        <v>898</v>
      </c>
      <c r="B136" s="1">
        <v>45210</v>
      </c>
      <c r="C136" s="2">
        <v>0.56805555555555554</v>
      </c>
      <c r="D136" t="s">
        <v>904</v>
      </c>
      <c r="E136">
        <v>96</v>
      </c>
      <c r="F136" t="s">
        <v>807</v>
      </c>
      <c r="G136" t="s">
        <v>904</v>
      </c>
      <c r="H136" t="s">
        <v>64</v>
      </c>
      <c r="I136">
        <v>-5.4126279999999998</v>
      </c>
      <c r="J136">
        <v>25.498235999999999</v>
      </c>
      <c r="K136" t="s">
        <v>1495</v>
      </c>
      <c r="L136" t="s">
        <v>1501</v>
      </c>
      <c r="M136" t="s">
        <v>188</v>
      </c>
      <c r="N136" t="s">
        <v>64</v>
      </c>
      <c r="O136" t="s">
        <v>1786</v>
      </c>
      <c r="P136">
        <v>95</v>
      </c>
      <c r="Q136" t="s">
        <v>14</v>
      </c>
      <c r="R136" s="2">
        <v>6.5972222222222224E-2</v>
      </c>
      <c r="S136">
        <v>95</v>
      </c>
      <c r="T136">
        <v>82.65</v>
      </c>
      <c r="U136">
        <v>2</v>
      </c>
      <c r="V136">
        <v>0.1</v>
      </c>
      <c r="W136">
        <v>8.3000000000000004E-2</v>
      </c>
    </row>
    <row r="137" spans="1:23" x14ac:dyDescent="0.3">
      <c r="A137" t="s">
        <v>898</v>
      </c>
      <c r="B137" s="1">
        <v>45210</v>
      </c>
      <c r="C137" s="2">
        <v>0.56805555555555554</v>
      </c>
      <c r="D137" t="s">
        <v>904</v>
      </c>
      <c r="E137">
        <v>96</v>
      </c>
      <c r="F137" t="s">
        <v>807</v>
      </c>
      <c r="G137" t="s">
        <v>904</v>
      </c>
      <c r="H137" t="s">
        <v>64</v>
      </c>
      <c r="I137">
        <v>-5.4126279999999998</v>
      </c>
      <c r="J137">
        <v>25.498235999999999</v>
      </c>
      <c r="K137" t="s">
        <v>1495</v>
      </c>
      <c r="L137" t="s">
        <v>1501</v>
      </c>
      <c r="M137" t="s">
        <v>301</v>
      </c>
      <c r="N137" t="s">
        <v>64</v>
      </c>
      <c r="O137" t="s">
        <v>1754</v>
      </c>
      <c r="P137">
        <v>114</v>
      </c>
      <c r="Q137" t="s">
        <v>19</v>
      </c>
      <c r="R137" s="2">
        <v>0.26944444444444443</v>
      </c>
      <c r="S137">
        <v>388</v>
      </c>
      <c r="T137">
        <v>40.29</v>
      </c>
      <c r="U137">
        <v>5</v>
      </c>
      <c r="V137">
        <v>0.45</v>
      </c>
      <c r="W137">
        <v>0.18099999999999999</v>
      </c>
    </row>
    <row r="138" spans="1:23" x14ac:dyDescent="0.3">
      <c r="A138" t="s">
        <v>898</v>
      </c>
      <c r="B138" s="1">
        <v>45210</v>
      </c>
      <c r="C138" s="2">
        <v>0.56805555555555554</v>
      </c>
      <c r="D138" t="s">
        <v>904</v>
      </c>
      <c r="E138">
        <v>96</v>
      </c>
      <c r="F138" t="s">
        <v>807</v>
      </c>
      <c r="G138" t="s">
        <v>904</v>
      </c>
      <c r="H138" t="s">
        <v>64</v>
      </c>
      <c r="I138">
        <v>-5.4126279999999998</v>
      </c>
      <c r="J138">
        <v>25.498235999999999</v>
      </c>
      <c r="K138" t="s">
        <v>1495</v>
      </c>
      <c r="L138" t="s">
        <v>1501</v>
      </c>
      <c r="M138" t="s">
        <v>332</v>
      </c>
      <c r="N138" t="s">
        <v>64</v>
      </c>
      <c r="O138" t="s">
        <v>1773</v>
      </c>
      <c r="P138">
        <v>32</v>
      </c>
      <c r="Q138" t="s">
        <v>22</v>
      </c>
      <c r="R138" s="2">
        <v>2.1527777777777778E-2</v>
      </c>
      <c r="S138">
        <v>31</v>
      </c>
      <c r="T138">
        <v>67.040000000000006</v>
      </c>
      <c r="U138">
        <v>1</v>
      </c>
      <c r="V138">
        <v>0.45</v>
      </c>
      <c r="W138">
        <v>0.30199999999999999</v>
      </c>
    </row>
    <row r="139" spans="1:23" x14ac:dyDescent="0.3">
      <c r="A139" t="s">
        <v>898</v>
      </c>
      <c r="B139" s="1">
        <v>45210</v>
      </c>
      <c r="C139" s="2">
        <v>0.56805555555555554</v>
      </c>
      <c r="D139" t="s">
        <v>904</v>
      </c>
      <c r="E139">
        <v>96</v>
      </c>
      <c r="F139" t="s">
        <v>807</v>
      </c>
      <c r="G139" t="s">
        <v>904</v>
      </c>
      <c r="H139" t="s">
        <v>64</v>
      </c>
      <c r="I139">
        <v>-5.4126279999999998</v>
      </c>
      <c r="J139">
        <v>25.498235999999999</v>
      </c>
      <c r="K139" t="s">
        <v>1495</v>
      </c>
      <c r="L139" t="s">
        <v>1501</v>
      </c>
      <c r="M139" t="s">
        <v>333</v>
      </c>
      <c r="N139" t="s">
        <v>64</v>
      </c>
      <c r="O139" t="s">
        <v>1791</v>
      </c>
      <c r="P139">
        <v>62</v>
      </c>
      <c r="Q139" t="s">
        <v>22</v>
      </c>
      <c r="R139" s="2">
        <v>9.4444444444444442E-2</v>
      </c>
      <c r="S139">
        <v>136</v>
      </c>
      <c r="T139">
        <v>88.61</v>
      </c>
      <c r="U139">
        <v>2</v>
      </c>
      <c r="V139">
        <v>0.45</v>
      </c>
      <c r="W139">
        <v>0.39900000000000002</v>
      </c>
    </row>
    <row r="140" spans="1:23" x14ac:dyDescent="0.3">
      <c r="A140" t="s">
        <v>898</v>
      </c>
      <c r="B140" s="1">
        <v>45210</v>
      </c>
      <c r="C140" s="2">
        <v>0.56805555555555554</v>
      </c>
      <c r="D140" t="s">
        <v>904</v>
      </c>
      <c r="E140">
        <v>96</v>
      </c>
      <c r="F140" t="s">
        <v>807</v>
      </c>
      <c r="G140" t="s">
        <v>904</v>
      </c>
      <c r="H140" t="s">
        <v>64</v>
      </c>
      <c r="I140">
        <v>-5.4126279999999998</v>
      </c>
      <c r="J140">
        <v>25.498235999999999</v>
      </c>
      <c r="K140" t="s">
        <v>1495</v>
      </c>
      <c r="L140" t="s">
        <v>1501</v>
      </c>
      <c r="M140" t="s">
        <v>390</v>
      </c>
      <c r="N140" t="s">
        <v>64</v>
      </c>
      <c r="O140" t="s">
        <v>1739</v>
      </c>
      <c r="P140">
        <v>40</v>
      </c>
      <c r="Q140" t="s">
        <v>11</v>
      </c>
      <c r="R140" s="2">
        <v>0.16458333333333333</v>
      </c>
      <c r="S140">
        <v>237</v>
      </c>
      <c r="T140">
        <v>24.51</v>
      </c>
      <c r="U140">
        <v>1</v>
      </c>
      <c r="V140">
        <v>0.45</v>
      </c>
      <c r="W140">
        <v>0.11</v>
      </c>
    </row>
    <row r="141" spans="1:23" x14ac:dyDescent="0.3">
      <c r="A141" t="s">
        <v>898</v>
      </c>
      <c r="B141" s="1">
        <v>45210</v>
      </c>
      <c r="C141" s="2">
        <v>0.56805555555555554</v>
      </c>
      <c r="D141" t="s">
        <v>904</v>
      </c>
      <c r="E141">
        <v>96</v>
      </c>
      <c r="F141" t="s">
        <v>807</v>
      </c>
      <c r="G141" t="s">
        <v>904</v>
      </c>
      <c r="H141" t="s">
        <v>64</v>
      </c>
      <c r="I141">
        <v>-5.4126279999999998</v>
      </c>
      <c r="J141">
        <v>25.498235999999999</v>
      </c>
      <c r="K141" t="s">
        <v>1495</v>
      </c>
      <c r="L141" t="s">
        <v>1501</v>
      </c>
      <c r="M141" t="s">
        <v>430</v>
      </c>
      <c r="N141" t="s">
        <v>64</v>
      </c>
      <c r="O141" t="s">
        <v>1726</v>
      </c>
      <c r="P141">
        <v>71</v>
      </c>
      <c r="Q141" t="s">
        <v>11</v>
      </c>
      <c r="R141" s="2">
        <v>0.13263888888888889</v>
      </c>
      <c r="S141">
        <v>191</v>
      </c>
      <c r="T141">
        <v>83.04</v>
      </c>
      <c r="U141">
        <v>4</v>
      </c>
      <c r="V141">
        <v>0.45</v>
      </c>
      <c r="W141">
        <v>0.374</v>
      </c>
    </row>
    <row r="142" spans="1:23" x14ac:dyDescent="0.3">
      <c r="A142" t="s">
        <v>898</v>
      </c>
      <c r="B142" s="1">
        <v>45210</v>
      </c>
      <c r="C142" s="2">
        <v>0.56805555555555554</v>
      </c>
      <c r="D142" t="s">
        <v>904</v>
      </c>
      <c r="E142">
        <v>96</v>
      </c>
      <c r="F142" t="s">
        <v>807</v>
      </c>
      <c r="G142" t="s">
        <v>904</v>
      </c>
      <c r="H142" t="s">
        <v>64</v>
      </c>
      <c r="I142">
        <v>-5.4126279999999998</v>
      </c>
      <c r="J142">
        <v>25.498235999999999</v>
      </c>
      <c r="K142" t="s">
        <v>1495</v>
      </c>
      <c r="L142" t="s">
        <v>1501</v>
      </c>
      <c r="M142" t="s">
        <v>476</v>
      </c>
      <c r="N142" t="s">
        <v>64</v>
      </c>
      <c r="O142" t="s">
        <v>1718</v>
      </c>
      <c r="P142">
        <v>63</v>
      </c>
      <c r="Q142" t="s">
        <v>14</v>
      </c>
      <c r="R142" s="2">
        <v>8.4027777777777785E-2</v>
      </c>
      <c r="S142">
        <v>121</v>
      </c>
      <c r="T142">
        <v>39.18</v>
      </c>
      <c r="U142">
        <v>2</v>
      </c>
      <c r="V142">
        <v>0.1</v>
      </c>
      <c r="W142">
        <v>3.9E-2</v>
      </c>
    </row>
    <row r="143" spans="1:23" x14ac:dyDescent="0.3">
      <c r="A143" t="s">
        <v>898</v>
      </c>
      <c r="B143" s="1">
        <v>45210</v>
      </c>
      <c r="C143" s="2">
        <v>0.56805555555555554</v>
      </c>
      <c r="D143" t="s">
        <v>904</v>
      </c>
      <c r="E143">
        <v>96</v>
      </c>
      <c r="F143" t="s">
        <v>807</v>
      </c>
      <c r="G143" t="s">
        <v>904</v>
      </c>
      <c r="H143" t="s">
        <v>64</v>
      </c>
      <c r="I143">
        <v>-5.4126279999999998</v>
      </c>
      <c r="J143">
        <v>25.498235999999999</v>
      </c>
      <c r="K143" t="s">
        <v>1495</v>
      </c>
      <c r="L143" t="s">
        <v>1501</v>
      </c>
      <c r="M143" t="s">
        <v>502</v>
      </c>
      <c r="N143" t="s">
        <v>64</v>
      </c>
      <c r="O143" t="s">
        <v>1710</v>
      </c>
      <c r="P143">
        <v>115</v>
      </c>
      <c r="Q143" t="s">
        <v>14</v>
      </c>
      <c r="R143" s="2">
        <v>0.13194444444444445</v>
      </c>
      <c r="S143">
        <v>190</v>
      </c>
      <c r="T143">
        <v>10.98</v>
      </c>
      <c r="U143">
        <v>0</v>
      </c>
      <c r="V143">
        <v>0.1</v>
      </c>
      <c r="W143">
        <v>1.0999999999999999E-2</v>
      </c>
    </row>
    <row r="144" spans="1:23" x14ac:dyDescent="0.3">
      <c r="A144" t="s">
        <v>898</v>
      </c>
      <c r="B144" s="1">
        <v>45210</v>
      </c>
      <c r="C144" s="2">
        <v>0.56805555555555554</v>
      </c>
      <c r="D144" t="s">
        <v>904</v>
      </c>
      <c r="E144">
        <v>96</v>
      </c>
      <c r="F144" t="s">
        <v>807</v>
      </c>
      <c r="G144" t="s">
        <v>904</v>
      </c>
      <c r="H144" t="s">
        <v>64</v>
      </c>
      <c r="I144">
        <v>-5.4126279999999998</v>
      </c>
      <c r="J144">
        <v>25.498235999999999</v>
      </c>
      <c r="K144" t="s">
        <v>1495</v>
      </c>
      <c r="L144" t="s">
        <v>1501</v>
      </c>
      <c r="M144" t="s">
        <v>511</v>
      </c>
      <c r="N144" t="s">
        <v>64</v>
      </c>
      <c r="O144" t="s">
        <v>1762</v>
      </c>
      <c r="P144">
        <v>14</v>
      </c>
      <c r="Q144" t="s">
        <v>22</v>
      </c>
      <c r="R144" s="2">
        <v>0.21111111111111111</v>
      </c>
      <c r="S144">
        <v>304</v>
      </c>
      <c r="T144">
        <v>48.13</v>
      </c>
      <c r="U144">
        <v>2</v>
      </c>
      <c r="V144">
        <v>0.45</v>
      </c>
      <c r="W144">
        <v>0.217</v>
      </c>
    </row>
    <row r="145" spans="1:23" x14ac:dyDescent="0.3">
      <c r="A145" t="s">
        <v>898</v>
      </c>
      <c r="B145" s="1">
        <v>45210</v>
      </c>
      <c r="C145" s="2">
        <v>0.56805555555555554</v>
      </c>
      <c r="D145" t="s">
        <v>904</v>
      </c>
      <c r="E145">
        <v>96</v>
      </c>
      <c r="F145" t="s">
        <v>807</v>
      </c>
      <c r="G145" t="s">
        <v>904</v>
      </c>
      <c r="H145" t="s">
        <v>64</v>
      </c>
      <c r="I145">
        <v>-5.4126279999999998</v>
      </c>
      <c r="J145">
        <v>25.498235999999999</v>
      </c>
      <c r="K145" t="s">
        <v>1495</v>
      </c>
      <c r="L145" t="s">
        <v>1501</v>
      </c>
      <c r="M145" t="s">
        <v>513</v>
      </c>
      <c r="N145" t="s">
        <v>64</v>
      </c>
      <c r="O145" t="s">
        <v>1771</v>
      </c>
      <c r="P145">
        <v>118</v>
      </c>
      <c r="Q145" t="s">
        <v>14</v>
      </c>
      <c r="R145" s="2">
        <v>5.5555555555555552E-2</v>
      </c>
      <c r="S145">
        <v>80</v>
      </c>
      <c r="T145">
        <v>97.58</v>
      </c>
      <c r="U145">
        <v>3</v>
      </c>
      <c r="V145">
        <v>0.1</v>
      </c>
      <c r="W145">
        <v>9.8000000000000004E-2</v>
      </c>
    </row>
    <row r="146" spans="1:23" x14ac:dyDescent="0.3">
      <c r="A146" t="s">
        <v>1073</v>
      </c>
      <c r="B146" s="1">
        <v>45205</v>
      </c>
      <c r="C146" s="2">
        <v>0.47152777777777777</v>
      </c>
      <c r="D146" t="s">
        <v>1088</v>
      </c>
      <c r="E146">
        <v>50</v>
      </c>
      <c r="F146" t="s">
        <v>810</v>
      </c>
      <c r="G146" t="s">
        <v>1088</v>
      </c>
      <c r="H146" t="s">
        <v>18</v>
      </c>
      <c r="I146">
        <v>2.628638</v>
      </c>
      <c r="J146">
        <v>28.420582</v>
      </c>
      <c r="K146" t="s">
        <v>1498</v>
      </c>
      <c r="L146" t="s">
        <v>1499</v>
      </c>
      <c r="M146" t="s">
        <v>17</v>
      </c>
      <c r="N146" t="s">
        <v>18</v>
      </c>
      <c r="O146" t="s">
        <v>1732</v>
      </c>
      <c r="P146">
        <v>44</v>
      </c>
      <c r="Q146" t="s">
        <v>19</v>
      </c>
      <c r="R146" s="2">
        <v>0.24166666666666667</v>
      </c>
      <c r="S146">
        <v>348</v>
      </c>
      <c r="T146">
        <v>58.67</v>
      </c>
      <c r="U146">
        <v>0</v>
      </c>
      <c r="V146">
        <v>0.45</v>
      </c>
      <c r="W146">
        <v>0.26400000000000001</v>
      </c>
    </row>
    <row r="147" spans="1:23" x14ac:dyDescent="0.3">
      <c r="A147" t="s">
        <v>1073</v>
      </c>
      <c r="B147" s="1">
        <v>45205</v>
      </c>
      <c r="C147" s="2">
        <v>0.47152777777777777</v>
      </c>
      <c r="D147" t="s">
        <v>1088</v>
      </c>
      <c r="E147">
        <v>50</v>
      </c>
      <c r="F147" t="s">
        <v>810</v>
      </c>
      <c r="G147" t="s">
        <v>1088</v>
      </c>
      <c r="H147" t="s">
        <v>18</v>
      </c>
      <c r="I147">
        <v>2.628638</v>
      </c>
      <c r="J147">
        <v>28.420582</v>
      </c>
      <c r="K147" t="s">
        <v>1498</v>
      </c>
      <c r="L147" t="s">
        <v>1499</v>
      </c>
      <c r="M147" t="s">
        <v>38</v>
      </c>
      <c r="N147" t="s">
        <v>18</v>
      </c>
      <c r="O147" t="s">
        <v>1792</v>
      </c>
      <c r="P147">
        <v>20</v>
      </c>
      <c r="Q147" t="s">
        <v>22</v>
      </c>
      <c r="R147" s="2">
        <v>2.7777777777777779E-3</v>
      </c>
      <c r="S147">
        <v>4</v>
      </c>
      <c r="T147">
        <v>84.9</v>
      </c>
      <c r="U147">
        <v>3</v>
      </c>
      <c r="V147">
        <v>0.45</v>
      </c>
      <c r="W147">
        <v>0.38200000000000001</v>
      </c>
    </row>
    <row r="148" spans="1:23" x14ac:dyDescent="0.3">
      <c r="A148" t="s">
        <v>1073</v>
      </c>
      <c r="B148" s="1">
        <v>45205</v>
      </c>
      <c r="C148" s="2">
        <v>0.47152777777777777</v>
      </c>
      <c r="D148" t="s">
        <v>1088</v>
      </c>
      <c r="E148">
        <v>50</v>
      </c>
      <c r="F148" t="s">
        <v>810</v>
      </c>
      <c r="G148" t="s">
        <v>1088</v>
      </c>
      <c r="H148" t="s">
        <v>18</v>
      </c>
      <c r="I148">
        <v>2.628638</v>
      </c>
      <c r="J148">
        <v>28.420582</v>
      </c>
      <c r="K148" t="s">
        <v>1498</v>
      </c>
      <c r="L148" t="s">
        <v>1499</v>
      </c>
      <c r="M148" t="s">
        <v>113</v>
      </c>
      <c r="N148" t="s">
        <v>18</v>
      </c>
      <c r="O148" t="s">
        <v>1786</v>
      </c>
      <c r="P148">
        <v>95</v>
      </c>
      <c r="Q148" t="s">
        <v>19</v>
      </c>
      <c r="R148" s="2">
        <v>2.2916666666666665E-2</v>
      </c>
      <c r="S148">
        <v>33</v>
      </c>
      <c r="T148">
        <v>35.32</v>
      </c>
      <c r="U148">
        <v>0</v>
      </c>
      <c r="V148">
        <v>0.45</v>
      </c>
      <c r="W148">
        <v>0.159</v>
      </c>
    </row>
    <row r="149" spans="1:23" x14ac:dyDescent="0.3">
      <c r="A149" t="s">
        <v>1073</v>
      </c>
      <c r="B149" s="1">
        <v>45205</v>
      </c>
      <c r="C149" s="2">
        <v>0.47152777777777777</v>
      </c>
      <c r="D149" t="s">
        <v>1088</v>
      </c>
      <c r="E149">
        <v>50</v>
      </c>
      <c r="F149" t="s">
        <v>810</v>
      </c>
      <c r="G149" t="s">
        <v>1088</v>
      </c>
      <c r="H149" t="s">
        <v>18</v>
      </c>
      <c r="I149">
        <v>2.628638</v>
      </c>
      <c r="J149">
        <v>28.420582</v>
      </c>
      <c r="K149" t="s">
        <v>1498</v>
      </c>
      <c r="L149" t="s">
        <v>1499</v>
      </c>
      <c r="M149" t="s">
        <v>133</v>
      </c>
      <c r="N149" t="s">
        <v>18</v>
      </c>
      <c r="O149" t="s">
        <v>1768</v>
      </c>
      <c r="P149">
        <v>72</v>
      </c>
      <c r="Q149" t="s">
        <v>14</v>
      </c>
      <c r="R149" s="2">
        <v>0.23125000000000001</v>
      </c>
      <c r="S149">
        <v>333</v>
      </c>
      <c r="T149">
        <v>34.57</v>
      </c>
      <c r="U149">
        <v>2</v>
      </c>
      <c r="V149">
        <v>0.1</v>
      </c>
      <c r="W149">
        <v>3.5000000000000003E-2</v>
      </c>
    </row>
    <row r="150" spans="1:23" x14ac:dyDescent="0.3">
      <c r="A150" t="s">
        <v>1073</v>
      </c>
      <c r="B150" s="1">
        <v>45205</v>
      </c>
      <c r="C150" s="2">
        <v>0.47152777777777777</v>
      </c>
      <c r="D150" t="s">
        <v>1088</v>
      </c>
      <c r="E150">
        <v>50</v>
      </c>
      <c r="F150" t="s">
        <v>810</v>
      </c>
      <c r="G150" t="s">
        <v>1088</v>
      </c>
      <c r="H150" t="s">
        <v>18</v>
      </c>
      <c r="I150">
        <v>2.628638</v>
      </c>
      <c r="J150">
        <v>28.420582</v>
      </c>
      <c r="K150" t="s">
        <v>1498</v>
      </c>
      <c r="L150" t="s">
        <v>1499</v>
      </c>
      <c r="M150" t="s">
        <v>167</v>
      </c>
      <c r="N150" t="s">
        <v>18</v>
      </c>
      <c r="O150" t="s">
        <v>1793</v>
      </c>
      <c r="P150">
        <v>67</v>
      </c>
      <c r="Q150" t="s">
        <v>14</v>
      </c>
      <c r="R150" s="2">
        <v>3.8194444444444448E-2</v>
      </c>
      <c r="S150">
        <v>55</v>
      </c>
      <c r="T150">
        <v>27.04</v>
      </c>
      <c r="U150">
        <v>1</v>
      </c>
      <c r="V150">
        <v>0.1</v>
      </c>
      <c r="W150">
        <v>2.7E-2</v>
      </c>
    </row>
    <row r="151" spans="1:23" x14ac:dyDescent="0.3">
      <c r="A151" t="s">
        <v>1073</v>
      </c>
      <c r="B151" s="1">
        <v>45205</v>
      </c>
      <c r="C151" s="2">
        <v>0.47152777777777777</v>
      </c>
      <c r="D151" t="s">
        <v>1088</v>
      </c>
      <c r="E151">
        <v>50</v>
      </c>
      <c r="F151" t="s">
        <v>810</v>
      </c>
      <c r="G151" t="s">
        <v>1088</v>
      </c>
      <c r="H151" t="s">
        <v>18</v>
      </c>
      <c r="I151">
        <v>2.628638</v>
      </c>
      <c r="J151">
        <v>28.420582</v>
      </c>
      <c r="K151" t="s">
        <v>1498</v>
      </c>
      <c r="L151" t="s">
        <v>1499</v>
      </c>
      <c r="M151" t="s">
        <v>176</v>
      </c>
      <c r="N151" t="s">
        <v>18</v>
      </c>
      <c r="O151" t="s">
        <v>1711</v>
      </c>
      <c r="P151">
        <v>69</v>
      </c>
      <c r="Q151" t="s">
        <v>14</v>
      </c>
      <c r="R151" s="2">
        <v>0.3215277777777778</v>
      </c>
      <c r="S151">
        <v>463</v>
      </c>
      <c r="T151">
        <v>19.440000000000001</v>
      </c>
      <c r="U151">
        <v>0</v>
      </c>
      <c r="V151">
        <v>0.1</v>
      </c>
      <c r="W151">
        <v>1.9E-2</v>
      </c>
    </row>
    <row r="152" spans="1:23" x14ac:dyDescent="0.3">
      <c r="A152" t="s">
        <v>1073</v>
      </c>
      <c r="B152" s="1">
        <v>45205</v>
      </c>
      <c r="C152" s="2">
        <v>0.47152777777777777</v>
      </c>
      <c r="D152" t="s">
        <v>1088</v>
      </c>
      <c r="E152">
        <v>50</v>
      </c>
      <c r="F152" t="s">
        <v>810</v>
      </c>
      <c r="G152" t="s">
        <v>1088</v>
      </c>
      <c r="H152" t="s">
        <v>18</v>
      </c>
      <c r="I152">
        <v>2.628638</v>
      </c>
      <c r="J152">
        <v>28.420582</v>
      </c>
      <c r="K152" t="s">
        <v>1498</v>
      </c>
      <c r="L152" t="s">
        <v>1499</v>
      </c>
      <c r="M152" t="s">
        <v>183</v>
      </c>
      <c r="N152" t="s">
        <v>18</v>
      </c>
      <c r="O152" t="s">
        <v>1772</v>
      </c>
      <c r="P152">
        <v>11</v>
      </c>
      <c r="Q152" t="s">
        <v>19</v>
      </c>
      <c r="R152" s="2">
        <v>0.14930555555555555</v>
      </c>
      <c r="S152">
        <v>215</v>
      </c>
      <c r="T152">
        <v>51.99</v>
      </c>
      <c r="U152">
        <v>1</v>
      </c>
      <c r="V152">
        <v>0.45</v>
      </c>
      <c r="W152">
        <v>0.23400000000000001</v>
      </c>
    </row>
    <row r="153" spans="1:23" x14ac:dyDescent="0.3">
      <c r="A153" t="s">
        <v>1073</v>
      </c>
      <c r="B153" s="1">
        <v>45205</v>
      </c>
      <c r="C153" s="2">
        <v>0.47152777777777777</v>
      </c>
      <c r="D153" t="s">
        <v>1088</v>
      </c>
      <c r="E153">
        <v>50</v>
      </c>
      <c r="F153" t="s">
        <v>810</v>
      </c>
      <c r="G153" t="s">
        <v>1088</v>
      </c>
      <c r="H153" t="s">
        <v>18</v>
      </c>
      <c r="I153">
        <v>2.628638</v>
      </c>
      <c r="J153">
        <v>28.420582</v>
      </c>
      <c r="K153" t="s">
        <v>1498</v>
      </c>
      <c r="L153" t="s">
        <v>1499</v>
      </c>
      <c r="M153" t="s">
        <v>230</v>
      </c>
      <c r="N153" t="s">
        <v>18</v>
      </c>
      <c r="O153" t="s">
        <v>1754</v>
      </c>
      <c r="P153">
        <v>114</v>
      </c>
      <c r="Q153" t="s">
        <v>11</v>
      </c>
      <c r="R153" s="2">
        <v>0.3347222222222222</v>
      </c>
      <c r="S153">
        <v>482</v>
      </c>
      <c r="T153">
        <v>16.25</v>
      </c>
      <c r="U153">
        <v>3</v>
      </c>
      <c r="V153">
        <v>0.45</v>
      </c>
      <c r="W153">
        <v>7.2999999999999995E-2</v>
      </c>
    </row>
    <row r="154" spans="1:23" x14ac:dyDescent="0.3">
      <c r="A154" t="s">
        <v>1073</v>
      </c>
      <c r="B154" s="1">
        <v>45205</v>
      </c>
      <c r="C154" s="2">
        <v>0.47152777777777777</v>
      </c>
      <c r="D154" t="s">
        <v>1088</v>
      </c>
      <c r="E154">
        <v>50</v>
      </c>
      <c r="F154" t="s">
        <v>810</v>
      </c>
      <c r="G154" t="s">
        <v>1088</v>
      </c>
      <c r="H154" t="s">
        <v>18</v>
      </c>
      <c r="I154">
        <v>2.628638</v>
      </c>
      <c r="J154">
        <v>28.420582</v>
      </c>
      <c r="K154" t="s">
        <v>1498</v>
      </c>
      <c r="L154" t="s">
        <v>1499</v>
      </c>
      <c r="M154" t="s">
        <v>251</v>
      </c>
      <c r="N154" t="s">
        <v>18</v>
      </c>
      <c r="O154" t="s">
        <v>1738</v>
      </c>
      <c r="P154">
        <v>96</v>
      </c>
      <c r="Q154" t="s">
        <v>11</v>
      </c>
      <c r="R154" s="2">
        <v>0.23194444444444445</v>
      </c>
      <c r="S154">
        <v>334</v>
      </c>
      <c r="T154">
        <v>64.77</v>
      </c>
      <c r="U154">
        <v>0</v>
      </c>
      <c r="V154">
        <v>0.45</v>
      </c>
      <c r="W154">
        <v>0.29099999999999998</v>
      </c>
    </row>
    <row r="155" spans="1:23" x14ac:dyDescent="0.3">
      <c r="A155" t="s">
        <v>1073</v>
      </c>
      <c r="B155" s="1">
        <v>45205</v>
      </c>
      <c r="C155" s="2">
        <v>0.47152777777777777</v>
      </c>
      <c r="D155" t="s">
        <v>1088</v>
      </c>
      <c r="E155">
        <v>50</v>
      </c>
      <c r="F155" t="s">
        <v>810</v>
      </c>
      <c r="G155" t="s">
        <v>1088</v>
      </c>
      <c r="H155" t="s">
        <v>18</v>
      </c>
      <c r="I155">
        <v>2.628638</v>
      </c>
      <c r="J155">
        <v>28.420582</v>
      </c>
      <c r="K155" t="s">
        <v>1498</v>
      </c>
      <c r="L155" t="s">
        <v>1499</v>
      </c>
      <c r="M155" t="s">
        <v>272</v>
      </c>
      <c r="N155" t="s">
        <v>18</v>
      </c>
      <c r="O155" t="s">
        <v>1736</v>
      </c>
      <c r="P155">
        <v>60</v>
      </c>
      <c r="Q155" t="s">
        <v>19</v>
      </c>
      <c r="R155" s="2">
        <v>0.21249999999999999</v>
      </c>
      <c r="S155">
        <v>306</v>
      </c>
      <c r="T155">
        <v>63.83</v>
      </c>
      <c r="U155">
        <v>2</v>
      </c>
      <c r="V155">
        <v>0.45</v>
      </c>
      <c r="W155">
        <v>0.28699999999999998</v>
      </c>
    </row>
    <row r="156" spans="1:23" x14ac:dyDescent="0.3">
      <c r="A156" t="s">
        <v>1073</v>
      </c>
      <c r="B156" s="1">
        <v>45205</v>
      </c>
      <c r="C156" s="2">
        <v>0.47152777777777777</v>
      </c>
      <c r="D156" t="s">
        <v>1088</v>
      </c>
      <c r="E156">
        <v>50</v>
      </c>
      <c r="F156" t="s">
        <v>810</v>
      </c>
      <c r="G156" t="s">
        <v>1088</v>
      </c>
      <c r="H156" t="s">
        <v>18</v>
      </c>
      <c r="I156">
        <v>2.628638</v>
      </c>
      <c r="J156">
        <v>28.420582</v>
      </c>
      <c r="K156" t="s">
        <v>1498</v>
      </c>
      <c r="L156" t="s">
        <v>1499</v>
      </c>
      <c r="M156" t="s">
        <v>273</v>
      </c>
      <c r="N156" t="s">
        <v>18</v>
      </c>
      <c r="O156" t="s">
        <v>1729</v>
      </c>
      <c r="P156">
        <v>9</v>
      </c>
      <c r="Q156" t="s">
        <v>14</v>
      </c>
      <c r="R156" s="2">
        <v>0.17708333333333334</v>
      </c>
      <c r="S156">
        <v>255</v>
      </c>
      <c r="T156">
        <v>95.13</v>
      </c>
      <c r="U156">
        <v>1</v>
      </c>
      <c r="V156">
        <v>0.1</v>
      </c>
      <c r="W156">
        <v>9.5000000000000001E-2</v>
      </c>
    </row>
    <row r="157" spans="1:23" x14ac:dyDescent="0.3">
      <c r="A157" t="s">
        <v>1073</v>
      </c>
      <c r="B157" s="1">
        <v>45205</v>
      </c>
      <c r="C157" s="2">
        <v>0.47152777777777777</v>
      </c>
      <c r="D157" t="s">
        <v>1088</v>
      </c>
      <c r="E157">
        <v>50</v>
      </c>
      <c r="F157" t="s">
        <v>810</v>
      </c>
      <c r="G157" t="s">
        <v>1088</v>
      </c>
      <c r="H157" t="s">
        <v>18</v>
      </c>
      <c r="I157">
        <v>2.628638</v>
      </c>
      <c r="J157">
        <v>28.420582</v>
      </c>
      <c r="K157" t="s">
        <v>1498</v>
      </c>
      <c r="L157" t="s">
        <v>1499</v>
      </c>
      <c r="M157" t="s">
        <v>296</v>
      </c>
      <c r="N157" t="s">
        <v>18</v>
      </c>
      <c r="O157" t="s">
        <v>1718</v>
      </c>
      <c r="P157">
        <v>63</v>
      </c>
      <c r="Q157" t="s">
        <v>22</v>
      </c>
      <c r="R157" s="2">
        <v>6.5972222222222224E-2</v>
      </c>
      <c r="S157">
        <v>95</v>
      </c>
      <c r="T157">
        <v>56.81</v>
      </c>
      <c r="U157">
        <v>0</v>
      </c>
      <c r="V157">
        <v>0.45</v>
      </c>
      <c r="W157">
        <v>0.25600000000000001</v>
      </c>
    </row>
    <row r="158" spans="1:23" x14ac:dyDescent="0.3">
      <c r="A158" t="s">
        <v>1073</v>
      </c>
      <c r="B158" s="1">
        <v>45205</v>
      </c>
      <c r="C158" s="2">
        <v>0.47152777777777777</v>
      </c>
      <c r="D158" t="s">
        <v>1088</v>
      </c>
      <c r="E158">
        <v>50</v>
      </c>
      <c r="F158" t="s">
        <v>810</v>
      </c>
      <c r="G158" t="s">
        <v>1088</v>
      </c>
      <c r="H158" t="s">
        <v>18</v>
      </c>
      <c r="I158">
        <v>2.628638</v>
      </c>
      <c r="J158">
        <v>28.420582</v>
      </c>
      <c r="K158" t="s">
        <v>1498</v>
      </c>
      <c r="L158" t="s">
        <v>1499</v>
      </c>
      <c r="M158" t="s">
        <v>312</v>
      </c>
      <c r="N158" t="s">
        <v>18</v>
      </c>
      <c r="O158" t="s">
        <v>1746</v>
      </c>
      <c r="P158">
        <v>33</v>
      </c>
      <c r="Q158" t="s">
        <v>11</v>
      </c>
      <c r="R158" s="2">
        <v>0.30833333333333335</v>
      </c>
      <c r="S158">
        <v>444</v>
      </c>
      <c r="T158">
        <v>10.28</v>
      </c>
      <c r="U158">
        <v>5</v>
      </c>
      <c r="V158">
        <v>0.45</v>
      </c>
      <c r="W158">
        <v>4.5999999999999999E-2</v>
      </c>
    </row>
    <row r="159" spans="1:23" x14ac:dyDescent="0.3">
      <c r="A159" t="s">
        <v>1073</v>
      </c>
      <c r="B159" s="1">
        <v>45205</v>
      </c>
      <c r="C159" s="2">
        <v>0.47152777777777777</v>
      </c>
      <c r="D159" t="s">
        <v>1088</v>
      </c>
      <c r="E159">
        <v>50</v>
      </c>
      <c r="F159" t="s">
        <v>810</v>
      </c>
      <c r="G159" t="s">
        <v>1088</v>
      </c>
      <c r="H159" t="s">
        <v>18</v>
      </c>
      <c r="I159">
        <v>2.628638</v>
      </c>
      <c r="J159">
        <v>28.420582</v>
      </c>
      <c r="K159" t="s">
        <v>1498</v>
      </c>
      <c r="L159" t="s">
        <v>1499</v>
      </c>
      <c r="M159" t="s">
        <v>335</v>
      </c>
      <c r="N159" t="s">
        <v>18</v>
      </c>
      <c r="O159" t="s">
        <v>1771</v>
      </c>
      <c r="P159">
        <v>118</v>
      </c>
      <c r="Q159" t="s">
        <v>22</v>
      </c>
      <c r="R159" s="2">
        <v>0.33958333333333335</v>
      </c>
      <c r="S159">
        <v>489</v>
      </c>
      <c r="T159">
        <v>76.22</v>
      </c>
      <c r="U159">
        <v>2</v>
      </c>
      <c r="V159">
        <v>0.45</v>
      </c>
      <c r="W159">
        <v>0.34300000000000003</v>
      </c>
    </row>
    <row r="160" spans="1:23" x14ac:dyDescent="0.3">
      <c r="A160" t="s">
        <v>1073</v>
      </c>
      <c r="B160" s="1">
        <v>45205</v>
      </c>
      <c r="C160" s="2">
        <v>0.47152777777777777</v>
      </c>
      <c r="D160" t="s">
        <v>1088</v>
      </c>
      <c r="E160">
        <v>50</v>
      </c>
      <c r="F160" t="s">
        <v>810</v>
      </c>
      <c r="G160" t="s">
        <v>1088</v>
      </c>
      <c r="H160" t="s">
        <v>18</v>
      </c>
      <c r="I160">
        <v>2.628638</v>
      </c>
      <c r="J160">
        <v>28.420582</v>
      </c>
      <c r="K160" t="s">
        <v>1498</v>
      </c>
      <c r="L160" t="s">
        <v>1499</v>
      </c>
      <c r="M160" t="s">
        <v>336</v>
      </c>
      <c r="N160" t="s">
        <v>18</v>
      </c>
      <c r="O160" t="s">
        <v>1760</v>
      </c>
      <c r="P160">
        <v>105</v>
      </c>
      <c r="Q160" t="s">
        <v>22</v>
      </c>
      <c r="R160" s="2">
        <v>2.0833333333333333E-3</v>
      </c>
      <c r="S160">
        <v>3</v>
      </c>
      <c r="T160">
        <v>71.010000000000005</v>
      </c>
      <c r="U160">
        <v>1</v>
      </c>
      <c r="V160">
        <v>0.45</v>
      </c>
      <c r="W160">
        <v>0.32</v>
      </c>
    </row>
    <row r="161" spans="1:23" x14ac:dyDescent="0.3">
      <c r="A161" t="s">
        <v>1073</v>
      </c>
      <c r="B161" s="1">
        <v>45205</v>
      </c>
      <c r="C161" s="2">
        <v>0.47152777777777777</v>
      </c>
      <c r="D161" t="s">
        <v>1088</v>
      </c>
      <c r="E161">
        <v>50</v>
      </c>
      <c r="F161" t="s">
        <v>810</v>
      </c>
      <c r="G161" t="s">
        <v>1088</v>
      </c>
      <c r="H161" t="s">
        <v>18</v>
      </c>
      <c r="I161">
        <v>2.628638</v>
      </c>
      <c r="J161">
        <v>28.420582</v>
      </c>
      <c r="K161" t="s">
        <v>1498</v>
      </c>
      <c r="L161" t="s">
        <v>1499</v>
      </c>
      <c r="M161" t="s">
        <v>344</v>
      </c>
      <c r="N161" t="s">
        <v>18</v>
      </c>
      <c r="O161" t="s">
        <v>1711</v>
      </c>
      <c r="P161">
        <v>69</v>
      </c>
      <c r="Q161" t="s">
        <v>11</v>
      </c>
      <c r="R161" s="2">
        <v>0.33750000000000002</v>
      </c>
      <c r="S161">
        <v>486</v>
      </c>
      <c r="T161">
        <v>34.770000000000003</v>
      </c>
      <c r="U161">
        <v>0</v>
      </c>
      <c r="V161">
        <v>0.45</v>
      </c>
      <c r="W161">
        <v>0.156</v>
      </c>
    </row>
    <row r="162" spans="1:23" x14ac:dyDescent="0.3">
      <c r="A162" t="s">
        <v>1073</v>
      </c>
      <c r="B162" s="1">
        <v>45205</v>
      </c>
      <c r="C162" s="2">
        <v>0.47152777777777777</v>
      </c>
      <c r="D162" t="s">
        <v>1088</v>
      </c>
      <c r="E162">
        <v>50</v>
      </c>
      <c r="F162" t="s">
        <v>810</v>
      </c>
      <c r="G162" t="s">
        <v>1088</v>
      </c>
      <c r="H162" t="s">
        <v>18</v>
      </c>
      <c r="I162">
        <v>2.628638</v>
      </c>
      <c r="J162">
        <v>28.420582</v>
      </c>
      <c r="K162" t="s">
        <v>1498</v>
      </c>
      <c r="L162" t="s">
        <v>1499</v>
      </c>
      <c r="M162" t="s">
        <v>359</v>
      </c>
      <c r="N162" t="s">
        <v>18</v>
      </c>
      <c r="O162" t="s">
        <v>1757</v>
      </c>
      <c r="P162">
        <v>78</v>
      </c>
      <c r="Q162" t="s">
        <v>11</v>
      </c>
      <c r="R162" s="2">
        <v>0.18263888888888888</v>
      </c>
      <c r="S162">
        <v>263</v>
      </c>
      <c r="T162">
        <v>53.58</v>
      </c>
      <c r="U162">
        <v>5</v>
      </c>
      <c r="V162">
        <v>0.45</v>
      </c>
      <c r="W162">
        <v>0.24099999999999999</v>
      </c>
    </row>
    <row r="163" spans="1:23" x14ac:dyDescent="0.3">
      <c r="A163" t="s">
        <v>1073</v>
      </c>
      <c r="B163" s="1">
        <v>45205</v>
      </c>
      <c r="C163" s="2">
        <v>0.47152777777777777</v>
      </c>
      <c r="D163" t="s">
        <v>1088</v>
      </c>
      <c r="E163">
        <v>50</v>
      </c>
      <c r="F163" t="s">
        <v>810</v>
      </c>
      <c r="G163" t="s">
        <v>1088</v>
      </c>
      <c r="H163" t="s">
        <v>18</v>
      </c>
      <c r="I163">
        <v>2.628638</v>
      </c>
      <c r="J163">
        <v>28.420582</v>
      </c>
      <c r="K163" t="s">
        <v>1498</v>
      </c>
      <c r="L163" t="s">
        <v>1499</v>
      </c>
      <c r="M163" t="s">
        <v>360</v>
      </c>
      <c r="N163" t="s">
        <v>18</v>
      </c>
      <c r="O163" t="s">
        <v>1765</v>
      </c>
      <c r="P163">
        <v>76</v>
      </c>
      <c r="Q163" t="s">
        <v>22</v>
      </c>
      <c r="R163" s="2">
        <v>0.23055555555555557</v>
      </c>
      <c r="S163">
        <v>332</v>
      </c>
      <c r="T163">
        <v>68.010000000000005</v>
      </c>
      <c r="U163">
        <v>4</v>
      </c>
      <c r="V163">
        <v>0.45</v>
      </c>
      <c r="W163">
        <v>0.30599999999999999</v>
      </c>
    </row>
    <row r="164" spans="1:23" x14ac:dyDescent="0.3">
      <c r="A164" t="s">
        <v>1073</v>
      </c>
      <c r="B164" s="1">
        <v>45205</v>
      </c>
      <c r="C164" s="2">
        <v>0.47152777777777777</v>
      </c>
      <c r="D164" t="s">
        <v>1088</v>
      </c>
      <c r="E164">
        <v>50</v>
      </c>
      <c r="F164" t="s">
        <v>810</v>
      </c>
      <c r="G164" t="s">
        <v>1088</v>
      </c>
      <c r="H164" t="s">
        <v>18</v>
      </c>
      <c r="I164">
        <v>2.628638</v>
      </c>
      <c r="J164">
        <v>28.420582</v>
      </c>
      <c r="K164" t="s">
        <v>1498</v>
      </c>
      <c r="L164" t="s">
        <v>1499</v>
      </c>
      <c r="M164" t="s">
        <v>361</v>
      </c>
      <c r="N164" t="s">
        <v>18</v>
      </c>
      <c r="O164" t="s">
        <v>1714</v>
      </c>
      <c r="P164">
        <v>29</v>
      </c>
      <c r="Q164" t="s">
        <v>19</v>
      </c>
      <c r="R164" s="2">
        <v>0.12013888888888889</v>
      </c>
      <c r="S164">
        <v>173</v>
      </c>
      <c r="T164">
        <v>49.03</v>
      </c>
      <c r="U164">
        <v>3</v>
      </c>
      <c r="V164">
        <v>0.45</v>
      </c>
      <c r="W164">
        <v>0.221</v>
      </c>
    </row>
    <row r="165" spans="1:23" x14ac:dyDescent="0.3">
      <c r="A165" t="s">
        <v>1073</v>
      </c>
      <c r="B165" s="1">
        <v>45205</v>
      </c>
      <c r="C165" s="2">
        <v>0.47152777777777777</v>
      </c>
      <c r="D165" t="s">
        <v>1088</v>
      </c>
      <c r="E165">
        <v>50</v>
      </c>
      <c r="F165" t="s">
        <v>810</v>
      </c>
      <c r="G165" t="s">
        <v>1088</v>
      </c>
      <c r="H165" t="s">
        <v>18</v>
      </c>
      <c r="I165">
        <v>2.628638</v>
      </c>
      <c r="J165">
        <v>28.420582</v>
      </c>
      <c r="K165" t="s">
        <v>1498</v>
      </c>
      <c r="L165" t="s">
        <v>1499</v>
      </c>
      <c r="M165" t="s">
        <v>378</v>
      </c>
      <c r="N165" t="s">
        <v>18</v>
      </c>
      <c r="O165" t="s">
        <v>1727</v>
      </c>
      <c r="P165">
        <v>77</v>
      </c>
      <c r="Q165" t="s">
        <v>11</v>
      </c>
      <c r="R165" s="2">
        <v>0.33888888888888891</v>
      </c>
      <c r="S165">
        <v>488</v>
      </c>
      <c r="T165">
        <v>21.17</v>
      </c>
      <c r="U165">
        <v>0</v>
      </c>
      <c r="V165">
        <v>0.45</v>
      </c>
      <c r="W165">
        <v>9.5000000000000001E-2</v>
      </c>
    </row>
    <row r="166" spans="1:23" x14ac:dyDescent="0.3">
      <c r="A166" t="s">
        <v>1073</v>
      </c>
      <c r="B166" s="1">
        <v>45205</v>
      </c>
      <c r="C166" s="2">
        <v>0.47152777777777777</v>
      </c>
      <c r="D166" t="s">
        <v>1088</v>
      </c>
      <c r="E166">
        <v>50</v>
      </c>
      <c r="F166" t="s">
        <v>810</v>
      </c>
      <c r="G166" t="s">
        <v>1088</v>
      </c>
      <c r="H166" t="s">
        <v>18</v>
      </c>
      <c r="I166">
        <v>2.628638</v>
      </c>
      <c r="J166">
        <v>28.420582</v>
      </c>
      <c r="K166" t="s">
        <v>1498</v>
      </c>
      <c r="L166" t="s">
        <v>1499</v>
      </c>
      <c r="M166" t="s">
        <v>381</v>
      </c>
      <c r="N166" t="s">
        <v>18</v>
      </c>
      <c r="O166" t="s">
        <v>1738</v>
      </c>
      <c r="P166">
        <v>96</v>
      </c>
      <c r="Q166" t="s">
        <v>22</v>
      </c>
      <c r="R166" s="2">
        <v>0.26458333333333334</v>
      </c>
      <c r="S166">
        <v>381</v>
      </c>
      <c r="T166">
        <v>90.78</v>
      </c>
      <c r="U166">
        <v>2</v>
      </c>
      <c r="V166">
        <v>0.45</v>
      </c>
      <c r="W166">
        <v>0.40899999999999997</v>
      </c>
    </row>
    <row r="167" spans="1:23" x14ac:dyDescent="0.3">
      <c r="A167" t="s">
        <v>1073</v>
      </c>
      <c r="B167" s="1">
        <v>45205</v>
      </c>
      <c r="C167" s="2">
        <v>0.47152777777777777</v>
      </c>
      <c r="D167" t="s">
        <v>1088</v>
      </c>
      <c r="E167">
        <v>50</v>
      </c>
      <c r="F167" t="s">
        <v>810</v>
      </c>
      <c r="G167" t="s">
        <v>1088</v>
      </c>
      <c r="H167" t="s">
        <v>18</v>
      </c>
      <c r="I167">
        <v>2.628638</v>
      </c>
      <c r="J167">
        <v>28.420582</v>
      </c>
      <c r="K167" t="s">
        <v>1498</v>
      </c>
      <c r="L167" t="s">
        <v>1499</v>
      </c>
      <c r="M167" t="s">
        <v>389</v>
      </c>
      <c r="N167" t="s">
        <v>18</v>
      </c>
      <c r="O167" t="s">
        <v>1794</v>
      </c>
      <c r="P167">
        <v>41</v>
      </c>
      <c r="Q167" t="s">
        <v>19</v>
      </c>
      <c r="R167" s="2">
        <v>0.27638888888888891</v>
      </c>
      <c r="S167">
        <v>398</v>
      </c>
      <c r="T167">
        <v>28.56</v>
      </c>
      <c r="U167">
        <v>2</v>
      </c>
      <c r="V167">
        <v>0.45</v>
      </c>
      <c r="W167">
        <v>0.129</v>
      </c>
    </row>
    <row r="168" spans="1:23" x14ac:dyDescent="0.3">
      <c r="A168" t="s">
        <v>1073</v>
      </c>
      <c r="B168" s="1">
        <v>45205</v>
      </c>
      <c r="C168" s="2">
        <v>0.47152777777777777</v>
      </c>
      <c r="D168" t="s">
        <v>1088</v>
      </c>
      <c r="E168">
        <v>50</v>
      </c>
      <c r="F168" t="s">
        <v>810</v>
      </c>
      <c r="G168" t="s">
        <v>1088</v>
      </c>
      <c r="H168" t="s">
        <v>18</v>
      </c>
      <c r="I168">
        <v>2.628638</v>
      </c>
      <c r="J168">
        <v>28.420582</v>
      </c>
      <c r="K168" t="s">
        <v>1498</v>
      </c>
      <c r="L168" t="s">
        <v>1499</v>
      </c>
      <c r="M168" t="s">
        <v>410</v>
      </c>
      <c r="N168" t="s">
        <v>18</v>
      </c>
      <c r="O168" t="s">
        <v>1762</v>
      </c>
      <c r="P168">
        <v>14</v>
      </c>
      <c r="Q168" t="s">
        <v>14</v>
      </c>
      <c r="R168" s="2">
        <v>0.23958333333333334</v>
      </c>
      <c r="S168">
        <v>345</v>
      </c>
      <c r="T168">
        <v>39.57</v>
      </c>
      <c r="U168">
        <v>3</v>
      </c>
      <c r="V168">
        <v>0.1</v>
      </c>
      <c r="W168">
        <v>0.04</v>
      </c>
    </row>
    <row r="169" spans="1:23" x14ac:dyDescent="0.3">
      <c r="A169" t="s">
        <v>1073</v>
      </c>
      <c r="B169" s="1">
        <v>45205</v>
      </c>
      <c r="C169" s="2">
        <v>0.47152777777777777</v>
      </c>
      <c r="D169" t="s">
        <v>1088</v>
      </c>
      <c r="E169">
        <v>50</v>
      </c>
      <c r="F169" t="s">
        <v>810</v>
      </c>
      <c r="G169" t="s">
        <v>1088</v>
      </c>
      <c r="H169" t="s">
        <v>18</v>
      </c>
      <c r="I169">
        <v>2.628638</v>
      </c>
      <c r="J169">
        <v>28.420582</v>
      </c>
      <c r="K169" t="s">
        <v>1498</v>
      </c>
      <c r="L169" t="s">
        <v>1499</v>
      </c>
      <c r="M169" t="s">
        <v>458</v>
      </c>
      <c r="N169" t="s">
        <v>18</v>
      </c>
      <c r="O169" t="s">
        <v>1776</v>
      </c>
      <c r="P169">
        <v>7</v>
      </c>
      <c r="Q169" t="s">
        <v>19</v>
      </c>
      <c r="R169" s="2">
        <v>0.16180555555555556</v>
      </c>
      <c r="S169">
        <v>233</v>
      </c>
      <c r="T169">
        <v>10.94</v>
      </c>
      <c r="U169">
        <v>0</v>
      </c>
      <c r="V169">
        <v>0.45</v>
      </c>
      <c r="W169">
        <v>4.9000000000000002E-2</v>
      </c>
    </row>
    <row r="170" spans="1:23" x14ac:dyDescent="0.3">
      <c r="A170" t="s">
        <v>1073</v>
      </c>
      <c r="B170" s="1">
        <v>45205</v>
      </c>
      <c r="C170" s="2">
        <v>0.47152777777777777</v>
      </c>
      <c r="D170" t="s">
        <v>1088</v>
      </c>
      <c r="E170">
        <v>50</v>
      </c>
      <c r="F170" t="s">
        <v>810</v>
      </c>
      <c r="G170" t="s">
        <v>1088</v>
      </c>
      <c r="H170" t="s">
        <v>18</v>
      </c>
      <c r="I170">
        <v>2.628638</v>
      </c>
      <c r="J170">
        <v>28.420582</v>
      </c>
      <c r="K170" t="s">
        <v>1498</v>
      </c>
      <c r="L170" t="s">
        <v>1499</v>
      </c>
      <c r="M170" t="s">
        <v>554</v>
      </c>
      <c r="N170" t="s">
        <v>18</v>
      </c>
      <c r="O170" t="s">
        <v>1795</v>
      </c>
      <c r="P170">
        <v>46</v>
      </c>
      <c r="Q170" t="s">
        <v>14</v>
      </c>
      <c r="R170" s="2">
        <v>0.15</v>
      </c>
      <c r="S170">
        <v>216</v>
      </c>
      <c r="T170">
        <v>63.74</v>
      </c>
      <c r="U170">
        <v>4</v>
      </c>
      <c r="V170">
        <v>0.1</v>
      </c>
      <c r="W170">
        <v>6.4000000000000001E-2</v>
      </c>
    </row>
    <row r="171" spans="1:23" x14ac:dyDescent="0.3">
      <c r="A171" t="s">
        <v>805</v>
      </c>
      <c r="B171" s="1">
        <v>45213</v>
      </c>
      <c r="C171" s="2">
        <v>0.31111111111111112</v>
      </c>
      <c r="D171" t="s">
        <v>819</v>
      </c>
      <c r="E171">
        <v>22</v>
      </c>
      <c r="F171" t="s">
        <v>810</v>
      </c>
      <c r="G171" t="s">
        <v>819</v>
      </c>
      <c r="H171" t="s">
        <v>40</v>
      </c>
      <c r="I171">
        <v>4.8319039999999998</v>
      </c>
      <c r="J171">
        <v>20.733468999999999</v>
      </c>
      <c r="K171" t="s">
        <v>1495</v>
      </c>
      <c r="L171" t="s">
        <v>1496</v>
      </c>
      <c r="M171" t="s">
        <v>39</v>
      </c>
      <c r="N171" t="s">
        <v>40</v>
      </c>
      <c r="O171" t="s">
        <v>1716</v>
      </c>
      <c r="P171">
        <v>110</v>
      </c>
      <c r="Q171" t="s">
        <v>14</v>
      </c>
      <c r="R171" s="2">
        <v>0.29375000000000001</v>
      </c>
      <c r="S171">
        <v>423</v>
      </c>
      <c r="T171">
        <v>37.35</v>
      </c>
      <c r="U171">
        <v>4</v>
      </c>
      <c r="V171">
        <v>0.1</v>
      </c>
      <c r="W171">
        <v>3.6999999999999998E-2</v>
      </c>
    </row>
    <row r="172" spans="1:23" x14ac:dyDescent="0.3">
      <c r="A172" t="s">
        <v>805</v>
      </c>
      <c r="B172" s="1">
        <v>45213</v>
      </c>
      <c r="C172" s="2">
        <v>0.31111111111111112</v>
      </c>
      <c r="D172" t="s">
        <v>819</v>
      </c>
      <c r="E172">
        <v>22</v>
      </c>
      <c r="F172" t="s">
        <v>810</v>
      </c>
      <c r="G172" t="s">
        <v>819</v>
      </c>
      <c r="H172" t="s">
        <v>40</v>
      </c>
      <c r="I172">
        <v>4.8319039999999998</v>
      </c>
      <c r="J172">
        <v>20.733468999999999</v>
      </c>
      <c r="K172" t="s">
        <v>1495</v>
      </c>
      <c r="L172" t="s">
        <v>1496</v>
      </c>
      <c r="M172" t="s">
        <v>76</v>
      </c>
      <c r="N172" t="s">
        <v>40</v>
      </c>
      <c r="O172" t="s">
        <v>1796</v>
      </c>
      <c r="P172">
        <v>22</v>
      </c>
      <c r="Q172" t="s">
        <v>22</v>
      </c>
      <c r="R172" s="2">
        <v>0.31319444444444444</v>
      </c>
      <c r="S172">
        <v>451</v>
      </c>
      <c r="T172">
        <v>76.38</v>
      </c>
      <c r="U172">
        <v>3</v>
      </c>
      <c r="V172">
        <v>0.45</v>
      </c>
      <c r="W172">
        <v>0.34399999999999997</v>
      </c>
    </row>
    <row r="173" spans="1:23" x14ac:dyDescent="0.3">
      <c r="A173" t="s">
        <v>805</v>
      </c>
      <c r="B173" s="1">
        <v>45213</v>
      </c>
      <c r="C173" s="2">
        <v>0.31111111111111112</v>
      </c>
      <c r="D173" t="s">
        <v>819</v>
      </c>
      <c r="E173">
        <v>22</v>
      </c>
      <c r="F173" t="s">
        <v>810</v>
      </c>
      <c r="G173" t="s">
        <v>819</v>
      </c>
      <c r="H173" t="s">
        <v>40</v>
      </c>
      <c r="I173">
        <v>4.8319039999999998</v>
      </c>
      <c r="J173">
        <v>20.733468999999999</v>
      </c>
      <c r="K173" t="s">
        <v>1495</v>
      </c>
      <c r="L173" t="s">
        <v>1496</v>
      </c>
      <c r="M173" t="s">
        <v>119</v>
      </c>
      <c r="N173" t="s">
        <v>40</v>
      </c>
      <c r="O173" t="s">
        <v>1797</v>
      </c>
      <c r="P173">
        <v>91</v>
      </c>
      <c r="Q173" t="s">
        <v>11</v>
      </c>
      <c r="R173" s="2">
        <v>0.32430555555555557</v>
      </c>
      <c r="S173">
        <v>467</v>
      </c>
      <c r="T173">
        <v>84.74</v>
      </c>
      <c r="U173">
        <v>1</v>
      </c>
      <c r="V173">
        <v>0.45</v>
      </c>
      <c r="W173">
        <v>0.38100000000000001</v>
      </c>
    </row>
    <row r="174" spans="1:23" x14ac:dyDescent="0.3">
      <c r="A174" t="s">
        <v>805</v>
      </c>
      <c r="B174" s="1">
        <v>45213</v>
      </c>
      <c r="C174" s="2">
        <v>0.31111111111111112</v>
      </c>
      <c r="D174" t="s">
        <v>819</v>
      </c>
      <c r="E174">
        <v>22</v>
      </c>
      <c r="F174" t="s">
        <v>810</v>
      </c>
      <c r="G174" t="s">
        <v>819</v>
      </c>
      <c r="H174" t="s">
        <v>40</v>
      </c>
      <c r="I174">
        <v>4.8319039999999998</v>
      </c>
      <c r="J174">
        <v>20.733468999999999</v>
      </c>
      <c r="K174" t="s">
        <v>1495</v>
      </c>
      <c r="L174" t="s">
        <v>1496</v>
      </c>
      <c r="M174" t="s">
        <v>177</v>
      </c>
      <c r="N174" t="s">
        <v>40</v>
      </c>
      <c r="O174" t="s">
        <v>1798</v>
      </c>
      <c r="P174">
        <v>58</v>
      </c>
      <c r="Q174" t="s">
        <v>19</v>
      </c>
      <c r="R174" s="2">
        <v>0.20347222222222222</v>
      </c>
      <c r="S174">
        <v>293</v>
      </c>
      <c r="T174">
        <v>88.85</v>
      </c>
      <c r="U174">
        <v>5</v>
      </c>
      <c r="V174">
        <v>0.45</v>
      </c>
      <c r="W174">
        <v>0.4</v>
      </c>
    </row>
    <row r="175" spans="1:23" x14ac:dyDescent="0.3">
      <c r="A175" t="s">
        <v>805</v>
      </c>
      <c r="B175" s="1">
        <v>45213</v>
      </c>
      <c r="C175" s="2">
        <v>0.31111111111111112</v>
      </c>
      <c r="D175" t="s">
        <v>819</v>
      </c>
      <c r="E175">
        <v>22</v>
      </c>
      <c r="F175" t="s">
        <v>810</v>
      </c>
      <c r="G175" t="s">
        <v>819</v>
      </c>
      <c r="H175" t="s">
        <v>40</v>
      </c>
      <c r="I175">
        <v>4.8319039999999998</v>
      </c>
      <c r="J175">
        <v>20.733468999999999</v>
      </c>
      <c r="K175" t="s">
        <v>1495</v>
      </c>
      <c r="L175" t="s">
        <v>1496</v>
      </c>
      <c r="M175" t="s">
        <v>194</v>
      </c>
      <c r="N175" t="s">
        <v>40</v>
      </c>
      <c r="O175" t="s">
        <v>1766</v>
      </c>
      <c r="P175">
        <v>97</v>
      </c>
      <c r="Q175" t="s">
        <v>11</v>
      </c>
      <c r="R175" s="2">
        <v>0.20555555555555555</v>
      </c>
      <c r="S175">
        <v>296</v>
      </c>
      <c r="T175">
        <v>10.87</v>
      </c>
      <c r="U175">
        <v>4</v>
      </c>
      <c r="V175">
        <v>0.45</v>
      </c>
      <c r="W175">
        <v>4.9000000000000002E-2</v>
      </c>
    </row>
    <row r="176" spans="1:23" x14ac:dyDescent="0.3">
      <c r="A176" t="s">
        <v>805</v>
      </c>
      <c r="B176" s="1">
        <v>45213</v>
      </c>
      <c r="C176" s="2">
        <v>0.31111111111111112</v>
      </c>
      <c r="D176" t="s">
        <v>819</v>
      </c>
      <c r="E176">
        <v>22</v>
      </c>
      <c r="F176" t="s">
        <v>810</v>
      </c>
      <c r="G176" t="s">
        <v>819</v>
      </c>
      <c r="H176" t="s">
        <v>40</v>
      </c>
      <c r="I176">
        <v>4.8319039999999998</v>
      </c>
      <c r="J176">
        <v>20.733468999999999</v>
      </c>
      <c r="K176" t="s">
        <v>1495</v>
      </c>
      <c r="L176" t="s">
        <v>1496</v>
      </c>
      <c r="M176" t="s">
        <v>231</v>
      </c>
      <c r="N176" t="s">
        <v>40</v>
      </c>
      <c r="O176" t="s">
        <v>1775</v>
      </c>
      <c r="P176">
        <v>49</v>
      </c>
      <c r="Q176" t="s">
        <v>11</v>
      </c>
      <c r="R176" s="2">
        <v>0.24791666666666667</v>
      </c>
      <c r="S176">
        <v>357</v>
      </c>
      <c r="T176">
        <v>96.67</v>
      </c>
      <c r="U176">
        <v>3</v>
      </c>
      <c r="V176">
        <v>0.45</v>
      </c>
      <c r="W176">
        <v>0.435</v>
      </c>
    </row>
    <row r="177" spans="1:23" x14ac:dyDescent="0.3">
      <c r="A177" t="s">
        <v>805</v>
      </c>
      <c r="B177" s="1">
        <v>45213</v>
      </c>
      <c r="C177" s="2">
        <v>0.31111111111111112</v>
      </c>
      <c r="D177" t="s">
        <v>819</v>
      </c>
      <c r="E177">
        <v>22</v>
      </c>
      <c r="F177" t="s">
        <v>810</v>
      </c>
      <c r="G177" t="s">
        <v>819</v>
      </c>
      <c r="H177" t="s">
        <v>40</v>
      </c>
      <c r="I177">
        <v>4.8319039999999998</v>
      </c>
      <c r="J177">
        <v>20.733468999999999</v>
      </c>
      <c r="K177" t="s">
        <v>1495</v>
      </c>
      <c r="L177" t="s">
        <v>1496</v>
      </c>
      <c r="M177" t="s">
        <v>237</v>
      </c>
      <c r="N177" t="s">
        <v>40</v>
      </c>
      <c r="O177" t="s">
        <v>1746</v>
      </c>
      <c r="P177">
        <v>33</v>
      </c>
      <c r="Q177" t="s">
        <v>11</v>
      </c>
      <c r="R177" s="2">
        <v>0.19791666666666666</v>
      </c>
      <c r="S177">
        <v>285</v>
      </c>
      <c r="T177">
        <v>56.67</v>
      </c>
      <c r="U177">
        <v>2</v>
      </c>
      <c r="V177">
        <v>0.45</v>
      </c>
      <c r="W177">
        <v>0.255</v>
      </c>
    </row>
    <row r="178" spans="1:23" x14ac:dyDescent="0.3">
      <c r="A178" t="s">
        <v>805</v>
      </c>
      <c r="B178" s="1">
        <v>45213</v>
      </c>
      <c r="C178" s="2">
        <v>0.31111111111111112</v>
      </c>
      <c r="D178" t="s">
        <v>819</v>
      </c>
      <c r="E178">
        <v>22</v>
      </c>
      <c r="F178" t="s">
        <v>810</v>
      </c>
      <c r="G178" t="s">
        <v>819</v>
      </c>
      <c r="H178" t="s">
        <v>40</v>
      </c>
      <c r="I178">
        <v>4.8319039999999998</v>
      </c>
      <c r="J178">
        <v>20.733468999999999</v>
      </c>
      <c r="K178" t="s">
        <v>1495</v>
      </c>
      <c r="L178" t="s">
        <v>1496</v>
      </c>
      <c r="M178" t="s">
        <v>270</v>
      </c>
      <c r="N178" t="s">
        <v>40</v>
      </c>
      <c r="O178" t="s">
        <v>1736</v>
      </c>
      <c r="P178">
        <v>60</v>
      </c>
      <c r="Q178" t="s">
        <v>22</v>
      </c>
      <c r="R178" s="2">
        <v>0.10694444444444444</v>
      </c>
      <c r="S178">
        <v>154</v>
      </c>
      <c r="T178">
        <v>13.41</v>
      </c>
      <c r="U178">
        <v>5</v>
      </c>
      <c r="V178">
        <v>0.45</v>
      </c>
      <c r="W178">
        <v>0.06</v>
      </c>
    </row>
    <row r="179" spans="1:23" x14ac:dyDescent="0.3">
      <c r="A179" t="s">
        <v>805</v>
      </c>
      <c r="B179" s="1">
        <v>45213</v>
      </c>
      <c r="C179" s="2">
        <v>0.31111111111111112</v>
      </c>
      <c r="D179" t="s">
        <v>819</v>
      </c>
      <c r="E179">
        <v>22</v>
      </c>
      <c r="F179" t="s">
        <v>810</v>
      </c>
      <c r="G179" t="s">
        <v>819</v>
      </c>
      <c r="H179" t="s">
        <v>40</v>
      </c>
      <c r="I179">
        <v>4.8319039999999998</v>
      </c>
      <c r="J179">
        <v>20.733468999999999</v>
      </c>
      <c r="K179" t="s">
        <v>1495</v>
      </c>
      <c r="L179" t="s">
        <v>1496</v>
      </c>
      <c r="M179" t="s">
        <v>281</v>
      </c>
      <c r="N179" t="s">
        <v>40</v>
      </c>
      <c r="O179" t="s">
        <v>1799</v>
      </c>
      <c r="P179">
        <v>61</v>
      </c>
      <c r="Q179" t="s">
        <v>22</v>
      </c>
      <c r="R179" s="2">
        <v>6.0416666666666667E-2</v>
      </c>
      <c r="S179">
        <v>87</v>
      </c>
      <c r="T179">
        <v>68.319999999999993</v>
      </c>
      <c r="U179">
        <v>2</v>
      </c>
      <c r="V179">
        <v>0.45</v>
      </c>
      <c r="W179">
        <v>0.307</v>
      </c>
    </row>
    <row r="180" spans="1:23" x14ac:dyDescent="0.3">
      <c r="A180" t="s">
        <v>805</v>
      </c>
      <c r="B180" s="1">
        <v>45213</v>
      </c>
      <c r="C180" s="2">
        <v>0.31111111111111112</v>
      </c>
      <c r="D180" t="s">
        <v>819</v>
      </c>
      <c r="E180">
        <v>22</v>
      </c>
      <c r="F180" t="s">
        <v>810</v>
      </c>
      <c r="G180" t="s">
        <v>819</v>
      </c>
      <c r="H180" t="s">
        <v>40</v>
      </c>
      <c r="I180">
        <v>4.8319039999999998</v>
      </c>
      <c r="J180">
        <v>20.733468999999999</v>
      </c>
      <c r="K180" t="s">
        <v>1495</v>
      </c>
      <c r="L180" t="s">
        <v>1496</v>
      </c>
      <c r="M180" t="s">
        <v>305</v>
      </c>
      <c r="N180" t="s">
        <v>40</v>
      </c>
      <c r="O180" t="s">
        <v>1719</v>
      </c>
      <c r="P180">
        <v>50</v>
      </c>
      <c r="Q180" t="s">
        <v>22</v>
      </c>
      <c r="R180" s="2">
        <v>0.30972222222222223</v>
      </c>
      <c r="S180">
        <v>446</v>
      </c>
      <c r="T180">
        <v>31.56</v>
      </c>
      <c r="U180">
        <v>5</v>
      </c>
      <c r="V180">
        <v>0.45</v>
      </c>
      <c r="W180">
        <v>0.14199999999999999</v>
      </c>
    </row>
    <row r="181" spans="1:23" x14ac:dyDescent="0.3">
      <c r="A181" t="s">
        <v>805</v>
      </c>
      <c r="B181" s="1">
        <v>45213</v>
      </c>
      <c r="C181" s="2">
        <v>0.31111111111111112</v>
      </c>
      <c r="D181" t="s">
        <v>819</v>
      </c>
      <c r="E181">
        <v>22</v>
      </c>
      <c r="F181" t="s">
        <v>810</v>
      </c>
      <c r="G181" t="s">
        <v>819</v>
      </c>
      <c r="H181" t="s">
        <v>40</v>
      </c>
      <c r="I181">
        <v>4.8319039999999998</v>
      </c>
      <c r="J181">
        <v>20.733468999999999</v>
      </c>
      <c r="K181" t="s">
        <v>1495</v>
      </c>
      <c r="L181" t="s">
        <v>1496</v>
      </c>
      <c r="M181" t="s">
        <v>324</v>
      </c>
      <c r="N181" t="s">
        <v>40</v>
      </c>
      <c r="O181" t="s">
        <v>1800</v>
      </c>
      <c r="P181">
        <v>90</v>
      </c>
      <c r="Q181" t="s">
        <v>14</v>
      </c>
      <c r="R181" s="2">
        <v>0.2076388888888889</v>
      </c>
      <c r="S181">
        <v>299</v>
      </c>
      <c r="T181">
        <v>71.760000000000005</v>
      </c>
      <c r="U181">
        <v>1</v>
      </c>
      <c r="V181">
        <v>0.1</v>
      </c>
      <c r="W181">
        <v>7.1999999999999995E-2</v>
      </c>
    </row>
    <row r="182" spans="1:23" x14ac:dyDescent="0.3">
      <c r="A182" t="s">
        <v>805</v>
      </c>
      <c r="B182" s="1">
        <v>45213</v>
      </c>
      <c r="C182" s="2">
        <v>0.31111111111111112</v>
      </c>
      <c r="D182" t="s">
        <v>819</v>
      </c>
      <c r="E182">
        <v>22</v>
      </c>
      <c r="F182" t="s">
        <v>810</v>
      </c>
      <c r="G182" t="s">
        <v>819</v>
      </c>
      <c r="H182" t="s">
        <v>40</v>
      </c>
      <c r="I182">
        <v>4.8319039999999998</v>
      </c>
      <c r="J182">
        <v>20.733468999999999</v>
      </c>
      <c r="K182" t="s">
        <v>1495</v>
      </c>
      <c r="L182" t="s">
        <v>1496</v>
      </c>
      <c r="M182" t="s">
        <v>346</v>
      </c>
      <c r="N182" t="s">
        <v>40</v>
      </c>
      <c r="O182" t="s">
        <v>1801</v>
      </c>
      <c r="P182">
        <v>109</v>
      </c>
      <c r="Q182" t="s">
        <v>22</v>
      </c>
      <c r="R182" s="2">
        <v>0.24097222222222223</v>
      </c>
      <c r="S182">
        <v>347</v>
      </c>
      <c r="T182">
        <v>43.06</v>
      </c>
      <c r="U182">
        <v>4</v>
      </c>
      <c r="V182">
        <v>0.45</v>
      </c>
      <c r="W182">
        <v>0.19400000000000001</v>
      </c>
    </row>
    <row r="183" spans="1:23" x14ac:dyDescent="0.3">
      <c r="A183" t="s">
        <v>805</v>
      </c>
      <c r="B183" s="1">
        <v>45213</v>
      </c>
      <c r="C183" s="2">
        <v>0.31111111111111112</v>
      </c>
      <c r="D183" t="s">
        <v>819</v>
      </c>
      <c r="E183">
        <v>22</v>
      </c>
      <c r="F183" t="s">
        <v>810</v>
      </c>
      <c r="G183" t="s">
        <v>819</v>
      </c>
      <c r="H183" t="s">
        <v>40</v>
      </c>
      <c r="I183">
        <v>4.8319039999999998</v>
      </c>
      <c r="J183">
        <v>20.733468999999999</v>
      </c>
      <c r="K183" t="s">
        <v>1495</v>
      </c>
      <c r="L183" t="s">
        <v>1496</v>
      </c>
      <c r="M183" t="s">
        <v>354</v>
      </c>
      <c r="N183" t="s">
        <v>40</v>
      </c>
      <c r="O183" t="s">
        <v>1788</v>
      </c>
      <c r="P183">
        <v>120</v>
      </c>
      <c r="Q183" t="s">
        <v>22</v>
      </c>
      <c r="R183" s="2">
        <v>0.16805555555555557</v>
      </c>
      <c r="S183">
        <v>242</v>
      </c>
      <c r="T183">
        <v>61.54</v>
      </c>
      <c r="U183">
        <v>1</v>
      </c>
      <c r="V183">
        <v>0.45</v>
      </c>
      <c r="W183">
        <v>0.27700000000000002</v>
      </c>
    </row>
    <row r="184" spans="1:23" x14ac:dyDescent="0.3">
      <c r="A184" t="s">
        <v>805</v>
      </c>
      <c r="B184" s="1">
        <v>45213</v>
      </c>
      <c r="C184" s="2">
        <v>0.31111111111111112</v>
      </c>
      <c r="D184" t="s">
        <v>819</v>
      </c>
      <c r="E184">
        <v>22</v>
      </c>
      <c r="F184" t="s">
        <v>810</v>
      </c>
      <c r="G184" t="s">
        <v>819</v>
      </c>
      <c r="H184" t="s">
        <v>40</v>
      </c>
      <c r="I184">
        <v>4.8319039999999998</v>
      </c>
      <c r="J184">
        <v>20.733468999999999</v>
      </c>
      <c r="K184" t="s">
        <v>1495</v>
      </c>
      <c r="L184" t="s">
        <v>1496</v>
      </c>
      <c r="M184" t="s">
        <v>374</v>
      </c>
      <c r="N184" t="s">
        <v>40</v>
      </c>
      <c r="O184" t="s">
        <v>1769</v>
      </c>
      <c r="P184">
        <v>64</v>
      </c>
      <c r="Q184" t="s">
        <v>19</v>
      </c>
      <c r="R184" s="2">
        <v>0.1736111111111111</v>
      </c>
      <c r="S184">
        <v>250</v>
      </c>
      <c r="T184">
        <v>56.7</v>
      </c>
      <c r="U184">
        <v>0</v>
      </c>
      <c r="V184">
        <v>0.45</v>
      </c>
      <c r="W184">
        <v>0.255</v>
      </c>
    </row>
    <row r="185" spans="1:23" x14ac:dyDescent="0.3">
      <c r="A185" t="s">
        <v>805</v>
      </c>
      <c r="B185" s="1">
        <v>45213</v>
      </c>
      <c r="C185" s="2">
        <v>0.31111111111111112</v>
      </c>
      <c r="D185" t="s">
        <v>819</v>
      </c>
      <c r="E185">
        <v>22</v>
      </c>
      <c r="F185" t="s">
        <v>810</v>
      </c>
      <c r="G185" t="s">
        <v>819</v>
      </c>
      <c r="H185" t="s">
        <v>40</v>
      </c>
      <c r="I185">
        <v>4.8319039999999998</v>
      </c>
      <c r="J185">
        <v>20.733468999999999</v>
      </c>
      <c r="K185" t="s">
        <v>1495</v>
      </c>
      <c r="L185" t="s">
        <v>1496</v>
      </c>
      <c r="M185" t="s">
        <v>376</v>
      </c>
      <c r="N185" t="s">
        <v>40</v>
      </c>
      <c r="O185" t="s">
        <v>1741</v>
      </c>
      <c r="P185">
        <v>59</v>
      </c>
      <c r="Q185" t="s">
        <v>11</v>
      </c>
      <c r="R185" s="2">
        <v>0.24444444444444444</v>
      </c>
      <c r="S185">
        <v>352</v>
      </c>
      <c r="T185">
        <v>74.239999999999995</v>
      </c>
      <c r="U185">
        <v>0</v>
      </c>
      <c r="V185">
        <v>0.45</v>
      </c>
      <c r="W185">
        <v>0.33400000000000002</v>
      </c>
    </row>
    <row r="186" spans="1:23" x14ac:dyDescent="0.3">
      <c r="A186" t="s">
        <v>805</v>
      </c>
      <c r="B186" s="1">
        <v>45213</v>
      </c>
      <c r="C186" s="2">
        <v>0.31111111111111112</v>
      </c>
      <c r="D186" t="s">
        <v>819</v>
      </c>
      <c r="E186">
        <v>22</v>
      </c>
      <c r="F186" t="s">
        <v>810</v>
      </c>
      <c r="G186" t="s">
        <v>819</v>
      </c>
      <c r="H186" t="s">
        <v>40</v>
      </c>
      <c r="I186">
        <v>4.8319039999999998</v>
      </c>
      <c r="J186">
        <v>20.733468999999999</v>
      </c>
      <c r="K186" t="s">
        <v>1495</v>
      </c>
      <c r="L186" t="s">
        <v>1496</v>
      </c>
      <c r="M186" t="s">
        <v>400</v>
      </c>
      <c r="N186" t="s">
        <v>40</v>
      </c>
      <c r="O186" t="s">
        <v>1774</v>
      </c>
      <c r="P186">
        <v>19</v>
      </c>
      <c r="Q186" t="s">
        <v>22</v>
      </c>
      <c r="R186" s="2">
        <v>0.3125</v>
      </c>
      <c r="S186">
        <v>450</v>
      </c>
      <c r="T186">
        <v>37.43</v>
      </c>
      <c r="U186">
        <v>2</v>
      </c>
      <c r="V186">
        <v>0.45</v>
      </c>
      <c r="W186">
        <v>0.16800000000000001</v>
      </c>
    </row>
    <row r="187" spans="1:23" x14ac:dyDescent="0.3">
      <c r="A187" t="s">
        <v>805</v>
      </c>
      <c r="B187" s="1">
        <v>45213</v>
      </c>
      <c r="C187" s="2">
        <v>0.31111111111111112</v>
      </c>
      <c r="D187" t="s">
        <v>819</v>
      </c>
      <c r="E187">
        <v>22</v>
      </c>
      <c r="F187" t="s">
        <v>810</v>
      </c>
      <c r="G187" t="s">
        <v>819</v>
      </c>
      <c r="H187" t="s">
        <v>40</v>
      </c>
      <c r="I187">
        <v>4.8319039999999998</v>
      </c>
      <c r="J187">
        <v>20.733468999999999</v>
      </c>
      <c r="K187" t="s">
        <v>1495</v>
      </c>
      <c r="L187" t="s">
        <v>1496</v>
      </c>
      <c r="M187" t="s">
        <v>408</v>
      </c>
      <c r="N187" t="s">
        <v>40</v>
      </c>
      <c r="O187" t="s">
        <v>1714</v>
      </c>
      <c r="P187">
        <v>29</v>
      </c>
      <c r="Q187" t="s">
        <v>14</v>
      </c>
      <c r="R187" s="2">
        <v>0.34236111111111112</v>
      </c>
      <c r="S187">
        <v>493</v>
      </c>
      <c r="T187">
        <v>42.02</v>
      </c>
      <c r="U187">
        <v>1</v>
      </c>
      <c r="V187">
        <v>0.1</v>
      </c>
      <c r="W187">
        <v>4.2000000000000003E-2</v>
      </c>
    </row>
    <row r="188" spans="1:23" x14ac:dyDescent="0.3">
      <c r="A188" t="s">
        <v>805</v>
      </c>
      <c r="B188" s="1">
        <v>45213</v>
      </c>
      <c r="C188" s="2">
        <v>0.31111111111111112</v>
      </c>
      <c r="D188" t="s">
        <v>819</v>
      </c>
      <c r="E188">
        <v>22</v>
      </c>
      <c r="F188" t="s">
        <v>810</v>
      </c>
      <c r="G188" t="s">
        <v>819</v>
      </c>
      <c r="H188" t="s">
        <v>40</v>
      </c>
      <c r="I188">
        <v>4.8319039999999998</v>
      </c>
      <c r="J188">
        <v>20.733468999999999</v>
      </c>
      <c r="K188" t="s">
        <v>1495</v>
      </c>
      <c r="L188" t="s">
        <v>1496</v>
      </c>
      <c r="M188" t="s">
        <v>433</v>
      </c>
      <c r="N188" t="s">
        <v>40</v>
      </c>
      <c r="O188" t="s">
        <v>1802</v>
      </c>
      <c r="P188">
        <v>13</v>
      </c>
      <c r="Q188" t="s">
        <v>14</v>
      </c>
      <c r="R188" s="2">
        <v>0.12013888888888889</v>
      </c>
      <c r="S188">
        <v>173</v>
      </c>
      <c r="T188">
        <v>85.54</v>
      </c>
      <c r="U188">
        <v>3</v>
      </c>
      <c r="V188">
        <v>0.1</v>
      </c>
      <c r="W188">
        <v>8.5999999999999993E-2</v>
      </c>
    </row>
    <row r="189" spans="1:23" x14ac:dyDescent="0.3">
      <c r="A189" t="s">
        <v>805</v>
      </c>
      <c r="B189" s="1">
        <v>45213</v>
      </c>
      <c r="C189" s="2">
        <v>0.31111111111111112</v>
      </c>
      <c r="D189" t="s">
        <v>819</v>
      </c>
      <c r="E189">
        <v>22</v>
      </c>
      <c r="F189" t="s">
        <v>810</v>
      </c>
      <c r="G189" t="s">
        <v>819</v>
      </c>
      <c r="H189" t="s">
        <v>40</v>
      </c>
      <c r="I189">
        <v>4.8319039999999998</v>
      </c>
      <c r="J189">
        <v>20.733468999999999</v>
      </c>
      <c r="K189" t="s">
        <v>1495</v>
      </c>
      <c r="L189" t="s">
        <v>1496</v>
      </c>
      <c r="M189" t="s">
        <v>441</v>
      </c>
      <c r="N189" t="s">
        <v>40</v>
      </c>
      <c r="O189" t="s">
        <v>1748</v>
      </c>
      <c r="P189">
        <v>45</v>
      </c>
      <c r="Q189" t="s">
        <v>19</v>
      </c>
      <c r="R189" s="2">
        <v>0.30486111111111114</v>
      </c>
      <c r="S189">
        <v>439</v>
      </c>
      <c r="T189">
        <v>13.62</v>
      </c>
      <c r="U189">
        <v>4</v>
      </c>
      <c r="V189">
        <v>0.45</v>
      </c>
      <c r="W189">
        <v>6.0999999999999999E-2</v>
      </c>
    </row>
    <row r="190" spans="1:23" x14ac:dyDescent="0.3">
      <c r="A190" t="s">
        <v>805</v>
      </c>
      <c r="B190" s="1">
        <v>45213</v>
      </c>
      <c r="C190" s="2">
        <v>0.31111111111111112</v>
      </c>
      <c r="D190" t="s">
        <v>819</v>
      </c>
      <c r="E190">
        <v>22</v>
      </c>
      <c r="F190" t="s">
        <v>810</v>
      </c>
      <c r="G190" t="s">
        <v>819</v>
      </c>
      <c r="H190" t="s">
        <v>40</v>
      </c>
      <c r="I190">
        <v>4.8319039999999998</v>
      </c>
      <c r="J190">
        <v>20.733468999999999</v>
      </c>
      <c r="K190" t="s">
        <v>1495</v>
      </c>
      <c r="L190" t="s">
        <v>1496</v>
      </c>
      <c r="M190" t="s">
        <v>479</v>
      </c>
      <c r="N190" t="s">
        <v>40</v>
      </c>
      <c r="O190" t="s">
        <v>1724</v>
      </c>
      <c r="P190">
        <v>39</v>
      </c>
      <c r="Q190" t="s">
        <v>22</v>
      </c>
      <c r="R190" s="2">
        <v>0.22708333333333333</v>
      </c>
      <c r="S190">
        <v>327</v>
      </c>
      <c r="T190">
        <v>87.24</v>
      </c>
      <c r="U190">
        <v>4</v>
      </c>
      <c r="V190">
        <v>0.45</v>
      </c>
      <c r="W190">
        <v>0.39300000000000002</v>
      </c>
    </row>
    <row r="191" spans="1:23" x14ac:dyDescent="0.3">
      <c r="A191" t="s">
        <v>805</v>
      </c>
      <c r="B191" s="1">
        <v>45213</v>
      </c>
      <c r="C191" s="2">
        <v>0.31111111111111112</v>
      </c>
      <c r="D191" t="s">
        <v>819</v>
      </c>
      <c r="E191">
        <v>22</v>
      </c>
      <c r="F191" t="s">
        <v>810</v>
      </c>
      <c r="G191" t="s">
        <v>819</v>
      </c>
      <c r="H191" t="s">
        <v>40</v>
      </c>
      <c r="I191">
        <v>4.8319039999999998</v>
      </c>
      <c r="J191">
        <v>20.733468999999999</v>
      </c>
      <c r="K191" t="s">
        <v>1495</v>
      </c>
      <c r="L191" t="s">
        <v>1496</v>
      </c>
      <c r="M191" t="s">
        <v>534</v>
      </c>
      <c r="N191" t="s">
        <v>40</v>
      </c>
      <c r="O191" t="s">
        <v>1719</v>
      </c>
      <c r="P191">
        <v>50</v>
      </c>
      <c r="Q191" t="s">
        <v>22</v>
      </c>
      <c r="R191" s="2">
        <v>0.24791666666666667</v>
      </c>
      <c r="S191">
        <v>357</v>
      </c>
      <c r="T191">
        <v>17</v>
      </c>
      <c r="U191">
        <v>3</v>
      </c>
      <c r="V191">
        <v>0.45</v>
      </c>
      <c r="W191">
        <v>7.6999999999999999E-2</v>
      </c>
    </row>
    <row r="192" spans="1:23" x14ac:dyDescent="0.3">
      <c r="A192" t="s">
        <v>805</v>
      </c>
      <c r="B192" s="1">
        <v>45213</v>
      </c>
      <c r="C192" s="2">
        <v>0.31111111111111112</v>
      </c>
      <c r="D192" t="s">
        <v>819</v>
      </c>
      <c r="E192">
        <v>22</v>
      </c>
      <c r="F192" t="s">
        <v>810</v>
      </c>
      <c r="G192" t="s">
        <v>819</v>
      </c>
      <c r="H192" t="s">
        <v>40</v>
      </c>
      <c r="I192">
        <v>4.8319039999999998</v>
      </c>
      <c r="J192">
        <v>20.733468999999999</v>
      </c>
      <c r="K192" t="s">
        <v>1495</v>
      </c>
      <c r="L192" t="s">
        <v>1496</v>
      </c>
      <c r="M192" t="s">
        <v>539</v>
      </c>
      <c r="N192" t="s">
        <v>40</v>
      </c>
      <c r="O192" t="s">
        <v>1791</v>
      </c>
      <c r="P192">
        <v>62</v>
      </c>
      <c r="Q192" t="s">
        <v>22</v>
      </c>
      <c r="R192" s="2">
        <v>0.25624999999999998</v>
      </c>
      <c r="S192">
        <v>369</v>
      </c>
      <c r="T192">
        <v>58.74</v>
      </c>
      <c r="U192">
        <v>1</v>
      </c>
      <c r="V192">
        <v>0.45</v>
      </c>
      <c r="W192">
        <v>0.26400000000000001</v>
      </c>
    </row>
    <row r="193" spans="1:23" x14ac:dyDescent="0.3">
      <c r="A193" t="s">
        <v>936</v>
      </c>
      <c r="B193" s="1">
        <v>45221</v>
      </c>
      <c r="C193" s="2">
        <v>0.51736111111111116</v>
      </c>
      <c r="D193" t="s">
        <v>963</v>
      </c>
      <c r="E193">
        <v>83</v>
      </c>
      <c r="F193" t="s">
        <v>812</v>
      </c>
      <c r="G193" t="s">
        <v>963</v>
      </c>
      <c r="H193" t="s">
        <v>21</v>
      </c>
      <c r="I193">
        <v>-2.9651529999999999</v>
      </c>
      <c r="J193">
        <v>29.79908</v>
      </c>
      <c r="K193" t="s">
        <v>1498</v>
      </c>
      <c r="L193" t="s">
        <v>1496</v>
      </c>
      <c r="M193" t="s">
        <v>20</v>
      </c>
      <c r="N193" t="s">
        <v>21</v>
      </c>
      <c r="O193" t="s">
        <v>1750</v>
      </c>
      <c r="P193">
        <v>101</v>
      </c>
      <c r="Q193" t="s">
        <v>22</v>
      </c>
      <c r="R193" s="2">
        <v>0.24861111111111112</v>
      </c>
      <c r="S193">
        <v>358</v>
      </c>
      <c r="T193">
        <v>29.24</v>
      </c>
      <c r="U193">
        <v>3</v>
      </c>
      <c r="V193">
        <v>0.45</v>
      </c>
      <c r="W193">
        <v>0.13200000000000001</v>
      </c>
    </row>
    <row r="194" spans="1:23" x14ac:dyDescent="0.3">
      <c r="A194" t="s">
        <v>936</v>
      </c>
      <c r="B194" s="1">
        <v>45221</v>
      </c>
      <c r="C194" s="2">
        <v>0.51736111111111116</v>
      </c>
      <c r="D194" t="s">
        <v>963</v>
      </c>
      <c r="E194">
        <v>83</v>
      </c>
      <c r="F194" t="s">
        <v>812</v>
      </c>
      <c r="G194" t="s">
        <v>963</v>
      </c>
      <c r="H194" t="s">
        <v>21</v>
      </c>
      <c r="I194">
        <v>-2.9651529999999999</v>
      </c>
      <c r="J194">
        <v>29.79908</v>
      </c>
      <c r="K194" t="s">
        <v>1498</v>
      </c>
      <c r="L194" t="s">
        <v>1496</v>
      </c>
      <c r="M194" t="s">
        <v>65</v>
      </c>
      <c r="N194" t="s">
        <v>21</v>
      </c>
      <c r="O194" t="s">
        <v>1789</v>
      </c>
      <c r="P194">
        <v>79</v>
      </c>
      <c r="Q194" t="s">
        <v>19</v>
      </c>
      <c r="R194" s="2">
        <v>0.24791666666666667</v>
      </c>
      <c r="S194">
        <v>357</v>
      </c>
      <c r="T194">
        <v>69.900000000000006</v>
      </c>
      <c r="U194">
        <v>5</v>
      </c>
      <c r="V194">
        <v>0.45</v>
      </c>
      <c r="W194">
        <v>0.315</v>
      </c>
    </row>
    <row r="195" spans="1:23" x14ac:dyDescent="0.3">
      <c r="A195" t="s">
        <v>936</v>
      </c>
      <c r="B195" s="1">
        <v>45221</v>
      </c>
      <c r="C195" s="2">
        <v>0.51736111111111116</v>
      </c>
      <c r="D195" t="s">
        <v>963</v>
      </c>
      <c r="E195">
        <v>83</v>
      </c>
      <c r="F195" t="s">
        <v>812</v>
      </c>
      <c r="G195" t="s">
        <v>963</v>
      </c>
      <c r="H195" t="s">
        <v>21</v>
      </c>
      <c r="I195">
        <v>-2.9651529999999999</v>
      </c>
      <c r="J195">
        <v>29.79908</v>
      </c>
      <c r="K195" t="s">
        <v>1498</v>
      </c>
      <c r="L195" t="s">
        <v>1496</v>
      </c>
      <c r="M195" t="s">
        <v>68</v>
      </c>
      <c r="N195" t="s">
        <v>21</v>
      </c>
      <c r="O195" t="s">
        <v>1716</v>
      </c>
      <c r="P195">
        <v>110</v>
      </c>
      <c r="Q195" t="s">
        <v>22</v>
      </c>
      <c r="R195" s="2">
        <v>0.31527777777777777</v>
      </c>
      <c r="S195">
        <v>454</v>
      </c>
      <c r="T195">
        <v>31.05</v>
      </c>
      <c r="U195">
        <v>1</v>
      </c>
      <c r="V195">
        <v>0.45</v>
      </c>
      <c r="W195">
        <v>0.14000000000000001</v>
      </c>
    </row>
    <row r="196" spans="1:23" x14ac:dyDescent="0.3">
      <c r="A196" t="s">
        <v>936</v>
      </c>
      <c r="B196" s="1">
        <v>45221</v>
      </c>
      <c r="C196" s="2">
        <v>0.51736111111111116</v>
      </c>
      <c r="D196" t="s">
        <v>963</v>
      </c>
      <c r="E196">
        <v>83</v>
      </c>
      <c r="F196" t="s">
        <v>812</v>
      </c>
      <c r="G196" t="s">
        <v>963</v>
      </c>
      <c r="H196" t="s">
        <v>21</v>
      </c>
      <c r="I196">
        <v>-2.9651529999999999</v>
      </c>
      <c r="J196">
        <v>29.79908</v>
      </c>
      <c r="K196" t="s">
        <v>1498</v>
      </c>
      <c r="L196" t="s">
        <v>1496</v>
      </c>
      <c r="M196" t="s">
        <v>87</v>
      </c>
      <c r="N196" t="s">
        <v>21</v>
      </c>
      <c r="O196" t="s">
        <v>1741</v>
      </c>
      <c r="P196">
        <v>59</v>
      </c>
      <c r="Q196" t="s">
        <v>22</v>
      </c>
      <c r="R196" s="2">
        <v>0.13333333333333333</v>
      </c>
      <c r="S196">
        <v>192</v>
      </c>
      <c r="T196">
        <v>86.17</v>
      </c>
      <c r="U196">
        <v>1</v>
      </c>
      <c r="V196">
        <v>0.45</v>
      </c>
      <c r="W196">
        <v>0.38800000000000001</v>
      </c>
    </row>
    <row r="197" spans="1:23" x14ac:dyDescent="0.3">
      <c r="A197" t="s">
        <v>936</v>
      </c>
      <c r="B197" s="1">
        <v>45221</v>
      </c>
      <c r="C197" s="2">
        <v>0.51736111111111116</v>
      </c>
      <c r="D197" t="s">
        <v>963</v>
      </c>
      <c r="E197">
        <v>83</v>
      </c>
      <c r="F197" t="s">
        <v>812</v>
      </c>
      <c r="G197" t="s">
        <v>963</v>
      </c>
      <c r="H197" t="s">
        <v>21</v>
      </c>
      <c r="I197">
        <v>-2.9651529999999999</v>
      </c>
      <c r="J197">
        <v>29.79908</v>
      </c>
      <c r="K197" t="s">
        <v>1498</v>
      </c>
      <c r="L197" t="s">
        <v>1496</v>
      </c>
      <c r="M197" t="s">
        <v>95</v>
      </c>
      <c r="N197" t="s">
        <v>21</v>
      </c>
      <c r="O197" t="s">
        <v>1723</v>
      </c>
      <c r="P197">
        <v>94</v>
      </c>
      <c r="Q197" t="s">
        <v>22</v>
      </c>
      <c r="R197" s="2">
        <v>8.4722222222222227E-2</v>
      </c>
      <c r="S197">
        <v>122</v>
      </c>
      <c r="T197">
        <v>95.74</v>
      </c>
      <c r="U197">
        <v>5</v>
      </c>
      <c r="V197">
        <v>0.45</v>
      </c>
      <c r="W197">
        <v>0.43099999999999999</v>
      </c>
    </row>
    <row r="198" spans="1:23" x14ac:dyDescent="0.3">
      <c r="A198" t="s">
        <v>936</v>
      </c>
      <c r="B198" s="1">
        <v>45221</v>
      </c>
      <c r="C198" s="2">
        <v>0.51736111111111116</v>
      </c>
      <c r="D198" t="s">
        <v>963</v>
      </c>
      <c r="E198">
        <v>83</v>
      </c>
      <c r="F198" t="s">
        <v>812</v>
      </c>
      <c r="G198" t="s">
        <v>963</v>
      </c>
      <c r="H198" t="s">
        <v>21</v>
      </c>
      <c r="I198">
        <v>-2.9651529999999999</v>
      </c>
      <c r="J198">
        <v>29.79908</v>
      </c>
      <c r="K198" t="s">
        <v>1498</v>
      </c>
      <c r="L198" t="s">
        <v>1496</v>
      </c>
      <c r="M198" t="s">
        <v>97</v>
      </c>
      <c r="N198" t="s">
        <v>21</v>
      </c>
      <c r="O198" t="s">
        <v>1803</v>
      </c>
      <c r="P198">
        <v>12</v>
      </c>
      <c r="Q198" t="s">
        <v>14</v>
      </c>
      <c r="R198" s="2">
        <v>0.21180555555555555</v>
      </c>
      <c r="S198">
        <v>305</v>
      </c>
      <c r="T198">
        <v>59.96</v>
      </c>
      <c r="U198">
        <v>3</v>
      </c>
      <c r="V198">
        <v>0.1</v>
      </c>
      <c r="W198">
        <v>0.06</v>
      </c>
    </row>
    <row r="199" spans="1:23" x14ac:dyDescent="0.3">
      <c r="A199" t="s">
        <v>936</v>
      </c>
      <c r="B199" s="1">
        <v>45221</v>
      </c>
      <c r="C199" s="2">
        <v>0.51736111111111116</v>
      </c>
      <c r="D199" t="s">
        <v>963</v>
      </c>
      <c r="E199">
        <v>83</v>
      </c>
      <c r="F199" t="s">
        <v>812</v>
      </c>
      <c r="G199" t="s">
        <v>963</v>
      </c>
      <c r="H199" t="s">
        <v>21</v>
      </c>
      <c r="I199">
        <v>-2.9651529999999999</v>
      </c>
      <c r="J199">
        <v>29.79908</v>
      </c>
      <c r="K199" t="s">
        <v>1498</v>
      </c>
      <c r="L199" t="s">
        <v>1496</v>
      </c>
      <c r="M199" t="s">
        <v>118</v>
      </c>
      <c r="N199" t="s">
        <v>21</v>
      </c>
      <c r="O199" t="s">
        <v>1796</v>
      </c>
      <c r="P199">
        <v>22</v>
      </c>
      <c r="Q199" t="s">
        <v>22</v>
      </c>
      <c r="R199" s="2">
        <v>8.2638888888888887E-2</v>
      </c>
      <c r="S199">
        <v>119</v>
      </c>
      <c r="T199">
        <v>72.86</v>
      </c>
      <c r="U199">
        <v>3</v>
      </c>
      <c r="V199">
        <v>0.45</v>
      </c>
      <c r="W199">
        <v>0.32800000000000001</v>
      </c>
    </row>
    <row r="200" spans="1:23" x14ac:dyDescent="0.3">
      <c r="A200" t="s">
        <v>936</v>
      </c>
      <c r="B200" s="1">
        <v>45221</v>
      </c>
      <c r="C200" s="2">
        <v>0.51736111111111116</v>
      </c>
      <c r="D200" t="s">
        <v>963</v>
      </c>
      <c r="E200">
        <v>83</v>
      </c>
      <c r="F200" t="s">
        <v>812</v>
      </c>
      <c r="G200" t="s">
        <v>963</v>
      </c>
      <c r="H200" t="s">
        <v>21</v>
      </c>
      <c r="I200">
        <v>-2.9651529999999999</v>
      </c>
      <c r="J200">
        <v>29.79908</v>
      </c>
      <c r="K200" t="s">
        <v>1498</v>
      </c>
      <c r="L200" t="s">
        <v>1496</v>
      </c>
      <c r="M200" t="s">
        <v>146</v>
      </c>
      <c r="N200" t="s">
        <v>21</v>
      </c>
      <c r="O200" t="s">
        <v>1768</v>
      </c>
      <c r="P200">
        <v>72</v>
      </c>
      <c r="Q200" t="s">
        <v>11</v>
      </c>
      <c r="R200" s="2">
        <v>3.472222222222222E-3</v>
      </c>
      <c r="S200">
        <v>5</v>
      </c>
      <c r="T200">
        <v>68.650000000000006</v>
      </c>
      <c r="U200">
        <v>0</v>
      </c>
      <c r="V200">
        <v>0.45</v>
      </c>
      <c r="W200">
        <v>0.309</v>
      </c>
    </row>
    <row r="201" spans="1:23" x14ac:dyDescent="0.3">
      <c r="A201" t="s">
        <v>936</v>
      </c>
      <c r="B201" s="1">
        <v>45221</v>
      </c>
      <c r="C201" s="2">
        <v>0.51736111111111116</v>
      </c>
      <c r="D201" t="s">
        <v>963</v>
      </c>
      <c r="E201">
        <v>83</v>
      </c>
      <c r="F201" t="s">
        <v>812</v>
      </c>
      <c r="G201" t="s">
        <v>963</v>
      </c>
      <c r="H201" t="s">
        <v>21</v>
      </c>
      <c r="I201">
        <v>-2.9651529999999999</v>
      </c>
      <c r="J201">
        <v>29.79908</v>
      </c>
      <c r="K201" t="s">
        <v>1498</v>
      </c>
      <c r="L201" t="s">
        <v>1496</v>
      </c>
      <c r="M201" t="s">
        <v>204</v>
      </c>
      <c r="N201" t="s">
        <v>21</v>
      </c>
      <c r="O201" t="s">
        <v>1742</v>
      </c>
      <c r="P201">
        <v>68</v>
      </c>
      <c r="Q201" t="s">
        <v>11</v>
      </c>
      <c r="R201" s="2">
        <v>0.30763888888888891</v>
      </c>
      <c r="S201">
        <v>443</v>
      </c>
      <c r="T201">
        <v>12.09</v>
      </c>
      <c r="U201">
        <v>3</v>
      </c>
      <c r="V201">
        <v>0.45</v>
      </c>
      <c r="W201">
        <v>5.3999999999999999E-2</v>
      </c>
    </row>
    <row r="202" spans="1:23" x14ac:dyDescent="0.3">
      <c r="A202" t="s">
        <v>936</v>
      </c>
      <c r="B202" s="1">
        <v>45221</v>
      </c>
      <c r="C202" s="2">
        <v>0.51736111111111116</v>
      </c>
      <c r="D202" t="s">
        <v>963</v>
      </c>
      <c r="E202">
        <v>83</v>
      </c>
      <c r="F202" t="s">
        <v>812</v>
      </c>
      <c r="G202" t="s">
        <v>963</v>
      </c>
      <c r="H202" t="s">
        <v>21</v>
      </c>
      <c r="I202">
        <v>-2.9651529999999999</v>
      </c>
      <c r="J202">
        <v>29.79908</v>
      </c>
      <c r="K202" t="s">
        <v>1498</v>
      </c>
      <c r="L202" t="s">
        <v>1496</v>
      </c>
      <c r="M202" t="s">
        <v>280</v>
      </c>
      <c r="N202" t="s">
        <v>21</v>
      </c>
      <c r="O202" t="s">
        <v>1730</v>
      </c>
      <c r="P202">
        <v>18</v>
      </c>
      <c r="Q202" t="s">
        <v>19</v>
      </c>
      <c r="R202" s="2">
        <v>0.20208333333333334</v>
      </c>
      <c r="S202">
        <v>291</v>
      </c>
      <c r="T202">
        <v>97.98</v>
      </c>
      <c r="U202">
        <v>1</v>
      </c>
      <c r="V202">
        <v>0.45</v>
      </c>
      <c r="W202">
        <v>0.441</v>
      </c>
    </row>
    <row r="203" spans="1:23" x14ac:dyDescent="0.3">
      <c r="A203" t="s">
        <v>936</v>
      </c>
      <c r="B203" s="1">
        <v>45221</v>
      </c>
      <c r="C203" s="2">
        <v>0.51736111111111116</v>
      </c>
      <c r="D203" t="s">
        <v>963</v>
      </c>
      <c r="E203">
        <v>83</v>
      </c>
      <c r="F203" t="s">
        <v>812</v>
      </c>
      <c r="G203" t="s">
        <v>963</v>
      </c>
      <c r="H203" t="s">
        <v>21</v>
      </c>
      <c r="I203">
        <v>-2.9651529999999999</v>
      </c>
      <c r="J203">
        <v>29.79908</v>
      </c>
      <c r="K203" t="s">
        <v>1498</v>
      </c>
      <c r="L203" t="s">
        <v>1496</v>
      </c>
      <c r="M203" t="s">
        <v>337</v>
      </c>
      <c r="N203" t="s">
        <v>21</v>
      </c>
      <c r="O203" t="s">
        <v>1745</v>
      </c>
      <c r="P203">
        <v>47</v>
      </c>
      <c r="Q203" t="s">
        <v>22</v>
      </c>
      <c r="R203" s="2">
        <v>0.2361111111111111</v>
      </c>
      <c r="S203">
        <v>340</v>
      </c>
      <c r="T203">
        <v>31.02</v>
      </c>
      <c r="U203">
        <v>5</v>
      </c>
      <c r="V203">
        <v>0.45</v>
      </c>
      <c r="W203">
        <v>0.14000000000000001</v>
      </c>
    </row>
    <row r="204" spans="1:23" x14ac:dyDescent="0.3">
      <c r="A204" t="s">
        <v>936</v>
      </c>
      <c r="B204" s="1">
        <v>45221</v>
      </c>
      <c r="C204" s="2">
        <v>0.51736111111111116</v>
      </c>
      <c r="D204" t="s">
        <v>963</v>
      </c>
      <c r="E204">
        <v>83</v>
      </c>
      <c r="F204" t="s">
        <v>812</v>
      </c>
      <c r="G204" t="s">
        <v>963</v>
      </c>
      <c r="H204" t="s">
        <v>21</v>
      </c>
      <c r="I204">
        <v>-2.9651529999999999</v>
      </c>
      <c r="J204">
        <v>29.79908</v>
      </c>
      <c r="K204" t="s">
        <v>1498</v>
      </c>
      <c r="L204" t="s">
        <v>1496</v>
      </c>
      <c r="M204" t="s">
        <v>384</v>
      </c>
      <c r="N204" t="s">
        <v>21</v>
      </c>
      <c r="O204" t="s">
        <v>1731</v>
      </c>
      <c r="P204">
        <v>103</v>
      </c>
      <c r="Q204" t="s">
        <v>11</v>
      </c>
      <c r="R204" s="2">
        <v>0.24583333333333332</v>
      </c>
      <c r="S204">
        <v>354</v>
      </c>
      <c r="T204">
        <v>26.19</v>
      </c>
      <c r="U204">
        <v>4</v>
      </c>
      <c r="V204">
        <v>0.45</v>
      </c>
      <c r="W204">
        <v>0.11799999999999999</v>
      </c>
    </row>
    <row r="205" spans="1:23" x14ac:dyDescent="0.3">
      <c r="A205" t="s">
        <v>936</v>
      </c>
      <c r="B205" s="1">
        <v>45221</v>
      </c>
      <c r="C205" s="2">
        <v>0.51736111111111116</v>
      </c>
      <c r="D205" t="s">
        <v>963</v>
      </c>
      <c r="E205">
        <v>83</v>
      </c>
      <c r="F205" t="s">
        <v>812</v>
      </c>
      <c r="G205" t="s">
        <v>963</v>
      </c>
      <c r="H205" t="s">
        <v>21</v>
      </c>
      <c r="I205">
        <v>-2.9651529999999999</v>
      </c>
      <c r="J205">
        <v>29.79908</v>
      </c>
      <c r="K205" t="s">
        <v>1498</v>
      </c>
      <c r="L205" t="s">
        <v>1496</v>
      </c>
      <c r="M205" t="s">
        <v>417</v>
      </c>
      <c r="N205" t="s">
        <v>21</v>
      </c>
      <c r="O205" t="s">
        <v>1734</v>
      </c>
      <c r="P205">
        <v>113</v>
      </c>
      <c r="Q205" t="s">
        <v>11</v>
      </c>
      <c r="R205" s="2">
        <v>6.1805555555555558E-2</v>
      </c>
      <c r="S205">
        <v>89</v>
      </c>
      <c r="T205">
        <v>54.28</v>
      </c>
      <c r="U205">
        <v>0</v>
      </c>
      <c r="V205">
        <v>0.45</v>
      </c>
      <c r="W205">
        <v>0.24399999999999999</v>
      </c>
    </row>
    <row r="206" spans="1:23" x14ac:dyDescent="0.3">
      <c r="A206" t="s">
        <v>936</v>
      </c>
      <c r="B206" s="1">
        <v>45221</v>
      </c>
      <c r="C206" s="2">
        <v>0.51736111111111116</v>
      </c>
      <c r="D206" t="s">
        <v>963</v>
      </c>
      <c r="E206">
        <v>83</v>
      </c>
      <c r="F206" t="s">
        <v>812</v>
      </c>
      <c r="G206" t="s">
        <v>963</v>
      </c>
      <c r="H206" t="s">
        <v>21</v>
      </c>
      <c r="I206">
        <v>-2.9651529999999999</v>
      </c>
      <c r="J206">
        <v>29.79908</v>
      </c>
      <c r="K206" t="s">
        <v>1498</v>
      </c>
      <c r="L206" t="s">
        <v>1496</v>
      </c>
      <c r="M206" t="s">
        <v>518</v>
      </c>
      <c r="N206" t="s">
        <v>21</v>
      </c>
      <c r="O206" t="s">
        <v>1779</v>
      </c>
      <c r="P206">
        <v>34</v>
      </c>
      <c r="Q206" t="s">
        <v>19</v>
      </c>
      <c r="R206" s="2">
        <v>2.7777777777777776E-2</v>
      </c>
      <c r="S206">
        <v>40</v>
      </c>
      <c r="T206">
        <v>65.709999999999994</v>
      </c>
      <c r="U206">
        <v>5</v>
      </c>
      <c r="V206">
        <v>0.45</v>
      </c>
      <c r="W206">
        <v>0.29599999999999999</v>
      </c>
    </row>
    <row r="207" spans="1:23" x14ac:dyDescent="0.3">
      <c r="A207" t="s">
        <v>936</v>
      </c>
      <c r="B207" s="1">
        <v>45221</v>
      </c>
      <c r="C207" s="2">
        <v>0.51736111111111116</v>
      </c>
      <c r="D207" t="s">
        <v>963</v>
      </c>
      <c r="E207">
        <v>83</v>
      </c>
      <c r="F207" t="s">
        <v>812</v>
      </c>
      <c r="G207" t="s">
        <v>963</v>
      </c>
      <c r="H207" t="s">
        <v>21</v>
      </c>
      <c r="I207">
        <v>-2.9651529999999999</v>
      </c>
      <c r="J207">
        <v>29.79908</v>
      </c>
      <c r="K207" t="s">
        <v>1498</v>
      </c>
      <c r="L207" t="s">
        <v>1496</v>
      </c>
      <c r="M207" t="s">
        <v>533</v>
      </c>
      <c r="N207" t="s">
        <v>21</v>
      </c>
      <c r="O207" t="s">
        <v>1774</v>
      </c>
      <c r="P207">
        <v>19</v>
      </c>
      <c r="Q207" t="s">
        <v>11</v>
      </c>
      <c r="R207" s="2">
        <v>0.1875</v>
      </c>
      <c r="S207">
        <v>270</v>
      </c>
      <c r="T207">
        <v>19.760000000000002</v>
      </c>
      <c r="U207">
        <v>3</v>
      </c>
      <c r="V207">
        <v>0.45</v>
      </c>
      <c r="W207">
        <v>8.8999999999999996E-2</v>
      </c>
    </row>
    <row r="208" spans="1:23" x14ac:dyDescent="0.3">
      <c r="A208" t="s">
        <v>936</v>
      </c>
      <c r="B208" s="1">
        <v>45221</v>
      </c>
      <c r="C208" s="2">
        <v>0.51736111111111116</v>
      </c>
      <c r="D208" t="s">
        <v>963</v>
      </c>
      <c r="E208">
        <v>83</v>
      </c>
      <c r="F208" t="s">
        <v>812</v>
      </c>
      <c r="G208" t="s">
        <v>963</v>
      </c>
      <c r="H208" t="s">
        <v>21</v>
      </c>
      <c r="I208">
        <v>-2.9651529999999999</v>
      </c>
      <c r="J208">
        <v>29.79908</v>
      </c>
      <c r="K208" t="s">
        <v>1498</v>
      </c>
      <c r="L208" t="s">
        <v>1496</v>
      </c>
      <c r="M208" t="s">
        <v>538</v>
      </c>
      <c r="N208" t="s">
        <v>21</v>
      </c>
      <c r="O208" t="s">
        <v>1750</v>
      </c>
      <c r="P208">
        <v>101</v>
      </c>
      <c r="Q208" t="s">
        <v>14</v>
      </c>
      <c r="R208" s="2">
        <v>0.14583333333333334</v>
      </c>
      <c r="S208">
        <v>210</v>
      </c>
      <c r="T208">
        <v>35.4</v>
      </c>
      <c r="U208">
        <v>1</v>
      </c>
      <c r="V208">
        <v>0.1</v>
      </c>
      <c r="W208">
        <v>3.5000000000000003E-2</v>
      </c>
    </row>
    <row r="209" spans="1:23" x14ac:dyDescent="0.3">
      <c r="A209" t="s">
        <v>936</v>
      </c>
      <c r="B209" s="1">
        <v>45221</v>
      </c>
      <c r="C209" s="2">
        <v>0.51736111111111116</v>
      </c>
      <c r="D209" t="s">
        <v>963</v>
      </c>
      <c r="E209">
        <v>83</v>
      </c>
      <c r="F209" t="s">
        <v>812</v>
      </c>
      <c r="G209" t="s">
        <v>963</v>
      </c>
      <c r="H209" t="s">
        <v>21</v>
      </c>
      <c r="I209">
        <v>-2.9651529999999999</v>
      </c>
      <c r="J209">
        <v>29.79908</v>
      </c>
      <c r="K209" t="s">
        <v>1498</v>
      </c>
      <c r="L209" t="s">
        <v>1496</v>
      </c>
      <c r="M209" t="s">
        <v>565</v>
      </c>
      <c r="N209" t="s">
        <v>21</v>
      </c>
      <c r="O209" t="s">
        <v>1734</v>
      </c>
      <c r="P209">
        <v>113</v>
      </c>
      <c r="Q209" t="s">
        <v>14</v>
      </c>
      <c r="R209" s="2">
        <v>0.10555555555555556</v>
      </c>
      <c r="S209">
        <v>152</v>
      </c>
      <c r="T209">
        <v>51.28</v>
      </c>
      <c r="U209">
        <v>4</v>
      </c>
      <c r="V209">
        <v>0.1</v>
      </c>
      <c r="W209">
        <v>5.0999999999999997E-2</v>
      </c>
    </row>
    <row r="210" spans="1:23" x14ac:dyDescent="0.3">
      <c r="A210" t="s">
        <v>805</v>
      </c>
      <c r="B210" s="1">
        <v>45218</v>
      </c>
      <c r="C210" s="2">
        <v>0.36875000000000002</v>
      </c>
      <c r="D210" t="s">
        <v>820</v>
      </c>
      <c r="E210">
        <v>70</v>
      </c>
      <c r="F210" t="s">
        <v>807</v>
      </c>
      <c r="G210" t="s">
        <v>820</v>
      </c>
      <c r="H210" t="s">
        <v>67</v>
      </c>
      <c r="I210">
        <v>-8.4227860000000003</v>
      </c>
      <c r="J210">
        <v>16.781293000000002</v>
      </c>
      <c r="K210" t="s">
        <v>1498</v>
      </c>
      <c r="L210" t="s">
        <v>1499</v>
      </c>
      <c r="M210" t="s">
        <v>66</v>
      </c>
      <c r="N210" t="s">
        <v>67</v>
      </c>
      <c r="O210" t="s">
        <v>1750</v>
      </c>
      <c r="P210">
        <v>101</v>
      </c>
      <c r="Q210" t="s">
        <v>14</v>
      </c>
      <c r="R210" s="2">
        <v>0.12222222222222222</v>
      </c>
      <c r="S210">
        <v>176</v>
      </c>
      <c r="T210">
        <v>86</v>
      </c>
      <c r="U210">
        <v>3</v>
      </c>
      <c r="V210">
        <v>0.1</v>
      </c>
      <c r="W210">
        <v>8.5999999999999993E-2</v>
      </c>
    </row>
    <row r="211" spans="1:23" x14ac:dyDescent="0.3">
      <c r="A211" t="s">
        <v>805</v>
      </c>
      <c r="B211" s="1">
        <v>45218</v>
      </c>
      <c r="C211" s="2">
        <v>0.36875000000000002</v>
      </c>
      <c r="D211" t="s">
        <v>820</v>
      </c>
      <c r="E211">
        <v>70</v>
      </c>
      <c r="F211" t="s">
        <v>807</v>
      </c>
      <c r="G211" t="s">
        <v>820</v>
      </c>
      <c r="H211" t="s">
        <v>67</v>
      </c>
      <c r="I211">
        <v>-8.4227860000000003</v>
      </c>
      <c r="J211">
        <v>16.781293000000002</v>
      </c>
      <c r="K211" t="s">
        <v>1498</v>
      </c>
      <c r="L211" t="s">
        <v>1499</v>
      </c>
      <c r="M211" t="s">
        <v>148</v>
      </c>
      <c r="N211" t="s">
        <v>67</v>
      </c>
      <c r="O211" t="s">
        <v>1741</v>
      </c>
      <c r="P211">
        <v>59</v>
      </c>
      <c r="Q211" t="s">
        <v>19</v>
      </c>
      <c r="R211" s="2">
        <v>0.1361111111111111</v>
      </c>
      <c r="S211">
        <v>196</v>
      </c>
      <c r="T211">
        <v>62.53</v>
      </c>
      <c r="U211">
        <v>0</v>
      </c>
      <c r="V211">
        <v>0.45</v>
      </c>
      <c r="W211">
        <v>0.28100000000000003</v>
      </c>
    </row>
    <row r="212" spans="1:23" x14ac:dyDescent="0.3">
      <c r="A212" t="s">
        <v>805</v>
      </c>
      <c r="B212" s="1">
        <v>45218</v>
      </c>
      <c r="C212" s="2">
        <v>0.36875000000000002</v>
      </c>
      <c r="D212" t="s">
        <v>820</v>
      </c>
      <c r="E212">
        <v>70</v>
      </c>
      <c r="F212" t="s">
        <v>807</v>
      </c>
      <c r="G212" t="s">
        <v>820</v>
      </c>
      <c r="H212" t="s">
        <v>67</v>
      </c>
      <c r="I212">
        <v>-8.4227860000000003</v>
      </c>
      <c r="J212">
        <v>16.781293000000002</v>
      </c>
      <c r="K212" t="s">
        <v>1498</v>
      </c>
      <c r="L212" t="s">
        <v>1499</v>
      </c>
      <c r="M212" t="s">
        <v>159</v>
      </c>
      <c r="N212" t="s">
        <v>67</v>
      </c>
      <c r="O212" t="s">
        <v>1804</v>
      </c>
      <c r="P212">
        <v>53</v>
      </c>
      <c r="Q212" t="s">
        <v>22</v>
      </c>
      <c r="R212" s="2">
        <v>0.23958333333333334</v>
      </c>
      <c r="S212">
        <v>345</v>
      </c>
      <c r="T212">
        <v>83.73</v>
      </c>
      <c r="U212">
        <v>0</v>
      </c>
      <c r="V212">
        <v>0.45</v>
      </c>
      <c r="W212">
        <v>0.377</v>
      </c>
    </row>
    <row r="213" spans="1:23" x14ac:dyDescent="0.3">
      <c r="A213" t="s">
        <v>805</v>
      </c>
      <c r="B213" s="1">
        <v>45218</v>
      </c>
      <c r="C213" s="2">
        <v>0.36875000000000002</v>
      </c>
      <c r="D213" t="s">
        <v>820</v>
      </c>
      <c r="E213">
        <v>70</v>
      </c>
      <c r="F213" t="s">
        <v>807</v>
      </c>
      <c r="G213" t="s">
        <v>820</v>
      </c>
      <c r="H213" t="s">
        <v>67</v>
      </c>
      <c r="I213">
        <v>-8.4227860000000003</v>
      </c>
      <c r="J213">
        <v>16.781293000000002</v>
      </c>
      <c r="K213" t="s">
        <v>1498</v>
      </c>
      <c r="L213" t="s">
        <v>1499</v>
      </c>
      <c r="M213" t="s">
        <v>179</v>
      </c>
      <c r="N213" t="s">
        <v>67</v>
      </c>
      <c r="O213" t="s">
        <v>1728</v>
      </c>
      <c r="P213">
        <v>1</v>
      </c>
      <c r="Q213" t="s">
        <v>14</v>
      </c>
      <c r="R213" s="2">
        <v>0.22638888888888889</v>
      </c>
      <c r="S213">
        <v>326</v>
      </c>
      <c r="T213">
        <v>54.63</v>
      </c>
      <c r="U213">
        <v>3</v>
      </c>
      <c r="V213">
        <v>0.1</v>
      </c>
      <c r="W213">
        <v>5.5E-2</v>
      </c>
    </row>
    <row r="214" spans="1:23" x14ac:dyDescent="0.3">
      <c r="A214" t="s">
        <v>805</v>
      </c>
      <c r="B214" s="1">
        <v>45218</v>
      </c>
      <c r="C214" s="2">
        <v>0.36875000000000002</v>
      </c>
      <c r="D214" t="s">
        <v>820</v>
      </c>
      <c r="E214">
        <v>70</v>
      </c>
      <c r="F214" t="s">
        <v>807</v>
      </c>
      <c r="G214" t="s">
        <v>820</v>
      </c>
      <c r="H214" t="s">
        <v>67</v>
      </c>
      <c r="I214">
        <v>-8.4227860000000003</v>
      </c>
      <c r="J214">
        <v>16.781293000000002</v>
      </c>
      <c r="K214" t="s">
        <v>1498</v>
      </c>
      <c r="L214" t="s">
        <v>1499</v>
      </c>
      <c r="M214" t="s">
        <v>185</v>
      </c>
      <c r="N214" t="s">
        <v>67</v>
      </c>
      <c r="O214" t="s">
        <v>1733</v>
      </c>
      <c r="P214">
        <v>74</v>
      </c>
      <c r="Q214" t="s">
        <v>14</v>
      </c>
      <c r="R214" s="2">
        <v>0.25763888888888886</v>
      </c>
      <c r="S214">
        <v>371</v>
      </c>
      <c r="T214">
        <v>53.27</v>
      </c>
      <c r="U214">
        <v>3</v>
      </c>
      <c r="V214">
        <v>0.1</v>
      </c>
      <c r="W214">
        <v>5.2999999999999999E-2</v>
      </c>
    </row>
    <row r="215" spans="1:23" x14ac:dyDescent="0.3">
      <c r="A215" t="s">
        <v>805</v>
      </c>
      <c r="B215" s="1">
        <v>45218</v>
      </c>
      <c r="C215" s="2">
        <v>0.36875000000000002</v>
      </c>
      <c r="D215" t="s">
        <v>820</v>
      </c>
      <c r="E215">
        <v>70</v>
      </c>
      <c r="F215" t="s">
        <v>807</v>
      </c>
      <c r="G215" t="s">
        <v>820</v>
      </c>
      <c r="H215" t="s">
        <v>67</v>
      </c>
      <c r="I215">
        <v>-8.4227860000000003</v>
      </c>
      <c r="J215">
        <v>16.781293000000002</v>
      </c>
      <c r="K215" t="s">
        <v>1498</v>
      </c>
      <c r="L215" t="s">
        <v>1499</v>
      </c>
      <c r="M215" t="s">
        <v>224</v>
      </c>
      <c r="N215" t="s">
        <v>67</v>
      </c>
      <c r="O215" t="s">
        <v>1743</v>
      </c>
      <c r="P215">
        <v>111</v>
      </c>
      <c r="Q215" t="s">
        <v>11</v>
      </c>
      <c r="R215" s="2">
        <v>2.9861111111111113E-2</v>
      </c>
      <c r="S215">
        <v>43</v>
      </c>
      <c r="T215">
        <v>19.39</v>
      </c>
      <c r="U215">
        <v>3</v>
      </c>
      <c r="V215">
        <v>0.45</v>
      </c>
      <c r="W215">
        <v>8.6999999999999994E-2</v>
      </c>
    </row>
    <row r="216" spans="1:23" x14ac:dyDescent="0.3">
      <c r="A216" t="s">
        <v>805</v>
      </c>
      <c r="B216" s="1">
        <v>45218</v>
      </c>
      <c r="C216" s="2">
        <v>0.36875000000000002</v>
      </c>
      <c r="D216" t="s">
        <v>820</v>
      </c>
      <c r="E216">
        <v>70</v>
      </c>
      <c r="F216" t="s">
        <v>807</v>
      </c>
      <c r="G216" t="s">
        <v>820</v>
      </c>
      <c r="H216" t="s">
        <v>67</v>
      </c>
      <c r="I216">
        <v>-8.4227860000000003</v>
      </c>
      <c r="J216">
        <v>16.781293000000002</v>
      </c>
      <c r="K216" t="s">
        <v>1498</v>
      </c>
      <c r="L216" t="s">
        <v>1499</v>
      </c>
      <c r="M216" t="s">
        <v>265</v>
      </c>
      <c r="N216" t="s">
        <v>67</v>
      </c>
      <c r="O216" t="s">
        <v>1771</v>
      </c>
      <c r="P216">
        <v>118</v>
      </c>
      <c r="Q216" t="s">
        <v>14</v>
      </c>
      <c r="R216" s="2">
        <v>1.5277777777777777E-2</v>
      </c>
      <c r="S216">
        <v>22</v>
      </c>
      <c r="T216">
        <v>15.39</v>
      </c>
      <c r="U216">
        <v>1</v>
      </c>
      <c r="V216">
        <v>0.1</v>
      </c>
      <c r="W216">
        <v>1.4999999999999999E-2</v>
      </c>
    </row>
    <row r="217" spans="1:23" x14ac:dyDescent="0.3">
      <c r="A217" t="s">
        <v>805</v>
      </c>
      <c r="B217" s="1">
        <v>45218</v>
      </c>
      <c r="C217" s="2">
        <v>0.36875000000000002</v>
      </c>
      <c r="D217" t="s">
        <v>820</v>
      </c>
      <c r="E217">
        <v>70</v>
      </c>
      <c r="F217" t="s">
        <v>807</v>
      </c>
      <c r="G217" t="s">
        <v>820</v>
      </c>
      <c r="H217" t="s">
        <v>67</v>
      </c>
      <c r="I217">
        <v>-8.4227860000000003</v>
      </c>
      <c r="J217">
        <v>16.781293000000002</v>
      </c>
      <c r="K217" t="s">
        <v>1498</v>
      </c>
      <c r="L217" t="s">
        <v>1499</v>
      </c>
      <c r="M217" t="s">
        <v>291</v>
      </c>
      <c r="N217" t="s">
        <v>67</v>
      </c>
      <c r="O217" t="s">
        <v>1770</v>
      </c>
      <c r="P217">
        <v>23</v>
      </c>
      <c r="Q217" t="s">
        <v>14</v>
      </c>
      <c r="R217" s="2">
        <v>0.32847222222222222</v>
      </c>
      <c r="S217">
        <v>473</v>
      </c>
      <c r="T217">
        <v>71.86</v>
      </c>
      <c r="U217">
        <v>3</v>
      </c>
      <c r="V217">
        <v>0.1</v>
      </c>
      <c r="W217">
        <v>7.1999999999999995E-2</v>
      </c>
    </row>
    <row r="218" spans="1:23" x14ac:dyDescent="0.3">
      <c r="A218" t="s">
        <v>805</v>
      </c>
      <c r="B218" s="1">
        <v>45218</v>
      </c>
      <c r="C218" s="2">
        <v>0.36875000000000002</v>
      </c>
      <c r="D218" t="s">
        <v>820</v>
      </c>
      <c r="E218">
        <v>70</v>
      </c>
      <c r="F218" t="s">
        <v>807</v>
      </c>
      <c r="G218" t="s">
        <v>820</v>
      </c>
      <c r="H218" t="s">
        <v>67</v>
      </c>
      <c r="I218">
        <v>-8.4227860000000003</v>
      </c>
      <c r="J218">
        <v>16.781293000000002</v>
      </c>
      <c r="K218" t="s">
        <v>1498</v>
      </c>
      <c r="L218" t="s">
        <v>1499</v>
      </c>
      <c r="M218" t="s">
        <v>314</v>
      </c>
      <c r="N218" t="s">
        <v>67</v>
      </c>
      <c r="O218" t="s">
        <v>1784</v>
      </c>
      <c r="P218">
        <v>117</v>
      </c>
      <c r="Q218" t="s">
        <v>19</v>
      </c>
      <c r="R218" s="2">
        <v>5.9027777777777776E-2</v>
      </c>
      <c r="S218">
        <v>85</v>
      </c>
      <c r="T218">
        <v>46.16</v>
      </c>
      <c r="U218">
        <v>3</v>
      </c>
      <c r="V218">
        <v>0.45</v>
      </c>
      <c r="W218">
        <v>0.20799999999999999</v>
      </c>
    </row>
    <row r="219" spans="1:23" x14ac:dyDescent="0.3">
      <c r="A219" t="s">
        <v>805</v>
      </c>
      <c r="B219" s="1">
        <v>45218</v>
      </c>
      <c r="C219" s="2">
        <v>0.36875000000000002</v>
      </c>
      <c r="D219" t="s">
        <v>820</v>
      </c>
      <c r="E219">
        <v>70</v>
      </c>
      <c r="F219" t="s">
        <v>807</v>
      </c>
      <c r="G219" t="s">
        <v>820</v>
      </c>
      <c r="H219" t="s">
        <v>67</v>
      </c>
      <c r="I219">
        <v>-8.4227860000000003</v>
      </c>
      <c r="J219">
        <v>16.781293000000002</v>
      </c>
      <c r="K219" t="s">
        <v>1498</v>
      </c>
      <c r="L219" t="s">
        <v>1499</v>
      </c>
      <c r="M219" t="s">
        <v>371</v>
      </c>
      <c r="N219" t="s">
        <v>67</v>
      </c>
      <c r="O219" t="s">
        <v>1805</v>
      </c>
      <c r="P219">
        <v>38</v>
      </c>
      <c r="Q219" t="s">
        <v>11</v>
      </c>
      <c r="R219" s="2">
        <v>4.1666666666666664E-2</v>
      </c>
      <c r="S219">
        <v>60</v>
      </c>
      <c r="T219">
        <v>58.28</v>
      </c>
      <c r="U219">
        <v>4</v>
      </c>
      <c r="V219">
        <v>0.45</v>
      </c>
      <c r="W219">
        <v>0.26200000000000001</v>
      </c>
    </row>
    <row r="220" spans="1:23" x14ac:dyDescent="0.3">
      <c r="A220" t="s">
        <v>805</v>
      </c>
      <c r="B220" s="1">
        <v>45218</v>
      </c>
      <c r="C220" s="2">
        <v>0.36875000000000002</v>
      </c>
      <c r="D220" t="s">
        <v>820</v>
      </c>
      <c r="E220">
        <v>70</v>
      </c>
      <c r="F220" t="s">
        <v>807</v>
      </c>
      <c r="G220" t="s">
        <v>820</v>
      </c>
      <c r="H220" t="s">
        <v>67</v>
      </c>
      <c r="I220">
        <v>-8.4227860000000003</v>
      </c>
      <c r="J220">
        <v>16.781293000000002</v>
      </c>
      <c r="K220" t="s">
        <v>1498</v>
      </c>
      <c r="L220" t="s">
        <v>1499</v>
      </c>
      <c r="M220" t="s">
        <v>394</v>
      </c>
      <c r="N220" t="s">
        <v>67</v>
      </c>
      <c r="O220" t="s">
        <v>1803</v>
      </c>
      <c r="P220">
        <v>12</v>
      </c>
      <c r="Q220" t="s">
        <v>14</v>
      </c>
      <c r="R220" s="2">
        <v>8.6805555555555552E-2</v>
      </c>
      <c r="S220">
        <v>125</v>
      </c>
      <c r="T220">
        <v>36.93</v>
      </c>
      <c r="U220">
        <v>0</v>
      </c>
      <c r="V220">
        <v>0.1</v>
      </c>
      <c r="W220">
        <v>3.6999999999999998E-2</v>
      </c>
    </row>
    <row r="221" spans="1:23" x14ac:dyDescent="0.3">
      <c r="A221" t="s">
        <v>805</v>
      </c>
      <c r="B221" s="1">
        <v>45218</v>
      </c>
      <c r="C221" s="2">
        <v>0.36875000000000002</v>
      </c>
      <c r="D221" t="s">
        <v>820</v>
      </c>
      <c r="E221">
        <v>70</v>
      </c>
      <c r="F221" t="s">
        <v>807</v>
      </c>
      <c r="G221" t="s">
        <v>820</v>
      </c>
      <c r="H221" t="s">
        <v>67</v>
      </c>
      <c r="I221">
        <v>-8.4227860000000003</v>
      </c>
      <c r="J221">
        <v>16.781293000000002</v>
      </c>
      <c r="K221" t="s">
        <v>1498</v>
      </c>
      <c r="L221" t="s">
        <v>1499</v>
      </c>
      <c r="M221" t="s">
        <v>401</v>
      </c>
      <c r="N221" t="s">
        <v>67</v>
      </c>
      <c r="O221" t="s">
        <v>1806</v>
      </c>
      <c r="P221">
        <v>112</v>
      </c>
      <c r="Q221" t="s">
        <v>22</v>
      </c>
      <c r="R221" s="2">
        <v>0.33541666666666664</v>
      </c>
      <c r="S221">
        <v>483</v>
      </c>
      <c r="T221">
        <v>93.98</v>
      </c>
      <c r="U221">
        <v>0</v>
      </c>
      <c r="V221">
        <v>0.45</v>
      </c>
      <c r="W221">
        <v>0.42299999999999999</v>
      </c>
    </row>
    <row r="222" spans="1:23" x14ac:dyDescent="0.3">
      <c r="A222" t="s">
        <v>805</v>
      </c>
      <c r="B222" s="1">
        <v>45218</v>
      </c>
      <c r="C222" s="2">
        <v>0.36875000000000002</v>
      </c>
      <c r="D222" t="s">
        <v>820</v>
      </c>
      <c r="E222">
        <v>70</v>
      </c>
      <c r="F222" t="s">
        <v>807</v>
      </c>
      <c r="G222" t="s">
        <v>820</v>
      </c>
      <c r="H222" t="s">
        <v>67</v>
      </c>
      <c r="I222">
        <v>-8.4227860000000003</v>
      </c>
      <c r="J222">
        <v>16.781293000000002</v>
      </c>
      <c r="K222" t="s">
        <v>1498</v>
      </c>
      <c r="L222" t="s">
        <v>1499</v>
      </c>
      <c r="M222" t="s">
        <v>411</v>
      </c>
      <c r="N222" t="s">
        <v>67</v>
      </c>
      <c r="O222" t="s">
        <v>1750</v>
      </c>
      <c r="P222">
        <v>101</v>
      </c>
      <c r="Q222" t="s">
        <v>11</v>
      </c>
      <c r="R222" s="2">
        <v>0.33055555555555555</v>
      </c>
      <c r="S222">
        <v>476</v>
      </c>
      <c r="T222">
        <v>41.85</v>
      </c>
      <c r="U222">
        <v>4</v>
      </c>
      <c r="V222">
        <v>0.45</v>
      </c>
      <c r="W222">
        <v>0.188</v>
      </c>
    </row>
    <row r="223" spans="1:23" x14ac:dyDescent="0.3">
      <c r="A223" t="s">
        <v>805</v>
      </c>
      <c r="B223" s="1">
        <v>45218</v>
      </c>
      <c r="C223" s="2">
        <v>0.36875000000000002</v>
      </c>
      <c r="D223" t="s">
        <v>820</v>
      </c>
      <c r="E223">
        <v>70</v>
      </c>
      <c r="F223" t="s">
        <v>807</v>
      </c>
      <c r="G223" t="s">
        <v>820</v>
      </c>
      <c r="H223" t="s">
        <v>67</v>
      </c>
      <c r="I223">
        <v>-8.4227860000000003</v>
      </c>
      <c r="J223">
        <v>16.781293000000002</v>
      </c>
      <c r="K223" t="s">
        <v>1498</v>
      </c>
      <c r="L223" t="s">
        <v>1499</v>
      </c>
      <c r="M223" t="s">
        <v>434</v>
      </c>
      <c r="N223" t="s">
        <v>67</v>
      </c>
      <c r="O223" t="s">
        <v>1710</v>
      </c>
      <c r="P223">
        <v>115</v>
      </c>
      <c r="Q223" t="s">
        <v>22</v>
      </c>
      <c r="R223" s="2">
        <v>0.32430555555555557</v>
      </c>
      <c r="S223">
        <v>467</v>
      </c>
      <c r="T223">
        <v>24.57</v>
      </c>
      <c r="U223">
        <v>3</v>
      </c>
      <c r="V223">
        <v>0.45</v>
      </c>
      <c r="W223">
        <v>0.111</v>
      </c>
    </row>
    <row r="224" spans="1:23" x14ac:dyDescent="0.3">
      <c r="A224" t="s">
        <v>805</v>
      </c>
      <c r="B224" s="1">
        <v>45218</v>
      </c>
      <c r="C224" s="2">
        <v>0.36875000000000002</v>
      </c>
      <c r="D224" t="s">
        <v>820</v>
      </c>
      <c r="E224">
        <v>70</v>
      </c>
      <c r="F224" t="s">
        <v>807</v>
      </c>
      <c r="G224" t="s">
        <v>820</v>
      </c>
      <c r="H224" t="s">
        <v>67</v>
      </c>
      <c r="I224">
        <v>-8.4227860000000003</v>
      </c>
      <c r="J224">
        <v>16.781293000000002</v>
      </c>
      <c r="K224" t="s">
        <v>1498</v>
      </c>
      <c r="L224" t="s">
        <v>1499</v>
      </c>
      <c r="M224" t="s">
        <v>446</v>
      </c>
      <c r="N224" t="s">
        <v>67</v>
      </c>
      <c r="O224" t="s">
        <v>1776</v>
      </c>
      <c r="P224">
        <v>7</v>
      </c>
      <c r="Q224" t="s">
        <v>22</v>
      </c>
      <c r="R224" s="2">
        <v>6.5277777777777782E-2</v>
      </c>
      <c r="S224">
        <v>94</v>
      </c>
      <c r="T224">
        <v>68.38</v>
      </c>
      <c r="U224">
        <v>3</v>
      </c>
      <c r="V224">
        <v>0.45</v>
      </c>
      <c r="W224">
        <v>0.308</v>
      </c>
    </row>
    <row r="225" spans="1:23" x14ac:dyDescent="0.3">
      <c r="A225" t="s">
        <v>805</v>
      </c>
      <c r="B225" s="1">
        <v>45218</v>
      </c>
      <c r="C225" s="2">
        <v>0.36875000000000002</v>
      </c>
      <c r="D225" t="s">
        <v>820</v>
      </c>
      <c r="E225">
        <v>70</v>
      </c>
      <c r="F225" t="s">
        <v>807</v>
      </c>
      <c r="G225" t="s">
        <v>820</v>
      </c>
      <c r="H225" t="s">
        <v>67</v>
      </c>
      <c r="I225">
        <v>-8.4227860000000003</v>
      </c>
      <c r="J225">
        <v>16.781293000000002</v>
      </c>
      <c r="K225" t="s">
        <v>1498</v>
      </c>
      <c r="L225" t="s">
        <v>1499</v>
      </c>
      <c r="M225" t="s">
        <v>472</v>
      </c>
      <c r="N225" t="s">
        <v>67</v>
      </c>
      <c r="O225" t="s">
        <v>1802</v>
      </c>
      <c r="P225">
        <v>13</v>
      </c>
      <c r="Q225" t="s">
        <v>14</v>
      </c>
      <c r="R225" s="2">
        <v>6.0416666666666667E-2</v>
      </c>
      <c r="S225">
        <v>87</v>
      </c>
      <c r="T225">
        <v>66.36</v>
      </c>
      <c r="U225">
        <v>0</v>
      </c>
      <c r="V225">
        <v>0.1</v>
      </c>
      <c r="W225">
        <v>6.6000000000000003E-2</v>
      </c>
    </row>
    <row r="226" spans="1:23" x14ac:dyDescent="0.3">
      <c r="A226" t="s">
        <v>805</v>
      </c>
      <c r="B226" s="1">
        <v>45218</v>
      </c>
      <c r="C226" s="2">
        <v>0.36875000000000002</v>
      </c>
      <c r="D226" t="s">
        <v>820</v>
      </c>
      <c r="E226">
        <v>70</v>
      </c>
      <c r="F226" t="s">
        <v>807</v>
      </c>
      <c r="G226" t="s">
        <v>820</v>
      </c>
      <c r="H226" t="s">
        <v>67</v>
      </c>
      <c r="I226">
        <v>-8.4227860000000003</v>
      </c>
      <c r="J226">
        <v>16.781293000000002</v>
      </c>
      <c r="K226" t="s">
        <v>1498</v>
      </c>
      <c r="L226" t="s">
        <v>1499</v>
      </c>
      <c r="M226" t="s">
        <v>498</v>
      </c>
      <c r="N226" t="s">
        <v>67</v>
      </c>
      <c r="O226" t="s">
        <v>1744</v>
      </c>
      <c r="P226">
        <v>24</v>
      </c>
      <c r="Q226" t="s">
        <v>19</v>
      </c>
      <c r="R226" s="2">
        <v>9.0277777777777769E-3</v>
      </c>
      <c r="S226">
        <v>13</v>
      </c>
      <c r="T226">
        <v>89.3</v>
      </c>
      <c r="U226">
        <v>2</v>
      </c>
      <c r="V226">
        <v>0.45</v>
      </c>
      <c r="W226">
        <v>0.40200000000000002</v>
      </c>
    </row>
    <row r="227" spans="1:23" x14ac:dyDescent="0.3">
      <c r="A227" t="s">
        <v>805</v>
      </c>
      <c r="B227" s="1">
        <v>45214</v>
      </c>
      <c r="C227" s="2">
        <v>0.71319444444444446</v>
      </c>
      <c r="D227" t="s">
        <v>828</v>
      </c>
      <c r="E227">
        <v>25</v>
      </c>
      <c r="F227" t="s">
        <v>807</v>
      </c>
      <c r="G227" t="s">
        <v>828</v>
      </c>
      <c r="H227" t="s">
        <v>24</v>
      </c>
      <c r="I227">
        <v>0.172153</v>
      </c>
      <c r="J227">
        <v>21.091376</v>
      </c>
      <c r="K227" t="s">
        <v>1500</v>
      </c>
      <c r="L227" t="s">
        <v>1496</v>
      </c>
      <c r="M227" t="s">
        <v>23</v>
      </c>
      <c r="N227" t="s">
        <v>24</v>
      </c>
      <c r="O227" t="s">
        <v>1795</v>
      </c>
      <c r="P227">
        <v>46</v>
      </c>
      <c r="Q227" t="s">
        <v>11</v>
      </c>
      <c r="R227" s="2">
        <v>0.19652777777777777</v>
      </c>
      <c r="S227">
        <v>283</v>
      </c>
      <c r="T227">
        <v>56.05</v>
      </c>
      <c r="U227">
        <v>1</v>
      </c>
      <c r="V227">
        <v>0.45</v>
      </c>
      <c r="W227">
        <v>0.252</v>
      </c>
    </row>
    <row r="228" spans="1:23" x14ac:dyDescent="0.3">
      <c r="A228" t="s">
        <v>805</v>
      </c>
      <c r="B228" s="1">
        <v>45214</v>
      </c>
      <c r="C228" s="2">
        <v>0.71319444444444446</v>
      </c>
      <c r="D228" t="s">
        <v>828</v>
      </c>
      <c r="E228">
        <v>25</v>
      </c>
      <c r="F228" t="s">
        <v>807</v>
      </c>
      <c r="G228" t="s">
        <v>828</v>
      </c>
      <c r="H228" t="s">
        <v>24</v>
      </c>
      <c r="I228">
        <v>0.172153</v>
      </c>
      <c r="J228">
        <v>21.091376</v>
      </c>
      <c r="K228" t="s">
        <v>1500</v>
      </c>
      <c r="L228" t="s">
        <v>1496</v>
      </c>
      <c r="M228" t="s">
        <v>27</v>
      </c>
      <c r="N228" t="s">
        <v>24</v>
      </c>
      <c r="O228" t="s">
        <v>1763</v>
      </c>
      <c r="P228">
        <v>6</v>
      </c>
      <c r="Q228" t="s">
        <v>22</v>
      </c>
      <c r="R228" s="2">
        <v>0.1076388888888889</v>
      </c>
      <c r="S228">
        <v>155</v>
      </c>
      <c r="T228">
        <v>40.659999999999997</v>
      </c>
      <c r="U228">
        <v>1</v>
      </c>
      <c r="V228">
        <v>0.45</v>
      </c>
      <c r="W228">
        <v>0.183</v>
      </c>
    </row>
    <row r="229" spans="1:23" x14ac:dyDescent="0.3">
      <c r="A229" t="s">
        <v>805</v>
      </c>
      <c r="B229" s="1">
        <v>45214</v>
      </c>
      <c r="C229" s="2">
        <v>0.71319444444444446</v>
      </c>
      <c r="D229" t="s">
        <v>828</v>
      </c>
      <c r="E229">
        <v>25</v>
      </c>
      <c r="F229" t="s">
        <v>807</v>
      </c>
      <c r="G229" t="s">
        <v>828</v>
      </c>
      <c r="H229" t="s">
        <v>24</v>
      </c>
      <c r="I229">
        <v>0.172153</v>
      </c>
      <c r="J229">
        <v>21.091376</v>
      </c>
      <c r="K229" t="s">
        <v>1500</v>
      </c>
      <c r="L229" t="s">
        <v>1496</v>
      </c>
      <c r="M229" t="s">
        <v>52</v>
      </c>
      <c r="N229" t="s">
        <v>24</v>
      </c>
      <c r="O229" t="s">
        <v>1807</v>
      </c>
      <c r="P229">
        <v>57</v>
      </c>
      <c r="Q229" t="s">
        <v>22</v>
      </c>
      <c r="R229" s="2">
        <v>0.22847222222222222</v>
      </c>
      <c r="S229">
        <v>329</v>
      </c>
      <c r="T229">
        <v>50.39</v>
      </c>
      <c r="U229">
        <v>5</v>
      </c>
      <c r="V229">
        <v>0.45</v>
      </c>
      <c r="W229">
        <v>0.22700000000000001</v>
      </c>
    </row>
    <row r="230" spans="1:23" x14ac:dyDescent="0.3">
      <c r="A230" t="s">
        <v>805</v>
      </c>
      <c r="B230" s="1">
        <v>45214</v>
      </c>
      <c r="C230" s="2">
        <v>0.71319444444444446</v>
      </c>
      <c r="D230" t="s">
        <v>828</v>
      </c>
      <c r="E230">
        <v>25</v>
      </c>
      <c r="F230" t="s">
        <v>807</v>
      </c>
      <c r="G230" t="s">
        <v>828</v>
      </c>
      <c r="H230" t="s">
        <v>24</v>
      </c>
      <c r="I230">
        <v>0.172153</v>
      </c>
      <c r="J230">
        <v>21.091376</v>
      </c>
      <c r="K230" t="s">
        <v>1500</v>
      </c>
      <c r="L230" t="s">
        <v>1496</v>
      </c>
      <c r="M230" t="s">
        <v>75</v>
      </c>
      <c r="N230" t="s">
        <v>24</v>
      </c>
      <c r="O230" t="s">
        <v>1762</v>
      </c>
      <c r="P230">
        <v>14</v>
      </c>
      <c r="Q230" t="s">
        <v>14</v>
      </c>
      <c r="R230" s="2">
        <v>7.013888888888889E-2</v>
      </c>
      <c r="S230">
        <v>101</v>
      </c>
      <c r="T230">
        <v>43.99</v>
      </c>
      <c r="U230">
        <v>1</v>
      </c>
      <c r="V230">
        <v>0.1</v>
      </c>
      <c r="W230">
        <v>4.3999999999999997E-2</v>
      </c>
    </row>
    <row r="231" spans="1:23" x14ac:dyDescent="0.3">
      <c r="A231" t="s">
        <v>805</v>
      </c>
      <c r="B231" s="1">
        <v>45214</v>
      </c>
      <c r="C231" s="2">
        <v>0.71319444444444446</v>
      </c>
      <c r="D231" t="s">
        <v>828</v>
      </c>
      <c r="E231">
        <v>25</v>
      </c>
      <c r="F231" t="s">
        <v>807</v>
      </c>
      <c r="G231" t="s">
        <v>828</v>
      </c>
      <c r="H231" t="s">
        <v>24</v>
      </c>
      <c r="I231">
        <v>0.172153</v>
      </c>
      <c r="J231">
        <v>21.091376</v>
      </c>
      <c r="K231" t="s">
        <v>1500</v>
      </c>
      <c r="L231" t="s">
        <v>1496</v>
      </c>
      <c r="M231" t="s">
        <v>102</v>
      </c>
      <c r="N231" t="s">
        <v>24</v>
      </c>
      <c r="O231" t="s">
        <v>1804</v>
      </c>
      <c r="P231">
        <v>53</v>
      </c>
      <c r="Q231" t="s">
        <v>14</v>
      </c>
      <c r="R231" s="2">
        <v>0.2673611111111111</v>
      </c>
      <c r="S231">
        <v>385</v>
      </c>
      <c r="T231">
        <v>68.78</v>
      </c>
      <c r="U231">
        <v>3</v>
      </c>
      <c r="V231">
        <v>0.1</v>
      </c>
      <c r="W231">
        <v>6.9000000000000006E-2</v>
      </c>
    </row>
    <row r="232" spans="1:23" x14ac:dyDescent="0.3">
      <c r="A232" t="s">
        <v>805</v>
      </c>
      <c r="B232" s="1">
        <v>45214</v>
      </c>
      <c r="C232" s="2">
        <v>0.71319444444444446</v>
      </c>
      <c r="D232" t="s">
        <v>828</v>
      </c>
      <c r="E232">
        <v>25</v>
      </c>
      <c r="F232" t="s">
        <v>807</v>
      </c>
      <c r="G232" t="s">
        <v>828</v>
      </c>
      <c r="H232" t="s">
        <v>24</v>
      </c>
      <c r="I232">
        <v>0.172153</v>
      </c>
      <c r="J232">
        <v>21.091376</v>
      </c>
      <c r="K232" t="s">
        <v>1500</v>
      </c>
      <c r="L232" t="s">
        <v>1496</v>
      </c>
      <c r="M232" t="s">
        <v>105</v>
      </c>
      <c r="N232" t="s">
        <v>24</v>
      </c>
      <c r="O232" t="s">
        <v>1808</v>
      </c>
      <c r="P232">
        <v>116</v>
      </c>
      <c r="Q232" t="s">
        <v>14</v>
      </c>
      <c r="R232" s="2">
        <v>0.33750000000000002</v>
      </c>
      <c r="S232">
        <v>486</v>
      </c>
      <c r="T232">
        <v>92.96</v>
      </c>
      <c r="U232">
        <v>5</v>
      </c>
      <c r="V232">
        <v>0.1</v>
      </c>
      <c r="W232">
        <v>9.2999999999999999E-2</v>
      </c>
    </row>
    <row r="233" spans="1:23" x14ac:dyDescent="0.3">
      <c r="A233" t="s">
        <v>805</v>
      </c>
      <c r="B233" s="1">
        <v>45214</v>
      </c>
      <c r="C233" s="2">
        <v>0.71319444444444446</v>
      </c>
      <c r="D233" t="s">
        <v>828</v>
      </c>
      <c r="E233">
        <v>25</v>
      </c>
      <c r="F233" t="s">
        <v>807</v>
      </c>
      <c r="G233" t="s">
        <v>828</v>
      </c>
      <c r="H233" t="s">
        <v>24</v>
      </c>
      <c r="I233">
        <v>0.172153</v>
      </c>
      <c r="J233">
        <v>21.091376</v>
      </c>
      <c r="K233" t="s">
        <v>1500</v>
      </c>
      <c r="L233" t="s">
        <v>1496</v>
      </c>
      <c r="M233" t="s">
        <v>129</v>
      </c>
      <c r="N233" t="s">
        <v>24</v>
      </c>
      <c r="O233" t="s">
        <v>1713</v>
      </c>
      <c r="P233">
        <v>83</v>
      </c>
      <c r="Q233" t="s">
        <v>19</v>
      </c>
      <c r="R233" s="2">
        <v>8.7499999999999994E-2</v>
      </c>
      <c r="S233">
        <v>126</v>
      </c>
      <c r="T233">
        <v>67.17</v>
      </c>
      <c r="U233">
        <v>1</v>
      </c>
      <c r="V233">
        <v>0.45</v>
      </c>
      <c r="W233">
        <v>0.30199999999999999</v>
      </c>
    </row>
    <row r="234" spans="1:23" x14ac:dyDescent="0.3">
      <c r="A234" t="s">
        <v>805</v>
      </c>
      <c r="B234" s="1">
        <v>45214</v>
      </c>
      <c r="C234" s="2">
        <v>0.71319444444444446</v>
      </c>
      <c r="D234" t="s">
        <v>828</v>
      </c>
      <c r="E234">
        <v>25</v>
      </c>
      <c r="F234" t="s">
        <v>807</v>
      </c>
      <c r="G234" t="s">
        <v>828</v>
      </c>
      <c r="H234" t="s">
        <v>24</v>
      </c>
      <c r="I234">
        <v>0.172153</v>
      </c>
      <c r="J234">
        <v>21.091376</v>
      </c>
      <c r="K234" t="s">
        <v>1500</v>
      </c>
      <c r="L234" t="s">
        <v>1496</v>
      </c>
      <c r="M234" t="s">
        <v>141</v>
      </c>
      <c r="N234" t="s">
        <v>24</v>
      </c>
      <c r="O234" t="s">
        <v>1740</v>
      </c>
      <c r="P234">
        <v>87</v>
      </c>
      <c r="Q234" t="s">
        <v>14</v>
      </c>
      <c r="R234" s="2">
        <v>0.30694444444444446</v>
      </c>
      <c r="S234">
        <v>442</v>
      </c>
      <c r="T234">
        <v>22.39</v>
      </c>
      <c r="U234">
        <v>3</v>
      </c>
      <c r="V234">
        <v>0.1</v>
      </c>
      <c r="W234">
        <v>2.1999999999999999E-2</v>
      </c>
    </row>
    <row r="235" spans="1:23" x14ac:dyDescent="0.3">
      <c r="A235" t="s">
        <v>805</v>
      </c>
      <c r="B235" s="1">
        <v>45214</v>
      </c>
      <c r="C235" s="2">
        <v>0.71319444444444446</v>
      </c>
      <c r="D235" t="s">
        <v>828</v>
      </c>
      <c r="E235">
        <v>25</v>
      </c>
      <c r="F235" t="s">
        <v>807</v>
      </c>
      <c r="G235" t="s">
        <v>828</v>
      </c>
      <c r="H235" t="s">
        <v>24</v>
      </c>
      <c r="I235">
        <v>0.172153</v>
      </c>
      <c r="J235">
        <v>21.091376</v>
      </c>
      <c r="K235" t="s">
        <v>1500</v>
      </c>
      <c r="L235" t="s">
        <v>1496</v>
      </c>
      <c r="M235" t="s">
        <v>184</v>
      </c>
      <c r="N235" t="s">
        <v>24</v>
      </c>
      <c r="O235" t="s">
        <v>1734</v>
      </c>
      <c r="P235">
        <v>113</v>
      </c>
      <c r="Q235" t="s">
        <v>11</v>
      </c>
      <c r="R235" s="2">
        <v>0.17083333333333334</v>
      </c>
      <c r="S235">
        <v>246</v>
      </c>
      <c r="T235">
        <v>29.18</v>
      </c>
      <c r="U235">
        <v>2</v>
      </c>
      <c r="V235">
        <v>0.45</v>
      </c>
      <c r="W235">
        <v>0.13100000000000001</v>
      </c>
    </row>
    <row r="236" spans="1:23" x14ac:dyDescent="0.3">
      <c r="A236" t="s">
        <v>805</v>
      </c>
      <c r="B236" s="1">
        <v>45214</v>
      </c>
      <c r="C236" s="2">
        <v>0.71319444444444446</v>
      </c>
      <c r="D236" t="s">
        <v>828</v>
      </c>
      <c r="E236">
        <v>25</v>
      </c>
      <c r="F236" t="s">
        <v>807</v>
      </c>
      <c r="G236" t="s">
        <v>828</v>
      </c>
      <c r="H236" t="s">
        <v>24</v>
      </c>
      <c r="I236">
        <v>0.172153</v>
      </c>
      <c r="J236">
        <v>21.091376</v>
      </c>
      <c r="K236" t="s">
        <v>1500</v>
      </c>
      <c r="L236" t="s">
        <v>1496</v>
      </c>
      <c r="M236" t="s">
        <v>198</v>
      </c>
      <c r="N236" t="s">
        <v>24</v>
      </c>
      <c r="O236" t="s">
        <v>1793</v>
      </c>
      <c r="P236">
        <v>67</v>
      </c>
      <c r="Q236" t="s">
        <v>11</v>
      </c>
      <c r="R236" s="2">
        <v>0.1673611111111111</v>
      </c>
      <c r="S236">
        <v>241</v>
      </c>
      <c r="T236">
        <v>47.72</v>
      </c>
      <c r="U236">
        <v>0</v>
      </c>
      <c r="V236">
        <v>0.45</v>
      </c>
      <c r="W236">
        <v>0.215</v>
      </c>
    </row>
    <row r="237" spans="1:23" x14ac:dyDescent="0.3">
      <c r="A237" t="s">
        <v>805</v>
      </c>
      <c r="B237" s="1">
        <v>45214</v>
      </c>
      <c r="C237" s="2">
        <v>0.71319444444444446</v>
      </c>
      <c r="D237" t="s">
        <v>828</v>
      </c>
      <c r="E237">
        <v>25</v>
      </c>
      <c r="F237" t="s">
        <v>807</v>
      </c>
      <c r="G237" t="s">
        <v>828</v>
      </c>
      <c r="H237" t="s">
        <v>24</v>
      </c>
      <c r="I237">
        <v>0.172153</v>
      </c>
      <c r="J237">
        <v>21.091376</v>
      </c>
      <c r="K237" t="s">
        <v>1500</v>
      </c>
      <c r="L237" t="s">
        <v>1496</v>
      </c>
      <c r="M237" t="s">
        <v>217</v>
      </c>
      <c r="N237" t="s">
        <v>24</v>
      </c>
      <c r="O237" t="s">
        <v>1749</v>
      </c>
      <c r="P237">
        <v>84</v>
      </c>
      <c r="Q237" t="s">
        <v>11</v>
      </c>
      <c r="R237" s="2">
        <v>0.26874999999999999</v>
      </c>
      <c r="S237">
        <v>387</v>
      </c>
      <c r="T237">
        <v>58.1</v>
      </c>
      <c r="U237">
        <v>3</v>
      </c>
      <c r="V237">
        <v>0.45</v>
      </c>
      <c r="W237">
        <v>0.26100000000000001</v>
      </c>
    </row>
    <row r="238" spans="1:23" x14ac:dyDescent="0.3">
      <c r="A238" t="s">
        <v>805</v>
      </c>
      <c r="B238" s="1">
        <v>45214</v>
      </c>
      <c r="C238" s="2">
        <v>0.71319444444444446</v>
      </c>
      <c r="D238" t="s">
        <v>828</v>
      </c>
      <c r="E238">
        <v>25</v>
      </c>
      <c r="F238" t="s">
        <v>807</v>
      </c>
      <c r="G238" t="s">
        <v>828</v>
      </c>
      <c r="H238" t="s">
        <v>24</v>
      </c>
      <c r="I238">
        <v>0.172153</v>
      </c>
      <c r="J238">
        <v>21.091376</v>
      </c>
      <c r="K238" t="s">
        <v>1500</v>
      </c>
      <c r="L238" t="s">
        <v>1496</v>
      </c>
      <c r="M238" t="s">
        <v>223</v>
      </c>
      <c r="N238" t="s">
        <v>24</v>
      </c>
      <c r="O238" t="s">
        <v>1798</v>
      </c>
      <c r="P238">
        <v>58</v>
      </c>
      <c r="Q238" t="s">
        <v>19</v>
      </c>
      <c r="R238" s="2">
        <v>0.28125</v>
      </c>
      <c r="S238">
        <v>405</v>
      </c>
      <c r="T238">
        <v>18.39</v>
      </c>
      <c r="U238">
        <v>0</v>
      </c>
      <c r="V238">
        <v>0.45</v>
      </c>
      <c r="W238">
        <v>8.3000000000000004E-2</v>
      </c>
    </row>
    <row r="239" spans="1:23" x14ac:dyDescent="0.3">
      <c r="A239" t="s">
        <v>805</v>
      </c>
      <c r="B239" s="1">
        <v>45214</v>
      </c>
      <c r="C239" s="2">
        <v>0.71319444444444446</v>
      </c>
      <c r="D239" t="s">
        <v>828</v>
      </c>
      <c r="E239">
        <v>25</v>
      </c>
      <c r="F239" t="s">
        <v>807</v>
      </c>
      <c r="G239" t="s">
        <v>828</v>
      </c>
      <c r="H239" t="s">
        <v>24</v>
      </c>
      <c r="I239">
        <v>0.172153</v>
      </c>
      <c r="J239">
        <v>21.091376</v>
      </c>
      <c r="K239" t="s">
        <v>1500</v>
      </c>
      <c r="L239" t="s">
        <v>1496</v>
      </c>
      <c r="M239" t="s">
        <v>232</v>
      </c>
      <c r="N239" t="s">
        <v>24</v>
      </c>
      <c r="O239" t="s">
        <v>1733</v>
      </c>
      <c r="P239">
        <v>74</v>
      </c>
      <c r="Q239" t="s">
        <v>11</v>
      </c>
      <c r="R239" s="2">
        <v>0.14791666666666667</v>
      </c>
      <c r="S239">
        <v>213</v>
      </c>
      <c r="T239">
        <v>35.54</v>
      </c>
      <c r="U239">
        <v>3</v>
      </c>
      <c r="V239">
        <v>0.45</v>
      </c>
      <c r="W239">
        <v>0.16</v>
      </c>
    </row>
    <row r="240" spans="1:23" x14ac:dyDescent="0.3">
      <c r="A240" t="s">
        <v>805</v>
      </c>
      <c r="B240" s="1">
        <v>45214</v>
      </c>
      <c r="C240" s="2">
        <v>0.71319444444444446</v>
      </c>
      <c r="D240" t="s">
        <v>828</v>
      </c>
      <c r="E240">
        <v>25</v>
      </c>
      <c r="F240" t="s">
        <v>807</v>
      </c>
      <c r="G240" t="s">
        <v>828</v>
      </c>
      <c r="H240" t="s">
        <v>24</v>
      </c>
      <c r="I240">
        <v>0.172153</v>
      </c>
      <c r="J240">
        <v>21.091376</v>
      </c>
      <c r="K240" t="s">
        <v>1500</v>
      </c>
      <c r="L240" t="s">
        <v>1496</v>
      </c>
      <c r="M240" t="s">
        <v>234</v>
      </c>
      <c r="N240" t="s">
        <v>24</v>
      </c>
      <c r="O240" t="s">
        <v>1788</v>
      </c>
      <c r="P240">
        <v>120</v>
      </c>
      <c r="Q240" t="s">
        <v>22</v>
      </c>
      <c r="R240" s="2">
        <v>0.15555555555555556</v>
      </c>
      <c r="S240">
        <v>224</v>
      </c>
      <c r="T240">
        <v>69.36</v>
      </c>
      <c r="U240">
        <v>0</v>
      </c>
      <c r="V240">
        <v>0.45</v>
      </c>
      <c r="W240">
        <v>0.312</v>
      </c>
    </row>
    <row r="241" spans="1:23" x14ac:dyDescent="0.3">
      <c r="A241" t="s">
        <v>805</v>
      </c>
      <c r="B241" s="1">
        <v>45214</v>
      </c>
      <c r="C241" s="2">
        <v>0.71319444444444446</v>
      </c>
      <c r="D241" t="s">
        <v>828</v>
      </c>
      <c r="E241">
        <v>25</v>
      </c>
      <c r="F241" t="s">
        <v>807</v>
      </c>
      <c r="G241" t="s">
        <v>828</v>
      </c>
      <c r="H241" t="s">
        <v>24</v>
      </c>
      <c r="I241">
        <v>0.172153</v>
      </c>
      <c r="J241">
        <v>21.091376</v>
      </c>
      <c r="K241" t="s">
        <v>1500</v>
      </c>
      <c r="L241" t="s">
        <v>1496</v>
      </c>
      <c r="M241" t="s">
        <v>245</v>
      </c>
      <c r="N241" t="s">
        <v>24</v>
      </c>
      <c r="O241" t="s">
        <v>1736</v>
      </c>
      <c r="P241">
        <v>60</v>
      </c>
      <c r="Q241" t="s">
        <v>22</v>
      </c>
      <c r="R241" s="2">
        <v>3.7499999999999999E-2</v>
      </c>
      <c r="S241">
        <v>54</v>
      </c>
      <c r="T241">
        <v>67.180000000000007</v>
      </c>
      <c r="U241">
        <v>3</v>
      </c>
      <c r="V241">
        <v>0.45</v>
      </c>
      <c r="W241">
        <v>0.30199999999999999</v>
      </c>
    </row>
    <row r="242" spans="1:23" x14ac:dyDescent="0.3">
      <c r="A242" t="s">
        <v>805</v>
      </c>
      <c r="B242" s="1">
        <v>45214</v>
      </c>
      <c r="C242" s="2">
        <v>0.71319444444444446</v>
      </c>
      <c r="D242" t="s">
        <v>828</v>
      </c>
      <c r="E242">
        <v>25</v>
      </c>
      <c r="F242" t="s">
        <v>807</v>
      </c>
      <c r="G242" t="s">
        <v>828</v>
      </c>
      <c r="H242" t="s">
        <v>24</v>
      </c>
      <c r="I242">
        <v>0.172153</v>
      </c>
      <c r="J242">
        <v>21.091376</v>
      </c>
      <c r="K242" t="s">
        <v>1500</v>
      </c>
      <c r="L242" t="s">
        <v>1496</v>
      </c>
      <c r="M242" t="s">
        <v>300</v>
      </c>
      <c r="N242" t="s">
        <v>24</v>
      </c>
      <c r="O242" t="s">
        <v>1735</v>
      </c>
      <c r="P242">
        <v>10</v>
      </c>
      <c r="Q242" t="s">
        <v>19</v>
      </c>
      <c r="R242" s="2">
        <v>6.458333333333334E-2</v>
      </c>
      <c r="S242">
        <v>93</v>
      </c>
      <c r="T242">
        <v>78.12</v>
      </c>
      <c r="U242">
        <v>4</v>
      </c>
      <c r="V242">
        <v>0.45</v>
      </c>
      <c r="W242">
        <v>0.35199999999999998</v>
      </c>
    </row>
    <row r="243" spans="1:23" x14ac:dyDescent="0.3">
      <c r="A243" t="s">
        <v>805</v>
      </c>
      <c r="B243" s="1">
        <v>45214</v>
      </c>
      <c r="C243" s="2">
        <v>0.71319444444444446</v>
      </c>
      <c r="D243" t="s">
        <v>828</v>
      </c>
      <c r="E243">
        <v>25</v>
      </c>
      <c r="F243" t="s">
        <v>807</v>
      </c>
      <c r="G243" t="s">
        <v>828</v>
      </c>
      <c r="H243" t="s">
        <v>24</v>
      </c>
      <c r="I243">
        <v>0.172153</v>
      </c>
      <c r="J243">
        <v>21.091376</v>
      </c>
      <c r="K243" t="s">
        <v>1500</v>
      </c>
      <c r="L243" t="s">
        <v>1496</v>
      </c>
      <c r="M243" t="s">
        <v>347</v>
      </c>
      <c r="N243" t="s">
        <v>24</v>
      </c>
      <c r="O243" t="s">
        <v>1719</v>
      </c>
      <c r="P243">
        <v>50</v>
      </c>
      <c r="Q243" t="s">
        <v>14</v>
      </c>
      <c r="R243" s="2">
        <v>0.2986111111111111</v>
      </c>
      <c r="S243">
        <v>430</v>
      </c>
      <c r="T243">
        <v>20.8</v>
      </c>
      <c r="U243">
        <v>2</v>
      </c>
      <c r="V243">
        <v>0.1</v>
      </c>
      <c r="W243">
        <v>2.1000000000000001E-2</v>
      </c>
    </row>
    <row r="244" spans="1:23" x14ac:dyDescent="0.3">
      <c r="A244" t="s">
        <v>805</v>
      </c>
      <c r="B244" s="1">
        <v>45214</v>
      </c>
      <c r="C244" s="2">
        <v>0.71319444444444446</v>
      </c>
      <c r="D244" t="s">
        <v>828</v>
      </c>
      <c r="E244">
        <v>25</v>
      </c>
      <c r="F244" t="s">
        <v>807</v>
      </c>
      <c r="G244" t="s">
        <v>828</v>
      </c>
      <c r="H244" t="s">
        <v>24</v>
      </c>
      <c r="I244">
        <v>0.172153</v>
      </c>
      <c r="J244">
        <v>21.091376</v>
      </c>
      <c r="K244" t="s">
        <v>1500</v>
      </c>
      <c r="L244" t="s">
        <v>1496</v>
      </c>
      <c r="M244" t="s">
        <v>365</v>
      </c>
      <c r="N244" t="s">
        <v>24</v>
      </c>
      <c r="O244" t="s">
        <v>1711</v>
      </c>
      <c r="P244">
        <v>69</v>
      </c>
      <c r="Q244" t="s">
        <v>14</v>
      </c>
      <c r="R244" s="2">
        <v>5.2777777777777778E-2</v>
      </c>
      <c r="S244">
        <v>76</v>
      </c>
      <c r="T244">
        <v>91.8</v>
      </c>
      <c r="U244">
        <v>5</v>
      </c>
      <c r="V244">
        <v>0.1</v>
      </c>
      <c r="W244">
        <v>9.1999999999999998E-2</v>
      </c>
    </row>
    <row r="245" spans="1:23" x14ac:dyDescent="0.3">
      <c r="A245" t="s">
        <v>805</v>
      </c>
      <c r="B245" s="1">
        <v>45214</v>
      </c>
      <c r="C245" s="2">
        <v>0.71319444444444446</v>
      </c>
      <c r="D245" t="s">
        <v>828</v>
      </c>
      <c r="E245">
        <v>25</v>
      </c>
      <c r="F245" t="s">
        <v>807</v>
      </c>
      <c r="G245" t="s">
        <v>828</v>
      </c>
      <c r="H245" t="s">
        <v>24</v>
      </c>
      <c r="I245">
        <v>0.172153</v>
      </c>
      <c r="J245">
        <v>21.091376</v>
      </c>
      <c r="K245" t="s">
        <v>1500</v>
      </c>
      <c r="L245" t="s">
        <v>1496</v>
      </c>
      <c r="M245" t="s">
        <v>368</v>
      </c>
      <c r="N245" t="s">
        <v>24</v>
      </c>
      <c r="O245" t="s">
        <v>1794</v>
      </c>
      <c r="P245">
        <v>41</v>
      </c>
      <c r="Q245" t="s">
        <v>14</v>
      </c>
      <c r="R245" s="2">
        <v>0.14305555555555555</v>
      </c>
      <c r="S245">
        <v>206</v>
      </c>
      <c r="T245">
        <v>83.16</v>
      </c>
      <c r="U245">
        <v>2</v>
      </c>
      <c r="V245">
        <v>0.1</v>
      </c>
      <c r="W245">
        <v>8.3000000000000004E-2</v>
      </c>
    </row>
    <row r="246" spans="1:23" x14ac:dyDescent="0.3">
      <c r="A246" t="s">
        <v>805</v>
      </c>
      <c r="B246" s="1">
        <v>45214</v>
      </c>
      <c r="C246" s="2">
        <v>0.71319444444444446</v>
      </c>
      <c r="D246" t="s">
        <v>828</v>
      </c>
      <c r="E246">
        <v>25</v>
      </c>
      <c r="F246" t="s">
        <v>807</v>
      </c>
      <c r="G246" t="s">
        <v>828</v>
      </c>
      <c r="H246" t="s">
        <v>24</v>
      </c>
      <c r="I246">
        <v>0.172153</v>
      </c>
      <c r="J246">
        <v>21.091376</v>
      </c>
      <c r="K246" t="s">
        <v>1500</v>
      </c>
      <c r="L246" t="s">
        <v>1496</v>
      </c>
      <c r="M246" t="s">
        <v>427</v>
      </c>
      <c r="N246" t="s">
        <v>24</v>
      </c>
      <c r="O246" t="s">
        <v>1733</v>
      </c>
      <c r="P246">
        <v>74</v>
      </c>
      <c r="Q246" t="s">
        <v>22</v>
      </c>
      <c r="R246" s="2">
        <v>0.17569444444444443</v>
      </c>
      <c r="S246">
        <v>253</v>
      </c>
      <c r="T246">
        <v>36.94</v>
      </c>
      <c r="U246">
        <v>5</v>
      </c>
      <c r="V246">
        <v>0.45</v>
      </c>
      <c r="W246">
        <v>0.16600000000000001</v>
      </c>
    </row>
    <row r="247" spans="1:23" x14ac:dyDescent="0.3">
      <c r="A247" t="s">
        <v>805</v>
      </c>
      <c r="B247" s="1">
        <v>45214</v>
      </c>
      <c r="C247" s="2">
        <v>0.71319444444444446</v>
      </c>
      <c r="D247" t="s">
        <v>828</v>
      </c>
      <c r="E247">
        <v>25</v>
      </c>
      <c r="F247" t="s">
        <v>807</v>
      </c>
      <c r="G247" t="s">
        <v>828</v>
      </c>
      <c r="H247" t="s">
        <v>24</v>
      </c>
      <c r="I247">
        <v>0.172153</v>
      </c>
      <c r="J247">
        <v>21.091376</v>
      </c>
      <c r="K247" t="s">
        <v>1500</v>
      </c>
      <c r="L247" t="s">
        <v>1496</v>
      </c>
      <c r="M247" t="s">
        <v>454</v>
      </c>
      <c r="N247" t="s">
        <v>24</v>
      </c>
      <c r="O247" t="s">
        <v>1809</v>
      </c>
      <c r="P247">
        <v>54</v>
      </c>
      <c r="Q247" t="s">
        <v>19</v>
      </c>
      <c r="R247" s="2">
        <v>0.3125</v>
      </c>
      <c r="S247">
        <v>450</v>
      </c>
      <c r="T247">
        <v>90.85</v>
      </c>
      <c r="U247">
        <v>1</v>
      </c>
      <c r="V247">
        <v>0.45</v>
      </c>
      <c r="W247">
        <v>0.40899999999999997</v>
      </c>
    </row>
    <row r="248" spans="1:23" x14ac:dyDescent="0.3">
      <c r="A248" t="s">
        <v>805</v>
      </c>
      <c r="B248" s="1">
        <v>45214</v>
      </c>
      <c r="C248" s="2">
        <v>0.71319444444444446</v>
      </c>
      <c r="D248" t="s">
        <v>828</v>
      </c>
      <c r="E248">
        <v>25</v>
      </c>
      <c r="F248" t="s">
        <v>807</v>
      </c>
      <c r="G248" t="s">
        <v>828</v>
      </c>
      <c r="H248" t="s">
        <v>24</v>
      </c>
      <c r="I248">
        <v>0.172153</v>
      </c>
      <c r="J248">
        <v>21.091376</v>
      </c>
      <c r="K248" t="s">
        <v>1500</v>
      </c>
      <c r="L248" t="s">
        <v>1496</v>
      </c>
      <c r="M248" t="s">
        <v>455</v>
      </c>
      <c r="N248" t="s">
        <v>24</v>
      </c>
      <c r="O248" t="s">
        <v>1773</v>
      </c>
      <c r="P248">
        <v>32</v>
      </c>
      <c r="Q248" t="s">
        <v>22</v>
      </c>
      <c r="R248" s="2">
        <v>0.3298611111111111</v>
      </c>
      <c r="S248">
        <v>475</v>
      </c>
      <c r="T248">
        <v>36.54</v>
      </c>
      <c r="U248">
        <v>3</v>
      </c>
      <c r="V248">
        <v>0.45</v>
      </c>
      <c r="W248">
        <v>0.16400000000000001</v>
      </c>
    </row>
    <row r="249" spans="1:23" x14ac:dyDescent="0.3">
      <c r="A249" t="s">
        <v>805</v>
      </c>
      <c r="B249" s="1">
        <v>45214</v>
      </c>
      <c r="C249" s="2">
        <v>0.71319444444444446</v>
      </c>
      <c r="D249" t="s">
        <v>828</v>
      </c>
      <c r="E249">
        <v>25</v>
      </c>
      <c r="F249" t="s">
        <v>807</v>
      </c>
      <c r="G249" t="s">
        <v>828</v>
      </c>
      <c r="H249" t="s">
        <v>24</v>
      </c>
      <c r="I249">
        <v>0.172153</v>
      </c>
      <c r="J249">
        <v>21.091376</v>
      </c>
      <c r="K249" t="s">
        <v>1500</v>
      </c>
      <c r="L249" t="s">
        <v>1496</v>
      </c>
      <c r="M249" t="s">
        <v>561</v>
      </c>
      <c r="N249" t="s">
        <v>24</v>
      </c>
      <c r="O249" t="s">
        <v>1779</v>
      </c>
      <c r="P249">
        <v>34</v>
      </c>
      <c r="Q249" t="s">
        <v>19</v>
      </c>
      <c r="R249" s="2">
        <v>2.4305555555555556E-2</v>
      </c>
      <c r="S249">
        <v>35</v>
      </c>
      <c r="T249">
        <v>76.86</v>
      </c>
      <c r="U249">
        <v>1</v>
      </c>
      <c r="V249">
        <v>0.45</v>
      </c>
      <c r="W249">
        <v>0.34599999999999997</v>
      </c>
    </row>
    <row r="250" spans="1:23" x14ac:dyDescent="0.3">
      <c r="A250" t="s">
        <v>854</v>
      </c>
      <c r="B250" s="1">
        <v>45222</v>
      </c>
      <c r="C250" s="2">
        <v>0.42708333333333331</v>
      </c>
      <c r="D250" t="s">
        <v>892</v>
      </c>
      <c r="E250">
        <v>82</v>
      </c>
      <c r="F250" t="s">
        <v>807</v>
      </c>
      <c r="G250" t="s">
        <v>892</v>
      </c>
      <c r="H250" t="s">
        <v>26</v>
      </c>
      <c r="I250">
        <v>-4.4697000000000001E-2</v>
      </c>
      <c r="J250">
        <v>22.943373000000001</v>
      </c>
      <c r="K250" t="s">
        <v>1500</v>
      </c>
      <c r="L250" t="s">
        <v>1499</v>
      </c>
      <c r="M250" t="s">
        <v>25</v>
      </c>
      <c r="N250" t="s">
        <v>26</v>
      </c>
      <c r="O250" t="s">
        <v>1787</v>
      </c>
      <c r="P250">
        <v>99</v>
      </c>
      <c r="Q250" t="s">
        <v>11</v>
      </c>
      <c r="R250" s="2">
        <v>0.31041666666666667</v>
      </c>
      <c r="S250">
        <v>447</v>
      </c>
      <c r="T250">
        <v>38.1</v>
      </c>
      <c r="U250">
        <v>3</v>
      </c>
      <c r="V250">
        <v>0.45</v>
      </c>
      <c r="W250">
        <v>0.17100000000000001</v>
      </c>
    </row>
    <row r="251" spans="1:23" x14ac:dyDescent="0.3">
      <c r="A251" t="s">
        <v>854</v>
      </c>
      <c r="B251" s="1">
        <v>45222</v>
      </c>
      <c r="C251" s="2">
        <v>0.42708333333333331</v>
      </c>
      <c r="D251" t="s">
        <v>892</v>
      </c>
      <c r="E251">
        <v>82</v>
      </c>
      <c r="F251" t="s">
        <v>807</v>
      </c>
      <c r="G251" t="s">
        <v>892</v>
      </c>
      <c r="H251" t="s">
        <v>26</v>
      </c>
      <c r="I251">
        <v>-4.4697000000000001E-2</v>
      </c>
      <c r="J251">
        <v>22.943373000000001</v>
      </c>
      <c r="K251" t="s">
        <v>1500</v>
      </c>
      <c r="L251" t="s">
        <v>1499</v>
      </c>
      <c r="M251" t="s">
        <v>42</v>
      </c>
      <c r="N251" t="s">
        <v>26</v>
      </c>
      <c r="O251" t="s">
        <v>1806</v>
      </c>
      <c r="P251">
        <v>112</v>
      </c>
      <c r="Q251" t="s">
        <v>11</v>
      </c>
      <c r="R251" s="2">
        <v>0.31944444444444442</v>
      </c>
      <c r="S251">
        <v>460</v>
      </c>
      <c r="T251">
        <v>55.47</v>
      </c>
      <c r="U251">
        <v>4</v>
      </c>
      <c r="V251">
        <v>0.45</v>
      </c>
      <c r="W251">
        <v>0.25</v>
      </c>
    </row>
    <row r="252" spans="1:23" x14ac:dyDescent="0.3">
      <c r="A252" t="s">
        <v>854</v>
      </c>
      <c r="B252" s="1">
        <v>45222</v>
      </c>
      <c r="C252" s="2">
        <v>0.42708333333333331</v>
      </c>
      <c r="D252" t="s">
        <v>892</v>
      </c>
      <c r="E252">
        <v>82</v>
      </c>
      <c r="F252" t="s">
        <v>807</v>
      </c>
      <c r="G252" t="s">
        <v>892</v>
      </c>
      <c r="H252" t="s">
        <v>26</v>
      </c>
      <c r="I252">
        <v>-4.4697000000000001E-2</v>
      </c>
      <c r="J252">
        <v>22.943373000000001</v>
      </c>
      <c r="K252" t="s">
        <v>1500</v>
      </c>
      <c r="L252" t="s">
        <v>1499</v>
      </c>
      <c r="M252" t="s">
        <v>49</v>
      </c>
      <c r="N252" t="s">
        <v>26</v>
      </c>
      <c r="O252" t="s">
        <v>1776</v>
      </c>
      <c r="P252">
        <v>7</v>
      </c>
      <c r="Q252" t="s">
        <v>11</v>
      </c>
      <c r="R252" s="2">
        <v>0.14305555555555555</v>
      </c>
      <c r="S252">
        <v>206</v>
      </c>
      <c r="T252">
        <v>78.09</v>
      </c>
      <c r="U252">
        <v>3</v>
      </c>
      <c r="V252">
        <v>0.45</v>
      </c>
      <c r="W252">
        <v>0.35099999999999998</v>
      </c>
    </row>
    <row r="253" spans="1:23" x14ac:dyDescent="0.3">
      <c r="A253" t="s">
        <v>854</v>
      </c>
      <c r="B253" s="1">
        <v>45222</v>
      </c>
      <c r="C253" s="2">
        <v>0.42708333333333331</v>
      </c>
      <c r="D253" t="s">
        <v>892</v>
      </c>
      <c r="E253">
        <v>82</v>
      </c>
      <c r="F253" t="s">
        <v>807</v>
      </c>
      <c r="G253" t="s">
        <v>892</v>
      </c>
      <c r="H253" t="s">
        <v>26</v>
      </c>
      <c r="I253">
        <v>-4.4697000000000001E-2</v>
      </c>
      <c r="J253">
        <v>22.943373000000001</v>
      </c>
      <c r="K253" t="s">
        <v>1500</v>
      </c>
      <c r="L253" t="s">
        <v>1499</v>
      </c>
      <c r="M253" t="s">
        <v>54</v>
      </c>
      <c r="N253" t="s">
        <v>26</v>
      </c>
      <c r="O253" t="s">
        <v>1741</v>
      </c>
      <c r="P253">
        <v>59</v>
      </c>
      <c r="Q253" t="s">
        <v>22</v>
      </c>
      <c r="R253" s="2">
        <v>0.31527777777777777</v>
      </c>
      <c r="S253">
        <v>454</v>
      </c>
      <c r="T253">
        <v>10.47</v>
      </c>
      <c r="U253">
        <v>5</v>
      </c>
      <c r="V253">
        <v>0.45</v>
      </c>
      <c r="W253">
        <v>4.7E-2</v>
      </c>
    </row>
    <row r="254" spans="1:23" x14ac:dyDescent="0.3">
      <c r="A254" t="s">
        <v>854</v>
      </c>
      <c r="B254" s="1">
        <v>45222</v>
      </c>
      <c r="C254" s="2">
        <v>0.42708333333333331</v>
      </c>
      <c r="D254" t="s">
        <v>892</v>
      </c>
      <c r="E254">
        <v>82</v>
      </c>
      <c r="F254" t="s">
        <v>807</v>
      </c>
      <c r="G254" t="s">
        <v>892</v>
      </c>
      <c r="H254" t="s">
        <v>26</v>
      </c>
      <c r="I254">
        <v>-4.4697000000000001E-2</v>
      </c>
      <c r="J254">
        <v>22.943373000000001</v>
      </c>
      <c r="K254" t="s">
        <v>1500</v>
      </c>
      <c r="L254" t="s">
        <v>1499</v>
      </c>
      <c r="M254" t="s">
        <v>100</v>
      </c>
      <c r="N254" t="s">
        <v>26</v>
      </c>
      <c r="O254" t="s">
        <v>1747</v>
      </c>
      <c r="P254">
        <v>86</v>
      </c>
      <c r="Q254" t="s">
        <v>14</v>
      </c>
      <c r="R254" s="2">
        <v>0.17499999999999999</v>
      </c>
      <c r="S254">
        <v>252</v>
      </c>
      <c r="T254">
        <v>96.5</v>
      </c>
      <c r="U254">
        <v>5</v>
      </c>
      <c r="V254">
        <v>0.1</v>
      </c>
      <c r="W254">
        <v>9.7000000000000003E-2</v>
      </c>
    </row>
    <row r="255" spans="1:23" x14ac:dyDescent="0.3">
      <c r="A255" t="s">
        <v>854</v>
      </c>
      <c r="B255" s="1">
        <v>45222</v>
      </c>
      <c r="C255" s="2">
        <v>0.42708333333333331</v>
      </c>
      <c r="D255" t="s">
        <v>892</v>
      </c>
      <c r="E255">
        <v>82</v>
      </c>
      <c r="F255" t="s">
        <v>807</v>
      </c>
      <c r="G255" t="s">
        <v>892</v>
      </c>
      <c r="H255" t="s">
        <v>26</v>
      </c>
      <c r="I255">
        <v>-4.4697000000000001E-2</v>
      </c>
      <c r="J255">
        <v>22.943373000000001</v>
      </c>
      <c r="K255" t="s">
        <v>1500</v>
      </c>
      <c r="L255" t="s">
        <v>1499</v>
      </c>
      <c r="M255" t="s">
        <v>114</v>
      </c>
      <c r="N255" t="s">
        <v>26</v>
      </c>
      <c r="O255" t="s">
        <v>1721</v>
      </c>
      <c r="P255">
        <v>36</v>
      </c>
      <c r="Q255" t="s">
        <v>19</v>
      </c>
      <c r="R255" s="2">
        <v>0.17152777777777778</v>
      </c>
      <c r="S255">
        <v>247</v>
      </c>
      <c r="T255">
        <v>24.53</v>
      </c>
      <c r="U255">
        <v>2</v>
      </c>
      <c r="V255">
        <v>0.45</v>
      </c>
      <c r="W255">
        <v>0.11</v>
      </c>
    </row>
    <row r="256" spans="1:23" x14ac:dyDescent="0.3">
      <c r="A256" t="s">
        <v>854</v>
      </c>
      <c r="B256" s="1">
        <v>45222</v>
      </c>
      <c r="C256" s="2">
        <v>0.42708333333333331</v>
      </c>
      <c r="D256" t="s">
        <v>892</v>
      </c>
      <c r="E256">
        <v>82</v>
      </c>
      <c r="F256" t="s">
        <v>807</v>
      </c>
      <c r="G256" t="s">
        <v>892</v>
      </c>
      <c r="H256" t="s">
        <v>26</v>
      </c>
      <c r="I256">
        <v>-4.4697000000000001E-2</v>
      </c>
      <c r="J256">
        <v>22.943373000000001</v>
      </c>
      <c r="K256" t="s">
        <v>1500</v>
      </c>
      <c r="L256" t="s">
        <v>1499</v>
      </c>
      <c r="M256" t="s">
        <v>122</v>
      </c>
      <c r="N256" t="s">
        <v>26</v>
      </c>
      <c r="O256" t="s">
        <v>1810</v>
      </c>
      <c r="P256">
        <v>81</v>
      </c>
      <c r="Q256" t="s">
        <v>11</v>
      </c>
      <c r="R256" s="2">
        <v>9.5138888888888884E-2</v>
      </c>
      <c r="S256">
        <v>137</v>
      </c>
      <c r="T256">
        <v>89.05</v>
      </c>
      <c r="U256">
        <v>0</v>
      </c>
      <c r="V256">
        <v>0.45</v>
      </c>
      <c r="W256">
        <v>0.40100000000000002</v>
      </c>
    </row>
    <row r="257" spans="1:23" x14ac:dyDescent="0.3">
      <c r="A257" t="s">
        <v>854</v>
      </c>
      <c r="B257" s="1">
        <v>45222</v>
      </c>
      <c r="C257" s="2">
        <v>0.42708333333333331</v>
      </c>
      <c r="D257" t="s">
        <v>892</v>
      </c>
      <c r="E257">
        <v>82</v>
      </c>
      <c r="F257" t="s">
        <v>807</v>
      </c>
      <c r="G257" t="s">
        <v>892</v>
      </c>
      <c r="H257" t="s">
        <v>26</v>
      </c>
      <c r="I257">
        <v>-4.4697000000000001E-2</v>
      </c>
      <c r="J257">
        <v>22.943373000000001</v>
      </c>
      <c r="K257" t="s">
        <v>1500</v>
      </c>
      <c r="L257" t="s">
        <v>1499</v>
      </c>
      <c r="M257" t="s">
        <v>132</v>
      </c>
      <c r="N257" t="s">
        <v>26</v>
      </c>
      <c r="O257" t="s">
        <v>1713</v>
      </c>
      <c r="P257">
        <v>83</v>
      </c>
      <c r="Q257" t="s">
        <v>11</v>
      </c>
      <c r="R257" s="2">
        <v>0.19722222222222222</v>
      </c>
      <c r="S257">
        <v>284</v>
      </c>
      <c r="T257">
        <v>73.7</v>
      </c>
      <c r="U257">
        <v>0</v>
      </c>
      <c r="V257">
        <v>0.45</v>
      </c>
      <c r="W257">
        <v>0.33200000000000002</v>
      </c>
    </row>
    <row r="258" spans="1:23" x14ac:dyDescent="0.3">
      <c r="A258" t="s">
        <v>854</v>
      </c>
      <c r="B258" s="1">
        <v>45222</v>
      </c>
      <c r="C258" s="2">
        <v>0.42708333333333331</v>
      </c>
      <c r="D258" t="s">
        <v>892</v>
      </c>
      <c r="E258">
        <v>82</v>
      </c>
      <c r="F258" t="s">
        <v>807</v>
      </c>
      <c r="G258" t="s">
        <v>892</v>
      </c>
      <c r="H258" t="s">
        <v>26</v>
      </c>
      <c r="I258">
        <v>-4.4697000000000001E-2</v>
      </c>
      <c r="J258">
        <v>22.943373000000001</v>
      </c>
      <c r="K258" t="s">
        <v>1500</v>
      </c>
      <c r="L258" t="s">
        <v>1499</v>
      </c>
      <c r="M258" t="s">
        <v>145</v>
      </c>
      <c r="N258" t="s">
        <v>26</v>
      </c>
      <c r="O258" t="s">
        <v>1811</v>
      </c>
      <c r="P258">
        <v>88</v>
      </c>
      <c r="Q258" t="s">
        <v>22</v>
      </c>
      <c r="R258" s="2">
        <v>0.22152777777777777</v>
      </c>
      <c r="S258">
        <v>319</v>
      </c>
      <c r="T258">
        <v>56.18</v>
      </c>
      <c r="U258">
        <v>0</v>
      </c>
      <c r="V258">
        <v>0.45</v>
      </c>
      <c r="W258">
        <v>0.253</v>
      </c>
    </row>
    <row r="259" spans="1:23" x14ac:dyDescent="0.3">
      <c r="A259" t="s">
        <v>854</v>
      </c>
      <c r="B259" s="1">
        <v>45222</v>
      </c>
      <c r="C259" s="2">
        <v>0.42708333333333331</v>
      </c>
      <c r="D259" t="s">
        <v>892</v>
      </c>
      <c r="E259">
        <v>82</v>
      </c>
      <c r="F259" t="s">
        <v>807</v>
      </c>
      <c r="G259" t="s">
        <v>892</v>
      </c>
      <c r="H259" t="s">
        <v>26</v>
      </c>
      <c r="I259">
        <v>-4.4697000000000001E-2</v>
      </c>
      <c r="J259">
        <v>22.943373000000001</v>
      </c>
      <c r="K259" t="s">
        <v>1500</v>
      </c>
      <c r="L259" t="s">
        <v>1499</v>
      </c>
      <c r="M259" t="s">
        <v>149</v>
      </c>
      <c r="N259" t="s">
        <v>26</v>
      </c>
      <c r="O259" t="s">
        <v>1728</v>
      </c>
      <c r="P259">
        <v>1</v>
      </c>
      <c r="Q259" t="s">
        <v>19</v>
      </c>
      <c r="R259" s="2">
        <v>0.16458333333333333</v>
      </c>
      <c r="S259">
        <v>237</v>
      </c>
      <c r="T259">
        <v>58.7</v>
      </c>
      <c r="U259">
        <v>4</v>
      </c>
      <c r="V259">
        <v>0.45</v>
      </c>
      <c r="W259">
        <v>0.26400000000000001</v>
      </c>
    </row>
    <row r="260" spans="1:23" x14ac:dyDescent="0.3">
      <c r="A260" t="s">
        <v>854</v>
      </c>
      <c r="B260" s="1">
        <v>45222</v>
      </c>
      <c r="C260" s="2">
        <v>0.42708333333333331</v>
      </c>
      <c r="D260" t="s">
        <v>892</v>
      </c>
      <c r="E260">
        <v>82</v>
      </c>
      <c r="F260" t="s">
        <v>807</v>
      </c>
      <c r="G260" t="s">
        <v>892</v>
      </c>
      <c r="H260" t="s">
        <v>26</v>
      </c>
      <c r="I260">
        <v>-4.4697000000000001E-2</v>
      </c>
      <c r="J260">
        <v>22.943373000000001</v>
      </c>
      <c r="K260" t="s">
        <v>1500</v>
      </c>
      <c r="L260" t="s">
        <v>1499</v>
      </c>
      <c r="M260" t="s">
        <v>162</v>
      </c>
      <c r="N260" t="s">
        <v>26</v>
      </c>
      <c r="O260" t="s">
        <v>1811</v>
      </c>
      <c r="P260">
        <v>88</v>
      </c>
      <c r="Q260" t="s">
        <v>11</v>
      </c>
      <c r="R260" s="2">
        <v>0.16111111111111112</v>
      </c>
      <c r="S260">
        <v>232</v>
      </c>
      <c r="T260">
        <v>40.94</v>
      </c>
      <c r="U260">
        <v>2</v>
      </c>
      <c r="V260">
        <v>0.45</v>
      </c>
      <c r="W260">
        <v>0.184</v>
      </c>
    </row>
    <row r="261" spans="1:23" x14ac:dyDescent="0.3">
      <c r="A261" t="s">
        <v>854</v>
      </c>
      <c r="B261" s="1">
        <v>45222</v>
      </c>
      <c r="C261" s="2">
        <v>0.42708333333333331</v>
      </c>
      <c r="D261" t="s">
        <v>892</v>
      </c>
      <c r="E261">
        <v>82</v>
      </c>
      <c r="F261" t="s">
        <v>807</v>
      </c>
      <c r="G261" t="s">
        <v>892</v>
      </c>
      <c r="H261" t="s">
        <v>26</v>
      </c>
      <c r="I261">
        <v>-4.4697000000000001E-2</v>
      </c>
      <c r="J261">
        <v>22.943373000000001</v>
      </c>
      <c r="K261" t="s">
        <v>1500</v>
      </c>
      <c r="L261" t="s">
        <v>1499</v>
      </c>
      <c r="M261" t="s">
        <v>228</v>
      </c>
      <c r="N261" t="s">
        <v>26</v>
      </c>
      <c r="O261" t="s">
        <v>1739</v>
      </c>
      <c r="P261">
        <v>40</v>
      </c>
      <c r="Q261" t="s">
        <v>22</v>
      </c>
      <c r="R261" s="2">
        <v>0.15208333333333332</v>
      </c>
      <c r="S261">
        <v>219</v>
      </c>
      <c r="T261">
        <v>53.98</v>
      </c>
      <c r="U261">
        <v>2</v>
      </c>
      <c r="V261">
        <v>0.45</v>
      </c>
      <c r="W261">
        <v>0.24299999999999999</v>
      </c>
    </row>
    <row r="262" spans="1:23" x14ac:dyDescent="0.3">
      <c r="A262" t="s">
        <v>854</v>
      </c>
      <c r="B262" s="1">
        <v>45222</v>
      </c>
      <c r="C262" s="2">
        <v>0.42708333333333331</v>
      </c>
      <c r="D262" t="s">
        <v>892</v>
      </c>
      <c r="E262">
        <v>82</v>
      </c>
      <c r="F262" t="s">
        <v>807</v>
      </c>
      <c r="G262" t="s">
        <v>892</v>
      </c>
      <c r="H262" t="s">
        <v>26</v>
      </c>
      <c r="I262">
        <v>-4.4697000000000001E-2</v>
      </c>
      <c r="J262">
        <v>22.943373000000001</v>
      </c>
      <c r="K262" t="s">
        <v>1500</v>
      </c>
      <c r="L262" t="s">
        <v>1499</v>
      </c>
      <c r="M262" t="s">
        <v>233</v>
      </c>
      <c r="N262" t="s">
        <v>26</v>
      </c>
      <c r="O262" t="s">
        <v>1812</v>
      </c>
      <c r="P262">
        <v>21</v>
      </c>
      <c r="Q262" t="s">
        <v>22</v>
      </c>
      <c r="R262" s="2">
        <v>7.4305555555555555E-2</v>
      </c>
      <c r="S262">
        <v>107</v>
      </c>
      <c r="T262">
        <v>30.97</v>
      </c>
      <c r="U262">
        <v>4</v>
      </c>
      <c r="V262">
        <v>0.45</v>
      </c>
      <c r="W262">
        <v>0.13900000000000001</v>
      </c>
    </row>
    <row r="263" spans="1:23" x14ac:dyDescent="0.3">
      <c r="A263" t="s">
        <v>854</v>
      </c>
      <c r="B263" s="1">
        <v>45222</v>
      </c>
      <c r="C263" s="2">
        <v>0.42708333333333331</v>
      </c>
      <c r="D263" t="s">
        <v>892</v>
      </c>
      <c r="E263">
        <v>82</v>
      </c>
      <c r="F263" t="s">
        <v>807</v>
      </c>
      <c r="G263" t="s">
        <v>892</v>
      </c>
      <c r="H263" t="s">
        <v>26</v>
      </c>
      <c r="I263">
        <v>-4.4697000000000001E-2</v>
      </c>
      <c r="J263">
        <v>22.943373000000001</v>
      </c>
      <c r="K263" t="s">
        <v>1500</v>
      </c>
      <c r="L263" t="s">
        <v>1499</v>
      </c>
      <c r="M263" t="s">
        <v>275</v>
      </c>
      <c r="N263" t="s">
        <v>26</v>
      </c>
      <c r="O263" t="s">
        <v>1726</v>
      </c>
      <c r="P263">
        <v>71</v>
      </c>
      <c r="Q263" t="s">
        <v>19</v>
      </c>
      <c r="R263" s="2">
        <v>0.25277777777777777</v>
      </c>
      <c r="S263">
        <v>364</v>
      </c>
      <c r="T263">
        <v>39.58</v>
      </c>
      <c r="U263">
        <v>1</v>
      </c>
      <c r="V263">
        <v>0.45</v>
      </c>
      <c r="W263">
        <v>0.17799999999999999</v>
      </c>
    </row>
    <row r="264" spans="1:23" x14ac:dyDescent="0.3">
      <c r="A264" t="s">
        <v>854</v>
      </c>
      <c r="B264" s="1">
        <v>45222</v>
      </c>
      <c r="C264" s="2">
        <v>0.42708333333333331</v>
      </c>
      <c r="D264" t="s">
        <v>892</v>
      </c>
      <c r="E264">
        <v>82</v>
      </c>
      <c r="F264" t="s">
        <v>807</v>
      </c>
      <c r="G264" t="s">
        <v>892</v>
      </c>
      <c r="H264" t="s">
        <v>26</v>
      </c>
      <c r="I264">
        <v>-4.4697000000000001E-2</v>
      </c>
      <c r="J264">
        <v>22.943373000000001</v>
      </c>
      <c r="K264" t="s">
        <v>1500</v>
      </c>
      <c r="L264" t="s">
        <v>1499</v>
      </c>
      <c r="M264" t="s">
        <v>323</v>
      </c>
      <c r="N264" t="s">
        <v>26</v>
      </c>
      <c r="O264" t="s">
        <v>1715</v>
      </c>
      <c r="P264">
        <v>48</v>
      </c>
      <c r="Q264" t="s">
        <v>22</v>
      </c>
      <c r="R264" s="2">
        <v>1.0416666666666666E-2</v>
      </c>
      <c r="S264">
        <v>15</v>
      </c>
      <c r="T264">
        <v>50.67</v>
      </c>
      <c r="U264">
        <v>1</v>
      </c>
      <c r="V264">
        <v>0.45</v>
      </c>
      <c r="W264">
        <v>0.22800000000000001</v>
      </c>
    </row>
    <row r="265" spans="1:23" x14ac:dyDescent="0.3">
      <c r="A265" t="s">
        <v>854</v>
      </c>
      <c r="B265" s="1">
        <v>45222</v>
      </c>
      <c r="C265" s="2">
        <v>0.42708333333333331</v>
      </c>
      <c r="D265" t="s">
        <v>892</v>
      </c>
      <c r="E265">
        <v>82</v>
      </c>
      <c r="F265" t="s">
        <v>807</v>
      </c>
      <c r="G265" t="s">
        <v>892</v>
      </c>
      <c r="H265" t="s">
        <v>26</v>
      </c>
      <c r="I265">
        <v>-4.4697000000000001E-2</v>
      </c>
      <c r="J265">
        <v>22.943373000000001</v>
      </c>
      <c r="K265" t="s">
        <v>1500</v>
      </c>
      <c r="L265" t="s">
        <v>1499</v>
      </c>
      <c r="M265" t="s">
        <v>328</v>
      </c>
      <c r="N265" t="s">
        <v>26</v>
      </c>
      <c r="O265" t="s">
        <v>1761</v>
      </c>
      <c r="P265">
        <v>119</v>
      </c>
      <c r="Q265" t="s">
        <v>14</v>
      </c>
      <c r="R265" s="2">
        <v>0.2388888888888889</v>
      </c>
      <c r="S265">
        <v>344</v>
      </c>
      <c r="T265">
        <v>10.28</v>
      </c>
      <c r="U265">
        <v>0</v>
      </c>
      <c r="V265">
        <v>0.1</v>
      </c>
      <c r="W265">
        <v>0.01</v>
      </c>
    </row>
    <row r="266" spans="1:23" x14ac:dyDescent="0.3">
      <c r="A266" t="s">
        <v>854</v>
      </c>
      <c r="B266" s="1">
        <v>45222</v>
      </c>
      <c r="C266" s="2">
        <v>0.42708333333333331</v>
      </c>
      <c r="D266" t="s">
        <v>892</v>
      </c>
      <c r="E266">
        <v>82</v>
      </c>
      <c r="F266" t="s">
        <v>807</v>
      </c>
      <c r="G266" t="s">
        <v>892</v>
      </c>
      <c r="H266" t="s">
        <v>26</v>
      </c>
      <c r="I266">
        <v>-4.4697000000000001E-2</v>
      </c>
      <c r="J266">
        <v>22.943373000000001</v>
      </c>
      <c r="K266" t="s">
        <v>1500</v>
      </c>
      <c r="L266" t="s">
        <v>1499</v>
      </c>
      <c r="M266" t="s">
        <v>338</v>
      </c>
      <c r="N266" t="s">
        <v>26</v>
      </c>
      <c r="O266" t="s">
        <v>1810</v>
      </c>
      <c r="P266">
        <v>81</v>
      </c>
      <c r="Q266" t="s">
        <v>14</v>
      </c>
      <c r="R266" s="2">
        <v>0.20694444444444443</v>
      </c>
      <c r="S266">
        <v>298</v>
      </c>
      <c r="T266">
        <v>53.61</v>
      </c>
      <c r="U266">
        <v>2</v>
      </c>
      <c r="V266">
        <v>0.1</v>
      </c>
      <c r="W266">
        <v>5.3999999999999999E-2</v>
      </c>
    </row>
    <row r="267" spans="1:23" x14ac:dyDescent="0.3">
      <c r="A267" t="s">
        <v>854</v>
      </c>
      <c r="B267" s="1">
        <v>45222</v>
      </c>
      <c r="C267" s="2">
        <v>0.42708333333333331</v>
      </c>
      <c r="D267" t="s">
        <v>892</v>
      </c>
      <c r="E267">
        <v>82</v>
      </c>
      <c r="F267" t="s">
        <v>807</v>
      </c>
      <c r="G267" t="s">
        <v>892</v>
      </c>
      <c r="H267" t="s">
        <v>26</v>
      </c>
      <c r="I267">
        <v>-4.4697000000000001E-2</v>
      </c>
      <c r="J267">
        <v>22.943373000000001</v>
      </c>
      <c r="K267" t="s">
        <v>1500</v>
      </c>
      <c r="L267" t="s">
        <v>1499</v>
      </c>
      <c r="M267" t="s">
        <v>345</v>
      </c>
      <c r="N267" t="s">
        <v>26</v>
      </c>
      <c r="O267" t="s">
        <v>1813</v>
      </c>
      <c r="P267">
        <v>25</v>
      </c>
      <c r="Q267" t="s">
        <v>14</v>
      </c>
      <c r="R267" s="2">
        <v>0.15138888888888888</v>
      </c>
      <c r="S267">
        <v>218</v>
      </c>
      <c r="T267">
        <v>68.790000000000006</v>
      </c>
      <c r="U267">
        <v>0</v>
      </c>
      <c r="V267">
        <v>0.1</v>
      </c>
      <c r="W267">
        <v>6.9000000000000006E-2</v>
      </c>
    </row>
    <row r="268" spans="1:23" x14ac:dyDescent="0.3">
      <c r="A268" t="s">
        <v>854</v>
      </c>
      <c r="B268" s="1">
        <v>45222</v>
      </c>
      <c r="C268" s="2">
        <v>0.42708333333333331</v>
      </c>
      <c r="D268" t="s">
        <v>892</v>
      </c>
      <c r="E268">
        <v>82</v>
      </c>
      <c r="F268" t="s">
        <v>807</v>
      </c>
      <c r="G268" t="s">
        <v>892</v>
      </c>
      <c r="H268" t="s">
        <v>26</v>
      </c>
      <c r="I268">
        <v>-4.4697000000000001E-2</v>
      </c>
      <c r="J268">
        <v>22.943373000000001</v>
      </c>
      <c r="K268" t="s">
        <v>1500</v>
      </c>
      <c r="L268" t="s">
        <v>1499</v>
      </c>
      <c r="M268" t="s">
        <v>452</v>
      </c>
      <c r="N268" t="s">
        <v>26</v>
      </c>
      <c r="O268" t="s">
        <v>1748</v>
      </c>
      <c r="P268">
        <v>45</v>
      </c>
      <c r="Q268" t="s">
        <v>22</v>
      </c>
      <c r="R268" s="2">
        <v>0.24722222222222223</v>
      </c>
      <c r="S268">
        <v>356</v>
      </c>
      <c r="T268">
        <v>33.76</v>
      </c>
      <c r="U268">
        <v>0</v>
      </c>
      <c r="V268">
        <v>0.45</v>
      </c>
      <c r="W268">
        <v>0.152</v>
      </c>
    </row>
    <row r="269" spans="1:23" x14ac:dyDescent="0.3">
      <c r="A269" t="s">
        <v>854</v>
      </c>
      <c r="B269" s="1">
        <v>45222</v>
      </c>
      <c r="C269" s="2">
        <v>0.42708333333333331</v>
      </c>
      <c r="D269" t="s">
        <v>892</v>
      </c>
      <c r="E269">
        <v>82</v>
      </c>
      <c r="F269" t="s">
        <v>807</v>
      </c>
      <c r="G269" t="s">
        <v>892</v>
      </c>
      <c r="H269" t="s">
        <v>26</v>
      </c>
      <c r="I269">
        <v>-4.4697000000000001E-2</v>
      </c>
      <c r="J269">
        <v>22.943373000000001</v>
      </c>
      <c r="K269" t="s">
        <v>1500</v>
      </c>
      <c r="L269" t="s">
        <v>1499</v>
      </c>
      <c r="M269" t="s">
        <v>491</v>
      </c>
      <c r="N269" t="s">
        <v>26</v>
      </c>
      <c r="O269" t="s">
        <v>1786</v>
      </c>
      <c r="P269">
        <v>95</v>
      </c>
      <c r="Q269" t="s">
        <v>14</v>
      </c>
      <c r="R269" s="2">
        <v>8.819444444444445E-2</v>
      </c>
      <c r="S269">
        <v>127</v>
      </c>
      <c r="T269">
        <v>94.9</v>
      </c>
      <c r="U269">
        <v>4</v>
      </c>
      <c r="V269">
        <v>0.1</v>
      </c>
      <c r="W269">
        <v>9.5000000000000001E-2</v>
      </c>
    </row>
    <row r="270" spans="1:23" x14ac:dyDescent="0.3">
      <c r="A270" t="s">
        <v>854</v>
      </c>
      <c r="B270" s="1">
        <v>45222</v>
      </c>
      <c r="C270" s="2">
        <v>0.42708333333333331</v>
      </c>
      <c r="D270" t="s">
        <v>892</v>
      </c>
      <c r="E270">
        <v>82</v>
      </c>
      <c r="F270" t="s">
        <v>807</v>
      </c>
      <c r="G270" t="s">
        <v>892</v>
      </c>
      <c r="H270" t="s">
        <v>26</v>
      </c>
      <c r="I270">
        <v>-4.4697000000000001E-2</v>
      </c>
      <c r="J270">
        <v>22.943373000000001</v>
      </c>
      <c r="K270" t="s">
        <v>1500</v>
      </c>
      <c r="L270" t="s">
        <v>1499</v>
      </c>
      <c r="M270" t="s">
        <v>527</v>
      </c>
      <c r="N270" t="s">
        <v>26</v>
      </c>
      <c r="O270" t="s">
        <v>1788</v>
      </c>
      <c r="P270">
        <v>120</v>
      </c>
      <c r="Q270" t="s">
        <v>11</v>
      </c>
      <c r="R270" s="2">
        <v>0.27152777777777776</v>
      </c>
      <c r="S270">
        <v>391</v>
      </c>
      <c r="T270">
        <v>67.77</v>
      </c>
      <c r="U270">
        <v>4</v>
      </c>
      <c r="V270">
        <v>0.45</v>
      </c>
      <c r="W270">
        <v>0.30499999999999999</v>
      </c>
    </row>
    <row r="271" spans="1:23" x14ac:dyDescent="0.3">
      <c r="A271" t="s">
        <v>805</v>
      </c>
      <c r="B271" s="1">
        <v>45217</v>
      </c>
      <c r="C271" s="2">
        <v>0.96875</v>
      </c>
      <c r="D271" t="s">
        <v>842</v>
      </c>
      <c r="E271">
        <v>97</v>
      </c>
      <c r="F271" t="s">
        <v>810</v>
      </c>
      <c r="G271" t="s">
        <v>842</v>
      </c>
      <c r="H271" t="s">
        <v>29</v>
      </c>
      <c r="I271">
        <v>-10.059846</v>
      </c>
      <c r="J271">
        <v>14.375757999999999</v>
      </c>
      <c r="K271" t="s">
        <v>1498</v>
      </c>
      <c r="L271" t="s">
        <v>1499</v>
      </c>
      <c r="M271" t="s">
        <v>28</v>
      </c>
      <c r="N271" t="s">
        <v>29</v>
      </c>
      <c r="O271" t="s">
        <v>1787</v>
      </c>
      <c r="P271">
        <v>99</v>
      </c>
      <c r="Q271" t="s">
        <v>19</v>
      </c>
      <c r="R271" s="2">
        <v>0.25624999999999998</v>
      </c>
      <c r="S271">
        <v>369</v>
      </c>
      <c r="T271">
        <v>67.209999999999994</v>
      </c>
      <c r="U271">
        <v>3</v>
      </c>
      <c r="V271">
        <v>0.45</v>
      </c>
      <c r="W271">
        <v>0.30199999999999999</v>
      </c>
    </row>
    <row r="272" spans="1:23" x14ac:dyDescent="0.3">
      <c r="A272" t="s">
        <v>805</v>
      </c>
      <c r="B272" s="1">
        <v>45217</v>
      </c>
      <c r="C272" s="2">
        <v>0.96875</v>
      </c>
      <c r="D272" t="s">
        <v>842</v>
      </c>
      <c r="E272">
        <v>97</v>
      </c>
      <c r="F272" t="s">
        <v>810</v>
      </c>
      <c r="G272" t="s">
        <v>842</v>
      </c>
      <c r="H272" t="s">
        <v>29</v>
      </c>
      <c r="I272">
        <v>-10.059846</v>
      </c>
      <c r="J272">
        <v>14.375757999999999</v>
      </c>
      <c r="K272" t="s">
        <v>1498</v>
      </c>
      <c r="L272" t="s">
        <v>1499</v>
      </c>
      <c r="M272" t="s">
        <v>45</v>
      </c>
      <c r="N272" t="s">
        <v>29</v>
      </c>
      <c r="O272" t="s">
        <v>1757</v>
      </c>
      <c r="P272">
        <v>78</v>
      </c>
      <c r="Q272" t="s">
        <v>19</v>
      </c>
      <c r="R272" s="2">
        <v>0.21666666666666667</v>
      </c>
      <c r="S272">
        <v>312</v>
      </c>
      <c r="T272">
        <v>85.74</v>
      </c>
      <c r="U272">
        <v>2</v>
      </c>
      <c r="V272">
        <v>0.45</v>
      </c>
      <c r="W272">
        <v>0.38600000000000001</v>
      </c>
    </row>
    <row r="273" spans="1:23" x14ac:dyDescent="0.3">
      <c r="A273" t="s">
        <v>805</v>
      </c>
      <c r="B273" s="1">
        <v>45217</v>
      </c>
      <c r="C273" s="2">
        <v>0.96875</v>
      </c>
      <c r="D273" t="s">
        <v>842</v>
      </c>
      <c r="E273">
        <v>97</v>
      </c>
      <c r="F273" t="s">
        <v>810</v>
      </c>
      <c r="G273" t="s">
        <v>842</v>
      </c>
      <c r="H273" t="s">
        <v>29</v>
      </c>
      <c r="I273">
        <v>-10.059846</v>
      </c>
      <c r="J273">
        <v>14.375757999999999</v>
      </c>
      <c r="K273" t="s">
        <v>1498</v>
      </c>
      <c r="L273" t="s">
        <v>1499</v>
      </c>
      <c r="M273" t="s">
        <v>47</v>
      </c>
      <c r="N273" t="s">
        <v>29</v>
      </c>
      <c r="O273" t="s">
        <v>1762</v>
      </c>
      <c r="P273">
        <v>14</v>
      </c>
      <c r="Q273" t="s">
        <v>11</v>
      </c>
      <c r="R273" s="2">
        <v>5.2083333333333336E-2</v>
      </c>
      <c r="S273">
        <v>75</v>
      </c>
      <c r="T273">
        <v>55.67</v>
      </c>
      <c r="U273">
        <v>3</v>
      </c>
      <c r="V273">
        <v>0.45</v>
      </c>
      <c r="W273">
        <v>0.251</v>
      </c>
    </row>
    <row r="274" spans="1:23" x14ac:dyDescent="0.3">
      <c r="A274" t="s">
        <v>805</v>
      </c>
      <c r="B274" s="1">
        <v>45217</v>
      </c>
      <c r="C274" s="2">
        <v>0.96875</v>
      </c>
      <c r="D274" t="s">
        <v>842</v>
      </c>
      <c r="E274">
        <v>97</v>
      </c>
      <c r="F274" t="s">
        <v>810</v>
      </c>
      <c r="G274" t="s">
        <v>842</v>
      </c>
      <c r="H274" t="s">
        <v>29</v>
      </c>
      <c r="I274">
        <v>-10.059846</v>
      </c>
      <c r="J274">
        <v>14.375757999999999</v>
      </c>
      <c r="K274" t="s">
        <v>1498</v>
      </c>
      <c r="L274" t="s">
        <v>1499</v>
      </c>
      <c r="M274" t="s">
        <v>70</v>
      </c>
      <c r="N274" t="s">
        <v>29</v>
      </c>
      <c r="O274" t="s">
        <v>1785</v>
      </c>
      <c r="P274">
        <v>106</v>
      </c>
      <c r="Q274" t="s">
        <v>19</v>
      </c>
      <c r="R274" s="2">
        <v>0.27777777777777779</v>
      </c>
      <c r="S274">
        <v>400</v>
      </c>
      <c r="T274">
        <v>70.02</v>
      </c>
      <c r="U274">
        <v>4</v>
      </c>
      <c r="V274">
        <v>0.45</v>
      </c>
      <c r="W274">
        <v>0.315</v>
      </c>
    </row>
    <row r="275" spans="1:23" x14ac:dyDescent="0.3">
      <c r="A275" t="s">
        <v>805</v>
      </c>
      <c r="B275" s="1">
        <v>45217</v>
      </c>
      <c r="C275" s="2">
        <v>0.96875</v>
      </c>
      <c r="D275" t="s">
        <v>842</v>
      </c>
      <c r="E275">
        <v>97</v>
      </c>
      <c r="F275" t="s">
        <v>810</v>
      </c>
      <c r="G275" t="s">
        <v>842</v>
      </c>
      <c r="H275" t="s">
        <v>29</v>
      </c>
      <c r="I275">
        <v>-10.059846</v>
      </c>
      <c r="J275">
        <v>14.375757999999999</v>
      </c>
      <c r="K275" t="s">
        <v>1498</v>
      </c>
      <c r="L275" t="s">
        <v>1499</v>
      </c>
      <c r="M275" t="s">
        <v>71</v>
      </c>
      <c r="N275" t="s">
        <v>29</v>
      </c>
      <c r="O275" t="s">
        <v>1768</v>
      </c>
      <c r="P275">
        <v>72</v>
      </c>
      <c r="Q275" t="s">
        <v>19</v>
      </c>
      <c r="R275" s="2">
        <v>0.23055555555555557</v>
      </c>
      <c r="S275">
        <v>332</v>
      </c>
      <c r="T275">
        <v>83.36</v>
      </c>
      <c r="U275">
        <v>4</v>
      </c>
      <c r="V275">
        <v>0.45</v>
      </c>
      <c r="W275">
        <v>0.375</v>
      </c>
    </row>
    <row r="276" spans="1:23" x14ac:dyDescent="0.3">
      <c r="A276" t="s">
        <v>805</v>
      </c>
      <c r="B276" s="1">
        <v>45217</v>
      </c>
      <c r="C276" s="2">
        <v>0.96875</v>
      </c>
      <c r="D276" t="s">
        <v>842</v>
      </c>
      <c r="E276">
        <v>97</v>
      </c>
      <c r="F276" t="s">
        <v>810</v>
      </c>
      <c r="G276" t="s">
        <v>842</v>
      </c>
      <c r="H276" t="s">
        <v>29</v>
      </c>
      <c r="I276">
        <v>-10.059846</v>
      </c>
      <c r="J276">
        <v>14.375757999999999</v>
      </c>
      <c r="K276" t="s">
        <v>1498</v>
      </c>
      <c r="L276" t="s">
        <v>1499</v>
      </c>
      <c r="M276" t="s">
        <v>112</v>
      </c>
      <c r="N276" t="s">
        <v>29</v>
      </c>
      <c r="O276" t="s">
        <v>1807</v>
      </c>
      <c r="P276">
        <v>57</v>
      </c>
      <c r="Q276" t="s">
        <v>19</v>
      </c>
      <c r="R276" s="2">
        <v>0.14444444444444443</v>
      </c>
      <c r="S276">
        <v>208</v>
      </c>
      <c r="T276">
        <v>85.66</v>
      </c>
      <c r="U276">
        <v>5</v>
      </c>
      <c r="V276">
        <v>0.45</v>
      </c>
      <c r="W276">
        <v>0.38500000000000001</v>
      </c>
    </row>
    <row r="277" spans="1:23" x14ac:dyDescent="0.3">
      <c r="A277" t="s">
        <v>805</v>
      </c>
      <c r="B277" s="1">
        <v>45217</v>
      </c>
      <c r="C277" s="2">
        <v>0.96875</v>
      </c>
      <c r="D277" t="s">
        <v>842</v>
      </c>
      <c r="E277">
        <v>97</v>
      </c>
      <c r="F277" t="s">
        <v>810</v>
      </c>
      <c r="G277" t="s">
        <v>842</v>
      </c>
      <c r="H277" t="s">
        <v>29</v>
      </c>
      <c r="I277">
        <v>-10.059846</v>
      </c>
      <c r="J277">
        <v>14.375757999999999</v>
      </c>
      <c r="K277" t="s">
        <v>1498</v>
      </c>
      <c r="L277" t="s">
        <v>1499</v>
      </c>
      <c r="M277" t="s">
        <v>163</v>
      </c>
      <c r="N277" t="s">
        <v>29</v>
      </c>
      <c r="O277" t="s">
        <v>1793</v>
      </c>
      <c r="P277">
        <v>67</v>
      </c>
      <c r="Q277" t="s">
        <v>22</v>
      </c>
      <c r="R277" s="2">
        <v>0.18333333333333332</v>
      </c>
      <c r="S277">
        <v>264</v>
      </c>
      <c r="T277">
        <v>97.89</v>
      </c>
      <c r="U277">
        <v>1</v>
      </c>
      <c r="V277">
        <v>0.45</v>
      </c>
      <c r="W277">
        <v>0.441</v>
      </c>
    </row>
    <row r="278" spans="1:23" x14ac:dyDescent="0.3">
      <c r="A278" t="s">
        <v>805</v>
      </c>
      <c r="B278" s="1">
        <v>45217</v>
      </c>
      <c r="C278" s="2">
        <v>0.96875</v>
      </c>
      <c r="D278" t="s">
        <v>842</v>
      </c>
      <c r="E278">
        <v>97</v>
      </c>
      <c r="F278" t="s">
        <v>810</v>
      </c>
      <c r="G278" t="s">
        <v>842</v>
      </c>
      <c r="H278" t="s">
        <v>29</v>
      </c>
      <c r="I278">
        <v>-10.059846</v>
      </c>
      <c r="J278">
        <v>14.375757999999999</v>
      </c>
      <c r="K278" t="s">
        <v>1498</v>
      </c>
      <c r="L278" t="s">
        <v>1499</v>
      </c>
      <c r="M278" t="s">
        <v>173</v>
      </c>
      <c r="N278" t="s">
        <v>29</v>
      </c>
      <c r="O278" t="s">
        <v>1776</v>
      </c>
      <c r="P278">
        <v>7</v>
      </c>
      <c r="Q278" t="s">
        <v>11</v>
      </c>
      <c r="R278" s="2">
        <v>0.21041666666666667</v>
      </c>
      <c r="S278">
        <v>303</v>
      </c>
      <c r="T278">
        <v>60.95</v>
      </c>
      <c r="U278">
        <v>0</v>
      </c>
      <c r="V278">
        <v>0.45</v>
      </c>
      <c r="W278">
        <v>0.27400000000000002</v>
      </c>
    </row>
    <row r="279" spans="1:23" x14ac:dyDescent="0.3">
      <c r="A279" t="s">
        <v>805</v>
      </c>
      <c r="B279" s="1">
        <v>45217</v>
      </c>
      <c r="C279" s="2">
        <v>0.96875</v>
      </c>
      <c r="D279" t="s">
        <v>842</v>
      </c>
      <c r="E279">
        <v>97</v>
      </c>
      <c r="F279" t="s">
        <v>810</v>
      </c>
      <c r="G279" t="s">
        <v>842</v>
      </c>
      <c r="H279" t="s">
        <v>29</v>
      </c>
      <c r="I279">
        <v>-10.059846</v>
      </c>
      <c r="J279">
        <v>14.375757999999999</v>
      </c>
      <c r="K279" t="s">
        <v>1498</v>
      </c>
      <c r="L279" t="s">
        <v>1499</v>
      </c>
      <c r="M279" t="s">
        <v>238</v>
      </c>
      <c r="N279" t="s">
        <v>29</v>
      </c>
      <c r="O279" t="s">
        <v>1726</v>
      </c>
      <c r="P279">
        <v>71</v>
      </c>
      <c r="Q279" t="s">
        <v>11</v>
      </c>
      <c r="R279" s="2">
        <v>1.0416666666666666E-2</v>
      </c>
      <c r="S279">
        <v>15</v>
      </c>
      <c r="T279">
        <v>25.46</v>
      </c>
      <c r="U279">
        <v>5</v>
      </c>
      <c r="V279">
        <v>0.45</v>
      </c>
      <c r="W279">
        <v>0.115</v>
      </c>
    </row>
    <row r="280" spans="1:23" x14ac:dyDescent="0.3">
      <c r="A280" t="s">
        <v>805</v>
      </c>
      <c r="B280" s="1">
        <v>45217</v>
      </c>
      <c r="C280" s="2">
        <v>0.96875</v>
      </c>
      <c r="D280" t="s">
        <v>842</v>
      </c>
      <c r="E280">
        <v>97</v>
      </c>
      <c r="F280" t="s">
        <v>810</v>
      </c>
      <c r="G280" t="s">
        <v>842</v>
      </c>
      <c r="H280" t="s">
        <v>29</v>
      </c>
      <c r="I280">
        <v>-10.059846</v>
      </c>
      <c r="J280">
        <v>14.375757999999999</v>
      </c>
      <c r="K280" t="s">
        <v>1498</v>
      </c>
      <c r="L280" t="s">
        <v>1499</v>
      </c>
      <c r="M280" t="s">
        <v>246</v>
      </c>
      <c r="N280" t="s">
        <v>29</v>
      </c>
      <c r="O280" t="s">
        <v>1753</v>
      </c>
      <c r="P280">
        <v>4</v>
      </c>
      <c r="Q280" t="s">
        <v>19</v>
      </c>
      <c r="R280" s="2">
        <v>0.12638888888888888</v>
      </c>
      <c r="S280">
        <v>182</v>
      </c>
      <c r="T280">
        <v>89.56</v>
      </c>
      <c r="U280">
        <v>4</v>
      </c>
      <c r="V280">
        <v>0.45</v>
      </c>
      <c r="W280">
        <v>0.40300000000000002</v>
      </c>
    </row>
    <row r="281" spans="1:23" x14ac:dyDescent="0.3">
      <c r="A281" t="s">
        <v>805</v>
      </c>
      <c r="B281" s="1">
        <v>45217</v>
      </c>
      <c r="C281" s="2">
        <v>0.96875</v>
      </c>
      <c r="D281" t="s">
        <v>842</v>
      </c>
      <c r="E281">
        <v>97</v>
      </c>
      <c r="F281" t="s">
        <v>810</v>
      </c>
      <c r="G281" t="s">
        <v>842</v>
      </c>
      <c r="H281" t="s">
        <v>29</v>
      </c>
      <c r="I281">
        <v>-10.059846</v>
      </c>
      <c r="J281">
        <v>14.375757999999999</v>
      </c>
      <c r="K281" t="s">
        <v>1498</v>
      </c>
      <c r="L281" t="s">
        <v>1499</v>
      </c>
      <c r="M281" t="s">
        <v>249</v>
      </c>
      <c r="N281" t="s">
        <v>29</v>
      </c>
      <c r="O281" t="s">
        <v>1756</v>
      </c>
      <c r="P281">
        <v>89</v>
      </c>
      <c r="Q281" t="s">
        <v>22</v>
      </c>
      <c r="R281" s="2">
        <v>4.8611111111111112E-3</v>
      </c>
      <c r="S281">
        <v>7</v>
      </c>
      <c r="T281">
        <v>53.39</v>
      </c>
      <c r="U281">
        <v>3</v>
      </c>
      <c r="V281">
        <v>0.45</v>
      </c>
      <c r="W281">
        <v>0.24</v>
      </c>
    </row>
    <row r="282" spans="1:23" x14ac:dyDescent="0.3">
      <c r="A282" t="s">
        <v>805</v>
      </c>
      <c r="B282" s="1">
        <v>45217</v>
      </c>
      <c r="C282" s="2">
        <v>0.96875</v>
      </c>
      <c r="D282" t="s">
        <v>842</v>
      </c>
      <c r="E282">
        <v>97</v>
      </c>
      <c r="F282" t="s">
        <v>810</v>
      </c>
      <c r="G282" t="s">
        <v>842</v>
      </c>
      <c r="H282" t="s">
        <v>29</v>
      </c>
      <c r="I282">
        <v>-10.059846</v>
      </c>
      <c r="J282">
        <v>14.375757999999999</v>
      </c>
      <c r="K282" t="s">
        <v>1498</v>
      </c>
      <c r="L282" t="s">
        <v>1499</v>
      </c>
      <c r="M282" t="s">
        <v>256</v>
      </c>
      <c r="N282" t="s">
        <v>29</v>
      </c>
      <c r="O282" t="s">
        <v>1814</v>
      </c>
      <c r="P282">
        <v>52</v>
      </c>
      <c r="Q282" t="s">
        <v>14</v>
      </c>
      <c r="R282" s="2">
        <v>0.16250000000000001</v>
      </c>
      <c r="S282">
        <v>234</v>
      </c>
      <c r="T282">
        <v>62.87</v>
      </c>
      <c r="U282">
        <v>0</v>
      </c>
      <c r="V282">
        <v>0.1</v>
      </c>
      <c r="W282">
        <v>6.3E-2</v>
      </c>
    </row>
    <row r="283" spans="1:23" x14ac:dyDescent="0.3">
      <c r="A283" t="s">
        <v>805</v>
      </c>
      <c r="B283" s="1">
        <v>45217</v>
      </c>
      <c r="C283" s="2">
        <v>0.96875</v>
      </c>
      <c r="D283" t="s">
        <v>842</v>
      </c>
      <c r="E283">
        <v>97</v>
      </c>
      <c r="F283" t="s">
        <v>810</v>
      </c>
      <c r="G283" t="s">
        <v>842</v>
      </c>
      <c r="H283" t="s">
        <v>29</v>
      </c>
      <c r="I283">
        <v>-10.059846</v>
      </c>
      <c r="J283">
        <v>14.375757999999999</v>
      </c>
      <c r="K283" t="s">
        <v>1498</v>
      </c>
      <c r="L283" t="s">
        <v>1499</v>
      </c>
      <c r="M283" t="s">
        <v>264</v>
      </c>
      <c r="N283" t="s">
        <v>29</v>
      </c>
      <c r="O283" t="s">
        <v>1797</v>
      </c>
      <c r="P283">
        <v>91</v>
      </c>
      <c r="Q283" t="s">
        <v>19</v>
      </c>
      <c r="R283" s="2">
        <v>0.13055555555555556</v>
      </c>
      <c r="S283">
        <v>188</v>
      </c>
      <c r="T283">
        <v>65.78</v>
      </c>
      <c r="U283">
        <v>4</v>
      </c>
      <c r="V283">
        <v>0.45</v>
      </c>
      <c r="W283">
        <v>0.29599999999999999</v>
      </c>
    </row>
    <row r="284" spans="1:23" x14ac:dyDescent="0.3">
      <c r="A284" t="s">
        <v>805</v>
      </c>
      <c r="B284" s="1">
        <v>45217</v>
      </c>
      <c r="C284" s="2">
        <v>0.96875</v>
      </c>
      <c r="D284" t="s">
        <v>842</v>
      </c>
      <c r="E284">
        <v>97</v>
      </c>
      <c r="F284" t="s">
        <v>810</v>
      </c>
      <c r="G284" t="s">
        <v>842</v>
      </c>
      <c r="H284" t="s">
        <v>29</v>
      </c>
      <c r="I284">
        <v>-10.059846</v>
      </c>
      <c r="J284">
        <v>14.375757999999999</v>
      </c>
      <c r="K284" t="s">
        <v>1498</v>
      </c>
      <c r="L284" t="s">
        <v>1499</v>
      </c>
      <c r="M284" t="s">
        <v>290</v>
      </c>
      <c r="N284" t="s">
        <v>29</v>
      </c>
      <c r="O284" t="s">
        <v>1802</v>
      </c>
      <c r="P284">
        <v>13</v>
      </c>
      <c r="Q284" t="s">
        <v>14</v>
      </c>
      <c r="R284" s="2">
        <v>0.24097222222222223</v>
      </c>
      <c r="S284">
        <v>347</v>
      </c>
      <c r="T284">
        <v>32.35</v>
      </c>
      <c r="U284">
        <v>2</v>
      </c>
      <c r="V284">
        <v>0.1</v>
      </c>
      <c r="W284">
        <v>3.2000000000000001E-2</v>
      </c>
    </row>
    <row r="285" spans="1:23" x14ac:dyDescent="0.3">
      <c r="A285" t="s">
        <v>805</v>
      </c>
      <c r="B285" s="1">
        <v>45217</v>
      </c>
      <c r="C285" s="2">
        <v>0.96875</v>
      </c>
      <c r="D285" t="s">
        <v>842</v>
      </c>
      <c r="E285">
        <v>97</v>
      </c>
      <c r="F285" t="s">
        <v>810</v>
      </c>
      <c r="G285" t="s">
        <v>842</v>
      </c>
      <c r="H285" t="s">
        <v>29</v>
      </c>
      <c r="I285">
        <v>-10.059846</v>
      </c>
      <c r="J285">
        <v>14.375757999999999</v>
      </c>
      <c r="K285" t="s">
        <v>1498</v>
      </c>
      <c r="L285" t="s">
        <v>1499</v>
      </c>
      <c r="M285" t="s">
        <v>313</v>
      </c>
      <c r="N285" t="s">
        <v>29</v>
      </c>
      <c r="O285" t="s">
        <v>1787</v>
      </c>
      <c r="P285">
        <v>99</v>
      </c>
      <c r="Q285" t="s">
        <v>14</v>
      </c>
      <c r="R285" s="2">
        <v>0.22569444444444445</v>
      </c>
      <c r="S285">
        <v>325</v>
      </c>
      <c r="T285">
        <v>88.35</v>
      </c>
      <c r="U285">
        <v>4</v>
      </c>
      <c r="V285">
        <v>0.1</v>
      </c>
      <c r="W285">
        <v>8.7999999999999995E-2</v>
      </c>
    </row>
    <row r="286" spans="1:23" x14ac:dyDescent="0.3">
      <c r="A286" t="s">
        <v>805</v>
      </c>
      <c r="B286" s="1">
        <v>45217</v>
      </c>
      <c r="C286" s="2">
        <v>0.96875</v>
      </c>
      <c r="D286" t="s">
        <v>842</v>
      </c>
      <c r="E286">
        <v>97</v>
      </c>
      <c r="F286" t="s">
        <v>810</v>
      </c>
      <c r="G286" t="s">
        <v>842</v>
      </c>
      <c r="H286" t="s">
        <v>29</v>
      </c>
      <c r="I286">
        <v>-10.059846</v>
      </c>
      <c r="J286">
        <v>14.375757999999999</v>
      </c>
      <c r="K286" t="s">
        <v>1498</v>
      </c>
      <c r="L286" t="s">
        <v>1499</v>
      </c>
      <c r="M286" t="s">
        <v>397</v>
      </c>
      <c r="N286" t="s">
        <v>29</v>
      </c>
      <c r="O286" t="s">
        <v>1778</v>
      </c>
      <c r="P286">
        <v>43</v>
      </c>
      <c r="Q286" t="s">
        <v>11</v>
      </c>
      <c r="R286" s="2">
        <v>0.33750000000000002</v>
      </c>
      <c r="S286">
        <v>486</v>
      </c>
      <c r="T286">
        <v>76.42</v>
      </c>
      <c r="U286">
        <v>1</v>
      </c>
      <c r="V286">
        <v>0.45</v>
      </c>
      <c r="W286">
        <v>0.34399999999999997</v>
      </c>
    </row>
    <row r="287" spans="1:23" x14ac:dyDescent="0.3">
      <c r="A287" t="s">
        <v>805</v>
      </c>
      <c r="B287" s="1">
        <v>45217</v>
      </c>
      <c r="C287" s="2">
        <v>0.96875</v>
      </c>
      <c r="D287" t="s">
        <v>842</v>
      </c>
      <c r="E287">
        <v>97</v>
      </c>
      <c r="F287" t="s">
        <v>810</v>
      </c>
      <c r="G287" t="s">
        <v>842</v>
      </c>
      <c r="H287" t="s">
        <v>29</v>
      </c>
      <c r="I287">
        <v>-10.059846</v>
      </c>
      <c r="J287">
        <v>14.375757999999999</v>
      </c>
      <c r="K287" t="s">
        <v>1498</v>
      </c>
      <c r="L287" t="s">
        <v>1499</v>
      </c>
      <c r="M287" t="s">
        <v>423</v>
      </c>
      <c r="N287" t="s">
        <v>29</v>
      </c>
      <c r="O287" t="s">
        <v>1802</v>
      </c>
      <c r="P287">
        <v>13</v>
      </c>
      <c r="Q287" t="s">
        <v>19</v>
      </c>
      <c r="R287" s="2">
        <v>0.125</v>
      </c>
      <c r="S287">
        <v>180</v>
      </c>
      <c r="T287">
        <v>24.01</v>
      </c>
      <c r="U287">
        <v>0</v>
      </c>
      <c r="V287">
        <v>0.45</v>
      </c>
      <c r="W287">
        <v>0.108</v>
      </c>
    </row>
    <row r="288" spans="1:23" x14ac:dyDescent="0.3">
      <c r="A288" t="s">
        <v>805</v>
      </c>
      <c r="B288" s="1">
        <v>45217</v>
      </c>
      <c r="C288" s="2">
        <v>0.96875</v>
      </c>
      <c r="D288" t="s">
        <v>842</v>
      </c>
      <c r="E288">
        <v>97</v>
      </c>
      <c r="F288" t="s">
        <v>810</v>
      </c>
      <c r="G288" t="s">
        <v>842</v>
      </c>
      <c r="H288" t="s">
        <v>29</v>
      </c>
      <c r="I288">
        <v>-10.059846</v>
      </c>
      <c r="J288">
        <v>14.375757999999999</v>
      </c>
      <c r="K288" t="s">
        <v>1498</v>
      </c>
      <c r="L288" t="s">
        <v>1499</v>
      </c>
      <c r="M288" t="s">
        <v>461</v>
      </c>
      <c r="N288" t="s">
        <v>29</v>
      </c>
      <c r="O288" t="s">
        <v>1728</v>
      </c>
      <c r="P288">
        <v>1</v>
      </c>
      <c r="Q288" t="s">
        <v>11</v>
      </c>
      <c r="R288" s="2">
        <v>0.25555555555555554</v>
      </c>
      <c r="S288">
        <v>368</v>
      </c>
      <c r="T288">
        <v>35.17</v>
      </c>
      <c r="U288">
        <v>1</v>
      </c>
      <c r="V288">
        <v>0.45</v>
      </c>
      <c r="W288">
        <v>0.158</v>
      </c>
    </row>
    <row r="289" spans="1:23" x14ac:dyDescent="0.3">
      <c r="A289" t="s">
        <v>805</v>
      </c>
      <c r="B289" s="1">
        <v>45217</v>
      </c>
      <c r="C289" s="2">
        <v>0.96875</v>
      </c>
      <c r="D289" t="s">
        <v>842</v>
      </c>
      <c r="E289">
        <v>97</v>
      </c>
      <c r="F289" t="s">
        <v>810</v>
      </c>
      <c r="G289" t="s">
        <v>842</v>
      </c>
      <c r="H289" t="s">
        <v>29</v>
      </c>
      <c r="I289">
        <v>-10.059846</v>
      </c>
      <c r="J289">
        <v>14.375757999999999</v>
      </c>
      <c r="K289" t="s">
        <v>1498</v>
      </c>
      <c r="L289" t="s">
        <v>1499</v>
      </c>
      <c r="M289" t="s">
        <v>528</v>
      </c>
      <c r="N289" t="s">
        <v>29</v>
      </c>
      <c r="O289" t="s">
        <v>1792</v>
      </c>
      <c r="P289">
        <v>20</v>
      </c>
      <c r="Q289" t="s">
        <v>14</v>
      </c>
      <c r="R289" s="2">
        <v>6.458333333333334E-2</v>
      </c>
      <c r="S289">
        <v>93</v>
      </c>
      <c r="T289">
        <v>84.45</v>
      </c>
      <c r="U289">
        <v>0</v>
      </c>
      <c r="V289">
        <v>0.1</v>
      </c>
      <c r="W289">
        <v>8.4000000000000005E-2</v>
      </c>
    </row>
    <row r="290" spans="1:23" x14ac:dyDescent="0.3">
      <c r="A290" t="s">
        <v>805</v>
      </c>
      <c r="B290" s="1">
        <v>45217</v>
      </c>
      <c r="C290" s="2">
        <v>0.96875</v>
      </c>
      <c r="D290" t="s">
        <v>842</v>
      </c>
      <c r="E290">
        <v>97</v>
      </c>
      <c r="F290" t="s">
        <v>810</v>
      </c>
      <c r="G290" t="s">
        <v>842</v>
      </c>
      <c r="H290" t="s">
        <v>29</v>
      </c>
      <c r="I290">
        <v>-10.059846</v>
      </c>
      <c r="J290">
        <v>14.375757999999999</v>
      </c>
      <c r="K290" t="s">
        <v>1498</v>
      </c>
      <c r="L290" t="s">
        <v>1499</v>
      </c>
      <c r="M290" t="s">
        <v>543</v>
      </c>
      <c r="N290" t="s">
        <v>29</v>
      </c>
      <c r="O290" t="s">
        <v>1733</v>
      </c>
      <c r="P290">
        <v>74</v>
      </c>
      <c r="Q290" t="s">
        <v>22</v>
      </c>
      <c r="R290" s="2">
        <v>0.22916666666666666</v>
      </c>
      <c r="S290">
        <v>330</v>
      </c>
      <c r="T290">
        <v>37.82</v>
      </c>
      <c r="U290">
        <v>5</v>
      </c>
      <c r="V290">
        <v>0.45</v>
      </c>
      <c r="W290">
        <v>0.17</v>
      </c>
    </row>
    <row r="291" spans="1:23" x14ac:dyDescent="0.3">
      <c r="A291" t="s">
        <v>805</v>
      </c>
      <c r="B291" s="1">
        <v>45217</v>
      </c>
      <c r="C291" s="2">
        <v>0.96875</v>
      </c>
      <c r="D291" t="s">
        <v>842</v>
      </c>
      <c r="E291">
        <v>97</v>
      </c>
      <c r="F291" t="s">
        <v>810</v>
      </c>
      <c r="G291" t="s">
        <v>842</v>
      </c>
      <c r="H291" t="s">
        <v>29</v>
      </c>
      <c r="I291">
        <v>-10.059846</v>
      </c>
      <c r="J291">
        <v>14.375757999999999</v>
      </c>
      <c r="K291" t="s">
        <v>1498</v>
      </c>
      <c r="L291" t="s">
        <v>1499</v>
      </c>
      <c r="M291" t="s">
        <v>551</v>
      </c>
      <c r="N291" t="s">
        <v>29</v>
      </c>
      <c r="O291" t="s">
        <v>1721</v>
      </c>
      <c r="P291">
        <v>36</v>
      </c>
      <c r="Q291" t="s">
        <v>22</v>
      </c>
      <c r="R291" s="2">
        <v>0.33819444444444446</v>
      </c>
      <c r="S291">
        <v>487</v>
      </c>
      <c r="T291">
        <v>45.02</v>
      </c>
      <c r="U291">
        <v>2</v>
      </c>
      <c r="V291">
        <v>0.45</v>
      </c>
      <c r="W291">
        <v>0.20300000000000001</v>
      </c>
    </row>
    <row r="292" spans="1:23" x14ac:dyDescent="0.3">
      <c r="A292" t="s">
        <v>898</v>
      </c>
      <c r="B292" s="1">
        <v>45216</v>
      </c>
      <c r="C292" s="2">
        <v>0.90277777777777779</v>
      </c>
      <c r="D292" t="s">
        <v>929</v>
      </c>
      <c r="E292">
        <v>20</v>
      </c>
      <c r="F292" t="s">
        <v>812</v>
      </c>
      <c r="G292" t="s">
        <v>929</v>
      </c>
      <c r="H292" t="s">
        <v>51</v>
      </c>
      <c r="I292">
        <v>-4.2408359999999998</v>
      </c>
      <c r="J292">
        <v>26.210014000000001</v>
      </c>
      <c r="K292" t="s">
        <v>1498</v>
      </c>
      <c r="L292" t="s">
        <v>1499</v>
      </c>
      <c r="M292" t="s">
        <v>50</v>
      </c>
      <c r="N292" t="s">
        <v>51</v>
      </c>
      <c r="O292" t="s">
        <v>1761</v>
      </c>
      <c r="P292">
        <v>119</v>
      </c>
      <c r="Q292" t="s">
        <v>22</v>
      </c>
      <c r="R292" s="2">
        <v>0.15833333333333333</v>
      </c>
      <c r="S292">
        <v>228</v>
      </c>
      <c r="T292">
        <v>94.72</v>
      </c>
      <c r="U292">
        <v>3</v>
      </c>
      <c r="V292">
        <v>0.45</v>
      </c>
      <c r="W292">
        <v>0.42599999999999999</v>
      </c>
    </row>
    <row r="293" spans="1:23" x14ac:dyDescent="0.3">
      <c r="A293" t="s">
        <v>898</v>
      </c>
      <c r="B293" s="1">
        <v>45216</v>
      </c>
      <c r="C293" s="2">
        <v>0.90277777777777779</v>
      </c>
      <c r="D293" t="s">
        <v>929</v>
      </c>
      <c r="E293">
        <v>20</v>
      </c>
      <c r="F293" t="s">
        <v>812</v>
      </c>
      <c r="G293" t="s">
        <v>929</v>
      </c>
      <c r="H293" t="s">
        <v>51</v>
      </c>
      <c r="I293">
        <v>-4.2408359999999998</v>
      </c>
      <c r="J293">
        <v>26.210014000000001</v>
      </c>
      <c r="K293" t="s">
        <v>1498</v>
      </c>
      <c r="L293" t="s">
        <v>1499</v>
      </c>
      <c r="M293" t="s">
        <v>80</v>
      </c>
      <c r="N293" t="s">
        <v>51</v>
      </c>
      <c r="O293" t="s">
        <v>1806</v>
      </c>
      <c r="P293">
        <v>112</v>
      </c>
      <c r="Q293" t="s">
        <v>14</v>
      </c>
      <c r="R293" s="2">
        <v>1.2500000000000001E-2</v>
      </c>
      <c r="S293">
        <v>18</v>
      </c>
      <c r="T293">
        <v>27.33</v>
      </c>
      <c r="U293">
        <v>5</v>
      </c>
      <c r="V293">
        <v>0.1</v>
      </c>
      <c r="W293">
        <v>2.7E-2</v>
      </c>
    </row>
    <row r="294" spans="1:23" x14ac:dyDescent="0.3">
      <c r="A294" t="s">
        <v>898</v>
      </c>
      <c r="B294" s="1">
        <v>45216</v>
      </c>
      <c r="C294" s="2">
        <v>0.90277777777777779</v>
      </c>
      <c r="D294" t="s">
        <v>929</v>
      </c>
      <c r="E294">
        <v>20</v>
      </c>
      <c r="F294" t="s">
        <v>812</v>
      </c>
      <c r="G294" t="s">
        <v>929</v>
      </c>
      <c r="H294" t="s">
        <v>51</v>
      </c>
      <c r="I294">
        <v>-4.2408359999999998</v>
      </c>
      <c r="J294">
        <v>26.210014000000001</v>
      </c>
      <c r="K294" t="s">
        <v>1498</v>
      </c>
      <c r="L294" t="s">
        <v>1499</v>
      </c>
      <c r="M294" t="s">
        <v>83</v>
      </c>
      <c r="N294" t="s">
        <v>51</v>
      </c>
      <c r="O294" t="s">
        <v>1745</v>
      </c>
      <c r="P294">
        <v>47</v>
      </c>
      <c r="Q294" t="s">
        <v>19</v>
      </c>
      <c r="R294" s="2">
        <v>0.13819444444444445</v>
      </c>
      <c r="S294">
        <v>199</v>
      </c>
      <c r="T294">
        <v>23.19</v>
      </c>
      <c r="U294">
        <v>2</v>
      </c>
      <c r="V294">
        <v>0.45</v>
      </c>
      <c r="W294">
        <v>0.104</v>
      </c>
    </row>
    <row r="295" spans="1:23" x14ac:dyDescent="0.3">
      <c r="A295" t="s">
        <v>898</v>
      </c>
      <c r="B295" s="1">
        <v>45216</v>
      </c>
      <c r="C295" s="2">
        <v>0.90277777777777779</v>
      </c>
      <c r="D295" t="s">
        <v>929</v>
      </c>
      <c r="E295">
        <v>20</v>
      </c>
      <c r="F295" t="s">
        <v>812</v>
      </c>
      <c r="G295" t="s">
        <v>929</v>
      </c>
      <c r="H295" t="s">
        <v>51</v>
      </c>
      <c r="I295">
        <v>-4.2408359999999998</v>
      </c>
      <c r="J295">
        <v>26.210014000000001</v>
      </c>
      <c r="K295" t="s">
        <v>1498</v>
      </c>
      <c r="L295" t="s">
        <v>1499</v>
      </c>
      <c r="M295" t="s">
        <v>86</v>
      </c>
      <c r="N295" t="s">
        <v>51</v>
      </c>
      <c r="O295" t="s">
        <v>1815</v>
      </c>
      <c r="P295">
        <v>82</v>
      </c>
      <c r="Q295" t="s">
        <v>19</v>
      </c>
      <c r="R295" s="2">
        <v>9.166666666666666E-2</v>
      </c>
      <c r="S295">
        <v>132</v>
      </c>
      <c r="T295">
        <v>50.14</v>
      </c>
      <c r="U295">
        <v>5</v>
      </c>
      <c r="V295">
        <v>0.45</v>
      </c>
      <c r="W295">
        <v>0.22600000000000001</v>
      </c>
    </row>
    <row r="296" spans="1:23" x14ac:dyDescent="0.3">
      <c r="A296" t="s">
        <v>898</v>
      </c>
      <c r="B296" s="1">
        <v>45216</v>
      </c>
      <c r="C296" s="2">
        <v>0.90277777777777779</v>
      </c>
      <c r="D296" t="s">
        <v>929</v>
      </c>
      <c r="E296">
        <v>20</v>
      </c>
      <c r="F296" t="s">
        <v>812</v>
      </c>
      <c r="G296" t="s">
        <v>929</v>
      </c>
      <c r="H296" t="s">
        <v>51</v>
      </c>
      <c r="I296">
        <v>-4.2408359999999998</v>
      </c>
      <c r="J296">
        <v>26.210014000000001</v>
      </c>
      <c r="K296" t="s">
        <v>1498</v>
      </c>
      <c r="L296" t="s">
        <v>1499</v>
      </c>
      <c r="M296" t="s">
        <v>94</v>
      </c>
      <c r="N296" t="s">
        <v>51</v>
      </c>
      <c r="O296" t="s">
        <v>1743</v>
      </c>
      <c r="P296">
        <v>111</v>
      </c>
      <c r="Q296" t="s">
        <v>11</v>
      </c>
      <c r="R296" s="2">
        <v>7.1527777777777773E-2</v>
      </c>
      <c r="S296">
        <v>103</v>
      </c>
      <c r="T296">
        <v>32.06</v>
      </c>
      <c r="U296">
        <v>0</v>
      </c>
      <c r="V296">
        <v>0.45</v>
      </c>
      <c r="W296">
        <v>0.14399999999999999</v>
      </c>
    </row>
    <row r="297" spans="1:23" x14ac:dyDescent="0.3">
      <c r="A297" t="s">
        <v>898</v>
      </c>
      <c r="B297" s="1">
        <v>45216</v>
      </c>
      <c r="C297" s="2">
        <v>0.90277777777777779</v>
      </c>
      <c r="D297" t="s">
        <v>929</v>
      </c>
      <c r="E297">
        <v>20</v>
      </c>
      <c r="F297" t="s">
        <v>812</v>
      </c>
      <c r="G297" t="s">
        <v>929</v>
      </c>
      <c r="H297" t="s">
        <v>51</v>
      </c>
      <c r="I297">
        <v>-4.2408359999999998</v>
      </c>
      <c r="J297">
        <v>26.210014000000001</v>
      </c>
      <c r="K297" t="s">
        <v>1498</v>
      </c>
      <c r="L297" t="s">
        <v>1499</v>
      </c>
      <c r="M297" t="s">
        <v>116</v>
      </c>
      <c r="N297" t="s">
        <v>51</v>
      </c>
      <c r="O297" t="s">
        <v>1803</v>
      </c>
      <c r="P297">
        <v>12</v>
      </c>
      <c r="Q297" t="s">
        <v>11</v>
      </c>
      <c r="R297" s="2">
        <v>0.14444444444444443</v>
      </c>
      <c r="S297">
        <v>208</v>
      </c>
      <c r="T297">
        <v>16.29</v>
      </c>
      <c r="U297">
        <v>4</v>
      </c>
      <c r="V297">
        <v>0.45</v>
      </c>
      <c r="W297">
        <v>7.2999999999999995E-2</v>
      </c>
    </row>
    <row r="298" spans="1:23" x14ac:dyDescent="0.3">
      <c r="A298" t="s">
        <v>898</v>
      </c>
      <c r="B298" s="1">
        <v>45216</v>
      </c>
      <c r="C298" s="2">
        <v>0.90277777777777779</v>
      </c>
      <c r="D298" t="s">
        <v>929</v>
      </c>
      <c r="E298">
        <v>20</v>
      </c>
      <c r="F298" t="s">
        <v>812</v>
      </c>
      <c r="G298" t="s">
        <v>929</v>
      </c>
      <c r="H298" t="s">
        <v>51</v>
      </c>
      <c r="I298">
        <v>-4.2408359999999998</v>
      </c>
      <c r="J298">
        <v>26.210014000000001</v>
      </c>
      <c r="K298" t="s">
        <v>1498</v>
      </c>
      <c r="L298" t="s">
        <v>1499</v>
      </c>
      <c r="M298" t="s">
        <v>158</v>
      </c>
      <c r="N298" t="s">
        <v>51</v>
      </c>
      <c r="O298" t="s">
        <v>1801</v>
      </c>
      <c r="P298">
        <v>109</v>
      </c>
      <c r="Q298" t="s">
        <v>14</v>
      </c>
      <c r="R298" s="2">
        <v>0.33333333333333331</v>
      </c>
      <c r="S298">
        <v>480</v>
      </c>
      <c r="T298">
        <v>31.36</v>
      </c>
      <c r="U298">
        <v>0</v>
      </c>
      <c r="V298">
        <v>0.1</v>
      </c>
      <c r="W298">
        <v>3.1E-2</v>
      </c>
    </row>
    <row r="299" spans="1:23" x14ac:dyDescent="0.3">
      <c r="A299" t="s">
        <v>898</v>
      </c>
      <c r="B299" s="1">
        <v>45216</v>
      </c>
      <c r="C299" s="2">
        <v>0.90277777777777779</v>
      </c>
      <c r="D299" t="s">
        <v>929</v>
      </c>
      <c r="E299">
        <v>20</v>
      </c>
      <c r="F299" t="s">
        <v>812</v>
      </c>
      <c r="G299" t="s">
        <v>929</v>
      </c>
      <c r="H299" t="s">
        <v>51</v>
      </c>
      <c r="I299">
        <v>-4.2408359999999998</v>
      </c>
      <c r="J299">
        <v>26.210014000000001</v>
      </c>
      <c r="K299" t="s">
        <v>1498</v>
      </c>
      <c r="L299" t="s">
        <v>1499</v>
      </c>
      <c r="M299" t="s">
        <v>195</v>
      </c>
      <c r="N299" t="s">
        <v>51</v>
      </c>
      <c r="O299" t="s">
        <v>1816</v>
      </c>
      <c r="P299">
        <v>66</v>
      </c>
      <c r="Q299" t="s">
        <v>22</v>
      </c>
      <c r="R299" s="2">
        <v>0.26874999999999999</v>
      </c>
      <c r="S299">
        <v>387</v>
      </c>
      <c r="T299">
        <v>82.94</v>
      </c>
      <c r="U299">
        <v>3</v>
      </c>
      <c r="V299">
        <v>0.45</v>
      </c>
      <c r="W299">
        <v>0.373</v>
      </c>
    </row>
    <row r="300" spans="1:23" x14ac:dyDescent="0.3">
      <c r="A300" t="s">
        <v>898</v>
      </c>
      <c r="B300" s="1">
        <v>45216</v>
      </c>
      <c r="C300" s="2">
        <v>0.90277777777777779</v>
      </c>
      <c r="D300" t="s">
        <v>929</v>
      </c>
      <c r="E300">
        <v>20</v>
      </c>
      <c r="F300" t="s">
        <v>812</v>
      </c>
      <c r="G300" t="s">
        <v>929</v>
      </c>
      <c r="H300" t="s">
        <v>51</v>
      </c>
      <c r="I300">
        <v>-4.2408359999999998</v>
      </c>
      <c r="J300">
        <v>26.210014000000001</v>
      </c>
      <c r="K300" t="s">
        <v>1498</v>
      </c>
      <c r="L300" t="s">
        <v>1499</v>
      </c>
      <c r="M300" t="s">
        <v>259</v>
      </c>
      <c r="N300" t="s">
        <v>51</v>
      </c>
      <c r="O300" t="s">
        <v>1783</v>
      </c>
      <c r="P300">
        <v>51</v>
      </c>
      <c r="Q300" t="s">
        <v>14</v>
      </c>
      <c r="R300" s="2">
        <v>0.23333333333333334</v>
      </c>
      <c r="S300">
        <v>336</v>
      </c>
      <c r="T300">
        <v>65.47</v>
      </c>
      <c r="U300">
        <v>1</v>
      </c>
      <c r="V300">
        <v>0.1</v>
      </c>
      <c r="W300">
        <v>6.5000000000000002E-2</v>
      </c>
    </row>
    <row r="301" spans="1:23" x14ac:dyDescent="0.3">
      <c r="A301" t="s">
        <v>898</v>
      </c>
      <c r="B301" s="1">
        <v>45216</v>
      </c>
      <c r="C301" s="2">
        <v>0.90277777777777779</v>
      </c>
      <c r="D301" t="s">
        <v>929</v>
      </c>
      <c r="E301">
        <v>20</v>
      </c>
      <c r="F301" t="s">
        <v>812</v>
      </c>
      <c r="G301" t="s">
        <v>929</v>
      </c>
      <c r="H301" t="s">
        <v>51</v>
      </c>
      <c r="I301">
        <v>-4.2408359999999998</v>
      </c>
      <c r="J301">
        <v>26.210014000000001</v>
      </c>
      <c r="K301" t="s">
        <v>1498</v>
      </c>
      <c r="L301" t="s">
        <v>1499</v>
      </c>
      <c r="M301" t="s">
        <v>279</v>
      </c>
      <c r="N301" t="s">
        <v>51</v>
      </c>
      <c r="O301" t="s">
        <v>1807</v>
      </c>
      <c r="P301">
        <v>57</v>
      </c>
      <c r="Q301" t="s">
        <v>22</v>
      </c>
      <c r="R301" s="2">
        <v>0.30208333333333331</v>
      </c>
      <c r="S301">
        <v>435</v>
      </c>
      <c r="T301">
        <v>56.88</v>
      </c>
      <c r="U301">
        <v>4</v>
      </c>
      <c r="V301">
        <v>0.45</v>
      </c>
      <c r="W301">
        <v>0.25600000000000001</v>
      </c>
    </row>
    <row r="302" spans="1:23" x14ac:dyDescent="0.3">
      <c r="A302" t="s">
        <v>898</v>
      </c>
      <c r="B302" s="1">
        <v>45216</v>
      </c>
      <c r="C302" s="2">
        <v>0.90277777777777779</v>
      </c>
      <c r="D302" t="s">
        <v>929</v>
      </c>
      <c r="E302">
        <v>20</v>
      </c>
      <c r="F302" t="s">
        <v>812</v>
      </c>
      <c r="G302" t="s">
        <v>929</v>
      </c>
      <c r="H302" t="s">
        <v>51</v>
      </c>
      <c r="I302">
        <v>-4.2408359999999998</v>
      </c>
      <c r="J302">
        <v>26.210014000000001</v>
      </c>
      <c r="K302" t="s">
        <v>1498</v>
      </c>
      <c r="L302" t="s">
        <v>1499</v>
      </c>
      <c r="M302" t="s">
        <v>283</v>
      </c>
      <c r="N302" t="s">
        <v>51</v>
      </c>
      <c r="O302" t="s">
        <v>1721</v>
      </c>
      <c r="P302">
        <v>36</v>
      </c>
      <c r="Q302" t="s">
        <v>19</v>
      </c>
      <c r="R302" s="2">
        <v>0.34097222222222223</v>
      </c>
      <c r="S302">
        <v>491</v>
      </c>
      <c r="T302">
        <v>12.13</v>
      </c>
      <c r="U302">
        <v>4</v>
      </c>
      <c r="V302">
        <v>0.45</v>
      </c>
      <c r="W302">
        <v>5.5E-2</v>
      </c>
    </row>
    <row r="303" spans="1:23" x14ac:dyDescent="0.3">
      <c r="A303" t="s">
        <v>898</v>
      </c>
      <c r="B303" s="1">
        <v>45216</v>
      </c>
      <c r="C303" s="2">
        <v>0.90277777777777779</v>
      </c>
      <c r="D303" t="s">
        <v>929</v>
      </c>
      <c r="E303">
        <v>20</v>
      </c>
      <c r="F303" t="s">
        <v>812</v>
      </c>
      <c r="G303" t="s">
        <v>929</v>
      </c>
      <c r="H303" t="s">
        <v>51</v>
      </c>
      <c r="I303">
        <v>-4.2408359999999998</v>
      </c>
      <c r="J303">
        <v>26.210014000000001</v>
      </c>
      <c r="K303" t="s">
        <v>1498</v>
      </c>
      <c r="L303" t="s">
        <v>1499</v>
      </c>
      <c r="M303" t="s">
        <v>372</v>
      </c>
      <c r="N303" t="s">
        <v>51</v>
      </c>
      <c r="O303" t="s">
        <v>1764</v>
      </c>
      <c r="P303">
        <v>108</v>
      </c>
      <c r="Q303" t="s">
        <v>22</v>
      </c>
      <c r="R303" s="2">
        <v>8.5416666666666669E-2</v>
      </c>
      <c r="S303">
        <v>123</v>
      </c>
      <c r="T303">
        <v>83.1</v>
      </c>
      <c r="U303">
        <v>1</v>
      </c>
      <c r="V303">
        <v>0.45</v>
      </c>
      <c r="W303">
        <v>0.374</v>
      </c>
    </row>
    <row r="304" spans="1:23" x14ac:dyDescent="0.3">
      <c r="A304" t="s">
        <v>898</v>
      </c>
      <c r="B304" s="1">
        <v>45216</v>
      </c>
      <c r="C304" s="2">
        <v>0.90277777777777779</v>
      </c>
      <c r="D304" t="s">
        <v>929</v>
      </c>
      <c r="E304">
        <v>20</v>
      </c>
      <c r="F304" t="s">
        <v>812</v>
      </c>
      <c r="G304" t="s">
        <v>929</v>
      </c>
      <c r="H304" t="s">
        <v>51</v>
      </c>
      <c r="I304">
        <v>-4.2408359999999998</v>
      </c>
      <c r="J304">
        <v>26.210014000000001</v>
      </c>
      <c r="K304" t="s">
        <v>1498</v>
      </c>
      <c r="L304" t="s">
        <v>1499</v>
      </c>
      <c r="M304" t="s">
        <v>375</v>
      </c>
      <c r="N304" t="s">
        <v>51</v>
      </c>
      <c r="O304" t="s">
        <v>1811</v>
      </c>
      <c r="P304">
        <v>88</v>
      </c>
      <c r="Q304" t="s">
        <v>22</v>
      </c>
      <c r="R304" s="2">
        <v>0.10694444444444444</v>
      </c>
      <c r="S304">
        <v>154</v>
      </c>
      <c r="T304">
        <v>62.62</v>
      </c>
      <c r="U304">
        <v>5</v>
      </c>
      <c r="V304">
        <v>0.45</v>
      </c>
      <c r="W304">
        <v>0.28199999999999997</v>
      </c>
    </row>
    <row r="305" spans="1:23" x14ac:dyDescent="0.3">
      <c r="A305" t="s">
        <v>898</v>
      </c>
      <c r="B305" s="1">
        <v>45216</v>
      </c>
      <c r="C305" s="2">
        <v>0.90277777777777779</v>
      </c>
      <c r="D305" t="s">
        <v>929</v>
      </c>
      <c r="E305">
        <v>20</v>
      </c>
      <c r="F305" t="s">
        <v>812</v>
      </c>
      <c r="G305" t="s">
        <v>929</v>
      </c>
      <c r="H305" t="s">
        <v>51</v>
      </c>
      <c r="I305">
        <v>-4.2408359999999998</v>
      </c>
      <c r="J305">
        <v>26.210014000000001</v>
      </c>
      <c r="K305" t="s">
        <v>1498</v>
      </c>
      <c r="L305" t="s">
        <v>1499</v>
      </c>
      <c r="M305" t="s">
        <v>382</v>
      </c>
      <c r="N305" t="s">
        <v>51</v>
      </c>
      <c r="O305" t="s">
        <v>1747</v>
      </c>
      <c r="P305">
        <v>86</v>
      </c>
      <c r="Q305" t="s">
        <v>14</v>
      </c>
      <c r="R305" s="2">
        <v>0.13333333333333333</v>
      </c>
      <c r="S305">
        <v>192</v>
      </c>
      <c r="T305">
        <v>26.26</v>
      </c>
      <c r="U305">
        <v>1</v>
      </c>
      <c r="V305">
        <v>0.1</v>
      </c>
      <c r="W305">
        <v>2.5999999999999999E-2</v>
      </c>
    </row>
    <row r="306" spans="1:23" x14ac:dyDescent="0.3">
      <c r="A306" t="s">
        <v>898</v>
      </c>
      <c r="B306" s="1">
        <v>45216</v>
      </c>
      <c r="C306" s="2">
        <v>0.90277777777777779</v>
      </c>
      <c r="D306" t="s">
        <v>929</v>
      </c>
      <c r="E306">
        <v>20</v>
      </c>
      <c r="F306" t="s">
        <v>812</v>
      </c>
      <c r="G306" t="s">
        <v>929</v>
      </c>
      <c r="H306" t="s">
        <v>51</v>
      </c>
      <c r="I306">
        <v>-4.2408359999999998</v>
      </c>
      <c r="J306">
        <v>26.210014000000001</v>
      </c>
      <c r="K306" t="s">
        <v>1498</v>
      </c>
      <c r="L306" t="s">
        <v>1499</v>
      </c>
      <c r="M306" t="s">
        <v>435</v>
      </c>
      <c r="N306" t="s">
        <v>51</v>
      </c>
      <c r="O306" t="s">
        <v>1776</v>
      </c>
      <c r="P306">
        <v>7</v>
      </c>
      <c r="Q306" t="s">
        <v>14</v>
      </c>
      <c r="R306" s="2">
        <v>0.24097222222222223</v>
      </c>
      <c r="S306">
        <v>347</v>
      </c>
      <c r="T306">
        <v>41.84</v>
      </c>
      <c r="U306">
        <v>2</v>
      </c>
      <c r="V306">
        <v>0.1</v>
      </c>
      <c r="W306">
        <v>4.2000000000000003E-2</v>
      </c>
    </row>
    <row r="307" spans="1:23" x14ac:dyDescent="0.3">
      <c r="A307" t="s">
        <v>898</v>
      </c>
      <c r="B307" s="1">
        <v>45216</v>
      </c>
      <c r="C307" s="2">
        <v>0.90277777777777779</v>
      </c>
      <c r="D307" t="s">
        <v>929</v>
      </c>
      <c r="E307">
        <v>20</v>
      </c>
      <c r="F307" t="s">
        <v>812</v>
      </c>
      <c r="G307" t="s">
        <v>929</v>
      </c>
      <c r="H307" t="s">
        <v>51</v>
      </c>
      <c r="I307">
        <v>-4.2408359999999998</v>
      </c>
      <c r="J307">
        <v>26.210014000000001</v>
      </c>
      <c r="K307" t="s">
        <v>1498</v>
      </c>
      <c r="L307" t="s">
        <v>1499</v>
      </c>
      <c r="M307" t="s">
        <v>437</v>
      </c>
      <c r="N307" t="s">
        <v>51</v>
      </c>
      <c r="O307" t="s">
        <v>1794</v>
      </c>
      <c r="P307">
        <v>41</v>
      </c>
      <c r="Q307" t="s">
        <v>19</v>
      </c>
      <c r="R307" s="2">
        <v>0.2951388888888889</v>
      </c>
      <c r="S307">
        <v>425</v>
      </c>
      <c r="T307">
        <v>42.33</v>
      </c>
      <c r="U307">
        <v>3</v>
      </c>
      <c r="V307">
        <v>0.45</v>
      </c>
      <c r="W307">
        <v>0.19</v>
      </c>
    </row>
    <row r="308" spans="1:23" x14ac:dyDescent="0.3">
      <c r="A308" t="s">
        <v>898</v>
      </c>
      <c r="B308" s="1">
        <v>45216</v>
      </c>
      <c r="C308" s="2">
        <v>0.90277777777777779</v>
      </c>
      <c r="D308" t="s">
        <v>929</v>
      </c>
      <c r="E308">
        <v>20</v>
      </c>
      <c r="F308" t="s">
        <v>812</v>
      </c>
      <c r="G308" t="s">
        <v>929</v>
      </c>
      <c r="H308" t="s">
        <v>51</v>
      </c>
      <c r="I308">
        <v>-4.2408359999999998</v>
      </c>
      <c r="J308">
        <v>26.210014000000001</v>
      </c>
      <c r="K308" t="s">
        <v>1498</v>
      </c>
      <c r="L308" t="s">
        <v>1499</v>
      </c>
      <c r="M308" t="s">
        <v>445</v>
      </c>
      <c r="N308" t="s">
        <v>51</v>
      </c>
      <c r="O308" t="s">
        <v>1713</v>
      </c>
      <c r="P308">
        <v>83</v>
      </c>
      <c r="Q308" t="s">
        <v>11</v>
      </c>
      <c r="R308" s="2">
        <v>7.2916666666666671E-2</v>
      </c>
      <c r="S308">
        <v>105</v>
      </c>
      <c r="T308">
        <v>20.46</v>
      </c>
      <c r="U308">
        <v>1</v>
      </c>
      <c r="V308">
        <v>0.45</v>
      </c>
      <c r="W308">
        <v>9.1999999999999998E-2</v>
      </c>
    </row>
    <row r="309" spans="1:23" x14ac:dyDescent="0.3">
      <c r="A309" t="s">
        <v>898</v>
      </c>
      <c r="B309" s="1">
        <v>45216</v>
      </c>
      <c r="C309" s="2">
        <v>0.90277777777777779</v>
      </c>
      <c r="D309" t="s">
        <v>929</v>
      </c>
      <c r="E309">
        <v>20</v>
      </c>
      <c r="F309" t="s">
        <v>812</v>
      </c>
      <c r="G309" t="s">
        <v>929</v>
      </c>
      <c r="H309" t="s">
        <v>51</v>
      </c>
      <c r="I309">
        <v>-4.2408359999999998</v>
      </c>
      <c r="J309">
        <v>26.210014000000001</v>
      </c>
      <c r="K309" t="s">
        <v>1498</v>
      </c>
      <c r="L309" t="s">
        <v>1499</v>
      </c>
      <c r="M309" t="s">
        <v>456</v>
      </c>
      <c r="N309" t="s">
        <v>51</v>
      </c>
      <c r="O309" t="s">
        <v>1794</v>
      </c>
      <c r="P309">
        <v>41</v>
      </c>
      <c r="Q309" t="s">
        <v>22</v>
      </c>
      <c r="R309" s="2">
        <v>0.28055555555555556</v>
      </c>
      <c r="S309">
        <v>404</v>
      </c>
      <c r="T309">
        <v>98.67</v>
      </c>
      <c r="U309">
        <v>5</v>
      </c>
      <c r="V309">
        <v>0.45</v>
      </c>
      <c r="W309">
        <v>0.44400000000000001</v>
      </c>
    </row>
    <row r="310" spans="1:23" x14ac:dyDescent="0.3">
      <c r="A310" t="s">
        <v>898</v>
      </c>
      <c r="B310" s="1">
        <v>45216</v>
      </c>
      <c r="C310" s="2">
        <v>0.90277777777777779</v>
      </c>
      <c r="D310" t="s">
        <v>929</v>
      </c>
      <c r="E310">
        <v>20</v>
      </c>
      <c r="F310" t="s">
        <v>812</v>
      </c>
      <c r="G310" t="s">
        <v>929</v>
      </c>
      <c r="H310" t="s">
        <v>51</v>
      </c>
      <c r="I310">
        <v>-4.2408359999999998</v>
      </c>
      <c r="J310">
        <v>26.210014000000001</v>
      </c>
      <c r="K310" t="s">
        <v>1498</v>
      </c>
      <c r="L310" t="s">
        <v>1499</v>
      </c>
      <c r="M310" t="s">
        <v>468</v>
      </c>
      <c r="N310" t="s">
        <v>51</v>
      </c>
      <c r="O310" t="s">
        <v>1799</v>
      </c>
      <c r="P310">
        <v>61</v>
      </c>
      <c r="Q310" t="s">
        <v>14</v>
      </c>
      <c r="R310" s="2">
        <v>0.25138888888888888</v>
      </c>
      <c r="S310">
        <v>362</v>
      </c>
      <c r="T310">
        <v>75.03</v>
      </c>
      <c r="U310">
        <v>0</v>
      </c>
      <c r="V310">
        <v>0.1</v>
      </c>
      <c r="W310">
        <v>7.4999999999999997E-2</v>
      </c>
    </row>
    <row r="311" spans="1:23" x14ac:dyDescent="0.3">
      <c r="A311" t="s">
        <v>898</v>
      </c>
      <c r="B311" s="1">
        <v>45216</v>
      </c>
      <c r="C311" s="2">
        <v>0.90277777777777779</v>
      </c>
      <c r="D311" t="s">
        <v>929</v>
      </c>
      <c r="E311">
        <v>20</v>
      </c>
      <c r="F311" t="s">
        <v>812</v>
      </c>
      <c r="G311" t="s">
        <v>929</v>
      </c>
      <c r="H311" t="s">
        <v>51</v>
      </c>
      <c r="I311">
        <v>-4.2408359999999998</v>
      </c>
      <c r="J311">
        <v>26.210014000000001</v>
      </c>
      <c r="K311" t="s">
        <v>1498</v>
      </c>
      <c r="L311" t="s">
        <v>1499</v>
      </c>
      <c r="M311" t="s">
        <v>501</v>
      </c>
      <c r="N311" t="s">
        <v>51</v>
      </c>
      <c r="O311" t="s">
        <v>1792</v>
      </c>
      <c r="P311">
        <v>20</v>
      </c>
      <c r="Q311" t="s">
        <v>22</v>
      </c>
      <c r="R311" s="2">
        <v>0.15069444444444444</v>
      </c>
      <c r="S311">
        <v>217</v>
      </c>
      <c r="T311">
        <v>55.3</v>
      </c>
      <c r="U311">
        <v>4</v>
      </c>
      <c r="V311">
        <v>0.45</v>
      </c>
      <c r="W311">
        <v>0.249</v>
      </c>
    </row>
    <row r="312" spans="1:23" x14ac:dyDescent="0.3">
      <c r="A312" t="s">
        <v>898</v>
      </c>
      <c r="B312" s="1">
        <v>45216</v>
      </c>
      <c r="C312" s="2">
        <v>0.90277777777777779</v>
      </c>
      <c r="D312" t="s">
        <v>929</v>
      </c>
      <c r="E312">
        <v>20</v>
      </c>
      <c r="F312" t="s">
        <v>812</v>
      </c>
      <c r="G312" t="s">
        <v>929</v>
      </c>
      <c r="H312" t="s">
        <v>51</v>
      </c>
      <c r="I312">
        <v>-4.2408359999999998</v>
      </c>
      <c r="J312">
        <v>26.210014000000001</v>
      </c>
      <c r="K312" t="s">
        <v>1498</v>
      </c>
      <c r="L312" t="s">
        <v>1499</v>
      </c>
      <c r="M312" t="s">
        <v>504</v>
      </c>
      <c r="N312" t="s">
        <v>51</v>
      </c>
      <c r="O312" t="s">
        <v>1811</v>
      </c>
      <c r="P312">
        <v>88</v>
      </c>
      <c r="Q312" t="s">
        <v>11</v>
      </c>
      <c r="R312" s="2">
        <v>0.24930555555555556</v>
      </c>
      <c r="S312">
        <v>359</v>
      </c>
      <c r="T312">
        <v>71.19</v>
      </c>
      <c r="U312">
        <v>3</v>
      </c>
      <c r="V312">
        <v>0.45</v>
      </c>
      <c r="W312">
        <v>0.32</v>
      </c>
    </row>
    <row r="313" spans="1:23" x14ac:dyDescent="0.3">
      <c r="A313" t="s">
        <v>898</v>
      </c>
      <c r="B313" s="1">
        <v>45216</v>
      </c>
      <c r="C313" s="2">
        <v>0.90277777777777779</v>
      </c>
      <c r="D313" t="s">
        <v>929</v>
      </c>
      <c r="E313">
        <v>20</v>
      </c>
      <c r="F313" t="s">
        <v>812</v>
      </c>
      <c r="G313" t="s">
        <v>929</v>
      </c>
      <c r="H313" t="s">
        <v>51</v>
      </c>
      <c r="I313">
        <v>-4.2408359999999998</v>
      </c>
      <c r="J313">
        <v>26.210014000000001</v>
      </c>
      <c r="K313" t="s">
        <v>1498</v>
      </c>
      <c r="L313" t="s">
        <v>1499</v>
      </c>
      <c r="M313" t="s">
        <v>507</v>
      </c>
      <c r="N313" t="s">
        <v>51</v>
      </c>
      <c r="O313" t="s">
        <v>1760</v>
      </c>
      <c r="P313">
        <v>105</v>
      </c>
      <c r="Q313" t="s">
        <v>14</v>
      </c>
      <c r="R313" s="2">
        <v>0.20624999999999999</v>
      </c>
      <c r="S313">
        <v>297</v>
      </c>
      <c r="T313">
        <v>84.66</v>
      </c>
      <c r="U313">
        <v>2</v>
      </c>
      <c r="V313">
        <v>0.1</v>
      </c>
      <c r="W313">
        <v>8.5000000000000006E-2</v>
      </c>
    </row>
    <row r="314" spans="1:23" x14ac:dyDescent="0.3">
      <c r="A314" t="s">
        <v>898</v>
      </c>
      <c r="B314" s="1">
        <v>45216</v>
      </c>
      <c r="C314" s="2">
        <v>0.90277777777777779</v>
      </c>
      <c r="D314" t="s">
        <v>929</v>
      </c>
      <c r="E314">
        <v>20</v>
      </c>
      <c r="F314" t="s">
        <v>812</v>
      </c>
      <c r="G314" t="s">
        <v>929</v>
      </c>
      <c r="H314" t="s">
        <v>51</v>
      </c>
      <c r="I314">
        <v>-4.2408359999999998</v>
      </c>
      <c r="J314">
        <v>26.210014000000001</v>
      </c>
      <c r="K314" t="s">
        <v>1498</v>
      </c>
      <c r="L314" t="s">
        <v>1499</v>
      </c>
      <c r="M314" t="s">
        <v>526</v>
      </c>
      <c r="N314" t="s">
        <v>51</v>
      </c>
      <c r="O314" t="s">
        <v>1743</v>
      </c>
      <c r="P314">
        <v>111</v>
      </c>
      <c r="Q314" t="s">
        <v>19</v>
      </c>
      <c r="R314" s="2">
        <v>5.2777777777777778E-2</v>
      </c>
      <c r="S314">
        <v>76</v>
      </c>
      <c r="T314">
        <v>38.19</v>
      </c>
      <c r="U314">
        <v>5</v>
      </c>
      <c r="V314">
        <v>0.45</v>
      </c>
      <c r="W314">
        <v>0.17199999999999999</v>
      </c>
    </row>
    <row r="315" spans="1:23" x14ac:dyDescent="0.3">
      <c r="A315" t="s">
        <v>898</v>
      </c>
      <c r="B315" s="1">
        <v>45216</v>
      </c>
      <c r="C315" s="2">
        <v>0.90277777777777779</v>
      </c>
      <c r="D315" t="s">
        <v>929</v>
      </c>
      <c r="E315">
        <v>20</v>
      </c>
      <c r="F315" t="s">
        <v>812</v>
      </c>
      <c r="G315" t="s">
        <v>929</v>
      </c>
      <c r="H315" t="s">
        <v>51</v>
      </c>
      <c r="I315">
        <v>-4.2408359999999998</v>
      </c>
      <c r="J315">
        <v>26.210014000000001</v>
      </c>
      <c r="K315" t="s">
        <v>1498</v>
      </c>
      <c r="L315" t="s">
        <v>1499</v>
      </c>
      <c r="M315" t="s">
        <v>529</v>
      </c>
      <c r="N315" t="s">
        <v>51</v>
      </c>
      <c r="O315" t="s">
        <v>1817</v>
      </c>
      <c r="P315">
        <v>100</v>
      </c>
      <c r="Q315" t="s">
        <v>22</v>
      </c>
      <c r="R315" s="2">
        <v>0.16666666666666666</v>
      </c>
      <c r="S315">
        <v>240</v>
      </c>
      <c r="T315">
        <v>24.83</v>
      </c>
      <c r="U315">
        <v>4</v>
      </c>
      <c r="V315">
        <v>0.45</v>
      </c>
      <c r="W315">
        <v>0.112</v>
      </c>
    </row>
    <row r="316" spans="1:23" x14ac:dyDescent="0.3">
      <c r="A316" t="s">
        <v>898</v>
      </c>
      <c r="B316" s="1">
        <v>45216</v>
      </c>
      <c r="C316" s="2">
        <v>0.90277777777777779</v>
      </c>
      <c r="D316" t="s">
        <v>929</v>
      </c>
      <c r="E316">
        <v>20</v>
      </c>
      <c r="F316" t="s">
        <v>812</v>
      </c>
      <c r="G316" t="s">
        <v>929</v>
      </c>
      <c r="H316" t="s">
        <v>51</v>
      </c>
      <c r="I316">
        <v>-4.2408359999999998</v>
      </c>
      <c r="J316">
        <v>26.210014000000001</v>
      </c>
      <c r="K316" t="s">
        <v>1498</v>
      </c>
      <c r="L316" t="s">
        <v>1499</v>
      </c>
      <c r="M316" t="s">
        <v>531</v>
      </c>
      <c r="N316" t="s">
        <v>51</v>
      </c>
      <c r="O316" t="s">
        <v>1774</v>
      </c>
      <c r="P316">
        <v>19</v>
      </c>
      <c r="Q316" t="s">
        <v>19</v>
      </c>
      <c r="R316" s="2">
        <v>4.9305555555555554E-2</v>
      </c>
      <c r="S316">
        <v>71</v>
      </c>
      <c r="T316">
        <v>68.2</v>
      </c>
      <c r="U316">
        <v>0</v>
      </c>
      <c r="V316">
        <v>0.45</v>
      </c>
      <c r="W316">
        <v>0.307</v>
      </c>
    </row>
    <row r="317" spans="1:23" x14ac:dyDescent="0.3">
      <c r="A317" t="s">
        <v>898</v>
      </c>
      <c r="B317" s="1">
        <v>45216</v>
      </c>
      <c r="C317" s="2">
        <v>0.90277777777777779</v>
      </c>
      <c r="D317" t="s">
        <v>929</v>
      </c>
      <c r="E317">
        <v>20</v>
      </c>
      <c r="F317" t="s">
        <v>812</v>
      </c>
      <c r="G317" t="s">
        <v>929</v>
      </c>
      <c r="H317" t="s">
        <v>51</v>
      </c>
      <c r="I317">
        <v>-4.2408359999999998</v>
      </c>
      <c r="J317">
        <v>26.210014000000001</v>
      </c>
      <c r="K317" t="s">
        <v>1498</v>
      </c>
      <c r="L317" t="s">
        <v>1499</v>
      </c>
      <c r="M317" t="s">
        <v>537</v>
      </c>
      <c r="N317" t="s">
        <v>51</v>
      </c>
      <c r="O317" t="s">
        <v>1782</v>
      </c>
      <c r="P317">
        <v>102</v>
      </c>
      <c r="Q317" t="s">
        <v>22</v>
      </c>
      <c r="R317" s="2">
        <v>0.16666666666666666</v>
      </c>
      <c r="S317">
        <v>240</v>
      </c>
      <c r="T317">
        <v>12.52</v>
      </c>
      <c r="U317">
        <v>2</v>
      </c>
      <c r="V317">
        <v>0.45</v>
      </c>
      <c r="W317">
        <v>5.6000000000000001E-2</v>
      </c>
    </row>
    <row r="318" spans="1:23" x14ac:dyDescent="0.3">
      <c r="A318" t="s">
        <v>854</v>
      </c>
      <c r="B318" s="1">
        <v>45216</v>
      </c>
      <c r="C318" s="2">
        <v>0.67361111111111116</v>
      </c>
      <c r="D318" t="s">
        <v>881</v>
      </c>
      <c r="E318">
        <v>117</v>
      </c>
      <c r="F318" t="s">
        <v>807</v>
      </c>
      <c r="G318" t="s">
        <v>881</v>
      </c>
      <c r="H318" t="s">
        <v>31</v>
      </c>
      <c r="I318">
        <v>-12.141233</v>
      </c>
      <c r="J318">
        <v>15.179043999999999</v>
      </c>
      <c r="K318" t="s">
        <v>1495</v>
      </c>
      <c r="L318" t="s">
        <v>1496</v>
      </c>
      <c r="M318" t="s">
        <v>30</v>
      </c>
      <c r="N318" t="s">
        <v>31</v>
      </c>
      <c r="O318" t="s">
        <v>1734</v>
      </c>
      <c r="P318">
        <v>113</v>
      </c>
      <c r="Q318" t="s">
        <v>22</v>
      </c>
      <c r="R318" s="2">
        <v>0.2638888888888889</v>
      </c>
      <c r="S318">
        <v>380</v>
      </c>
      <c r="T318">
        <v>12.11</v>
      </c>
      <c r="U318">
        <v>0</v>
      </c>
      <c r="V318">
        <v>0.45</v>
      </c>
      <c r="W318">
        <v>5.3999999999999999E-2</v>
      </c>
    </row>
    <row r="319" spans="1:23" x14ac:dyDescent="0.3">
      <c r="A319" t="s">
        <v>854</v>
      </c>
      <c r="B319" s="1">
        <v>45216</v>
      </c>
      <c r="C319" s="2">
        <v>0.67361111111111116</v>
      </c>
      <c r="D319" t="s">
        <v>881</v>
      </c>
      <c r="E319">
        <v>117</v>
      </c>
      <c r="F319" t="s">
        <v>807</v>
      </c>
      <c r="G319" t="s">
        <v>881</v>
      </c>
      <c r="H319" t="s">
        <v>31</v>
      </c>
      <c r="I319">
        <v>-12.141233</v>
      </c>
      <c r="J319">
        <v>15.179043999999999</v>
      </c>
      <c r="K319" t="s">
        <v>1495</v>
      </c>
      <c r="L319" t="s">
        <v>1496</v>
      </c>
      <c r="M319" t="s">
        <v>48</v>
      </c>
      <c r="N319" t="s">
        <v>31</v>
      </c>
      <c r="O319" t="s">
        <v>1797</v>
      </c>
      <c r="P319">
        <v>91</v>
      </c>
      <c r="Q319" t="s">
        <v>14</v>
      </c>
      <c r="R319" s="2">
        <v>0.24861111111111112</v>
      </c>
      <c r="S319">
        <v>358</v>
      </c>
      <c r="T319">
        <v>21.14</v>
      </c>
      <c r="U319">
        <v>5</v>
      </c>
      <c r="V319">
        <v>0.1</v>
      </c>
      <c r="W319">
        <v>2.1000000000000001E-2</v>
      </c>
    </row>
    <row r="320" spans="1:23" x14ac:dyDescent="0.3">
      <c r="A320" t="s">
        <v>854</v>
      </c>
      <c r="B320" s="1">
        <v>45216</v>
      </c>
      <c r="C320" s="2">
        <v>0.67361111111111116</v>
      </c>
      <c r="D320" t="s">
        <v>881</v>
      </c>
      <c r="E320">
        <v>117</v>
      </c>
      <c r="F320" t="s">
        <v>807</v>
      </c>
      <c r="G320" t="s">
        <v>881</v>
      </c>
      <c r="H320" t="s">
        <v>31</v>
      </c>
      <c r="I320">
        <v>-12.141233</v>
      </c>
      <c r="J320">
        <v>15.179043999999999</v>
      </c>
      <c r="K320" t="s">
        <v>1495</v>
      </c>
      <c r="L320" t="s">
        <v>1496</v>
      </c>
      <c r="M320" t="s">
        <v>81</v>
      </c>
      <c r="N320" t="s">
        <v>31</v>
      </c>
      <c r="O320" t="s">
        <v>1818</v>
      </c>
      <c r="P320">
        <v>27</v>
      </c>
      <c r="Q320" t="s">
        <v>19</v>
      </c>
      <c r="R320" s="2">
        <v>0.19097222222222221</v>
      </c>
      <c r="S320">
        <v>275</v>
      </c>
      <c r="T320">
        <v>80.069999999999993</v>
      </c>
      <c r="U320">
        <v>1</v>
      </c>
      <c r="V320">
        <v>0.45</v>
      </c>
      <c r="W320">
        <v>0.36</v>
      </c>
    </row>
    <row r="321" spans="1:23" x14ac:dyDescent="0.3">
      <c r="A321" t="s">
        <v>854</v>
      </c>
      <c r="B321" s="1">
        <v>45216</v>
      </c>
      <c r="C321" s="2">
        <v>0.67361111111111116</v>
      </c>
      <c r="D321" t="s">
        <v>881</v>
      </c>
      <c r="E321">
        <v>117</v>
      </c>
      <c r="F321" t="s">
        <v>807</v>
      </c>
      <c r="G321" t="s">
        <v>881</v>
      </c>
      <c r="H321" t="s">
        <v>31</v>
      </c>
      <c r="I321">
        <v>-12.141233</v>
      </c>
      <c r="J321">
        <v>15.179043999999999</v>
      </c>
      <c r="K321" t="s">
        <v>1495</v>
      </c>
      <c r="L321" t="s">
        <v>1496</v>
      </c>
      <c r="M321" t="s">
        <v>134</v>
      </c>
      <c r="N321" t="s">
        <v>31</v>
      </c>
      <c r="O321" t="s">
        <v>1772</v>
      </c>
      <c r="P321">
        <v>11</v>
      </c>
      <c r="Q321" t="s">
        <v>19</v>
      </c>
      <c r="R321" s="2">
        <v>0.27916666666666667</v>
      </c>
      <c r="S321">
        <v>402</v>
      </c>
      <c r="T321">
        <v>69.599999999999994</v>
      </c>
      <c r="U321">
        <v>5</v>
      </c>
      <c r="V321">
        <v>0.45</v>
      </c>
      <c r="W321">
        <v>0.313</v>
      </c>
    </row>
    <row r="322" spans="1:23" x14ac:dyDescent="0.3">
      <c r="A322" t="s">
        <v>854</v>
      </c>
      <c r="B322" s="1">
        <v>45216</v>
      </c>
      <c r="C322" s="2">
        <v>0.67361111111111116</v>
      </c>
      <c r="D322" t="s">
        <v>881</v>
      </c>
      <c r="E322">
        <v>117</v>
      </c>
      <c r="F322" t="s">
        <v>807</v>
      </c>
      <c r="G322" t="s">
        <v>881</v>
      </c>
      <c r="H322" t="s">
        <v>31</v>
      </c>
      <c r="I322">
        <v>-12.141233</v>
      </c>
      <c r="J322">
        <v>15.179043999999999</v>
      </c>
      <c r="K322" t="s">
        <v>1495</v>
      </c>
      <c r="L322" t="s">
        <v>1496</v>
      </c>
      <c r="M322" t="s">
        <v>152</v>
      </c>
      <c r="N322" t="s">
        <v>31</v>
      </c>
      <c r="O322" t="s">
        <v>1740</v>
      </c>
      <c r="P322">
        <v>87</v>
      </c>
      <c r="Q322" t="s">
        <v>14</v>
      </c>
      <c r="R322" s="2">
        <v>0.3125</v>
      </c>
      <c r="S322">
        <v>450</v>
      </c>
      <c r="T322">
        <v>64.3</v>
      </c>
      <c r="U322">
        <v>2</v>
      </c>
      <c r="V322">
        <v>0.1</v>
      </c>
      <c r="W322">
        <v>6.4000000000000001E-2</v>
      </c>
    </row>
    <row r="323" spans="1:23" x14ac:dyDescent="0.3">
      <c r="A323" t="s">
        <v>854</v>
      </c>
      <c r="B323" s="1">
        <v>45216</v>
      </c>
      <c r="C323" s="2">
        <v>0.67361111111111116</v>
      </c>
      <c r="D323" t="s">
        <v>881</v>
      </c>
      <c r="E323">
        <v>117</v>
      </c>
      <c r="F323" t="s">
        <v>807</v>
      </c>
      <c r="G323" t="s">
        <v>881</v>
      </c>
      <c r="H323" t="s">
        <v>31</v>
      </c>
      <c r="I323">
        <v>-12.141233</v>
      </c>
      <c r="J323">
        <v>15.179043999999999</v>
      </c>
      <c r="K323" t="s">
        <v>1495</v>
      </c>
      <c r="L323" t="s">
        <v>1496</v>
      </c>
      <c r="M323" t="s">
        <v>171</v>
      </c>
      <c r="N323" t="s">
        <v>31</v>
      </c>
      <c r="O323" t="s">
        <v>1819</v>
      </c>
      <c r="P323">
        <v>93</v>
      </c>
      <c r="Q323" t="s">
        <v>19</v>
      </c>
      <c r="R323" s="2">
        <v>0.25347222222222221</v>
      </c>
      <c r="S323">
        <v>365</v>
      </c>
      <c r="T323">
        <v>72.319999999999993</v>
      </c>
      <c r="U323">
        <v>1</v>
      </c>
      <c r="V323">
        <v>0.45</v>
      </c>
      <c r="W323">
        <v>0.32500000000000001</v>
      </c>
    </row>
    <row r="324" spans="1:23" x14ac:dyDescent="0.3">
      <c r="A324" t="s">
        <v>854</v>
      </c>
      <c r="B324" s="1">
        <v>45216</v>
      </c>
      <c r="C324" s="2">
        <v>0.67361111111111116</v>
      </c>
      <c r="D324" t="s">
        <v>881</v>
      </c>
      <c r="E324">
        <v>117</v>
      </c>
      <c r="F324" t="s">
        <v>807</v>
      </c>
      <c r="G324" t="s">
        <v>881</v>
      </c>
      <c r="H324" t="s">
        <v>31</v>
      </c>
      <c r="I324">
        <v>-12.141233</v>
      </c>
      <c r="J324">
        <v>15.179043999999999</v>
      </c>
      <c r="K324" t="s">
        <v>1495</v>
      </c>
      <c r="L324" t="s">
        <v>1496</v>
      </c>
      <c r="M324" t="s">
        <v>191</v>
      </c>
      <c r="N324" t="s">
        <v>31</v>
      </c>
      <c r="O324" t="s">
        <v>1766</v>
      </c>
      <c r="P324">
        <v>97</v>
      </c>
      <c r="Q324" t="s">
        <v>19</v>
      </c>
      <c r="R324" s="2">
        <v>0.33611111111111114</v>
      </c>
      <c r="S324">
        <v>484</v>
      </c>
      <c r="T324">
        <v>61.98</v>
      </c>
      <c r="U324">
        <v>1</v>
      </c>
      <c r="V324">
        <v>0.45</v>
      </c>
      <c r="W324">
        <v>0.27900000000000003</v>
      </c>
    </row>
    <row r="325" spans="1:23" x14ac:dyDescent="0.3">
      <c r="A325" t="s">
        <v>854</v>
      </c>
      <c r="B325" s="1">
        <v>45216</v>
      </c>
      <c r="C325" s="2">
        <v>0.67361111111111116</v>
      </c>
      <c r="D325" t="s">
        <v>881</v>
      </c>
      <c r="E325">
        <v>117</v>
      </c>
      <c r="F325" t="s">
        <v>807</v>
      </c>
      <c r="G325" t="s">
        <v>881</v>
      </c>
      <c r="H325" t="s">
        <v>31</v>
      </c>
      <c r="I325">
        <v>-12.141233</v>
      </c>
      <c r="J325">
        <v>15.179043999999999</v>
      </c>
      <c r="K325" t="s">
        <v>1495</v>
      </c>
      <c r="L325" t="s">
        <v>1496</v>
      </c>
      <c r="M325" t="s">
        <v>206</v>
      </c>
      <c r="N325" t="s">
        <v>31</v>
      </c>
      <c r="O325" t="s">
        <v>1791</v>
      </c>
      <c r="P325">
        <v>62</v>
      </c>
      <c r="Q325" t="s">
        <v>11</v>
      </c>
      <c r="R325" s="2">
        <v>8.0555555555555561E-2</v>
      </c>
      <c r="S325">
        <v>116</v>
      </c>
      <c r="T325">
        <v>92.99</v>
      </c>
      <c r="U325">
        <v>5</v>
      </c>
      <c r="V325">
        <v>0.45</v>
      </c>
      <c r="W325">
        <v>0.41799999999999998</v>
      </c>
    </row>
    <row r="326" spans="1:23" x14ac:dyDescent="0.3">
      <c r="A326" t="s">
        <v>854</v>
      </c>
      <c r="B326" s="1">
        <v>45216</v>
      </c>
      <c r="C326" s="2">
        <v>0.67361111111111116</v>
      </c>
      <c r="D326" t="s">
        <v>881</v>
      </c>
      <c r="E326">
        <v>117</v>
      </c>
      <c r="F326" t="s">
        <v>807</v>
      </c>
      <c r="G326" t="s">
        <v>881</v>
      </c>
      <c r="H326" t="s">
        <v>31</v>
      </c>
      <c r="I326">
        <v>-12.141233</v>
      </c>
      <c r="J326">
        <v>15.179043999999999</v>
      </c>
      <c r="K326" t="s">
        <v>1495</v>
      </c>
      <c r="L326" t="s">
        <v>1496</v>
      </c>
      <c r="M326" t="s">
        <v>212</v>
      </c>
      <c r="N326" t="s">
        <v>31</v>
      </c>
      <c r="O326" t="s">
        <v>1814</v>
      </c>
      <c r="P326">
        <v>52</v>
      </c>
      <c r="Q326" t="s">
        <v>22</v>
      </c>
      <c r="R326" s="2">
        <v>8.2638888888888887E-2</v>
      </c>
      <c r="S326">
        <v>119</v>
      </c>
      <c r="T326">
        <v>64.709999999999994</v>
      </c>
      <c r="U326">
        <v>4</v>
      </c>
      <c r="V326">
        <v>0.45</v>
      </c>
      <c r="W326">
        <v>0.29099999999999998</v>
      </c>
    </row>
    <row r="327" spans="1:23" x14ac:dyDescent="0.3">
      <c r="A327" t="s">
        <v>854</v>
      </c>
      <c r="B327" s="1">
        <v>45216</v>
      </c>
      <c r="C327" s="2">
        <v>0.67361111111111116</v>
      </c>
      <c r="D327" t="s">
        <v>881</v>
      </c>
      <c r="E327">
        <v>117</v>
      </c>
      <c r="F327" t="s">
        <v>807</v>
      </c>
      <c r="G327" t="s">
        <v>881</v>
      </c>
      <c r="H327" t="s">
        <v>31</v>
      </c>
      <c r="I327">
        <v>-12.141233</v>
      </c>
      <c r="J327">
        <v>15.179043999999999</v>
      </c>
      <c r="K327" t="s">
        <v>1495</v>
      </c>
      <c r="L327" t="s">
        <v>1496</v>
      </c>
      <c r="M327" t="s">
        <v>236</v>
      </c>
      <c r="N327" t="s">
        <v>31</v>
      </c>
      <c r="O327" t="s">
        <v>1715</v>
      </c>
      <c r="P327">
        <v>48</v>
      </c>
      <c r="Q327" t="s">
        <v>19</v>
      </c>
      <c r="R327" s="2">
        <v>0.30277777777777776</v>
      </c>
      <c r="S327">
        <v>436</v>
      </c>
      <c r="T327">
        <v>15.17</v>
      </c>
      <c r="U327">
        <v>0</v>
      </c>
      <c r="V327">
        <v>0.45</v>
      </c>
      <c r="W327">
        <v>6.8000000000000005E-2</v>
      </c>
    </row>
    <row r="328" spans="1:23" x14ac:dyDescent="0.3">
      <c r="A328" t="s">
        <v>854</v>
      </c>
      <c r="B328" s="1">
        <v>45216</v>
      </c>
      <c r="C328" s="2">
        <v>0.67361111111111116</v>
      </c>
      <c r="D328" t="s">
        <v>881</v>
      </c>
      <c r="E328">
        <v>117</v>
      </c>
      <c r="F328" t="s">
        <v>807</v>
      </c>
      <c r="G328" t="s">
        <v>881</v>
      </c>
      <c r="H328" t="s">
        <v>31</v>
      </c>
      <c r="I328">
        <v>-12.141233</v>
      </c>
      <c r="J328">
        <v>15.179043999999999</v>
      </c>
      <c r="K328" t="s">
        <v>1495</v>
      </c>
      <c r="L328" t="s">
        <v>1496</v>
      </c>
      <c r="M328" t="s">
        <v>244</v>
      </c>
      <c r="N328" t="s">
        <v>31</v>
      </c>
      <c r="O328" t="s">
        <v>1763</v>
      </c>
      <c r="P328">
        <v>6</v>
      </c>
      <c r="Q328" t="s">
        <v>14</v>
      </c>
      <c r="R328" s="2">
        <v>7.5694444444444439E-2</v>
      </c>
      <c r="S328">
        <v>109</v>
      </c>
      <c r="T328">
        <v>39.880000000000003</v>
      </c>
      <c r="U328">
        <v>4</v>
      </c>
      <c r="V328">
        <v>0.1</v>
      </c>
      <c r="W328">
        <v>0.04</v>
      </c>
    </row>
    <row r="329" spans="1:23" x14ac:dyDescent="0.3">
      <c r="A329" t="s">
        <v>854</v>
      </c>
      <c r="B329" s="1">
        <v>45216</v>
      </c>
      <c r="C329" s="2">
        <v>0.67361111111111116</v>
      </c>
      <c r="D329" t="s">
        <v>881</v>
      </c>
      <c r="E329">
        <v>117</v>
      </c>
      <c r="F329" t="s">
        <v>807</v>
      </c>
      <c r="G329" t="s">
        <v>881</v>
      </c>
      <c r="H329" t="s">
        <v>31</v>
      </c>
      <c r="I329">
        <v>-12.141233</v>
      </c>
      <c r="J329">
        <v>15.179043999999999</v>
      </c>
      <c r="K329" t="s">
        <v>1495</v>
      </c>
      <c r="L329" t="s">
        <v>1496</v>
      </c>
      <c r="M329" t="s">
        <v>250</v>
      </c>
      <c r="N329" t="s">
        <v>31</v>
      </c>
      <c r="O329" t="s">
        <v>1740</v>
      </c>
      <c r="P329">
        <v>87</v>
      </c>
      <c r="Q329" t="s">
        <v>14</v>
      </c>
      <c r="R329" s="2">
        <v>0.1423611111111111</v>
      </c>
      <c r="S329">
        <v>205</v>
      </c>
      <c r="T329">
        <v>40.159999999999997</v>
      </c>
      <c r="U329">
        <v>5</v>
      </c>
      <c r="V329">
        <v>0.1</v>
      </c>
      <c r="W329">
        <v>0.04</v>
      </c>
    </row>
    <row r="330" spans="1:23" x14ac:dyDescent="0.3">
      <c r="A330" t="s">
        <v>854</v>
      </c>
      <c r="B330" s="1">
        <v>45216</v>
      </c>
      <c r="C330" s="2">
        <v>0.67361111111111116</v>
      </c>
      <c r="D330" t="s">
        <v>881</v>
      </c>
      <c r="E330">
        <v>117</v>
      </c>
      <c r="F330" t="s">
        <v>807</v>
      </c>
      <c r="G330" t="s">
        <v>881</v>
      </c>
      <c r="H330" t="s">
        <v>31</v>
      </c>
      <c r="I330">
        <v>-12.141233</v>
      </c>
      <c r="J330">
        <v>15.179043999999999</v>
      </c>
      <c r="K330" t="s">
        <v>1495</v>
      </c>
      <c r="L330" t="s">
        <v>1496</v>
      </c>
      <c r="M330" t="s">
        <v>295</v>
      </c>
      <c r="N330" t="s">
        <v>31</v>
      </c>
      <c r="O330" t="s">
        <v>1719</v>
      </c>
      <c r="P330">
        <v>50</v>
      </c>
      <c r="Q330" t="s">
        <v>14</v>
      </c>
      <c r="R330" s="2">
        <v>7.4999999999999997E-2</v>
      </c>
      <c r="S330">
        <v>108</v>
      </c>
      <c r="T330">
        <v>43.81</v>
      </c>
      <c r="U330">
        <v>5</v>
      </c>
      <c r="V330">
        <v>0.1</v>
      </c>
      <c r="W330">
        <v>4.3999999999999997E-2</v>
      </c>
    </row>
    <row r="331" spans="1:23" x14ac:dyDescent="0.3">
      <c r="A331" t="s">
        <v>854</v>
      </c>
      <c r="B331" s="1">
        <v>45216</v>
      </c>
      <c r="C331" s="2">
        <v>0.67361111111111116</v>
      </c>
      <c r="D331" t="s">
        <v>881</v>
      </c>
      <c r="E331">
        <v>117</v>
      </c>
      <c r="F331" t="s">
        <v>807</v>
      </c>
      <c r="G331" t="s">
        <v>881</v>
      </c>
      <c r="H331" t="s">
        <v>31</v>
      </c>
      <c r="I331">
        <v>-12.141233</v>
      </c>
      <c r="J331">
        <v>15.179043999999999</v>
      </c>
      <c r="K331" t="s">
        <v>1495</v>
      </c>
      <c r="L331" t="s">
        <v>1496</v>
      </c>
      <c r="M331" t="s">
        <v>308</v>
      </c>
      <c r="N331" t="s">
        <v>31</v>
      </c>
      <c r="O331" t="s">
        <v>1812</v>
      </c>
      <c r="P331">
        <v>21</v>
      </c>
      <c r="Q331" t="s">
        <v>14</v>
      </c>
      <c r="R331" s="2">
        <v>0.22222222222222221</v>
      </c>
      <c r="S331">
        <v>320</v>
      </c>
      <c r="T331">
        <v>64.97</v>
      </c>
      <c r="U331">
        <v>1</v>
      </c>
      <c r="V331">
        <v>0.1</v>
      </c>
      <c r="W331">
        <v>6.5000000000000002E-2</v>
      </c>
    </row>
    <row r="332" spans="1:23" x14ac:dyDescent="0.3">
      <c r="A332" t="s">
        <v>854</v>
      </c>
      <c r="B332" s="1">
        <v>45216</v>
      </c>
      <c r="C332" s="2">
        <v>0.67361111111111116</v>
      </c>
      <c r="D332" t="s">
        <v>881</v>
      </c>
      <c r="E332">
        <v>117</v>
      </c>
      <c r="F332" t="s">
        <v>807</v>
      </c>
      <c r="G332" t="s">
        <v>881</v>
      </c>
      <c r="H332" t="s">
        <v>31</v>
      </c>
      <c r="I332">
        <v>-12.141233</v>
      </c>
      <c r="J332">
        <v>15.179043999999999</v>
      </c>
      <c r="K332" t="s">
        <v>1495</v>
      </c>
      <c r="L332" t="s">
        <v>1496</v>
      </c>
      <c r="M332" t="s">
        <v>322</v>
      </c>
      <c r="N332" t="s">
        <v>31</v>
      </c>
      <c r="O332" t="s">
        <v>1756</v>
      </c>
      <c r="P332">
        <v>89</v>
      </c>
      <c r="Q332" t="s">
        <v>19</v>
      </c>
      <c r="R332" s="2">
        <v>0.12152777777777778</v>
      </c>
      <c r="S332">
        <v>175</v>
      </c>
      <c r="T332">
        <v>32.369999999999997</v>
      </c>
      <c r="U332">
        <v>1</v>
      </c>
      <c r="V332">
        <v>0.45</v>
      </c>
      <c r="W332">
        <v>0.14599999999999999</v>
      </c>
    </row>
    <row r="333" spans="1:23" x14ac:dyDescent="0.3">
      <c r="A333" t="s">
        <v>854</v>
      </c>
      <c r="B333" s="1">
        <v>45216</v>
      </c>
      <c r="C333" s="2">
        <v>0.67361111111111116</v>
      </c>
      <c r="D333" t="s">
        <v>881</v>
      </c>
      <c r="E333">
        <v>117</v>
      </c>
      <c r="F333" t="s">
        <v>807</v>
      </c>
      <c r="G333" t="s">
        <v>881</v>
      </c>
      <c r="H333" t="s">
        <v>31</v>
      </c>
      <c r="I333">
        <v>-12.141233</v>
      </c>
      <c r="J333">
        <v>15.179043999999999</v>
      </c>
      <c r="K333" t="s">
        <v>1495</v>
      </c>
      <c r="L333" t="s">
        <v>1496</v>
      </c>
      <c r="M333" t="s">
        <v>353</v>
      </c>
      <c r="N333" t="s">
        <v>31</v>
      </c>
      <c r="O333" t="s">
        <v>1740</v>
      </c>
      <c r="P333">
        <v>87</v>
      </c>
      <c r="Q333" t="s">
        <v>22</v>
      </c>
      <c r="R333" s="2">
        <v>0.34583333333333333</v>
      </c>
      <c r="S333">
        <v>498</v>
      </c>
      <c r="T333">
        <v>61.57</v>
      </c>
      <c r="U333">
        <v>0</v>
      </c>
      <c r="V333">
        <v>0.45</v>
      </c>
      <c r="W333">
        <v>0.27700000000000002</v>
      </c>
    </row>
    <row r="334" spans="1:23" x14ac:dyDescent="0.3">
      <c r="A334" t="s">
        <v>854</v>
      </c>
      <c r="B334" s="1">
        <v>45216</v>
      </c>
      <c r="C334" s="2">
        <v>0.67361111111111116</v>
      </c>
      <c r="D334" t="s">
        <v>881</v>
      </c>
      <c r="E334">
        <v>117</v>
      </c>
      <c r="F334" t="s">
        <v>807</v>
      </c>
      <c r="G334" t="s">
        <v>881</v>
      </c>
      <c r="H334" t="s">
        <v>31</v>
      </c>
      <c r="I334">
        <v>-12.141233</v>
      </c>
      <c r="J334">
        <v>15.179043999999999</v>
      </c>
      <c r="K334" t="s">
        <v>1495</v>
      </c>
      <c r="L334" t="s">
        <v>1496</v>
      </c>
      <c r="M334" t="s">
        <v>422</v>
      </c>
      <c r="N334" t="s">
        <v>31</v>
      </c>
      <c r="O334" t="s">
        <v>1718</v>
      </c>
      <c r="P334">
        <v>63</v>
      </c>
      <c r="Q334" t="s">
        <v>19</v>
      </c>
      <c r="R334" s="2">
        <v>0.18263888888888888</v>
      </c>
      <c r="S334">
        <v>263</v>
      </c>
      <c r="T334">
        <v>53.87</v>
      </c>
      <c r="U334">
        <v>4</v>
      </c>
      <c r="V334">
        <v>0.45</v>
      </c>
      <c r="W334">
        <v>0.24199999999999999</v>
      </c>
    </row>
    <row r="335" spans="1:23" x14ac:dyDescent="0.3">
      <c r="A335" t="s">
        <v>854</v>
      </c>
      <c r="B335" s="1">
        <v>45216</v>
      </c>
      <c r="C335" s="2">
        <v>0.67361111111111116</v>
      </c>
      <c r="D335" t="s">
        <v>881</v>
      </c>
      <c r="E335">
        <v>117</v>
      </c>
      <c r="F335" t="s">
        <v>807</v>
      </c>
      <c r="G335" t="s">
        <v>881</v>
      </c>
      <c r="H335" t="s">
        <v>31</v>
      </c>
      <c r="I335">
        <v>-12.141233</v>
      </c>
      <c r="J335">
        <v>15.179043999999999</v>
      </c>
      <c r="K335" t="s">
        <v>1495</v>
      </c>
      <c r="L335" t="s">
        <v>1496</v>
      </c>
      <c r="M335" t="s">
        <v>431</v>
      </c>
      <c r="N335" t="s">
        <v>31</v>
      </c>
      <c r="O335" t="s">
        <v>1755</v>
      </c>
      <c r="P335">
        <v>35</v>
      </c>
      <c r="Q335" t="s">
        <v>14</v>
      </c>
      <c r="R335" s="2">
        <v>0.34444444444444444</v>
      </c>
      <c r="S335">
        <v>496</v>
      </c>
      <c r="T335">
        <v>19.78</v>
      </c>
      <c r="U335">
        <v>5</v>
      </c>
      <c r="V335">
        <v>0.1</v>
      </c>
      <c r="W335">
        <v>0.02</v>
      </c>
    </row>
    <row r="336" spans="1:23" x14ac:dyDescent="0.3">
      <c r="A336" t="s">
        <v>854</v>
      </c>
      <c r="B336" s="1">
        <v>45216</v>
      </c>
      <c r="C336" s="2">
        <v>0.67361111111111116</v>
      </c>
      <c r="D336" t="s">
        <v>881</v>
      </c>
      <c r="E336">
        <v>117</v>
      </c>
      <c r="F336" t="s">
        <v>807</v>
      </c>
      <c r="G336" t="s">
        <v>881</v>
      </c>
      <c r="H336" t="s">
        <v>31</v>
      </c>
      <c r="I336">
        <v>-12.141233</v>
      </c>
      <c r="J336">
        <v>15.179043999999999</v>
      </c>
      <c r="K336" t="s">
        <v>1495</v>
      </c>
      <c r="L336" t="s">
        <v>1496</v>
      </c>
      <c r="M336" t="s">
        <v>460</v>
      </c>
      <c r="N336" t="s">
        <v>31</v>
      </c>
      <c r="O336" t="s">
        <v>1763</v>
      </c>
      <c r="P336">
        <v>6</v>
      </c>
      <c r="Q336" t="s">
        <v>11</v>
      </c>
      <c r="R336" s="2">
        <v>0.25138888888888888</v>
      </c>
      <c r="S336">
        <v>362</v>
      </c>
      <c r="T336">
        <v>75.739999999999995</v>
      </c>
      <c r="U336">
        <v>4</v>
      </c>
      <c r="V336">
        <v>0.45</v>
      </c>
      <c r="W336">
        <v>0.34100000000000003</v>
      </c>
    </row>
    <row r="337" spans="1:23" x14ac:dyDescent="0.3">
      <c r="A337" t="s">
        <v>854</v>
      </c>
      <c r="B337" s="1">
        <v>45216</v>
      </c>
      <c r="C337" s="2">
        <v>0.67361111111111116</v>
      </c>
      <c r="D337" t="s">
        <v>881</v>
      </c>
      <c r="E337">
        <v>117</v>
      </c>
      <c r="F337" t="s">
        <v>807</v>
      </c>
      <c r="G337" t="s">
        <v>881</v>
      </c>
      <c r="H337" t="s">
        <v>31</v>
      </c>
      <c r="I337">
        <v>-12.141233</v>
      </c>
      <c r="J337">
        <v>15.179043999999999</v>
      </c>
      <c r="K337" t="s">
        <v>1495</v>
      </c>
      <c r="L337" t="s">
        <v>1496</v>
      </c>
      <c r="M337" t="s">
        <v>477</v>
      </c>
      <c r="N337" t="s">
        <v>31</v>
      </c>
      <c r="O337" t="s">
        <v>1745</v>
      </c>
      <c r="P337">
        <v>47</v>
      </c>
      <c r="Q337" t="s">
        <v>14</v>
      </c>
      <c r="R337" s="2">
        <v>0.10347222222222222</v>
      </c>
      <c r="S337">
        <v>149</v>
      </c>
      <c r="T337">
        <v>28.35</v>
      </c>
      <c r="U337">
        <v>1</v>
      </c>
      <c r="V337">
        <v>0.1</v>
      </c>
      <c r="W337">
        <v>2.8000000000000001E-2</v>
      </c>
    </row>
    <row r="338" spans="1:23" x14ac:dyDescent="0.3">
      <c r="A338" t="s">
        <v>854</v>
      </c>
      <c r="B338" s="1">
        <v>45216</v>
      </c>
      <c r="C338" s="2">
        <v>0.67361111111111116</v>
      </c>
      <c r="D338" t="s">
        <v>881</v>
      </c>
      <c r="E338">
        <v>117</v>
      </c>
      <c r="F338" t="s">
        <v>807</v>
      </c>
      <c r="G338" t="s">
        <v>881</v>
      </c>
      <c r="H338" t="s">
        <v>31</v>
      </c>
      <c r="I338">
        <v>-12.141233</v>
      </c>
      <c r="J338">
        <v>15.179043999999999</v>
      </c>
      <c r="K338" t="s">
        <v>1495</v>
      </c>
      <c r="L338" t="s">
        <v>1496</v>
      </c>
      <c r="M338" t="s">
        <v>535</v>
      </c>
      <c r="N338" t="s">
        <v>31</v>
      </c>
      <c r="O338" t="s">
        <v>1798</v>
      </c>
      <c r="P338">
        <v>58</v>
      </c>
      <c r="Q338" t="s">
        <v>11</v>
      </c>
      <c r="R338" s="2">
        <v>0.33680555555555558</v>
      </c>
      <c r="S338">
        <v>485</v>
      </c>
      <c r="T338">
        <v>64.290000000000006</v>
      </c>
      <c r="U338">
        <v>4</v>
      </c>
      <c r="V338">
        <v>0.45</v>
      </c>
      <c r="W338">
        <v>0.28899999999999998</v>
      </c>
    </row>
    <row r="339" spans="1:23" x14ac:dyDescent="0.3">
      <c r="A339" t="s">
        <v>854</v>
      </c>
      <c r="B339" s="1">
        <v>45216</v>
      </c>
      <c r="C339" s="2">
        <v>0.67361111111111116</v>
      </c>
      <c r="D339" t="s">
        <v>881</v>
      </c>
      <c r="E339">
        <v>117</v>
      </c>
      <c r="F339" t="s">
        <v>807</v>
      </c>
      <c r="G339" t="s">
        <v>881</v>
      </c>
      <c r="H339" t="s">
        <v>31</v>
      </c>
      <c r="I339">
        <v>-12.141233</v>
      </c>
      <c r="J339">
        <v>15.179043999999999</v>
      </c>
      <c r="K339" t="s">
        <v>1495</v>
      </c>
      <c r="L339" t="s">
        <v>1496</v>
      </c>
      <c r="M339" t="s">
        <v>541</v>
      </c>
      <c r="N339" t="s">
        <v>31</v>
      </c>
      <c r="O339" t="s">
        <v>1729</v>
      </c>
      <c r="P339">
        <v>9</v>
      </c>
      <c r="Q339" t="s">
        <v>22</v>
      </c>
      <c r="R339" s="2">
        <v>0.15763888888888888</v>
      </c>
      <c r="S339">
        <v>227</v>
      </c>
      <c r="T339">
        <v>63.74</v>
      </c>
      <c r="U339">
        <v>3</v>
      </c>
      <c r="V339">
        <v>0.45</v>
      </c>
      <c r="W339">
        <v>0.28699999999999998</v>
      </c>
    </row>
    <row r="340" spans="1:23" x14ac:dyDescent="0.3">
      <c r="A340" t="s">
        <v>854</v>
      </c>
      <c r="B340" s="1">
        <v>45216</v>
      </c>
      <c r="C340" s="2">
        <v>0.67361111111111116</v>
      </c>
      <c r="D340" t="s">
        <v>881</v>
      </c>
      <c r="E340">
        <v>117</v>
      </c>
      <c r="F340" t="s">
        <v>807</v>
      </c>
      <c r="G340" t="s">
        <v>881</v>
      </c>
      <c r="H340" t="s">
        <v>31</v>
      </c>
      <c r="I340">
        <v>-12.141233</v>
      </c>
      <c r="J340">
        <v>15.179043999999999</v>
      </c>
      <c r="K340" t="s">
        <v>1495</v>
      </c>
      <c r="L340" t="s">
        <v>1496</v>
      </c>
      <c r="M340" t="s">
        <v>555</v>
      </c>
      <c r="N340" t="s">
        <v>31</v>
      </c>
      <c r="O340" t="s">
        <v>1803</v>
      </c>
      <c r="P340">
        <v>12</v>
      </c>
      <c r="Q340" t="s">
        <v>22</v>
      </c>
      <c r="R340" s="2">
        <v>9.583333333333334E-2</v>
      </c>
      <c r="S340">
        <v>138</v>
      </c>
      <c r="T340">
        <v>17</v>
      </c>
      <c r="U340">
        <v>2</v>
      </c>
      <c r="V340">
        <v>0.45</v>
      </c>
      <c r="W340">
        <v>7.6999999999999999E-2</v>
      </c>
    </row>
    <row r="341" spans="1:23" x14ac:dyDescent="0.3">
      <c r="A341" t="s">
        <v>854</v>
      </c>
      <c r="B341" s="1">
        <v>45216</v>
      </c>
      <c r="C341" s="2">
        <v>0.67361111111111116</v>
      </c>
      <c r="D341" t="s">
        <v>881</v>
      </c>
      <c r="E341">
        <v>117</v>
      </c>
      <c r="F341" t="s">
        <v>807</v>
      </c>
      <c r="G341" t="s">
        <v>881</v>
      </c>
      <c r="H341" t="s">
        <v>31</v>
      </c>
      <c r="I341">
        <v>-12.141233</v>
      </c>
      <c r="J341">
        <v>15.179043999999999</v>
      </c>
      <c r="K341" t="s">
        <v>1495</v>
      </c>
      <c r="L341" t="s">
        <v>1496</v>
      </c>
      <c r="M341" t="s">
        <v>566</v>
      </c>
      <c r="N341" t="s">
        <v>31</v>
      </c>
      <c r="O341" t="s">
        <v>1807</v>
      </c>
      <c r="P341">
        <v>57</v>
      </c>
      <c r="Q341" t="s">
        <v>19</v>
      </c>
      <c r="R341" s="2">
        <v>0.31041666666666667</v>
      </c>
      <c r="S341">
        <v>447</v>
      </c>
      <c r="T341">
        <v>23.27</v>
      </c>
      <c r="U341">
        <v>3</v>
      </c>
      <c r="V341">
        <v>0.45</v>
      </c>
      <c r="W341">
        <v>0.105</v>
      </c>
    </row>
    <row r="342" spans="1:23" x14ac:dyDescent="0.3">
      <c r="A342" t="s">
        <v>1073</v>
      </c>
      <c r="B342" s="1">
        <v>45221</v>
      </c>
      <c r="C342" s="2">
        <v>0.37638888888888888</v>
      </c>
      <c r="D342" t="s">
        <v>1096</v>
      </c>
      <c r="E342">
        <v>59</v>
      </c>
      <c r="F342" t="s">
        <v>812</v>
      </c>
      <c r="G342" t="s">
        <v>1096</v>
      </c>
      <c r="H342" t="s">
        <v>78</v>
      </c>
      <c r="I342">
        <v>-8.4824669999999998</v>
      </c>
      <c r="J342">
        <v>21.897777999999999</v>
      </c>
      <c r="K342" t="s">
        <v>1495</v>
      </c>
      <c r="L342" t="s">
        <v>1496</v>
      </c>
      <c r="M342" t="s">
        <v>77</v>
      </c>
      <c r="N342" t="s">
        <v>78</v>
      </c>
      <c r="O342" t="s">
        <v>1810</v>
      </c>
      <c r="P342">
        <v>81</v>
      </c>
      <c r="Q342" t="s">
        <v>14</v>
      </c>
      <c r="R342" s="2">
        <v>0.10694444444444444</v>
      </c>
      <c r="S342">
        <v>154</v>
      </c>
      <c r="T342">
        <v>19.47</v>
      </c>
      <c r="U342">
        <v>3</v>
      </c>
      <c r="V342">
        <v>0.1</v>
      </c>
      <c r="W342">
        <v>1.9E-2</v>
      </c>
    </row>
    <row r="343" spans="1:23" x14ac:dyDescent="0.3">
      <c r="A343" t="s">
        <v>1073</v>
      </c>
      <c r="B343" s="1">
        <v>45221</v>
      </c>
      <c r="C343" s="2">
        <v>0.37638888888888888</v>
      </c>
      <c r="D343" t="s">
        <v>1096</v>
      </c>
      <c r="E343">
        <v>59</v>
      </c>
      <c r="F343" t="s">
        <v>812</v>
      </c>
      <c r="G343" t="s">
        <v>1096</v>
      </c>
      <c r="H343" t="s">
        <v>78</v>
      </c>
      <c r="I343">
        <v>-8.4824669999999998</v>
      </c>
      <c r="J343">
        <v>21.897777999999999</v>
      </c>
      <c r="K343" t="s">
        <v>1495</v>
      </c>
      <c r="L343" t="s">
        <v>1496</v>
      </c>
      <c r="M343" t="s">
        <v>128</v>
      </c>
      <c r="N343" t="s">
        <v>78</v>
      </c>
      <c r="O343" t="s">
        <v>1768</v>
      </c>
      <c r="P343">
        <v>72</v>
      </c>
      <c r="Q343" t="s">
        <v>22</v>
      </c>
      <c r="R343" s="2">
        <v>3.5416666666666666E-2</v>
      </c>
      <c r="S343">
        <v>51</v>
      </c>
      <c r="T343">
        <v>95.09</v>
      </c>
      <c r="U343">
        <v>0</v>
      </c>
      <c r="V343">
        <v>0.45</v>
      </c>
      <c r="W343">
        <v>0.42799999999999999</v>
      </c>
    </row>
    <row r="344" spans="1:23" x14ac:dyDescent="0.3">
      <c r="A344" t="s">
        <v>1073</v>
      </c>
      <c r="B344" s="1">
        <v>45221</v>
      </c>
      <c r="C344" s="2">
        <v>0.37638888888888888</v>
      </c>
      <c r="D344" t="s">
        <v>1096</v>
      </c>
      <c r="E344">
        <v>59</v>
      </c>
      <c r="F344" t="s">
        <v>812</v>
      </c>
      <c r="G344" t="s">
        <v>1096</v>
      </c>
      <c r="H344" t="s">
        <v>78</v>
      </c>
      <c r="I344">
        <v>-8.4824669999999998</v>
      </c>
      <c r="J344">
        <v>21.897777999999999</v>
      </c>
      <c r="K344" t="s">
        <v>1495</v>
      </c>
      <c r="L344" t="s">
        <v>1496</v>
      </c>
      <c r="M344" t="s">
        <v>205</v>
      </c>
      <c r="N344" t="s">
        <v>78</v>
      </c>
      <c r="O344" t="s">
        <v>1756</v>
      </c>
      <c r="P344">
        <v>89</v>
      </c>
      <c r="Q344" t="s">
        <v>14</v>
      </c>
      <c r="R344" s="2">
        <v>0.14097222222222222</v>
      </c>
      <c r="S344">
        <v>203</v>
      </c>
      <c r="T344">
        <v>80.680000000000007</v>
      </c>
      <c r="U344">
        <v>5</v>
      </c>
      <c r="V344">
        <v>0.1</v>
      </c>
      <c r="W344">
        <v>8.1000000000000003E-2</v>
      </c>
    </row>
    <row r="345" spans="1:23" x14ac:dyDescent="0.3">
      <c r="A345" t="s">
        <v>1073</v>
      </c>
      <c r="B345" s="1">
        <v>45221</v>
      </c>
      <c r="C345" s="2">
        <v>0.37638888888888888</v>
      </c>
      <c r="D345" t="s">
        <v>1096</v>
      </c>
      <c r="E345">
        <v>59</v>
      </c>
      <c r="F345" t="s">
        <v>812</v>
      </c>
      <c r="G345" t="s">
        <v>1096</v>
      </c>
      <c r="H345" t="s">
        <v>78</v>
      </c>
      <c r="I345">
        <v>-8.4824669999999998</v>
      </c>
      <c r="J345">
        <v>21.897777999999999</v>
      </c>
      <c r="K345" t="s">
        <v>1495</v>
      </c>
      <c r="L345" t="s">
        <v>1496</v>
      </c>
      <c r="M345" t="s">
        <v>219</v>
      </c>
      <c r="N345" t="s">
        <v>78</v>
      </c>
      <c r="O345" t="s">
        <v>1818</v>
      </c>
      <c r="P345">
        <v>27</v>
      </c>
      <c r="Q345" t="s">
        <v>11</v>
      </c>
      <c r="R345" s="2">
        <v>0.25624999999999998</v>
      </c>
      <c r="S345">
        <v>369</v>
      </c>
      <c r="T345">
        <v>19.78</v>
      </c>
      <c r="U345">
        <v>1</v>
      </c>
      <c r="V345">
        <v>0.45</v>
      </c>
      <c r="W345">
        <v>8.8999999999999996E-2</v>
      </c>
    </row>
    <row r="346" spans="1:23" x14ac:dyDescent="0.3">
      <c r="A346" t="s">
        <v>1073</v>
      </c>
      <c r="B346" s="1">
        <v>45221</v>
      </c>
      <c r="C346" s="2">
        <v>0.37638888888888888</v>
      </c>
      <c r="D346" t="s">
        <v>1096</v>
      </c>
      <c r="E346">
        <v>59</v>
      </c>
      <c r="F346" t="s">
        <v>812</v>
      </c>
      <c r="G346" t="s">
        <v>1096</v>
      </c>
      <c r="H346" t="s">
        <v>78</v>
      </c>
      <c r="I346">
        <v>-8.4824669999999998</v>
      </c>
      <c r="J346">
        <v>21.897777999999999</v>
      </c>
      <c r="K346" t="s">
        <v>1495</v>
      </c>
      <c r="L346" t="s">
        <v>1496</v>
      </c>
      <c r="M346" t="s">
        <v>287</v>
      </c>
      <c r="N346" t="s">
        <v>78</v>
      </c>
      <c r="O346" t="s">
        <v>1764</v>
      </c>
      <c r="P346">
        <v>108</v>
      </c>
      <c r="Q346" t="s">
        <v>11</v>
      </c>
      <c r="R346" s="2">
        <v>0.22430555555555556</v>
      </c>
      <c r="S346">
        <v>323</v>
      </c>
      <c r="T346">
        <v>58.54</v>
      </c>
      <c r="U346">
        <v>2</v>
      </c>
      <c r="V346">
        <v>0.45</v>
      </c>
      <c r="W346">
        <v>0.26300000000000001</v>
      </c>
    </row>
    <row r="347" spans="1:23" x14ac:dyDescent="0.3">
      <c r="A347" t="s">
        <v>1073</v>
      </c>
      <c r="B347" s="1">
        <v>45221</v>
      </c>
      <c r="C347" s="2">
        <v>0.37638888888888888</v>
      </c>
      <c r="D347" t="s">
        <v>1096</v>
      </c>
      <c r="E347">
        <v>59</v>
      </c>
      <c r="F347" t="s">
        <v>812</v>
      </c>
      <c r="G347" t="s">
        <v>1096</v>
      </c>
      <c r="H347" t="s">
        <v>78</v>
      </c>
      <c r="I347">
        <v>-8.4824669999999998</v>
      </c>
      <c r="J347">
        <v>21.897777999999999</v>
      </c>
      <c r="K347" t="s">
        <v>1495</v>
      </c>
      <c r="L347" t="s">
        <v>1496</v>
      </c>
      <c r="M347" t="s">
        <v>325</v>
      </c>
      <c r="N347" t="s">
        <v>78</v>
      </c>
      <c r="O347" t="s">
        <v>1820</v>
      </c>
      <c r="P347">
        <v>8</v>
      </c>
      <c r="Q347" t="s">
        <v>19</v>
      </c>
      <c r="R347" s="2">
        <v>8.3333333333333329E-2</v>
      </c>
      <c r="S347">
        <v>120</v>
      </c>
      <c r="T347">
        <v>88.29</v>
      </c>
      <c r="U347">
        <v>5</v>
      </c>
      <c r="V347">
        <v>0.45</v>
      </c>
      <c r="W347">
        <v>0.39700000000000002</v>
      </c>
    </row>
    <row r="348" spans="1:23" x14ac:dyDescent="0.3">
      <c r="A348" t="s">
        <v>1073</v>
      </c>
      <c r="B348" s="1">
        <v>45221</v>
      </c>
      <c r="C348" s="2">
        <v>0.37638888888888888</v>
      </c>
      <c r="D348" t="s">
        <v>1096</v>
      </c>
      <c r="E348">
        <v>59</v>
      </c>
      <c r="F348" t="s">
        <v>812</v>
      </c>
      <c r="G348" t="s">
        <v>1096</v>
      </c>
      <c r="H348" t="s">
        <v>78</v>
      </c>
      <c r="I348">
        <v>-8.4824669999999998</v>
      </c>
      <c r="J348">
        <v>21.897777999999999</v>
      </c>
      <c r="K348" t="s">
        <v>1495</v>
      </c>
      <c r="L348" t="s">
        <v>1496</v>
      </c>
      <c r="M348" t="s">
        <v>349</v>
      </c>
      <c r="N348" t="s">
        <v>78</v>
      </c>
      <c r="O348" t="s">
        <v>1794</v>
      </c>
      <c r="P348">
        <v>41</v>
      </c>
      <c r="Q348" t="s">
        <v>14</v>
      </c>
      <c r="R348" s="2">
        <v>0.32916666666666666</v>
      </c>
      <c r="S348">
        <v>474</v>
      </c>
      <c r="T348">
        <v>54.03</v>
      </c>
      <c r="U348">
        <v>4</v>
      </c>
      <c r="V348">
        <v>0.1</v>
      </c>
      <c r="W348">
        <v>5.3999999999999999E-2</v>
      </c>
    </row>
    <row r="349" spans="1:23" x14ac:dyDescent="0.3">
      <c r="A349" t="s">
        <v>1073</v>
      </c>
      <c r="B349" s="1">
        <v>45221</v>
      </c>
      <c r="C349" s="2">
        <v>0.37638888888888888</v>
      </c>
      <c r="D349" t="s">
        <v>1096</v>
      </c>
      <c r="E349">
        <v>59</v>
      </c>
      <c r="F349" t="s">
        <v>812</v>
      </c>
      <c r="G349" t="s">
        <v>1096</v>
      </c>
      <c r="H349" t="s">
        <v>78</v>
      </c>
      <c r="I349">
        <v>-8.4824669999999998</v>
      </c>
      <c r="J349">
        <v>21.897777999999999</v>
      </c>
      <c r="K349" t="s">
        <v>1495</v>
      </c>
      <c r="L349" t="s">
        <v>1496</v>
      </c>
      <c r="M349" t="s">
        <v>356</v>
      </c>
      <c r="N349" t="s">
        <v>78</v>
      </c>
      <c r="O349" t="s">
        <v>1821</v>
      </c>
      <c r="P349">
        <v>17</v>
      </c>
      <c r="Q349" t="s">
        <v>22</v>
      </c>
      <c r="R349" s="2">
        <v>0.33541666666666664</v>
      </c>
      <c r="S349">
        <v>483</v>
      </c>
      <c r="T349">
        <v>77.08</v>
      </c>
      <c r="U349">
        <v>0</v>
      </c>
      <c r="V349">
        <v>0.45</v>
      </c>
      <c r="W349">
        <v>0.34699999999999998</v>
      </c>
    </row>
    <row r="350" spans="1:23" x14ac:dyDescent="0.3">
      <c r="A350" t="s">
        <v>1073</v>
      </c>
      <c r="B350" s="1">
        <v>45221</v>
      </c>
      <c r="C350" s="2">
        <v>0.37638888888888888</v>
      </c>
      <c r="D350" t="s">
        <v>1096</v>
      </c>
      <c r="E350">
        <v>59</v>
      </c>
      <c r="F350" t="s">
        <v>812</v>
      </c>
      <c r="G350" t="s">
        <v>1096</v>
      </c>
      <c r="H350" t="s">
        <v>78</v>
      </c>
      <c r="I350">
        <v>-8.4824669999999998</v>
      </c>
      <c r="J350">
        <v>21.897777999999999</v>
      </c>
      <c r="K350" t="s">
        <v>1495</v>
      </c>
      <c r="L350" t="s">
        <v>1496</v>
      </c>
      <c r="M350" t="s">
        <v>377</v>
      </c>
      <c r="N350" t="s">
        <v>78</v>
      </c>
      <c r="O350" t="s">
        <v>1774</v>
      </c>
      <c r="P350">
        <v>19</v>
      </c>
      <c r="Q350" t="s">
        <v>19</v>
      </c>
      <c r="R350" s="2">
        <v>0.21180555555555555</v>
      </c>
      <c r="S350">
        <v>305</v>
      </c>
      <c r="T350">
        <v>81.11</v>
      </c>
      <c r="U350">
        <v>1</v>
      </c>
      <c r="V350">
        <v>0.45</v>
      </c>
      <c r="W350">
        <v>0.36499999999999999</v>
      </c>
    </row>
    <row r="351" spans="1:23" x14ac:dyDescent="0.3">
      <c r="A351" t="s">
        <v>1073</v>
      </c>
      <c r="B351" s="1">
        <v>45221</v>
      </c>
      <c r="C351" s="2">
        <v>0.37638888888888888</v>
      </c>
      <c r="D351" t="s">
        <v>1096</v>
      </c>
      <c r="E351">
        <v>59</v>
      </c>
      <c r="F351" t="s">
        <v>812</v>
      </c>
      <c r="G351" t="s">
        <v>1096</v>
      </c>
      <c r="H351" t="s">
        <v>78</v>
      </c>
      <c r="I351">
        <v>-8.4824669999999998</v>
      </c>
      <c r="J351">
        <v>21.897777999999999</v>
      </c>
      <c r="K351" t="s">
        <v>1495</v>
      </c>
      <c r="L351" t="s">
        <v>1496</v>
      </c>
      <c r="M351" t="s">
        <v>386</v>
      </c>
      <c r="N351" t="s">
        <v>78</v>
      </c>
      <c r="O351" t="s">
        <v>1800</v>
      </c>
      <c r="P351">
        <v>90</v>
      </c>
      <c r="Q351" t="s">
        <v>22</v>
      </c>
      <c r="R351" s="2">
        <v>0.23819444444444443</v>
      </c>
      <c r="S351">
        <v>343</v>
      </c>
      <c r="T351">
        <v>82.05</v>
      </c>
      <c r="U351">
        <v>1</v>
      </c>
      <c r="V351">
        <v>0.45</v>
      </c>
      <c r="W351">
        <v>0.36899999999999999</v>
      </c>
    </row>
    <row r="352" spans="1:23" x14ac:dyDescent="0.3">
      <c r="A352" t="s">
        <v>1073</v>
      </c>
      <c r="B352" s="1">
        <v>45221</v>
      </c>
      <c r="C352" s="2">
        <v>0.37638888888888888</v>
      </c>
      <c r="D352" t="s">
        <v>1096</v>
      </c>
      <c r="E352">
        <v>59</v>
      </c>
      <c r="F352" t="s">
        <v>812</v>
      </c>
      <c r="G352" t="s">
        <v>1096</v>
      </c>
      <c r="H352" t="s">
        <v>78</v>
      </c>
      <c r="I352">
        <v>-8.4824669999999998</v>
      </c>
      <c r="J352">
        <v>21.897777999999999</v>
      </c>
      <c r="K352" t="s">
        <v>1495</v>
      </c>
      <c r="L352" t="s">
        <v>1496</v>
      </c>
      <c r="M352" t="s">
        <v>426</v>
      </c>
      <c r="N352" t="s">
        <v>78</v>
      </c>
      <c r="O352" t="s">
        <v>1800</v>
      </c>
      <c r="P352">
        <v>90</v>
      </c>
      <c r="Q352" t="s">
        <v>19</v>
      </c>
      <c r="R352" s="2">
        <v>0.15</v>
      </c>
      <c r="S352">
        <v>216</v>
      </c>
      <c r="T352">
        <v>45.58</v>
      </c>
      <c r="U352">
        <v>0</v>
      </c>
      <c r="V352">
        <v>0.45</v>
      </c>
      <c r="W352">
        <v>0.20499999999999999</v>
      </c>
    </row>
    <row r="353" spans="1:23" x14ac:dyDescent="0.3">
      <c r="A353" t="s">
        <v>1073</v>
      </c>
      <c r="B353" s="1">
        <v>45221</v>
      </c>
      <c r="C353" s="2">
        <v>0.37638888888888888</v>
      </c>
      <c r="D353" t="s">
        <v>1096</v>
      </c>
      <c r="E353">
        <v>59</v>
      </c>
      <c r="F353" t="s">
        <v>812</v>
      </c>
      <c r="G353" t="s">
        <v>1096</v>
      </c>
      <c r="H353" t="s">
        <v>78</v>
      </c>
      <c r="I353">
        <v>-8.4824669999999998</v>
      </c>
      <c r="J353">
        <v>21.897777999999999</v>
      </c>
      <c r="K353" t="s">
        <v>1495</v>
      </c>
      <c r="L353" t="s">
        <v>1496</v>
      </c>
      <c r="M353" t="s">
        <v>442</v>
      </c>
      <c r="N353" t="s">
        <v>78</v>
      </c>
      <c r="O353" t="s">
        <v>1759</v>
      </c>
      <c r="P353">
        <v>104</v>
      </c>
      <c r="Q353" t="s">
        <v>14</v>
      </c>
      <c r="R353" s="2">
        <v>4.1666666666666664E-2</v>
      </c>
      <c r="S353">
        <v>60</v>
      </c>
      <c r="T353">
        <v>45.51</v>
      </c>
      <c r="U353">
        <v>1</v>
      </c>
      <c r="V353">
        <v>0.1</v>
      </c>
      <c r="W353">
        <v>4.5999999999999999E-2</v>
      </c>
    </row>
    <row r="354" spans="1:23" x14ac:dyDescent="0.3">
      <c r="A354" t="s">
        <v>1073</v>
      </c>
      <c r="B354" s="1">
        <v>45221</v>
      </c>
      <c r="C354" s="2">
        <v>0.37638888888888888</v>
      </c>
      <c r="D354" t="s">
        <v>1096</v>
      </c>
      <c r="E354">
        <v>59</v>
      </c>
      <c r="F354" t="s">
        <v>812</v>
      </c>
      <c r="G354" t="s">
        <v>1096</v>
      </c>
      <c r="H354" t="s">
        <v>78</v>
      </c>
      <c r="I354">
        <v>-8.4824669999999998</v>
      </c>
      <c r="J354">
        <v>21.897777999999999</v>
      </c>
      <c r="K354" t="s">
        <v>1495</v>
      </c>
      <c r="L354" t="s">
        <v>1496</v>
      </c>
      <c r="M354" t="s">
        <v>489</v>
      </c>
      <c r="N354" t="s">
        <v>78</v>
      </c>
      <c r="O354" t="s">
        <v>1778</v>
      </c>
      <c r="P354">
        <v>43</v>
      </c>
      <c r="Q354" t="s">
        <v>22</v>
      </c>
      <c r="R354" s="2">
        <v>1.8055555555555554E-2</v>
      </c>
      <c r="S354">
        <v>26</v>
      </c>
      <c r="T354">
        <v>25.85</v>
      </c>
      <c r="U354">
        <v>1</v>
      </c>
      <c r="V354">
        <v>0.45</v>
      </c>
      <c r="W354">
        <v>0.11600000000000001</v>
      </c>
    </row>
    <row r="355" spans="1:23" x14ac:dyDescent="0.3">
      <c r="A355" t="s">
        <v>1073</v>
      </c>
      <c r="B355" s="1">
        <v>45221</v>
      </c>
      <c r="C355" s="2">
        <v>0.37638888888888888</v>
      </c>
      <c r="D355" t="s">
        <v>1096</v>
      </c>
      <c r="E355">
        <v>59</v>
      </c>
      <c r="F355" t="s">
        <v>812</v>
      </c>
      <c r="G355" t="s">
        <v>1096</v>
      </c>
      <c r="H355" t="s">
        <v>78</v>
      </c>
      <c r="I355">
        <v>-8.4824669999999998</v>
      </c>
      <c r="J355">
        <v>21.897777999999999</v>
      </c>
      <c r="K355" t="s">
        <v>1495</v>
      </c>
      <c r="L355" t="s">
        <v>1496</v>
      </c>
      <c r="M355" t="s">
        <v>536</v>
      </c>
      <c r="N355" t="s">
        <v>78</v>
      </c>
      <c r="O355" t="s">
        <v>1819</v>
      </c>
      <c r="P355">
        <v>93</v>
      </c>
      <c r="Q355" t="s">
        <v>14</v>
      </c>
      <c r="R355" s="2">
        <v>0.10625</v>
      </c>
      <c r="S355">
        <v>153</v>
      </c>
      <c r="T355">
        <v>86.19</v>
      </c>
      <c r="U355">
        <v>0</v>
      </c>
      <c r="V355">
        <v>0.1</v>
      </c>
      <c r="W355">
        <v>8.5999999999999993E-2</v>
      </c>
    </row>
    <row r="356" spans="1:23" x14ac:dyDescent="0.3">
      <c r="A356" t="s">
        <v>1073</v>
      </c>
      <c r="B356" s="1">
        <v>45221</v>
      </c>
      <c r="C356" s="2">
        <v>0.37638888888888888</v>
      </c>
      <c r="D356" t="s">
        <v>1096</v>
      </c>
      <c r="E356">
        <v>59</v>
      </c>
      <c r="F356" t="s">
        <v>812</v>
      </c>
      <c r="G356" t="s">
        <v>1096</v>
      </c>
      <c r="H356" t="s">
        <v>78</v>
      </c>
      <c r="I356">
        <v>-8.4824669999999998</v>
      </c>
      <c r="J356">
        <v>21.897777999999999</v>
      </c>
      <c r="K356" t="s">
        <v>1495</v>
      </c>
      <c r="L356" t="s">
        <v>1496</v>
      </c>
      <c r="M356" t="s">
        <v>559</v>
      </c>
      <c r="N356" t="s">
        <v>78</v>
      </c>
      <c r="O356" t="s">
        <v>1787</v>
      </c>
      <c r="P356">
        <v>99</v>
      </c>
      <c r="Q356" t="s">
        <v>14</v>
      </c>
      <c r="R356" s="2">
        <v>2.9166666666666667E-2</v>
      </c>
      <c r="S356">
        <v>42</v>
      </c>
      <c r="T356">
        <v>98.77</v>
      </c>
      <c r="U356">
        <v>3</v>
      </c>
      <c r="V356">
        <v>0.1</v>
      </c>
      <c r="W356">
        <v>9.9000000000000005E-2</v>
      </c>
    </row>
    <row r="357" spans="1:23" x14ac:dyDescent="0.3">
      <c r="A357" t="s">
        <v>1073</v>
      </c>
      <c r="B357" s="1">
        <v>45221</v>
      </c>
      <c r="C357" s="2">
        <v>0.37638888888888888</v>
      </c>
      <c r="D357" t="s">
        <v>1096</v>
      </c>
      <c r="E357">
        <v>59</v>
      </c>
      <c r="F357" t="s">
        <v>812</v>
      </c>
      <c r="G357" t="s">
        <v>1096</v>
      </c>
      <c r="H357" t="s">
        <v>78</v>
      </c>
      <c r="I357">
        <v>-8.4824669999999998</v>
      </c>
      <c r="J357">
        <v>21.897777999999999</v>
      </c>
      <c r="K357" t="s">
        <v>1495</v>
      </c>
      <c r="L357" t="s">
        <v>1496</v>
      </c>
      <c r="M357" t="s">
        <v>563</v>
      </c>
      <c r="N357" t="s">
        <v>78</v>
      </c>
      <c r="O357" t="s">
        <v>1746</v>
      </c>
      <c r="P357">
        <v>33</v>
      </c>
      <c r="Q357" t="s">
        <v>14</v>
      </c>
      <c r="R357" s="2">
        <v>0.14374999999999999</v>
      </c>
      <c r="S357">
        <v>207</v>
      </c>
      <c r="T357">
        <v>38.49</v>
      </c>
      <c r="U357">
        <v>4</v>
      </c>
      <c r="V357">
        <v>0.1</v>
      </c>
      <c r="W357">
        <v>3.7999999999999999E-2</v>
      </c>
    </row>
    <row r="358" spans="1:23" x14ac:dyDescent="0.3">
      <c r="A358" t="s">
        <v>854</v>
      </c>
      <c r="B358" s="1">
        <v>45213</v>
      </c>
      <c r="C358" s="2">
        <v>0.94861111111111107</v>
      </c>
      <c r="D358" t="s">
        <v>874</v>
      </c>
      <c r="E358">
        <v>72</v>
      </c>
      <c r="F358" t="s">
        <v>810</v>
      </c>
      <c r="G358" t="s">
        <v>874</v>
      </c>
      <c r="H358" t="s">
        <v>35</v>
      </c>
      <c r="I358">
        <v>-2.7140689999999998</v>
      </c>
      <c r="J358">
        <v>22.222104000000002</v>
      </c>
      <c r="K358" t="s">
        <v>1498</v>
      </c>
      <c r="L358" t="s">
        <v>1508</v>
      </c>
      <c r="M358" t="s">
        <v>34</v>
      </c>
      <c r="N358" t="s">
        <v>35</v>
      </c>
      <c r="O358" t="s">
        <v>1755</v>
      </c>
      <c r="P358">
        <v>35</v>
      </c>
      <c r="Q358" t="s">
        <v>14</v>
      </c>
      <c r="R358" s="2">
        <v>0.32291666666666669</v>
      </c>
      <c r="S358">
        <v>465</v>
      </c>
      <c r="T358">
        <v>58.59</v>
      </c>
      <c r="U358">
        <v>5</v>
      </c>
      <c r="V358">
        <v>0.1</v>
      </c>
      <c r="W358">
        <v>5.8999999999999997E-2</v>
      </c>
    </row>
    <row r="359" spans="1:23" x14ac:dyDescent="0.3">
      <c r="A359" t="s">
        <v>854</v>
      </c>
      <c r="B359" s="1">
        <v>45213</v>
      </c>
      <c r="C359" s="2">
        <v>0.94861111111111107</v>
      </c>
      <c r="D359" t="s">
        <v>874</v>
      </c>
      <c r="E359">
        <v>72</v>
      </c>
      <c r="F359" t="s">
        <v>810</v>
      </c>
      <c r="G359" t="s">
        <v>874</v>
      </c>
      <c r="H359" t="s">
        <v>35</v>
      </c>
      <c r="I359">
        <v>-2.7140689999999998</v>
      </c>
      <c r="J359">
        <v>22.222104000000002</v>
      </c>
      <c r="K359" t="s">
        <v>1498</v>
      </c>
      <c r="L359" t="s">
        <v>1508</v>
      </c>
      <c r="M359" t="s">
        <v>55</v>
      </c>
      <c r="N359" t="s">
        <v>35</v>
      </c>
      <c r="O359" t="s">
        <v>1764</v>
      </c>
      <c r="P359">
        <v>108</v>
      </c>
      <c r="Q359" t="s">
        <v>22</v>
      </c>
      <c r="R359" s="2">
        <v>0.19305555555555556</v>
      </c>
      <c r="S359">
        <v>278</v>
      </c>
      <c r="T359">
        <v>40.51</v>
      </c>
      <c r="U359">
        <v>3</v>
      </c>
      <c r="V359">
        <v>0.45</v>
      </c>
      <c r="W359">
        <v>0.182</v>
      </c>
    </row>
    <row r="360" spans="1:23" x14ac:dyDescent="0.3">
      <c r="A360" t="s">
        <v>854</v>
      </c>
      <c r="B360" s="1">
        <v>45213</v>
      </c>
      <c r="C360" s="2">
        <v>0.94861111111111107</v>
      </c>
      <c r="D360" t="s">
        <v>874</v>
      </c>
      <c r="E360">
        <v>72</v>
      </c>
      <c r="F360" t="s">
        <v>810</v>
      </c>
      <c r="G360" t="s">
        <v>874</v>
      </c>
      <c r="H360" t="s">
        <v>35</v>
      </c>
      <c r="I360">
        <v>-2.7140689999999998</v>
      </c>
      <c r="J360">
        <v>22.222104000000002</v>
      </c>
      <c r="K360" t="s">
        <v>1498</v>
      </c>
      <c r="L360" t="s">
        <v>1508</v>
      </c>
      <c r="M360" t="s">
        <v>90</v>
      </c>
      <c r="N360" t="s">
        <v>35</v>
      </c>
      <c r="O360" t="s">
        <v>1798</v>
      </c>
      <c r="P360">
        <v>58</v>
      </c>
      <c r="Q360" t="s">
        <v>19</v>
      </c>
      <c r="R360" s="2">
        <v>0.29375000000000001</v>
      </c>
      <c r="S360">
        <v>423</v>
      </c>
      <c r="T360">
        <v>80.459999999999994</v>
      </c>
      <c r="U360">
        <v>0</v>
      </c>
      <c r="V360">
        <v>0.45</v>
      </c>
      <c r="W360">
        <v>0.36199999999999999</v>
      </c>
    </row>
    <row r="361" spans="1:23" x14ac:dyDescent="0.3">
      <c r="A361" t="s">
        <v>854</v>
      </c>
      <c r="B361" s="1">
        <v>45213</v>
      </c>
      <c r="C361" s="2">
        <v>0.94861111111111107</v>
      </c>
      <c r="D361" t="s">
        <v>874</v>
      </c>
      <c r="E361">
        <v>72</v>
      </c>
      <c r="F361" t="s">
        <v>810</v>
      </c>
      <c r="G361" t="s">
        <v>874</v>
      </c>
      <c r="H361" t="s">
        <v>35</v>
      </c>
      <c r="I361">
        <v>-2.7140689999999998</v>
      </c>
      <c r="J361">
        <v>22.222104000000002</v>
      </c>
      <c r="K361" t="s">
        <v>1498</v>
      </c>
      <c r="L361" t="s">
        <v>1508</v>
      </c>
      <c r="M361" t="s">
        <v>96</v>
      </c>
      <c r="N361" t="s">
        <v>35</v>
      </c>
      <c r="O361" t="s">
        <v>1780</v>
      </c>
      <c r="P361">
        <v>42</v>
      </c>
      <c r="Q361" t="s">
        <v>22</v>
      </c>
      <c r="R361" s="2">
        <v>0.2673611111111111</v>
      </c>
      <c r="S361">
        <v>385</v>
      </c>
      <c r="T361">
        <v>96.52</v>
      </c>
      <c r="U361">
        <v>1</v>
      </c>
      <c r="V361">
        <v>0.45</v>
      </c>
      <c r="W361">
        <v>0.434</v>
      </c>
    </row>
    <row r="362" spans="1:23" x14ac:dyDescent="0.3">
      <c r="A362" t="s">
        <v>854</v>
      </c>
      <c r="B362" s="1">
        <v>45213</v>
      </c>
      <c r="C362" s="2">
        <v>0.94861111111111107</v>
      </c>
      <c r="D362" t="s">
        <v>874</v>
      </c>
      <c r="E362">
        <v>72</v>
      </c>
      <c r="F362" t="s">
        <v>810</v>
      </c>
      <c r="G362" t="s">
        <v>874</v>
      </c>
      <c r="H362" t="s">
        <v>35</v>
      </c>
      <c r="I362">
        <v>-2.7140689999999998</v>
      </c>
      <c r="J362">
        <v>22.222104000000002</v>
      </c>
      <c r="K362" t="s">
        <v>1498</v>
      </c>
      <c r="L362" t="s">
        <v>1508</v>
      </c>
      <c r="M362" t="s">
        <v>98</v>
      </c>
      <c r="N362" t="s">
        <v>35</v>
      </c>
      <c r="O362" t="s">
        <v>1731</v>
      </c>
      <c r="P362">
        <v>103</v>
      </c>
      <c r="Q362" t="s">
        <v>19</v>
      </c>
      <c r="R362" s="2">
        <v>0.20833333333333334</v>
      </c>
      <c r="S362">
        <v>300</v>
      </c>
      <c r="T362">
        <v>13.76</v>
      </c>
      <c r="U362">
        <v>4</v>
      </c>
      <c r="V362">
        <v>0.45</v>
      </c>
      <c r="W362">
        <v>6.2E-2</v>
      </c>
    </row>
    <row r="363" spans="1:23" x14ac:dyDescent="0.3">
      <c r="A363" t="s">
        <v>854</v>
      </c>
      <c r="B363" s="1">
        <v>45213</v>
      </c>
      <c r="C363" s="2">
        <v>0.94861111111111107</v>
      </c>
      <c r="D363" t="s">
        <v>874</v>
      </c>
      <c r="E363">
        <v>72</v>
      </c>
      <c r="F363" t="s">
        <v>810</v>
      </c>
      <c r="G363" t="s">
        <v>874</v>
      </c>
      <c r="H363" t="s">
        <v>35</v>
      </c>
      <c r="I363">
        <v>-2.7140689999999998</v>
      </c>
      <c r="J363">
        <v>22.222104000000002</v>
      </c>
      <c r="K363" t="s">
        <v>1498</v>
      </c>
      <c r="L363" t="s">
        <v>1508</v>
      </c>
      <c r="M363" t="s">
        <v>99</v>
      </c>
      <c r="N363" t="s">
        <v>35</v>
      </c>
      <c r="O363" t="s">
        <v>1790</v>
      </c>
      <c r="P363">
        <v>80</v>
      </c>
      <c r="Q363" t="s">
        <v>11</v>
      </c>
      <c r="R363" s="2">
        <v>8.4027777777777785E-2</v>
      </c>
      <c r="S363">
        <v>121</v>
      </c>
      <c r="T363">
        <v>83.14</v>
      </c>
      <c r="U363">
        <v>5</v>
      </c>
      <c r="V363">
        <v>0.45</v>
      </c>
      <c r="W363">
        <v>0.374</v>
      </c>
    </row>
    <row r="364" spans="1:23" x14ac:dyDescent="0.3">
      <c r="A364" t="s">
        <v>854</v>
      </c>
      <c r="B364" s="1">
        <v>45213</v>
      </c>
      <c r="C364" s="2">
        <v>0.94861111111111107</v>
      </c>
      <c r="D364" t="s">
        <v>874</v>
      </c>
      <c r="E364">
        <v>72</v>
      </c>
      <c r="F364" t="s">
        <v>810</v>
      </c>
      <c r="G364" t="s">
        <v>874</v>
      </c>
      <c r="H364" t="s">
        <v>35</v>
      </c>
      <c r="I364">
        <v>-2.7140689999999998</v>
      </c>
      <c r="J364">
        <v>22.222104000000002</v>
      </c>
      <c r="K364" t="s">
        <v>1498</v>
      </c>
      <c r="L364" t="s">
        <v>1508</v>
      </c>
      <c r="M364" t="s">
        <v>109</v>
      </c>
      <c r="N364" t="s">
        <v>35</v>
      </c>
      <c r="O364" t="s">
        <v>1763</v>
      </c>
      <c r="P364">
        <v>6</v>
      </c>
      <c r="Q364" t="s">
        <v>11</v>
      </c>
      <c r="R364" s="2">
        <v>0.1125</v>
      </c>
      <c r="S364">
        <v>162</v>
      </c>
      <c r="T364">
        <v>99.93</v>
      </c>
      <c r="U364">
        <v>0</v>
      </c>
      <c r="V364">
        <v>0.45</v>
      </c>
      <c r="W364">
        <v>0.45</v>
      </c>
    </row>
    <row r="365" spans="1:23" x14ac:dyDescent="0.3">
      <c r="A365" t="s">
        <v>854</v>
      </c>
      <c r="B365" s="1">
        <v>45213</v>
      </c>
      <c r="C365" s="2">
        <v>0.94861111111111107</v>
      </c>
      <c r="D365" t="s">
        <v>874</v>
      </c>
      <c r="E365">
        <v>72</v>
      </c>
      <c r="F365" t="s">
        <v>810</v>
      </c>
      <c r="G365" t="s">
        <v>874</v>
      </c>
      <c r="H365" t="s">
        <v>35</v>
      </c>
      <c r="I365">
        <v>-2.7140689999999998</v>
      </c>
      <c r="J365">
        <v>22.222104000000002</v>
      </c>
      <c r="K365" t="s">
        <v>1498</v>
      </c>
      <c r="L365" t="s">
        <v>1508</v>
      </c>
      <c r="M365" t="s">
        <v>110</v>
      </c>
      <c r="N365" t="s">
        <v>35</v>
      </c>
      <c r="O365" t="s">
        <v>1747</v>
      </c>
      <c r="P365">
        <v>86</v>
      </c>
      <c r="Q365" t="s">
        <v>14</v>
      </c>
      <c r="R365" s="2">
        <v>0.16458333333333333</v>
      </c>
      <c r="S365">
        <v>237</v>
      </c>
      <c r="T365">
        <v>85.82</v>
      </c>
      <c r="U365">
        <v>5</v>
      </c>
      <c r="V365">
        <v>0.1</v>
      </c>
      <c r="W365">
        <v>8.5999999999999993E-2</v>
      </c>
    </row>
    <row r="366" spans="1:23" x14ac:dyDescent="0.3">
      <c r="A366" t="s">
        <v>854</v>
      </c>
      <c r="B366" s="1">
        <v>45213</v>
      </c>
      <c r="C366" s="2">
        <v>0.94861111111111107</v>
      </c>
      <c r="D366" t="s">
        <v>874</v>
      </c>
      <c r="E366">
        <v>72</v>
      </c>
      <c r="F366" t="s">
        <v>810</v>
      </c>
      <c r="G366" t="s">
        <v>874</v>
      </c>
      <c r="H366" t="s">
        <v>35</v>
      </c>
      <c r="I366">
        <v>-2.7140689999999998</v>
      </c>
      <c r="J366">
        <v>22.222104000000002</v>
      </c>
      <c r="K366" t="s">
        <v>1498</v>
      </c>
      <c r="L366" t="s">
        <v>1508</v>
      </c>
      <c r="M366" t="s">
        <v>124</v>
      </c>
      <c r="N366" t="s">
        <v>35</v>
      </c>
      <c r="O366" t="s">
        <v>1787</v>
      </c>
      <c r="P366">
        <v>99</v>
      </c>
      <c r="Q366" t="s">
        <v>22</v>
      </c>
      <c r="R366" s="2">
        <v>0.34236111111111112</v>
      </c>
      <c r="S366">
        <v>493</v>
      </c>
      <c r="T366">
        <v>55.43</v>
      </c>
      <c r="U366">
        <v>2</v>
      </c>
      <c r="V366">
        <v>0.45</v>
      </c>
      <c r="W366">
        <v>0.249</v>
      </c>
    </row>
    <row r="367" spans="1:23" x14ac:dyDescent="0.3">
      <c r="A367" t="s">
        <v>854</v>
      </c>
      <c r="B367" s="1">
        <v>45213</v>
      </c>
      <c r="C367" s="2">
        <v>0.94861111111111107</v>
      </c>
      <c r="D367" t="s">
        <v>874</v>
      </c>
      <c r="E367">
        <v>72</v>
      </c>
      <c r="F367" t="s">
        <v>810</v>
      </c>
      <c r="G367" t="s">
        <v>874</v>
      </c>
      <c r="H367" t="s">
        <v>35</v>
      </c>
      <c r="I367">
        <v>-2.7140689999999998</v>
      </c>
      <c r="J367">
        <v>22.222104000000002</v>
      </c>
      <c r="K367" t="s">
        <v>1498</v>
      </c>
      <c r="L367" t="s">
        <v>1508</v>
      </c>
      <c r="M367" t="s">
        <v>216</v>
      </c>
      <c r="N367" t="s">
        <v>35</v>
      </c>
      <c r="O367" t="s">
        <v>1822</v>
      </c>
      <c r="P367">
        <v>75</v>
      </c>
      <c r="Q367" t="s">
        <v>19</v>
      </c>
      <c r="R367" s="2">
        <v>0.19583333333333333</v>
      </c>
      <c r="S367">
        <v>282</v>
      </c>
      <c r="T367">
        <v>45.16</v>
      </c>
      <c r="U367">
        <v>5</v>
      </c>
      <c r="V367">
        <v>0.45</v>
      </c>
      <c r="W367">
        <v>0.20300000000000001</v>
      </c>
    </row>
    <row r="368" spans="1:23" x14ac:dyDescent="0.3">
      <c r="A368" t="s">
        <v>854</v>
      </c>
      <c r="B368" s="1">
        <v>45213</v>
      </c>
      <c r="C368" s="2">
        <v>0.94861111111111107</v>
      </c>
      <c r="D368" t="s">
        <v>874</v>
      </c>
      <c r="E368">
        <v>72</v>
      </c>
      <c r="F368" t="s">
        <v>810</v>
      </c>
      <c r="G368" t="s">
        <v>874</v>
      </c>
      <c r="H368" t="s">
        <v>35</v>
      </c>
      <c r="I368">
        <v>-2.7140689999999998</v>
      </c>
      <c r="J368">
        <v>22.222104000000002</v>
      </c>
      <c r="K368" t="s">
        <v>1498</v>
      </c>
      <c r="L368" t="s">
        <v>1508</v>
      </c>
      <c r="M368" t="s">
        <v>242</v>
      </c>
      <c r="N368" t="s">
        <v>35</v>
      </c>
      <c r="O368" t="s">
        <v>1818</v>
      </c>
      <c r="P368">
        <v>27</v>
      </c>
      <c r="Q368" t="s">
        <v>11</v>
      </c>
      <c r="R368" s="2">
        <v>4.2361111111111113E-2</v>
      </c>
      <c r="S368">
        <v>61</v>
      </c>
      <c r="T368">
        <v>97.51</v>
      </c>
      <c r="U368">
        <v>5</v>
      </c>
      <c r="V368">
        <v>0.45</v>
      </c>
      <c r="W368">
        <v>0.439</v>
      </c>
    </row>
    <row r="369" spans="1:23" x14ac:dyDescent="0.3">
      <c r="A369" t="s">
        <v>854</v>
      </c>
      <c r="B369" s="1">
        <v>45213</v>
      </c>
      <c r="C369" s="2">
        <v>0.94861111111111107</v>
      </c>
      <c r="D369" t="s">
        <v>874</v>
      </c>
      <c r="E369">
        <v>72</v>
      </c>
      <c r="F369" t="s">
        <v>810</v>
      </c>
      <c r="G369" t="s">
        <v>874</v>
      </c>
      <c r="H369" t="s">
        <v>35</v>
      </c>
      <c r="I369">
        <v>-2.7140689999999998</v>
      </c>
      <c r="J369">
        <v>22.222104000000002</v>
      </c>
      <c r="K369" t="s">
        <v>1498</v>
      </c>
      <c r="L369" t="s">
        <v>1508</v>
      </c>
      <c r="M369" t="s">
        <v>268</v>
      </c>
      <c r="N369" t="s">
        <v>35</v>
      </c>
      <c r="O369" t="s">
        <v>1747</v>
      </c>
      <c r="P369">
        <v>86</v>
      </c>
      <c r="Q369" t="s">
        <v>11</v>
      </c>
      <c r="R369" s="2">
        <v>7.7083333333333337E-2</v>
      </c>
      <c r="S369">
        <v>111</v>
      </c>
      <c r="T369">
        <v>23.65</v>
      </c>
      <c r="U369">
        <v>0</v>
      </c>
      <c r="V369">
        <v>0.45</v>
      </c>
      <c r="W369">
        <v>0.106</v>
      </c>
    </row>
    <row r="370" spans="1:23" x14ac:dyDescent="0.3">
      <c r="A370" t="s">
        <v>854</v>
      </c>
      <c r="B370" s="1">
        <v>45213</v>
      </c>
      <c r="C370" s="2">
        <v>0.94861111111111107</v>
      </c>
      <c r="D370" t="s">
        <v>874</v>
      </c>
      <c r="E370">
        <v>72</v>
      </c>
      <c r="F370" t="s">
        <v>810</v>
      </c>
      <c r="G370" t="s">
        <v>874</v>
      </c>
      <c r="H370" t="s">
        <v>35</v>
      </c>
      <c r="I370">
        <v>-2.7140689999999998</v>
      </c>
      <c r="J370">
        <v>22.222104000000002</v>
      </c>
      <c r="K370" t="s">
        <v>1498</v>
      </c>
      <c r="L370" t="s">
        <v>1508</v>
      </c>
      <c r="M370" t="s">
        <v>307</v>
      </c>
      <c r="N370" t="s">
        <v>35</v>
      </c>
      <c r="O370" t="s">
        <v>1767</v>
      </c>
      <c r="P370">
        <v>73</v>
      </c>
      <c r="Q370" t="s">
        <v>22</v>
      </c>
      <c r="R370" s="2">
        <v>0.15625</v>
      </c>
      <c r="S370">
        <v>225</v>
      </c>
      <c r="T370">
        <v>45.86</v>
      </c>
      <c r="U370">
        <v>0</v>
      </c>
      <c r="V370">
        <v>0.45</v>
      </c>
      <c r="W370">
        <v>0.20599999999999999</v>
      </c>
    </row>
    <row r="371" spans="1:23" x14ac:dyDescent="0.3">
      <c r="A371" t="s">
        <v>854</v>
      </c>
      <c r="B371" s="1">
        <v>45213</v>
      </c>
      <c r="C371" s="2">
        <v>0.94861111111111107</v>
      </c>
      <c r="D371" t="s">
        <v>874</v>
      </c>
      <c r="E371">
        <v>72</v>
      </c>
      <c r="F371" t="s">
        <v>810</v>
      </c>
      <c r="G371" t="s">
        <v>874</v>
      </c>
      <c r="H371" t="s">
        <v>35</v>
      </c>
      <c r="I371">
        <v>-2.7140689999999998</v>
      </c>
      <c r="J371">
        <v>22.222104000000002</v>
      </c>
      <c r="K371" t="s">
        <v>1498</v>
      </c>
      <c r="L371" t="s">
        <v>1508</v>
      </c>
      <c r="M371" t="s">
        <v>317</v>
      </c>
      <c r="N371" t="s">
        <v>35</v>
      </c>
      <c r="O371" t="s">
        <v>1748</v>
      </c>
      <c r="P371">
        <v>45</v>
      </c>
      <c r="Q371" t="s">
        <v>22</v>
      </c>
      <c r="R371" s="2">
        <v>2.9861111111111113E-2</v>
      </c>
      <c r="S371">
        <v>43</v>
      </c>
      <c r="T371">
        <v>12.31</v>
      </c>
      <c r="U371">
        <v>0</v>
      </c>
      <c r="V371">
        <v>0.45</v>
      </c>
      <c r="W371">
        <v>5.5E-2</v>
      </c>
    </row>
    <row r="372" spans="1:23" x14ac:dyDescent="0.3">
      <c r="A372" t="s">
        <v>854</v>
      </c>
      <c r="B372" s="1">
        <v>45213</v>
      </c>
      <c r="C372" s="2">
        <v>0.94861111111111107</v>
      </c>
      <c r="D372" t="s">
        <v>874</v>
      </c>
      <c r="E372">
        <v>72</v>
      </c>
      <c r="F372" t="s">
        <v>810</v>
      </c>
      <c r="G372" t="s">
        <v>874</v>
      </c>
      <c r="H372" t="s">
        <v>35</v>
      </c>
      <c r="I372">
        <v>-2.7140689999999998</v>
      </c>
      <c r="J372">
        <v>22.222104000000002</v>
      </c>
      <c r="K372" t="s">
        <v>1498</v>
      </c>
      <c r="L372" t="s">
        <v>1508</v>
      </c>
      <c r="M372" t="s">
        <v>319</v>
      </c>
      <c r="N372" t="s">
        <v>35</v>
      </c>
      <c r="O372" t="s">
        <v>1797</v>
      </c>
      <c r="P372">
        <v>91</v>
      </c>
      <c r="Q372" t="s">
        <v>22</v>
      </c>
      <c r="R372" s="2">
        <v>4.3749999999999997E-2</v>
      </c>
      <c r="S372">
        <v>63</v>
      </c>
      <c r="T372">
        <v>57.76</v>
      </c>
      <c r="U372">
        <v>5</v>
      </c>
      <c r="V372">
        <v>0.45</v>
      </c>
      <c r="W372">
        <v>0.26</v>
      </c>
    </row>
    <row r="373" spans="1:23" x14ac:dyDescent="0.3">
      <c r="A373" t="s">
        <v>854</v>
      </c>
      <c r="B373" s="1">
        <v>45213</v>
      </c>
      <c r="C373" s="2">
        <v>0.94861111111111107</v>
      </c>
      <c r="D373" t="s">
        <v>874</v>
      </c>
      <c r="E373">
        <v>72</v>
      </c>
      <c r="F373" t="s">
        <v>810</v>
      </c>
      <c r="G373" t="s">
        <v>874</v>
      </c>
      <c r="H373" t="s">
        <v>35</v>
      </c>
      <c r="I373">
        <v>-2.7140689999999998</v>
      </c>
      <c r="J373">
        <v>22.222104000000002</v>
      </c>
      <c r="K373" t="s">
        <v>1498</v>
      </c>
      <c r="L373" t="s">
        <v>1508</v>
      </c>
      <c r="M373" t="s">
        <v>373</v>
      </c>
      <c r="N373" t="s">
        <v>35</v>
      </c>
      <c r="O373" t="s">
        <v>1714</v>
      </c>
      <c r="P373">
        <v>29</v>
      </c>
      <c r="Q373" t="s">
        <v>14</v>
      </c>
      <c r="R373" s="2">
        <v>0.14097222222222222</v>
      </c>
      <c r="S373">
        <v>203</v>
      </c>
      <c r="T373">
        <v>53.97</v>
      </c>
      <c r="U373">
        <v>5</v>
      </c>
      <c r="V373">
        <v>0.1</v>
      </c>
      <c r="W373">
        <v>5.3999999999999999E-2</v>
      </c>
    </row>
    <row r="374" spans="1:23" x14ac:dyDescent="0.3">
      <c r="A374" t="s">
        <v>854</v>
      </c>
      <c r="B374" s="1">
        <v>45213</v>
      </c>
      <c r="C374" s="2">
        <v>0.94861111111111107</v>
      </c>
      <c r="D374" t="s">
        <v>874</v>
      </c>
      <c r="E374">
        <v>72</v>
      </c>
      <c r="F374" t="s">
        <v>810</v>
      </c>
      <c r="G374" t="s">
        <v>874</v>
      </c>
      <c r="H374" t="s">
        <v>35</v>
      </c>
      <c r="I374">
        <v>-2.7140689999999998</v>
      </c>
      <c r="J374">
        <v>22.222104000000002</v>
      </c>
      <c r="K374" t="s">
        <v>1498</v>
      </c>
      <c r="L374" t="s">
        <v>1508</v>
      </c>
      <c r="M374" t="s">
        <v>391</v>
      </c>
      <c r="N374" t="s">
        <v>35</v>
      </c>
      <c r="O374" t="s">
        <v>1751</v>
      </c>
      <c r="P374">
        <v>65</v>
      </c>
      <c r="Q374" t="s">
        <v>19</v>
      </c>
      <c r="R374" s="2">
        <v>0.30694444444444446</v>
      </c>
      <c r="S374">
        <v>442</v>
      </c>
      <c r="T374">
        <v>60.62</v>
      </c>
      <c r="U374">
        <v>5</v>
      </c>
      <c r="V374">
        <v>0.45</v>
      </c>
      <c r="W374">
        <v>0.27300000000000002</v>
      </c>
    </row>
    <row r="375" spans="1:23" x14ac:dyDescent="0.3">
      <c r="A375" t="s">
        <v>854</v>
      </c>
      <c r="B375" s="1">
        <v>45213</v>
      </c>
      <c r="C375" s="2">
        <v>0.94861111111111107</v>
      </c>
      <c r="D375" t="s">
        <v>874</v>
      </c>
      <c r="E375">
        <v>72</v>
      </c>
      <c r="F375" t="s">
        <v>810</v>
      </c>
      <c r="G375" t="s">
        <v>874</v>
      </c>
      <c r="H375" t="s">
        <v>35</v>
      </c>
      <c r="I375">
        <v>-2.7140689999999998</v>
      </c>
      <c r="J375">
        <v>22.222104000000002</v>
      </c>
      <c r="K375" t="s">
        <v>1498</v>
      </c>
      <c r="L375" t="s">
        <v>1508</v>
      </c>
      <c r="M375" t="s">
        <v>484</v>
      </c>
      <c r="N375" t="s">
        <v>35</v>
      </c>
      <c r="O375" t="s">
        <v>1811</v>
      </c>
      <c r="P375">
        <v>88</v>
      </c>
      <c r="Q375" t="s">
        <v>19</v>
      </c>
      <c r="R375" s="2">
        <v>0.32916666666666666</v>
      </c>
      <c r="S375">
        <v>474</v>
      </c>
      <c r="T375">
        <v>23.35</v>
      </c>
      <c r="U375">
        <v>5</v>
      </c>
      <c r="V375">
        <v>0.45</v>
      </c>
      <c r="W375">
        <v>0.105</v>
      </c>
    </row>
    <row r="376" spans="1:23" x14ac:dyDescent="0.3">
      <c r="A376" t="s">
        <v>854</v>
      </c>
      <c r="B376" s="1">
        <v>45213</v>
      </c>
      <c r="C376" s="2">
        <v>0.94861111111111107</v>
      </c>
      <c r="D376" t="s">
        <v>874</v>
      </c>
      <c r="E376">
        <v>72</v>
      </c>
      <c r="F376" t="s">
        <v>810</v>
      </c>
      <c r="G376" t="s">
        <v>874</v>
      </c>
      <c r="H376" t="s">
        <v>35</v>
      </c>
      <c r="I376">
        <v>-2.7140689999999998</v>
      </c>
      <c r="J376">
        <v>22.222104000000002</v>
      </c>
      <c r="K376" t="s">
        <v>1498</v>
      </c>
      <c r="L376" t="s">
        <v>1508</v>
      </c>
      <c r="M376" t="s">
        <v>506</v>
      </c>
      <c r="N376" t="s">
        <v>35</v>
      </c>
      <c r="O376" t="s">
        <v>1790</v>
      </c>
      <c r="P376">
        <v>80</v>
      </c>
      <c r="Q376" t="s">
        <v>14</v>
      </c>
      <c r="R376" s="2">
        <v>0.23541666666666666</v>
      </c>
      <c r="S376">
        <v>339</v>
      </c>
      <c r="T376">
        <v>59.87</v>
      </c>
      <c r="U376">
        <v>0</v>
      </c>
      <c r="V376">
        <v>0.1</v>
      </c>
      <c r="W376">
        <v>0.06</v>
      </c>
    </row>
    <row r="377" spans="1:23" x14ac:dyDescent="0.3">
      <c r="A377" t="s">
        <v>854</v>
      </c>
      <c r="B377" s="1">
        <v>45213</v>
      </c>
      <c r="C377" s="2">
        <v>0.94861111111111107</v>
      </c>
      <c r="D377" t="s">
        <v>874</v>
      </c>
      <c r="E377">
        <v>72</v>
      </c>
      <c r="F377" t="s">
        <v>810</v>
      </c>
      <c r="G377" t="s">
        <v>874</v>
      </c>
      <c r="H377" t="s">
        <v>35</v>
      </c>
      <c r="I377">
        <v>-2.7140689999999998</v>
      </c>
      <c r="J377">
        <v>22.222104000000002</v>
      </c>
      <c r="K377" t="s">
        <v>1498</v>
      </c>
      <c r="L377" t="s">
        <v>1508</v>
      </c>
      <c r="M377" t="s">
        <v>520</v>
      </c>
      <c r="N377" t="s">
        <v>35</v>
      </c>
      <c r="O377" t="s">
        <v>1784</v>
      </c>
      <c r="P377">
        <v>117</v>
      </c>
      <c r="Q377" t="s">
        <v>22</v>
      </c>
      <c r="R377" s="2">
        <v>2.7083333333333334E-2</v>
      </c>
      <c r="S377">
        <v>39</v>
      </c>
      <c r="T377">
        <v>26.53</v>
      </c>
      <c r="U377">
        <v>1</v>
      </c>
      <c r="V377">
        <v>0.45</v>
      </c>
      <c r="W377">
        <v>0.11899999999999999</v>
      </c>
    </row>
    <row r="378" spans="1:23" x14ac:dyDescent="0.3">
      <c r="A378" t="s">
        <v>854</v>
      </c>
      <c r="B378" s="1">
        <v>45213</v>
      </c>
      <c r="C378" s="2">
        <v>0.94861111111111107</v>
      </c>
      <c r="D378" t="s">
        <v>874</v>
      </c>
      <c r="E378">
        <v>72</v>
      </c>
      <c r="F378" t="s">
        <v>810</v>
      </c>
      <c r="G378" t="s">
        <v>874</v>
      </c>
      <c r="H378" t="s">
        <v>35</v>
      </c>
      <c r="I378">
        <v>-2.7140689999999998</v>
      </c>
      <c r="J378">
        <v>22.222104000000002</v>
      </c>
      <c r="K378" t="s">
        <v>1498</v>
      </c>
      <c r="L378" t="s">
        <v>1508</v>
      </c>
      <c r="M378" t="s">
        <v>532</v>
      </c>
      <c r="N378" t="s">
        <v>35</v>
      </c>
      <c r="O378" t="s">
        <v>1794</v>
      </c>
      <c r="P378">
        <v>41</v>
      </c>
      <c r="Q378" t="s">
        <v>11</v>
      </c>
      <c r="R378" s="2">
        <v>0.26597222222222222</v>
      </c>
      <c r="S378">
        <v>383</v>
      </c>
      <c r="T378">
        <v>27.53</v>
      </c>
      <c r="U378">
        <v>4</v>
      </c>
      <c r="V378">
        <v>0.45</v>
      </c>
      <c r="W378">
        <v>0.124</v>
      </c>
    </row>
    <row r="379" spans="1:23" x14ac:dyDescent="0.3">
      <c r="A379" t="s">
        <v>854</v>
      </c>
      <c r="B379" s="1">
        <v>45213</v>
      </c>
      <c r="C379" s="2">
        <v>0.94861111111111107</v>
      </c>
      <c r="D379" t="s">
        <v>874</v>
      </c>
      <c r="E379">
        <v>72</v>
      </c>
      <c r="F379" t="s">
        <v>810</v>
      </c>
      <c r="G379" t="s">
        <v>874</v>
      </c>
      <c r="H379" t="s">
        <v>35</v>
      </c>
      <c r="I379">
        <v>-2.7140689999999998</v>
      </c>
      <c r="J379">
        <v>22.222104000000002</v>
      </c>
      <c r="K379" t="s">
        <v>1498</v>
      </c>
      <c r="L379" t="s">
        <v>1508</v>
      </c>
      <c r="M379" t="s">
        <v>564</v>
      </c>
      <c r="N379" t="s">
        <v>35</v>
      </c>
      <c r="O379" t="s">
        <v>1823</v>
      </c>
      <c r="P379">
        <v>98</v>
      </c>
      <c r="Q379" t="s">
        <v>14</v>
      </c>
      <c r="R379" s="2">
        <v>2.8472222222222222E-2</v>
      </c>
      <c r="S379">
        <v>41</v>
      </c>
      <c r="T379">
        <v>23.55</v>
      </c>
      <c r="U379">
        <v>1</v>
      </c>
      <c r="V379">
        <v>0.1</v>
      </c>
      <c r="W379">
        <v>2.4E-2</v>
      </c>
    </row>
    <row r="380" spans="1:23" x14ac:dyDescent="0.3">
      <c r="A380" t="s">
        <v>1133</v>
      </c>
      <c r="B380" s="1">
        <v>45222</v>
      </c>
      <c r="C380" s="2">
        <v>0.58472222222222225</v>
      </c>
      <c r="D380" t="s">
        <v>1155</v>
      </c>
      <c r="E380">
        <v>15</v>
      </c>
      <c r="F380" t="s">
        <v>812</v>
      </c>
      <c r="G380" t="s">
        <v>1155</v>
      </c>
      <c r="H380" t="s">
        <v>60</v>
      </c>
      <c r="I380">
        <v>-9.1215879999999991</v>
      </c>
      <c r="J380">
        <v>16.457916999999998</v>
      </c>
      <c r="K380" t="s">
        <v>1498</v>
      </c>
      <c r="L380" t="s">
        <v>1508</v>
      </c>
      <c r="M380" t="s">
        <v>59</v>
      </c>
      <c r="N380" t="s">
        <v>60</v>
      </c>
      <c r="O380" t="s">
        <v>1762</v>
      </c>
      <c r="P380">
        <v>14</v>
      </c>
      <c r="Q380" t="s">
        <v>14</v>
      </c>
      <c r="R380" s="2">
        <v>0.21944444444444444</v>
      </c>
      <c r="S380">
        <v>316</v>
      </c>
      <c r="T380">
        <v>62.34</v>
      </c>
      <c r="U380">
        <v>4</v>
      </c>
      <c r="V380">
        <v>0.1</v>
      </c>
      <c r="W380">
        <v>6.2E-2</v>
      </c>
    </row>
    <row r="381" spans="1:23" x14ac:dyDescent="0.3">
      <c r="A381" t="s">
        <v>1133</v>
      </c>
      <c r="B381" s="1">
        <v>45222</v>
      </c>
      <c r="C381" s="2">
        <v>0.58472222222222225</v>
      </c>
      <c r="D381" t="s">
        <v>1155</v>
      </c>
      <c r="E381">
        <v>15</v>
      </c>
      <c r="F381" t="s">
        <v>812</v>
      </c>
      <c r="G381" t="s">
        <v>1155</v>
      </c>
      <c r="H381" t="s">
        <v>60</v>
      </c>
      <c r="I381">
        <v>-9.1215879999999991</v>
      </c>
      <c r="J381">
        <v>16.457916999999998</v>
      </c>
      <c r="K381" t="s">
        <v>1498</v>
      </c>
      <c r="L381" t="s">
        <v>1508</v>
      </c>
      <c r="M381" t="s">
        <v>84</v>
      </c>
      <c r="N381" t="s">
        <v>60</v>
      </c>
      <c r="O381" t="s">
        <v>1812</v>
      </c>
      <c r="P381">
        <v>21</v>
      </c>
      <c r="Q381" t="s">
        <v>11</v>
      </c>
      <c r="R381" s="2">
        <v>0.25763888888888886</v>
      </c>
      <c r="S381">
        <v>371</v>
      </c>
      <c r="T381">
        <v>48.31</v>
      </c>
      <c r="U381">
        <v>0</v>
      </c>
      <c r="V381">
        <v>0.45</v>
      </c>
      <c r="W381">
        <v>0.217</v>
      </c>
    </row>
    <row r="382" spans="1:23" x14ac:dyDescent="0.3">
      <c r="A382" t="s">
        <v>1133</v>
      </c>
      <c r="B382" s="1">
        <v>45222</v>
      </c>
      <c r="C382" s="2">
        <v>0.58472222222222225</v>
      </c>
      <c r="D382" t="s">
        <v>1155</v>
      </c>
      <c r="E382">
        <v>15</v>
      </c>
      <c r="F382" t="s">
        <v>812</v>
      </c>
      <c r="G382" t="s">
        <v>1155</v>
      </c>
      <c r="H382" t="s">
        <v>60</v>
      </c>
      <c r="I382">
        <v>-9.1215879999999991</v>
      </c>
      <c r="J382">
        <v>16.457916999999998</v>
      </c>
      <c r="K382" t="s">
        <v>1498</v>
      </c>
      <c r="L382" t="s">
        <v>1508</v>
      </c>
      <c r="M382" t="s">
        <v>117</v>
      </c>
      <c r="N382" t="s">
        <v>60</v>
      </c>
      <c r="O382" t="s">
        <v>1743</v>
      </c>
      <c r="P382">
        <v>111</v>
      </c>
      <c r="Q382" t="s">
        <v>22</v>
      </c>
      <c r="R382" s="2">
        <v>0.22500000000000001</v>
      </c>
      <c r="S382">
        <v>324</v>
      </c>
      <c r="T382">
        <v>18.07</v>
      </c>
      <c r="U382">
        <v>2</v>
      </c>
      <c r="V382">
        <v>0.45</v>
      </c>
      <c r="W382">
        <v>8.1000000000000003E-2</v>
      </c>
    </row>
    <row r="383" spans="1:23" x14ac:dyDescent="0.3">
      <c r="A383" t="s">
        <v>1133</v>
      </c>
      <c r="B383" s="1">
        <v>45222</v>
      </c>
      <c r="C383" s="2">
        <v>0.58472222222222225</v>
      </c>
      <c r="D383" t="s">
        <v>1155</v>
      </c>
      <c r="E383">
        <v>15</v>
      </c>
      <c r="F383" t="s">
        <v>812</v>
      </c>
      <c r="G383" t="s">
        <v>1155</v>
      </c>
      <c r="H383" t="s">
        <v>60</v>
      </c>
      <c r="I383">
        <v>-9.1215879999999991</v>
      </c>
      <c r="J383">
        <v>16.457916999999998</v>
      </c>
      <c r="K383" t="s">
        <v>1498</v>
      </c>
      <c r="L383" t="s">
        <v>1508</v>
      </c>
      <c r="M383" t="s">
        <v>164</v>
      </c>
      <c r="N383" t="s">
        <v>60</v>
      </c>
      <c r="O383" t="s">
        <v>1736</v>
      </c>
      <c r="P383">
        <v>60</v>
      </c>
      <c r="Q383" t="s">
        <v>19</v>
      </c>
      <c r="R383" s="2">
        <v>0.11666666666666667</v>
      </c>
      <c r="S383">
        <v>168</v>
      </c>
      <c r="T383">
        <v>67.650000000000006</v>
      </c>
      <c r="U383">
        <v>1</v>
      </c>
      <c r="V383">
        <v>0.45</v>
      </c>
      <c r="W383">
        <v>0.30399999999999999</v>
      </c>
    </row>
    <row r="384" spans="1:23" x14ac:dyDescent="0.3">
      <c r="A384" t="s">
        <v>1133</v>
      </c>
      <c r="B384" s="1">
        <v>45222</v>
      </c>
      <c r="C384" s="2">
        <v>0.58472222222222225</v>
      </c>
      <c r="D384" t="s">
        <v>1155</v>
      </c>
      <c r="E384">
        <v>15</v>
      </c>
      <c r="F384" t="s">
        <v>812</v>
      </c>
      <c r="G384" t="s">
        <v>1155</v>
      </c>
      <c r="H384" t="s">
        <v>60</v>
      </c>
      <c r="I384">
        <v>-9.1215879999999991</v>
      </c>
      <c r="J384">
        <v>16.457916999999998</v>
      </c>
      <c r="K384" t="s">
        <v>1498</v>
      </c>
      <c r="L384" t="s">
        <v>1508</v>
      </c>
      <c r="M384" t="s">
        <v>201</v>
      </c>
      <c r="N384" t="s">
        <v>60</v>
      </c>
      <c r="O384" t="s">
        <v>1780</v>
      </c>
      <c r="P384">
        <v>42</v>
      </c>
      <c r="Q384" t="s">
        <v>14</v>
      </c>
      <c r="R384" s="2">
        <v>0.27013888888888887</v>
      </c>
      <c r="S384">
        <v>389</v>
      </c>
      <c r="T384">
        <v>80.08</v>
      </c>
      <c r="U384">
        <v>1</v>
      </c>
      <c r="V384">
        <v>0.1</v>
      </c>
      <c r="W384">
        <v>0.08</v>
      </c>
    </row>
    <row r="385" spans="1:23" x14ac:dyDescent="0.3">
      <c r="A385" t="s">
        <v>1133</v>
      </c>
      <c r="B385" s="1">
        <v>45222</v>
      </c>
      <c r="C385" s="2">
        <v>0.58472222222222225</v>
      </c>
      <c r="D385" t="s">
        <v>1155</v>
      </c>
      <c r="E385">
        <v>15</v>
      </c>
      <c r="F385" t="s">
        <v>812</v>
      </c>
      <c r="G385" t="s">
        <v>1155</v>
      </c>
      <c r="H385" t="s">
        <v>60</v>
      </c>
      <c r="I385">
        <v>-9.1215879999999991</v>
      </c>
      <c r="J385">
        <v>16.457916999999998</v>
      </c>
      <c r="K385" t="s">
        <v>1498</v>
      </c>
      <c r="L385" t="s">
        <v>1508</v>
      </c>
      <c r="M385" t="s">
        <v>215</v>
      </c>
      <c r="N385" t="s">
        <v>60</v>
      </c>
      <c r="O385" t="s">
        <v>1782</v>
      </c>
      <c r="P385">
        <v>102</v>
      </c>
      <c r="Q385" t="s">
        <v>11</v>
      </c>
      <c r="R385" s="2">
        <v>0.27916666666666667</v>
      </c>
      <c r="S385">
        <v>402</v>
      </c>
      <c r="T385">
        <v>28.38</v>
      </c>
      <c r="U385">
        <v>5</v>
      </c>
      <c r="V385">
        <v>0.45</v>
      </c>
      <c r="W385">
        <v>0.128</v>
      </c>
    </row>
    <row r="386" spans="1:23" x14ac:dyDescent="0.3">
      <c r="A386" t="s">
        <v>1133</v>
      </c>
      <c r="B386" s="1">
        <v>45222</v>
      </c>
      <c r="C386" s="2">
        <v>0.58472222222222225</v>
      </c>
      <c r="D386" t="s">
        <v>1155</v>
      </c>
      <c r="E386">
        <v>15</v>
      </c>
      <c r="F386" t="s">
        <v>812</v>
      </c>
      <c r="G386" t="s">
        <v>1155</v>
      </c>
      <c r="H386" t="s">
        <v>60</v>
      </c>
      <c r="I386">
        <v>-9.1215879999999991</v>
      </c>
      <c r="J386">
        <v>16.457916999999998</v>
      </c>
      <c r="K386" t="s">
        <v>1498</v>
      </c>
      <c r="L386" t="s">
        <v>1508</v>
      </c>
      <c r="M386" t="s">
        <v>267</v>
      </c>
      <c r="N386" t="s">
        <v>60</v>
      </c>
      <c r="O386" t="s">
        <v>1780</v>
      </c>
      <c r="P386">
        <v>42</v>
      </c>
      <c r="Q386" t="s">
        <v>22</v>
      </c>
      <c r="R386" s="2">
        <v>0.31458333333333333</v>
      </c>
      <c r="S386">
        <v>453</v>
      </c>
      <c r="T386">
        <v>36.700000000000003</v>
      </c>
      <c r="U386">
        <v>4</v>
      </c>
      <c r="V386">
        <v>0.45</v>
      </c>
      <c r="W386">
        <v>0.16500000000000001</v>
      </c>
    </row>
    <row r="387" spans="1:23" x14ac:dyDescent="0.3">
      <c r="A387" t="s">
        <v>1133</v>
      </c>
      <c r="B387" s="1">
        <v>45222</v>
      </c>
      <c r="C387" s="2">
        <v>0.58472222222222225</v>
      </c>
      <c r="D387" t="s">
        <v>1155</v>
      </c>
      <c r="E387">
        <v>15</v>
      </c>
      <c r="F387" t="s">
        <v>812</v>
      </c>
      <c r="G387" t="s">
        <v>1155</v>
      </c>
      <c r="H387" t="s">
        <v>60</v>
      </c>
      <c r="I387">
        <v>-9.1215879999999991</v>
      </c>
      <c r="J387">
        <v>16.457916999999998</v>
      </c>
      <c r="K387" t="s">
        <v>1498</v>
      </c>
      <c r="L387" t="s">
        <v>1508</v>
      </c>
      <c r="M387" t="s">
        <v>278</v>
      </c>
      <c r="N387" t="s">
        <v>60</v>
      </c>
      <c r="O387" t="s">
        <v>1725</v>
      </c>
      <c r="P387">
        <v>92</v>
      </c>
      <c r="Q387" t="s">
        <v>19</v>
      </c>
      <c r="R387" s="2">
        <v>0.32777777777777778</v>
      </c>
      <c r="S387">
        <v>472</v>
      </c>
      <c r="T387">
        <v>78.44</v>
      </c>
      <c r="U387">
        <v>1</v>
      </c>
      <c r="V387">
        <v>0.45</v>
      </c>
      <c r="W387">
        <v>0.35299999999999998</v>
      </c>
    </row>
    <row r="388" spans="1:23" x14ac:dyDescent="0.3">
      <c r="A388" t="s">
        <v>1133</v>
      </c>
      <c r="B388" s="1">
        <v>45222</v>
      </c>
      <c r="C388" s="2">
        <v>0.58472222222222225</v>
      </c>
      <c r="D388" t="s">
        <v>1155</v>
      </c>
      <c r="E388">
        <v>15</v>
      </c>
      <c r="F388" t="s">
        <v>812</v>
      </c>
      <c r="G388" t="s">
        <v>1155</v>
      </c>
      <c r="H388" t="s">
        <v>60</v>
      </c>
      <c r="I388">
        <v>-9.1215879999999991</v>
      </c>
      <c r="J388">
        <v>16.457916999999998</v>
      </c>
      <c r="K388" t="s">
        <v>1498</v>
      </c>
      <c r="L388" t="s">
        <v>1508</v>
      </c>
      <c r="M388" t="s">
        <v>309</v>
      </c>
      <c r="N388" t="s">
        <v>60</v>
      </c>
      <c r="O388" t="s">
        <v>1813</v>
      </c>
      <c r="P388">
        <v>25</v>
      </c>
      <c r="Q388" t="s">
        <v>11</v>
      </c>
      <c r="R388" s="2">
        <v>0.32430555555555557</v>
      </c>
      <c r="S388">
        <v>467</v>
      </c>
      <c r="T388">
        <v>97.78</v>
      </c>
      <c r="U388">
        <v>3</v>
      </c>
      <c r="V388">
        <v>0.45</v>
      </c>
      <c r="W388">
        <v>0.44</v>
      </c>
    </row>
    <row r="389" spans="1:23" x14ac:dyDescent="0.3">
      <c r="A389" t="s">
        <v>1133</v>
      </c>
      <c r="B389" s="1">
        <v>45222</v>
      </c>
      <c r="C389" s="2">
        <v>0.58472222222222225</v>
      </c>
      <c r="D389" t="s">
        <v>1155</v>
      </c>
      <c r="E389">
        <v>15</v>
      </c>
      <c r="F389" t="s">
        <v>812</v>
      </c>
      <c r="G389" t="s">
        <v>1155</v>
      </c>
      <c r="H389" t="s">
        <v>60</v>
      </c>
      <c r="I389">
        <v>-9.1215879999999991</v>
      </c>
      <c r="J389">
        <v>16.457916999999998</v>
      </c>
      <c r="K389" t="s">
        <v>1498</v>
      </c>
      <c r="L389" t="s">
        <v>1508</v>
      </c>
      <c r="M389" t="s">
        <v>311</v>
      </c>
      <c r="N389" t="s">
        <v>60</v>
      </c>
      <c r="O389" t="s">
        <v>1777</v>
      </c>
      <c r="P389">
        <v>56</v>
      </c>
      <c r="Q389" t="s">
        <v>14</v>
      </c>
      <c r="R389" s="2">
        <v>3.8194444444444448E-2</v>
      </c>
      <c r="S389">
        <v>55</v>
      </c>
      <c r="T389">
        <v>82.56</v>
      </c>
      <c r="U389">
        <v>2</v>
      </c>
      <c r="V389">
        <v>0.1</v>
      </c>
      <c r="W389">
        <v>8.3000000000000004E-2</v>
      </c>
    </row>
    <row r="390" spans="1:23" x14ac:dyDescent="0.3">
      <c r="A390" t="s">
        <v>1133</v>
      </c>
      <c r="B390" s="1">
        <v>45222</v>
      </c>
      <c r="C390" s="2">
        <v>0.58472222222222225</v>
      </c>
      <c r="D390" t="s">
        <v>1155</v>
      </c>
      <c r="E390">
        <v>15</v>
      </c>
      <c r="F390" t="s">
        <v>812</v>
      </c>
      <c r="G390" t="s">
        <v>1155</v>
      </c>
      <c r="H390" t="s">
        <v>60</v>
      </c>
      <c r="I390">
        <v>-9.1215879999999991</v>
      </c>
      <c r="J390">
        <v>16.457916999999998</v>
      </c>
      <c r="K390" t="s">
        <v>1498</v>
      </c>
      <c r="L390" t="s">
        <v>1508</v>
      </c>
      <c r="M390" t="s">
        <v>321</v>
      </c>
      <c r="N390" t="s">
        <v>60</v>
      </c>
      <c r="O390" t="s">
        <v>1815</v>
      </c>
      <c r="P390">
        <v>82</v>
      </c>
      <c r="Q390" t="s">
        <v>11</v>
      </c>
      <c r="R390" s="2">
        <v>2.2222222222222223E-2</v>
      </c>
      <c r="S390">
        <v>32</v>
      </c>
      <c r="T390">
        <v>77.63</v>
      </c>
      <c r="U390">
        <v>1</v>
      </c>
      <c r="V390">
        <v>0.45</v>
      </c>
      <c r="W390">
        <v>0.34899999999999998</v>
      </c>
    </row>
    <row r="391" spans="1:23" x14ac:dyDescent="0.3">
      <c r="A391" t="s">
        <v>1133</v>
      </c>
      <c r="B391" s="1">
        <v>45222</v>
      </c>
      <c r="C391" s="2">
        <v>0.58472222222222225</v>
      </c>
      <c r="D391" t="s">
        <v>1155</v>
      </c>
      <c r="E391">
        <v>15</v>
      </c>
      <c r="F391" t="s">
        <v>812</v>
      </c>
      <c r="G391" t="s">
        <v>1155</v>
      </c>
      <c r="H391" t="s">
        <v>60</v>
      </c>
      <c r="I391">
        <v>-9.1215879999999991</v>
      </c>
      <c r="J391">
        <v>16.457916999999998</v>
      </c>
      <c r="K391" t="s">
        <v>1498</v>
      </c>
      <c r="L391" t="s">
        <v>1508</v>
      </c>
      <c r="M391" t="s">
        <v>366</v>
      </c>
      <c r="N391" t="s">
        <v>60</v>
      </c>
      <c r="O391" t="s">
        <v>1716</v>
      </c>
      <c r="P391">
        <v>110</v>
      </c>
      <c r="Q391" t="s">
        <v>11</v>
      </c>
      <c r="R391" s="2">
        <v>0.22291666666666668</v>
      </c>
      <c r="S391">
        <v>321</v>
      </c>
      <c r="T391">
        <v>81.569999999999993</v>
      </c>
      <c r="U391">
        <v>2</v>
      </c>
      <c r="V391">
        <v>0.45</v>
      </c>
      <c r="W391">
        <v>0.36699999999999999</v>
      </c>
    </row>
    <row r="392" spans="1:23" x14ac:dyDescent="0.3">
      <c r="A392" t="s">
        <v>1133</v>
      </c>
      <c r="B392" s="1">
        <v>45222</v>
      </c>
      <c r="C392" s="2">
        <v>0.58472222222222225</v>
      </c>
      <c r="D392" t="s">
        <v>1155</v>
      </c>
      <c r="E392">
        <v>15</v>
      </c>
      <c r="F392" t="s">
        <v>812</v>
      </c>
      <c r="G392" t="s">
        <v>1155</v>
      </c>
      <c r="H392" t="s">
        <v>60</v>
      </c>
      <c r="I392">
        <v>-9.1215879999999991</v>
      </c>
      <c r="J392">
        <v>16.457916999999998</v>
      </c>
      <c r="K392" t="s">
        <v>1498</v>
      </c>
      <c r="L392" t="s">
        <v>1508</v>
      </c>
      <c r="M392" t="s">
        <v>406</v>
      </c>
      <c r="N392" t="s">
        <v>60</v>
      </c>
      <c r="O392" t="s">
        <v>1802</v>
      </c>
      <c r="P392">
        <v>13</v>
      </c>
      <c r="Q392" t="s">
        <v>22</v>
      </c>
      <c r="R392" s="2">
        <v>0.21527777777777779</v>
      </c>
      <c r="S392">
        <v>310</v>
      </c>
      <c r="T392">
        <v>65.599999999999994</v>
      </c>
      <c r="U392">
        <v>5</v>
      </c>
      <c r="V392">
        <v>0.45</v>
      </c>
      <c r="W392">
        <v>0.29499999999999998</v>
      </c>
    </row>
    <row r="393" spans="1:23" x14ac:dyDescent="0.3">
      <c r="A393" t="s">
        <v>1133</v>
      </c>
      <c r="B393" s="1">
        <v>45222</v>
      </c>
      <c r="C393" s="2">
        <v>0.58472222222222225</v>
      </c>
      <c r="D393" t="s">
        <v>1155</v>
      </c>
      <c r="E393">
        <v>15</v>
      </c>
      <c r="F393" t="s">
        <v>812</v>
      </c>
      <c r="G393" t="s">
        <v>1155</v>
      </c>
      <c r="H393" t="s">
        <v>60</v>
      </c>
      <c r="I393">
        <v>-9.1215879999999991</v>
      </c>
      <c r="J393">
        <v>16.457916999999998</v>
      </c>
      <c r="K393" t="s">
        <v>1498</v>
      </c>
      <c r="L393" t="s">
        <v>1508</v>
      </c>
      <c r="M393" t="s">
        <v>436</v>
      </c>
      <c r="N393" t="s">
        <v>60</v>
      </c>
      <c r="O393" t="s">
        <v>1796</v>
      </c>
      <c r="P393">
        <v>22</v>
      </c>
      <c r="Q393" t="s">
        <v>14</v>
      </c>
      <c r="R393" s="2">
        <v>8.819444444444445E-2</v>
      </c>
      <c r="S393">
        <v>127</v>
      </c>
      <c r="T393">
        <v>49.06</v>
      </c>
      <c r="U393">
        <v>2</v>
      </c>
      <c r="V393">
        <v>0.1</v>
      </c>
      <c r="W393">
        <v>4.9000000000000002E-2</v>
      </c>
    </row>
    <row r="394" spans="1:23" x14ac:dyDescent="0.3">
      <c r="A394" t="s">
        <v>1133</v>
      </c>
      <c r="B394" s="1">
        <v>45222</v>
      </c>
      <c r="C394" s="2">
        <v>0.58472222222222225</v>
      </c>
      <c r="D394" t="s">
        <v>1155</v>
      </c>
      <c r="E394">
        <v>15</v>
      </c>
      <c r="F394" t="s">
        <v>812</v>
      </c>
      <c r="G394" t="s">
        <v>1155</v>
      </c>
      <c r="H394" t="s">
        <v>60</v>
      </c>
      <c r="I394">
        <v>-9.1215879999999991</v>
      </c>
      <c r="J394">
        <v>16.457916999999998</v>
      </c>
      <c r="K394" t="s">
        <v>1498</v>
      </c>
      <c r="L394" t="s">
        <v>1508</v>
      </c>
      <c r="M394" t="s">
        <v>439</v>
      </c>
      <c r="N394" t="s">
        <v>60</v>
      </c>
      <c r="O394" t="s">
        <v>1719</v>
      </c>
      <c r="P394">
        <v>50</v>
      </c>
      <c r="Q394" t="s">
        <v>19</v>
      </c>
      <c r="R394" s="2">
        <v>0.30208333333333331</v>
      </c>
      <c r="S394">
        <v>435</v>
      </c>
      <c r="T394">
        <v>27.86</v>
      </c>
      <c r="U394">
        <v>3</v>
      </c>
      <c r="V394">
        <v>0.45</v>
      </c>
      <c r="W394">
        <v>0.125</v>
      </c>
    </row>
    <row r="395" spans="1:23" x14ac:dyDescent="0.3">
      <c r="A395" t="s">
        <v>1133</v>
      </c>
      <c r="B395" s="1">
        <v>45222</v>
      </c>
      <c r="C395" s="2">
        <v>0.58472222222222225</v>
      </c>
      <c r="D395" t="s">
        <v>1155</v>
      </c>
      <c r="E395">
        <v>15</v>
      </c>
      <c r="F395" t="s">
        <v>812</v>
      </c>
      <c r="G395" t="s">
        <v>1155</v>
      </c>
      <c r="H395" t="s">
        <v>60</v>
      </c>
      <c r="I395">
        <v>-9.1215879999999991</v>
      </c>
      <c r="J395">
        <v>16.457916999999998</v>
      </c>
      <c r="K395" t="s">
        <v>1498</v>
      </c>
      <c r="L395" t="s">
        <v>1508</v>
      </c>
      <c r="M395" t="s">
        <v>496</v>
      </c>
      <c r="N395" t="s">
        <v>60</v>
      </c>
      <c r="O395" t="s">
        <v>1778</v>
      </c>
      <c r="P395">
        <v>43</v>
      </c>
      <c r="Q395" t="s">
        <v>11</v>
      </c>
      <c r="R395" s="2">
        <v>0.13402777777777777</v>
      </c>
      <c r="S395">
        <v>193</v>
      </c>
      <c r="T395">
        <v>35.81</v>
      </c>
      <c r="U395">
        <v>0</v>
      </c>
      <c r="V395">
        <v>0.45</v>
      </c>
      <c r="W395">
        <v>0.161</v>
      </c>
    </row>
    <row r="396" spans="1:23" x14ac:dyDescent="0.3">
      <c r="A396" t="s">
        <v>1133</v>
      </c>
      <c r="B396" s="1">
        <v>45222</v>
      </c>
      <c r="C396" s="2">
        <v>0.58472222222222225</v>
      </c>
      <c r="D396" t="s">
        <v>1155</v>
      </c>
      <c r="E396">
        <v>15</v>
      </c>
      <c r="F396" t="s">
        <v>812</v>
      </c>
      <c r="G396" t="s">
        <v>1155</v>
      </c>
      <c r="H396" t="s">
        <v>60</v>
      </c>
      <c r="I396">
        <v>-9.1215879999999991</v>
      </c>
      <c r="J396">
        <v>16.457916999999998</v>
      </c>
      <c r="K396" t="s">
        <v>1498</v>
      </c>
      <c r="L396" t="s">
        <v>1508</v>
      </c>
      <c r="M396" t="s">
        <v>500</v>
      </c>
      <c r="N396" t="s">
        <v>60</v>
      </c>
      <c r="O396" t="s">
        <v>1712</v>
      </c>
      <c r="P396">
        <v>55</v>
      </c>
      <c r="Q396" t="s">
        <v>22</v>
      </c>
      <c r="R396" s="2">
        <v>0.34305555555555556</v>
      </c>
      <c r="S396">
        <v>494</v>
      </c>
      <c r="T396">
        <v>77.599999999999994</v>
      </c>
      <c r="U396">
        <v>4</v>
      </c>
      <c r="V396">
        <v>0.45</v>
      </c>
      <c r="W396">
        <v>0.34899999999999998</v>
      </c>
    </row>
    <row r="397" spans="1:23" x14ac:dyDescent="0.3">
      <c r="A397" t="s">
        <v>1133</v>
      </c>
      <c r="B397" s="1">
        <v>45222</v>
      </c>
      <c r="C397" s="2">
        <v>0.58472222222222225</v>
      </c>
      <c r="D397" t="s">
        <v>1155</v>
      </c>
      <c r="E397">
        <v>15</v>
      </c>
      <c r="F397" t="s">
        <v>812</v>
      </c>
      <c r="G397" t="s">
        <v>1155</v>
      </c>
      <c r="H397" t="s">
        <v>60</v>
      </c>
      <c r="I397">
        <v>-9.1215879999999991</v>
      </c>
      <c r="J397">
        <v>16.457916999999998</v>
      </c>
      <c r="K397" t="s">
        <v>1498</v>
      </c>
      <c r="L397" t="s">
        <v>1508</v>
      </c>
      <c r="M397" t="s">
        <v>505</v>
      </c>
      <c r="N397" t="s">
        <v>60</v>
      </c>
      <c r="O397" t="s">
        <v>1724</v>
      </c>
      <c r="P397">
        <v>39</v>
      </c>
      <c r="Q397" t="s">
        <v>14</v>
      </c>
      <c r="R397" s="2">
        <v>3.7499999999999999E-2</v>
      </c>
      <c r="S397">
        <v>54</v>
      </c>
      <c r="T397">
        <v>88.84</v>
      </c>
      <c r="U397">
        <v>0</v>
      </c>
      <c r="V397">
        <v>0.1</v>
      </c>
      <c r="W397">
        <v>8.8999999999999996E-2</v>
      </c>
    </row>
    <row r="398" spans="1:23" x14ac:dyDescent="0.3">
      <c r="A398" t="s">
        <v>1014</v>
      </c>
      <c r="B398" s="1">
        <v>45225</v>
      </c>
      <c r="C398" s="2">
        <v>0.21527777777777779</v>
      </c>
      <c r="D398" t="s">
        <v>1043</v>
      </c>
      <c r="E398">
        <v>41</v>
      </c>
      <c r="F398" t="s">
        <v>812</v>
      </c>
      <c r="G398" t="s">
        <v>1043</v>
      </c>
      <c r="H398" t="s">
        <v>44</v>
      </c>
      <c r="I398">
        <v>-4.9552579999999997</v>
      </c>
      <c r="J398">
        <v>22.008103999999999</v>
      </c>
      <c r="K398" t="s">
        <v>1498</v>
      </c>
      <c r="L398" t="s">
        <v>1499</v>
      </c>
      <c r="M398" t="s">
        <v>43</v>
      </c>
      <c r="N398" t="s">
        <v>44</v>
      </c>
      <c r="O398" t="s">
        <v>1816</v>
      </c>
      <c r="P398">
        <v>66</v>
      </c>
      <c r="Q398" t="s">
        <v>22</v>
      </c>
      <c r="R398" s="2">
        <v>0.1875</v>
      </c>
      <c r="S398">
        <v>270</v>
      </c>
      <c r="T398">
        <v>75.88</v>
      </c>
      <c r="U398">
        <v>3</v>
      </c>
      <c r="V398">
        <v>0.45</v>
      </c>
      <c r="W398">
        <v>0.34100000000000003</v>
      </c>
    </row>
    <row r="399" spans="1:23" x14ac:dyDescent="0.3">
      <c r="A399" t="s">
        <v>1014</v>
      </c>
      <c r="B399" s="1">
        <v>45225</v>
      </c>
      <c r="C399" s="2">
        <v>0.21527777777777779</v>
      </c>
      <c r="D399" t="s">
        <v>1043</v>
      </c>
      <c r="E399">
        <v>41</v>
      </c>
      <c r="F399" t="s">
        <v>812</v>
      </c>
      <c r="G399" t="s">
        <v>1043</v>
      </c>
      <c r="H399" t="s">
        <v>44</v>
      </c>
      <c r="I399">
        <v>-4.9552579999999997</v>
      </c>
      <c r="J399">
        <v>22.008103999999999</v>
      </c>
      <c r="K399" t="s">
        <v>1498</v>
      </c>
      <c r="L399" t="s">
        <v>1499</v>
      </c>
      <c r="M399" t="s">
        <v>93</v>
      </c>
      <c r="N399" t="s">
        <v>44</v>
      </c>
      <c r="O399" t="s">
        <v>1792</v>
      </c>
      <c r="P399">
        <v>20</v>
      </c>
      <c r="Q399" t="s">
        <v>19</v>
      </c>
      <c r="R399" s="2">
        <v>1.8055555555555554E-2</v>
      </c>
      <c r="S399">
        <v>26</v>
      </c>
      <c r="T399">
        <v>25.14</v>
      </c>
      <c r="U399">
        <v>0</v>
      </c>
      <c r="V399">
        <v>0.45</v>
      </c>
      <c r="W399">
        <v>0.113</v>
      </c>
    </row>
    <row r="400" spans="1:23" x14ac:dyDescent="0.3">
      <c r="A400" t="s">
        <v>1014</v>
      </c>
      <c r="B400" s="1">
        <v>45225</v>
      </c>
      <c r="C400" s="2">
        <v>0.21527777777777779</v>
      </c>
      <c r="D400" t="s">
        <v>1043</v>
      </c>
      <c r="E400">
        <v>41</v>
      </c>
      <c r="F400" t="s">
        <v>812</v>
      </c>
      <c r="G400" t="s">
        <v>1043</v>
      </c>
      <c r="H400" t="s">
        <v>44</v>
      </c>
      <c r="I400">
        <v>-4.9552579999999997</v>
      </c>
      <c r="J400">
        <v>22.008103999999999</v>
      </c>
      <c r="K400" t="s">
        <v>1498</v>
      </c>
      <c r="L400" t="s">
        <v>1499</v>
      </c>
      <c r="M400" t="s">
        <v>103</v>
      </c>
      <c r="N400" t="s">
        <v>44</v>
      </c>
      <c r="O400" t="s">
        <v>1719</v>
      </c>
      <c r="P400">
        <v>50</v>
      </c>
      <c r="Q400" t="s">
        <v>19</v>
      </c>
      <c r="R400" s="2">
        <v>0.17916666666666667</v>
      </c>
      <c r="S400">
        <v>258</v>
      </c>
      <c r="T400">
        <v>25.06</v>
      </c>
      <c r="U400">
        <v>4</v>
      </c>
      <c r="V400">
        <v>0.45</v>
      </c>
      <c r="W400">
        <v>0.113</v>
      </c>
    </row>
    <row r="401" spans="1:23" x14ac:dyDescent="0.3">
      <c r="A401" t="s">
        <v>1014</v>
      </c>
      <c r="B401" s="1">
        <v>45225</v>
      </c>
      <c r="C401" s="2">
        <v>0.21527777777777779</v>
      </c>
      <c r="D401" t="s">
        <v>1043</v>
      </c>
      <c r="E401">
        <v>41</v>
      </c>
      <c r="F401" t="s">
        <v>812</v>
      </c>
      <c r="G401" t="s">
        <v>1043</v>
      </c>
      <c r="H401" t="s">
        <v>44</v>
      </c>
      <c r="I401">
        <v>-4.9552579999999997</v>
      </c>
      <c r="J401">
        <v>22.008103999999999</v>
      </c>
      <c r="K401" t="s">
        <v>1498</v>
      </c>
      <c r="L401" t="s">
        <v>1499</v>
      </c>
      <c r="M401" t="s">
        <v>104</v>
      </c>
      <c r="N401" t="s">
        <v>44</v>
      </c>
      <c r="O401" t="s">
        <v>1824</v>
      </c>
      <c r="P401">
        <v>30</v>
      </c>
      <c r="Q401" t="s">
        <v>11</v>
      </c>
      <c r="R401" s="2">
        <v>0.13680555555555557</v>
      </c>
      <c r="S401">
        <v>197</v>
      </c>
      <c r="T401">
        <v>15.42</v>
      </c>
      <c r="U401">
        <v>0</v>
      </c>
      <c r="V401">
        <v>0.45</v>
      </c>
      <c r="W401">
        <v>6.9000000000000006E-2</v>
      </c>
    </row>
    <row r="402" spans="1:23" x14ac:dyDescent="0.3">
      <c r="A402" t="s">
        <v>1014</v>
      </c>
      <c r="B402" s="1">
        <v>45225</v>
      </c>
      <c r="C402" s="2">
        <v>0.21527777777777779</v>
      </c>
      <c r="D402" t="s">
        <v>1043</v>
      </c>
      <c r="E402">
        <v>41</v>
      </c>
      <c r="F402" t="s">
        <v>812</v>
      </c>
      <c r="G402" t="s">
        <v>1043</v>
      </c>
      <c r="H402" t="s">
        <v>44</v>
      </c>
      <c r="I402">
        <v>-4.9552579999999997</v>
      </c>
      <c r="J402">
        <v>22.008103999999999</v>
      </c>
      <c r="K402" t="s">
        <v>1498</v>
      </c>
      <c r="L402" t="s">
        <v>1499</v>
      </c>
      <c r="M402" t="s">
        <v>135</v>
      </c>
      <c r="N402" t="s">
        <v>44</v>
      </c>
      <c r="O402" t="s">
        <v>1813</v>
      </c>
      <c r="P402">
        <v>25</v>
      </c>
      <c r="Q402" t="s">
        <v>11</v>
      </c>
      <c r="R402" s="2">
        <v>4.4444444444444446E-2</v>
      </c>
      <c r="S402">
        <v>64</v>
      </c>
      <c r="T402">
        <v>38.950000000000003</v>
      </c>
      <c r="U402">
        <v>5</v>
      </c>
      <c r="V402">
        <v>0.45</v>
      </c>
      <c r="W402">
        <v>0.17499999999999999</v>
      </c>
    </row>
    <row r="403" spans="1:23" x14ac:dyDescent="0.3">
      <c r="A403" t="s">
        <v>1014</v>
      </c>
      <c r="B403" s="1">
        <v>45225</v>
      </c>
      <c r="C403" s="2">
        <v>0.21527777777777779</v>
      </c>
      <c r="D403" t="s">
        <v>1043</v>
      </c>
      <c r="E403">
        <v>41</v>
      </c>
      <c r="F403" t="s">
        <v>812</v>
      </c>
      <c r="G403" t="s">
        <v>1043</v>
      </c>
      <c r="H403" t="s">
        <v>44</v>
      </c>
      <c r="I403">
        <v>-4.9552579999999997</v>
      </c>
      <c r="J403">
        <v>22.008103999999999</v>
      </c>
      <c r="K403" t="s">
        <v>1498</v>
      </c>
      <c r="L403" t="s">
        <v>1499</v>
      </c>
      <c r="M403" t="s">
        <v>138</v>
      </c>
      <c r="N403" t="s">
        <v>44</v>
      </c>
      <c r="O403" t="s">
        <v>1752</v>
      </c>
      <c r="P403">
        <v>70</v>
      </c>
      <c r="Q403" t="s">
        <v>14</v>
      </c>
      <c r="R403" s="2">
        <v>0.2013888888888889</v>
      </c>
      <c r="S403">
        <v>290</v>
      </c>
      <c r="T403">
        <v>96.31</v>
      </c>
      <c r="U403">
        <v>1</v>
      </c>
      <c r="V403">
        <v>0.1</v>
      </c>
      <c r="W403">
        <v>9.6000000000000002E-2</v>
      </c>
    </row>
    <row r="404" spans="1:23" x14ac:dyDescent="0.3">
      <c r="A404" t="s">
        <v>1014</v>
      </c>
      <c r="B404" s="1">
        <v>45225</v>
      </c>
      <c r="C404" s="2">
        <v>0.21527777777777779</v>
      </c>
      <c r="D404" t="s">
        <v>1043</v>
      </c>
      <c r="E404">
        <v>41</v>
      </c>
      <c r="F404" t="s">
        <v>812</v>
      </c>
      <c r="G404" t="s">
        <v>1043</v>
      </c>
      <c r="H404" t="s">
        <v>44</v>
      </c>
      <c r="I404">
        <v>-4.9552579999999997</v>
      </c>
      <c r="J404">
        <v>22.008103999999999</v>
      </c>
      <c r="K404" t="s">
        <v>1498</v>
      </c>
      <c r="L404" t="s">
        <v>1499</v>
      </c>
      <c r="M404" t="s">
        <v>175</v>
      </c>
      <c r="N404" t="s">
        <v>44</v>
      </c>
      <c r="O404" t="s">
        <v>1809</v>
      </c>
      <c r="P404">
        <v>54</v>
      </c>
      <c r="Q404" t="s">
        <v>19</v>
      </c>
      <c r="R404" s="2">
        <v>6.8750000000000006E-2</v>
      </c>
      <c r="S404">
        <v>99</v>
      </c>
      <c r="T404">
        <v>39.58</v>
      </c>
      <c r="U404">
        <v>0</v>
      </c>
      <c r="V404">
        <v>0.45</v>
      </c>
      <c r="W404">
        <v>0.17799999999999999</v>
      </c>
    </row>
    <row r="405" spans="1:23" x14ac:dyDescent="0.3">
      <c r="A405" t="s">
        <v>1014</v>
      </c>
      <c r="B405" s="1">
        <v>45225</v>
      </c>
      <c r="C405" s="2">
        <v>0.21527777777777779</v>
      </c>
      <c r="D405" t="s">
        <v>1043</v>
      </c>
      <c r="E405">
        <v>41</v>
      </c>
      <c r="F405" t="s">
        <v>812</v>
      </c>
      <c r="G405" t="s">
        <v>1043</v>
      </c>
      <c r="H405" t="s">
        <v>44</v>
      </c>
      <c r="I405">
        <v>-4.9552579999999997</v>
      </c>
      <c r="J405">
        <v>22.008103999999999</v>
      </c>
      <c r="K405" t="s">
        <v>1498</v>
      </c>
      <c r="L405" t="s">
        <v>1499</v>
      </c>
      <c r="M405" t="s">
        <v>178</v>
      </c>
      <c r="N405" t="s">
        <v>44</v>
      </c>
      <c r="O405" t="s">
        <v>1794</v>
      </c>
      <c r="P405">
        <v>41</v>
      </c>
      <c r="Q405" t="s">
        <v>11</v>
      </c>
      <c r="R405" s="2">
        <v>4.4444444444444446E-2</v>
      </c>
      <c r="S405">
        <v>64</v>
      </c>
      <c r="T405">
        <v>91.95</v>
      </c>
      <c r="U405">
        <v>1</v>
      </c>
      <c r="V405">
        <v>0.45</v>
      </c>
      <c r="W405">
        <v>0.41399999999999998</v>
      </c>
    </row>
    <row r="406" spans="1:23" x14ac:dyDescent="0.3">
      <c r="A406" t="s">
        <v>1014</v>
      </c>
      <c r="B406" s="1">
        <v>45225</v>
      </c>
      <c r="C406" s="2">
        <v>0.21527777777777779</v>
      </c>
      <c r="D406" t="s">
        <v>1043</v>
      </c>
      <c r="E406">
        <v>41</v>
      </c>
      <c r="F406" t="s">
        <v>812</v>
      </c>
      <c r="G406" t="s">
        <v>1043</v>
      </c>
      <c r="H406" t="s">
        <v>44</v>
      </c>
      <c r="I406">
        <v>-4.9552579999999997</v>
      </c>
      <c r="J406">
        <v>22.008103999999999</v>
      </c>
      <c r="K406" t="s">
        <v>1498</v>
      </c>
      <c r="L406" t="s">
        <v>1499</v>
      </c>
      <c r="M406" t="s">
        <v>196</v>
      </c>
      <c r="N406" t="s">
        <v>44</v>
      </c>
      <c r="O406" t="s">
        <v>1715</v>
      </c>
      <c r="P406">
        <v>48</v>
      </c>
      <c r="Q406" t="s">
        <v>19</v>
      </c>
      <c r="R406" s="2">
        <v>0.2326388888888889</v>
      </c>
      <c r="S406">
        <v>335</v>
      </c>
      <c r="T406">
        <v>85.09</v>
      </c>
      <c r="U406">
        <v>3</v>
      </c>
      <c r="V406">
        <v>0.45</v>
      </c>
      <c r="W406">
        <v>0.38300000000000001</v>
      </c>
    </row>
    <row r="407" spans="1:23" x14ac:dyDescent="0.3">
      <c r="A407" t="s">
        <v>1014</v>
      </c>
      <c r="B407" s="1">
        <v>45225</v>
      </c>
      <c r="C407" s="2">
        <v>0.21527777777777779</v>
      </c>
      <c r="D407" t="s">
        <v>1043</v>
      </c>
      <c r="E407">
        <v>41</v>
      </c>
      <c r="F407" t="s">
        <v>812</v>
      </c>
      <c r="G407" t="s">
        <v>1043</v>
      </c>
      <c r="H407" t="s">
        <v>44</v>
      </c>
      <c r="I407">
        <v>-4.9552579999999997</v>
      </c>
      <c r="J407">
        <v>22.008103999999999</v>
      </c>
      <c r="K407" t="s">
        <v>1498</v>
      </c>
      <c r="L407" t="s">
        <v>1499</v>
      </c>
      <c r="M407" t="s">
        <v>197</v>
      </c>
      <c r="N407" t="s">
        <v>44</v>
      </c>
      <c r="O407" t="s">
        <v>1769</v>
      </c>
      <c r="P407">
        <v>64</v>
      </c>
      <c r="Q407" t="s">
        <v>14</v>
      </c>
      <c r="R407" s="2">
        <v>4.1666666666666666E-3</v>
      </c>
      <c r="S407">
        <v>6</v>
      </c>
      <c r="T407">
        <v>40.58</v>
      </c>
      <c r="U407">
        <v>5</v>
      </c>
      <c r="V407">
        <v>0.1</v>
      </c>
      <c r="W407">
        <v>4.1000000000000002E-2</v>
      </c>
    </row>
    <row r="408" spans="1:23" x14ac:dyDescent="0.3">
      <c r="A408" t="s">
        <v>1014</v>
      </c>
      <c r="B408" s="1">
        <v>45225</v>
      </c>
      <c r="C408" s="2">
        <v>0.21527777777777779</v>
      </c>
      <c r="D408" t="s">
        <v>1043</v>
      </c>
      <c r="E408">
        <v>41</v>
      </c>
      <c r="F408" t="s">
        <v>812</v>
      </c>
      <c r="G408" t="s">
        <v>1043</v>
      </c>
      <c r="H408" t="s">
        <v>44</v>
      </c>
      <c r="I408">
        <v>-4.9552579999999997</v>
      </c>
      <c r="J408">
        <v>22.008103999999999</v>
      </c>
      <c r="K408" t="s">
        <v>1498</v>
      </c>
      <c r="L408" t="s">
        <v>1499</v>
      </c>
      <c r="M408" t="s">
        <v>218</v>
      </c>
      <c r="N408" t="s">
        <v>44</v>
      </c>
      <c r="O408" t="s">
        <v>1825</v>
      </c>
      <c r="P408">
        <v>5</v>
      </c>
      <c r="Q408" t="s">
        <v>19</v>
      </c>
      <c r="R408" s="2">
        <v>0.16597222222222222</v>
      </c>
      <c r="S408">
        <v>239</v>
      </c>
      <c r="T408">
        <v>26.95</v>
      </c>
      <c r="U408">
        <v>2</v>
      </c>
      <c r="V408">
        <v>0.45</v>
      </c>
      <c r="W408">
        <v>0.121</v>
      </c>
    </row>
    <row r="409" spans="1:23" x14ac:dyDescent="0.3">
      <c r="A409" t="s">
        <v>1014</v>
      </c>
      <c r="B409" s="1">
        <v>45225</v>
      </c>
      <c r="C409" s="2">
        <v>0.21527777777777779</v>
      </c>
      <c r="D409" t="s">
        <v>1043</v>
      </c>
      <c r="E409">
        <v>41</v>
      </c>
      <c r="F409" t="s">
        <v>812</v>
      </c>
      <c r="G409" t="s">
        <v>1043</v>
      </c>
      <c r="H409" t="s">
        <v>44</v>
      </c>
      <c r="I409">
        <v>-4.9552579999999997</v>
      </c>
      <c r="J409">
        <v>22.008103999999999</v>
      </c>
      <c r="K409" t="s">
        <v>1498</v>
      </c>
      <c r="L409" t="s">
        <v>1499</v>
      </c>
      <c r="M409" t="s">
        <v>225</v>
      </c>
      <c r="N409" t="s">
        <v>44</v>
      </c>
      <c r="O409" t="s">
        <v>1826</v>
      </c>
      <c r="P409">
        <v>31</v>
      </c>
      <c r="Q409" t="s">
        <v>19</v>
      </c>
      <c r="R409" s="2">
        <v>0.1111111111111111</v>
      </c>
      <c r="S409">
        <v>160</v>
      </c>
      <c r="T409">
        <v>59.76</v>
      </c>
      <c r="U409">
        <v>4</v>
      </c>
      <c r="V409">
        <v>0.45</v>
      </c>
      <c r="W409">
        <v>0.26900000000000002</v>
      </c>
    </row>
    <row r="410" spans="1:23" x14ac:dyDescent="0.3">
      <c r="A410" t="s">
        <v>1014</v>
      </c>
      <c r="B410" s="1">
        <v>45225</v>
      </c>
      <c r="C410" s="2">
        <v>0.21527777777777779</v>
      </c>
      <c r="D410" t="s">
        <v>1043</v>
      </c>
      <c r="E410">
        <v>41</v>
      </c>
      <c r="F410" t="s">
        <v>812</v>
      </c>
      <c r="G410" t="s">
        <v>1043</v>
      </c>
      <c r="H410" t="s">
        <v>44</v>
      </c>
      <c r="I410">
        <v>-4.9552579999999997</v>
      </c>
      <c r="J410">
        <v>22.008103999999999</v>
      </c>
      <c r="K410" t="s">
        <v>1498</v>
      </c>
      <c r="L410" t="s">
        <v>1499</v>
      </c>
      <c r="M410" t="s">
        <v>299</v>
      </c>
      <c r="N410" t="s">
        <v>44</v>
      </c>
      <c r="O410" t="s">
        <v>1765</v>
      </c>
      <c r="P410">
        <v>76</v>
      </c>
      <c r="Q410" t="s">
        <v>22</v>
      </c>
      <c r="R410" s="2">
        <v>0.26597222222222222</v>
      </c>
      <c r="S410">
        <v>383</v>
      </c>
      <c r="T410">
        <v>53.73</v>
      </c>
      <c r="U410">
        <v>2</v>
      </c>
      <c r="V410">
        <v>0.45</v>
      </c>
      <c r="W410">
        <v>0.24199999999999999</v>
      </c>
    </row>
    <row r="411" spans="1:23" x14ac:dyDescent="0.3">
      <c r="A411" t="s">
        <v>1014</v>
      </c>
      <c r="B411" s="1">
        <v>45225</v>
      </c>
      <c r="C411" s="2">
        <v>0.21527777777777779</v>
      </c>
      <c r="D411" t="s">
        <v>1043</v>
      </c>
      <c r="E411">
        <v>41</v>
      </c>
      <c r="F411" t="s">
        <v>812</v>
      </c>
      <c r="G411" t="s">
        <v>1043</v>
      </c>
      <c r="H411" t="s">
        <v>44</v>
      </c>
      <c r="I411">
        <v>-4.9552579999999997</v>
      </c>
      <c r="J411">
        <v>22.008103999999999</v>
      </c>
      <c r="K411" t="s">
        <v>1498</v>
      </c>
      <c r="L411" t="s">
        <v>1499</v>
      </c>
      <c r="M411" t="s">
        <v>310</v>
      </c>
      <c r="N411" t="s">
        <v>44</v>
      </c>
      <c r="O411" t="s">
        <v>1823</v>
      </c>
      <c r="P411">
        <v>98</v>
      </c>
      <c r="Q411" t="s">
        <v>11</v>
      </c>
      <c r="R411" s="2">
        <v>0.22152777777777777</v>
      </c>
      <c r="S411">
        <v>319</v>
      </c>
      <c r="T411">
        <v>88.58</v>
      </c>
      <c r="U411">
        <v>0</v>
      </c>
      <c r="V411">
        <v>0.45</v>
      </c>
      <c r="W411">
        <v>0.39900000000000002</v>
      </c>
    </row>
    <row r="412" spans="1:23" x14ac:dyDescent="0.3">
      <c r="A412" t="s">
        <v>1014</v>
      </c>
      <c r="B412" s="1">
        <v>45225</v>
      </c>
      <c r="C412" s="2">
        <v>0.21527777777777779</v>
      </c>
      <c r="D412" t="s">
        <v>1043</v>
      </c>
      <c r="E412">
        <v>41</v>
      </c>
      <c r="F412" t="s">
        <v>812</v>
      </c>
      <c r="G412" t="s">
        <v>1043</v>
      </c>
      <c r="H412" t="s">
        <v>44</v>
      </c>
      <c r="I412">
        <v>-4.9552579999999997</v>
      </c>
      <c r="J412">
        <v>22.008103999999999</v>
      </c>
      <c r="K412" t="s">
        <v>1498</v>
      </c>
      <c r="L412" t="s">
        <v>1499</v>
      </c>
      <c r="M412" t="s">
        <v>326</v>
      </c>
      <c r="N412" t="s">
        <v>44</v>
      </c>
      <c r="O412" t="s">
        <v>1749</v>
      </c>
      <c r="P412">
        <v>84</v>
      </c>
      <c r="Q412" t="s">
        <v>19</v>
      </c>
      <c r="R412" s="2">
        <v>0.16944444444444445</v>
      </c>
      <c r="S412">
        <v>244</v>
      </c>
      <c r="T412">
        <v>56.34</v>
      </c>
      <c r="U412">
        <v>5</v>
      </c>
      <c r="V412">
        <v>0.45</v>
      </c>
      <c r="W412">
        <v>0.254</v>
      </c>
    </row>
    <row r="413" spans="1:23" x14ac:dyDescent="0.3">
      <c r="A413" t="s">
        <v>1014</v>
      </c>
      <c r="B413" s="1">
        <v>45225</v>
      </c>
      <c r="C413" s="2">
        <v>0.21527777777777779</v>
      </c>
      <c r="D413" t="s">
        <v>1043</v>
      </c>
      <c r="E413">
        <v>41</v>
      </c>
      <c r="F413" t="s">
        <v>812</v>
      </c>
      <c r="G413" t="s">
        <v>1043</v>
      </c>
      <c r="H413" t="s">
        <v>44</v>
      </c>
      <c r="I413">
        <v>-4.9552579999999997</v>
      </c>
      <c r="J413">
        <v>22.008103999999999</v>
      </c>
      <c r="K413" t="s">
        <v>1498</v>
      </c>
      <c r="L413" t="s">
        <v>1499</v>
      </c>
      <c r="M413" t="s">
        <v>330</v>
      </c>
      <c r="N413" t="s">
        <v>44</v>
      </c>
      <c r="O413" t="s">
        <v>1786</v>
      </c>
      <c r="P413">
        <v>95</v>
      </c>
      <c r="Q413" t="s">
        <v>11</v>
      </c>
      <c r="R413" s="2">
        <v>3.5416666666666666E-2</v>
      </c>
      <c r="S413">
        <v>51</v>
      </c>
      <c r="T413">
        <v>94.77</v>
      </c>
      <c r="U413">
        <v>5</v>
      </c>
      <c r="V413">
        <v>0.45</v>
      </c>
      <c r="W413">
        <v>0.42599999999999999</v>
      </c>
    </row>
    <row r="414" spans="1:23" x14ac:dyDescent="0.3">
      <c r="A414" t="s">
        <v>1014</v>
      </c>
      <c r="B414" s="1">
        <v>45225</v>
      </c>
      <c r="C414" s="2">
        <v>0.21527777777777779</v>
      </c>
      <c r="D414" t="s">
        <v>1043</v>
      </c>
      <c r="E414">
        <v>41</v>
      </c>
      <c r="F414" t="s">
        <v>812</v>
      </c>
      <c r="G414" t="s">
        <v>1043</v>
      </c>
      <c r="H414" t="s">
        <v>44</v>
      </c>
      <c r="I414">
        <v>-4.9552579999999997</v>
      </c>
      <c r="J414">
        <v>22.008103999999999</v>
      </c>
      <c r="K414" t="s">
        <v>1498</v>
      </c>
      <c r="L414" t="s">
        <v>1499</v>
      </c>
      <c r="M414" t="s">
        <v>385</v>
      </c>
      <c r="N414" t="s">
        <v>44</v>
      </c>
      <c r="O414" t="s">
        <v>1785</v>
      </c>
      <c r="P414">
        <v>106</v>
      </c>
      <c r="Q414" t="s">
        <v>22</v>
      </c>
      <c r="R414" s="2">
        <v>0.28263888888888888</v>
      </c>
      <c r="S414">
        <v>407</v>
      </c>
      <c r="T414">
        <v>59.92</v>
      </c>
      <c r="U414">
        <v>4</v>
      </c>
      <c r="V414">
        <v>0.45</v>
      </c>
      <c r="W414">
        <v>0.27</v>
      </c>
    </row>
    <row r="415" spans="1:23" x14ac:dyDescent="0.3">
      <c r="A415" t="s">
        <v>1014</v>
      </c>
      <c r="B415" s="1">
        <v>45225</v>
      </c>
      <c r="C415" s="2">
        <v>0.21527777777777779</v>
      </c>
      <c r="D415" t="s">
        <v>1043</v>
      </c>
      <c r="E415">
        <v>41</v>
      </c>
      <c r="F415" t="s">
        <v>812</v>
      </c>
      <c r="G415" t="s">
        <v>1043</v>
      </c>
      <c r="H415" t="s">
        <v>44</v>
      </c>
      <c r="I415">
        <v>-4.9552579999999997</v>
      </c>
      <c r="J415">
        <v>22.008103999999999</v>
      </c>
      <c r="K415" t="s">
        <v>1498</v>
      </c>
      <c r="L415" t="s">
        <v>1499</v>
      </c>
      <c r="M415" t="s">
        <v>405</v>
      </c>
      <c r="N415" t="s">
        <v>44</v>
      </c>
      <c r="O415" t="s">
        <v>1717</v>
      </c>
      <c r="P415">
        <v>2</v>
      </c>
      <c r="Q415" t="s">
        <v>11</v>
      </c>
      <c r="R415" s="2">
        <v>1.4583333333333334E-2</v>
      </c>
      <c r="S415">
        <v>21</v>
      </c>
      <c r="T415">
        <v>51.68</v>
      </c>
      <c r="U415">
        <v>3</v>
      </c>
      <c r="V415">
        <v>0.45</v>
      </c>
      <c r="W415">
        <v>0.23300000000000001</v>
      </c>
    </row>
    <row r="416" spans="1:23" x14ac:dyDescent="0.3">
      <c r="A416" t="s">
        <v>1014</v>
      </c>
      <c r="B416" s="1">
        <v>45225</v>
      </c>
      <c r="C416" s="2">
        <v>0.21527777777777779</v>
      </c>
      <c r="D416" t="s">
        <v>1043</v>
      </c>
      <c r="E416">
        <v>41</v>
      </c>
      <c r="F416" t="s">
        <v>812</v>
      </c>
      <c r="G416" t="s">
        <v>1043</v>
      </c>
      <c r="H416" t="s">
        <v>44</v>
      </c>
      <c r="I416">
        <v>-4.9552579999999997</v>
      </c>
      <c r="J416">
        <v>22.008103999999999</v>
      </c>
      <c r="K416" t="s">
        <v>1498</v>
      </c>
      <c r="L416" t="s">
        <v>1499</v>
      </c>
      <c r="M416" t="s">
        <v>425</v>
      </c>
      <c r="N416" t="s">
        <v>44</v>
      </c>
      <c r="O416" t="s">
        <v>1748</v>
      </c>
      <c r="P416">
        <v>45</v>
      </c>
      <c r="Q416" t="s">
        <v>22</v>
      </c>
      <c r="R416" s="2">
        <v>1.8055555555555554E-2</v>
      </c>
      <c r="S416">
        <v>26</v>
      </c>
      <c r="T416">
        <v>30.35</v>
      </c>
      <c r="U416">
        <v>1</v>
      </c>
      <c r="V416">
        <v>0.45</v>
      </c>
      <c r="W416">
        <v>0.13700000000000001</v>
      </c>
    </row>
    <row r="417" spans="1:23" x14ac:dyDescent="0.3">
      <c r="A417" t="s">
        <v>1014</v>
      </c>
      <c r="B417" s="1">
        <v>45225</v>
      </c>
      <c r="C417" s="2">
        <v>0.21527777777777779</v>
      </c>
      <c r="D417" t="s">
        <v>1043</v>
      </c>
      <c r="E417">
        <v>41</v>
      </c>
      <c r="F417" t="s">
        <v>812</v>
      </c>
      <c r="G417" t="s">
        <v>1043</v>
      </c>
      <c r="H417" t="s">
        <v>44</v>
      </c>
      <c r="I417">
        <v>-4.9552579999999997</v>
      </c>
      <c r="J417">
        <v>22.008103999999999</v>
      </c>
      <c r="K417" t="s">
        <v>1498</v>
      </c>
      <c r="L417" t="s">
        <v>1499</v>
      </c>
      <c r="M417" t="s">
        <v>466</v>
      </c>
      <c r="N417" t="s">
        <v>44</v>
      </c>
      <c r="O417" t="s">
        <v>1827</v>
      </c>
      <c r="P417">
        <v>28</v>
      </c>
      <c r="Q417" t="s">
        <v>22</v>
      </c>
      <c r="R417" s="2">
        <v>7.7777777777777779E-2</v>
      </c>
      <c r="S417">
        <v>112</v>
      </c>
      <c r="T417">
        <v>94.51</v>
      </c>
      <c r="U417">
        <v>3</v>
      </c>
      <c r="V417">
        <v>0.45</v>
      </c>
      <c r="W417">
        <v>0.42499999999999999</v>
      </c>
    </row>
    <row r="418" spans="1:23" x14ac:dyDescent="0.3">
      <c r="A418" t="s">
        <v>1014</v>
      </c>
      <c r="B418" s="1">
        <v>45225</v>
      </c>
      <c r="C418" s="2">
        <v>0.21527777777777779</v>
      </c>
      <c r="D418" t="s">
        <v>1043</v>
      </c>
      <c r="E418">
        <v>41</v>
      </c>
      <c r="F418" t="s">
        <v>812</v>
      </c>
      <c r="G418" t="s">
        <v>1043</v>
      </c>
      <c r="H418" t="s">
        <v>44</v>
      </c>
      <c r="I418">
        <v>-4.9552579999999997</v>
      </c>
      <c r="J418">
        <v>22.008103999999999</v>
      </c>
      <c r="K418" t="s">
        <v>1498</v>
      </c>
      <c r="L418" t="s">
        <v>1499</v>
      </c>
      <c r="M418" t="s">
        <v>469</v>
      </c>
      <c r="N418" t="s">
        <v>44</v>
      </c>
      <c r="O418" t="s">
        <v>1721</v>
      </c>
      <c r="P418">
        <v>36</v>
      </c>
      <c r="Q418" t="s">
        <v>11</v>
      </c>
      <c r="R418" s="2">
        <v>9.5138888888888884E-2</v>
      </c>
      <c r="S418">
        <v>137</v>
      </c>
      <c r="T418">
        <v>71.930000000000007</v>
      </c>
      <c r="U418">
        <v>0</v>
      </c>
      <c r="V418">
        <v>0.45</v>
      </c>
      <c r="W418">
        <v>0.32400000000000001</v>
      </c>
    </row>
    <row r="419" spans="1:23" x14ac:dyDescent="0.3">
      <c r="A419" t="s">
        <v>1014</v>
      </c>
      <c r="B419" s="1">
        <v>45225</v>
      </c>
      <c r="C419" s="2">
        <v>0.21527777777777779</v>
      </c>
      <c r="D419" t="s">
        <v>1043</v>
      </c>
      <c r="E419">
        <v>41</v>
      </c>
      <c r="F419" t="s">
        <v>812</v>
      </c>
      <c r="G419" t="s">
        <v>1043</v>
      </c>
      <c r="H419" t="s">
        <v>44</v>
      </c>
      <c r="I419">
        <v>-4.9552579999999997</v>
      </c>
      <c r="J419">
        <v>22.008103999999999</v>
      </c>
      <c r="K419" t="s">
        <v>1498</v>
      </c>
      <c r="L419" t="s">
        <v>1499</v>
      </c>
      <c r="M419" t="s">
        <v>474</v>
      </c>
      <c r="N419" t="s">
        <v>44</v>
      </c>
      <c r="O419" t="s">
        <v>1744</v>
      </c>
      <c r="P419">
        <v>24</v>
      </c>
      <c r="Q419" t="s">
        <v>14</v>
      </c>
      <c r="R419" s="2">
        <v>1.5972222222222221E-2</v>
      </c>
      <c r="S419">
        <v>23</v>
      </c>
      <c r="T419">
        <v>28.55</v>
      </c>
      <c r="U419">
        <v>1</v>
      </c>
      <c r="V419">
        <v>0.1</v>
      </c>
      <c r="W419">
        <v>2.9000000000000001E-2</v>
      </c>
    </row>
    <row r="420" spans="1:23" x14ac:dyDescent="0.3">
      <c r="A420" t="s">
        <v>1014</v>
      </c>
      <c r="B420" s="1">
        <v>45225</v>
      </c>
      <c r="C420" s="2">
        <v>0.21527777777777779</v>
      </c>
      <c r="D420" t="s">
        <v>1043</v>
      </c>
      <c r="E420">
        <v>41</v>
      </c>
      <c r="F420" t="s">
        <v>812</v>
      </c>
      <c r="G420" t="s">
        <v>1043</v>
      </c>
      <c r="H420" t="s">
        <v>44</v>
      </c>
      <c r="I420">
        <v>-4.9552579999999997</v>
      </c>
      <c r="J420">
        <v>22.008103999999999</v>
      </c>
      <c r="K420" t="s">
        <v>1498</v>
      </c>
      <c r="L420" t="s">
        <v>1499</v>
      </c>
      <c r="M420" t="s">
        <v>510</v>
      </c>
      <c r="N420" t="s">
        <v>44</v>
      </c>
      <c r="O420" t="s">
        <v>1734</v>
      </c>
      <c r="P420">
        <v>113</v>
      </c>
      <c r="Q420" t="s">
        <v>22</v>
      </c>
      <c r="R420" s="2">
        <v>0.29722222222222222</v>
      </c>
      <c r="S420">
        <v>428</v>
      </c>
      <c r="T420">
        <v>73.84</v>
      </c>
      <c r="U420">
        <v>0</v>
      </c>
      <c r="V420">
        <v>0.45</v>
      </c>
      <c r="W420">
        <v>0.33200000000000002</v>
      </c>
    </row>
    <row r="421" spans="1:23" x14ac:dyDescent="0.3">
      <c r="A421" t="s">
        <v>1014</v>
      </c>
      <c r="B421" s="1">
        <v>45225</v>
      </c>
      <c r="C421" s="2">
        <v>0.21527777777777779</v>
      </c>
      <c r="D421" t="s">
        <v>1043</v>
      </c>
      <c r="E421">
        <v>41</v>
      </c>
      <c r="F421" t="s">
        <v>812</v>
      </c>
      <c r="G421" t="s">
        <v>1043</v>
      </c>
      <c r="H421" t="s">
        <v>44</v>
      </c>
      <c r="I421">
        <v>-4.9552579999999997</v>
      </c>
      <c r="J421">
        <v>22.008103999999999</v>
      </c>
      <c r="K421" t="s">
        <v>1498</v>
      </c>
      <c r="L421" t="s">
        <v>1499</v>
      </c>
      <c r="M421" t="s">
        <v>517</v>
      </c>
      <c r="N421" t="s">
        <v>44</v>
      </c>
      <c r="O421" t="s">
        <v>1788</v>
      </c>
      <c r="P421">
        <v>120</v>
      </c>
      <c r="Q421" t="s">
        <v>14</v>
      </c>
      <c r="R421" s="2">
        <v>0.05</v>
      </c>
      <c r="S421">
        <v>72</v>
      </c>
      <c r="T421">
        <v>29.07</v>
      </c>
      <c r="U421">
        <v>3</v>
      </c>
      <c r="V421">
        <v>0.1</v>
      </c>
      <c r="W421">
        <v>2.9000000000000001E-2</v>
      </c>
    </row>
    <row r="422" spans="1:23" x14ac:dyDescent="0.3">
      <c r="A422" t="s">
        <v>1014</v>
      </c>
      <c r="B422" s="1">
        <v>45225</v>
      </c>
      <c r="C422" s="2">
        <v>0.21527777777777779</v>
      </c>
      <c r="D422" t="s">
        <v>1043</v>
      </c>
      <c r="E422">
        <v>41</v>
      </c>
      <c r="F422" t="s">
        <v>812</v>
      </c>
      <c r="G422" t="s">
        <v>1043</v>
      </c>
      <c r="H422" t="s">
        <v>44</v>
      </c>
      <c r="I422">
        <v>-4.9552579999999997</v>
      </c>
      <c r="J422">
        <v>22.008103999999999</v>
      </c>
      <c r="K422" t="s">
        <v>1498</v>
      </c>
      <c r="L422" t="s">
        <v>1499</v>
      </c>
      <c r="M422" t="s">
        <v>542</v>
      </c>
      <c r="N422" t="s">
        <v>44</v>
      </c>
      <c r="O422" t="s">
        <v>1758</v>
      </c>
      <c r="P422">
        <v>15</v>
      </c>
      <c r="Q422" t="s">
        <v>19</v>
      </c>
      <c r="R422" s="2">
        <v>0.27777777777777779</v>
      </c>
      <c r="S422">
        <v>400</v>
      </c>
      <c r="T422">
        <v>78.09</v>
      </c>
      <c r="U422">
        <v>0</v>
      </c>
      <c r="V422">
        <v>0.45</v>
      </c>
      <c r="W422">
        <v>0.35099999999999998</v>
      </c>
    </row>
    <row r="423" spans="1:23" x14ac:dyDescent="0.3">
      <c r="A423" t="s">
        <v>1014</v>
      </c>
      <c r="B423" s="1">
        <v>45225</v>
      </c>
      <c r="C423" s="2">
        <v>0.21527777777777779</v>
      </c>
      <c r="D423" t="s">
        <v>1043</v>
      </c>
      <c r="E423">
        <v>41</v>
      </c>
      <c r="F423" t="s">
        <v>812</v>
      </c>
      <c r="G423" t="s">
        <v>1043</v>
      </c>
      <c r="H423" t="s">
        <v>44</v>
      </c>
      <c r="I423">
        <v>-4.9552579999999997</v>
      </c>
      <c r="J423">
        <v>22.008103999999999</v>
      </c>
      <c r="K423" t="s">
        <v>1498</v>
      </c>
      <c r="L423" t="s">
        <v>1499</v>
      </c>
      <c r="M423" t="s">
        <v>548</v>
      </c>
      <c r="N423" t="s">
        <v>44</v>
      </c>
      <c r="O423" t="s">
        <v>1805</v>
      </c>
      <c r="P423">
        <v>38</v>
      </c>
      <c r="Q423" t="s">
        <v>19</v>
      </c>
      <c r="R423" s="2">
        <v>7.4999999999999997E-2</v>
      </c>
      <c r="S423">
        <v>108</v>
      </c>
      <c r="T423">
        <v>72.7</v>
      </c>
      <c r="U423">
        <v>3</v>
      </c>
      <c r="V423">
        <v>0.45</v>
      </c>
      <c r="W423">
        <v>0.32700000000000001</v>
      </c>
    </row>
    <row r="424" spans="1:23" x14ac:dyDescent="0.3">
      <c r="A424" t="s">
        <v>1014</v>
      </c>
      <c r="B424" s="1">
        <v>45225</v>
      </c>
      <c r="C424" s="2">
        <v>0.21527777777777779</v>
      </c>
      <c r="D424" t="s">
        <v>1043</v>
      </c>
      <c r="E424">
        <v>41</v>
      </c>
      <c r="F424" t="s">
        <v>812</v>
      </c>
      <c r="G424" t="s">
        <v>1043</v>
      </c>
      <c r="H424" t="s">
        <v>44</v>
      </c>
      <c r="I424">
        <v>-4.9552579999999997</v>
      </c>
      <c r="J424">
        <v>22.008103999999999</v>
      </c>
      <c r="K424" t="s">
        <v>1498</v>
      </c>
      <c r="L424" t="s">
        <v>1499</v>
      </c>
      <c r="M424" t="s">
        <v>562</v>
      </c>
      <c r="N424" t="s">
        <v>44</v>
      </c>
      <c r="O424" t="s">
        <v>1799</v>
      </c>
      <c r="P424">
        <v>61</v>
      </c>
      <c r="Q424" t="s">
        <v>11</v>
      </c>
      <c r="R424" s="2">
        <v>9.7222222222222224E-2</v>
      </c>
      <c r="S424">
        <v>140</v>
      </c>
      <c r="T424">
        <v>76.3</v>
      </c>
      <c r="U424">
        <v>4</v>
      </c>
      <c r="V424">
        <v>0.45</v>
      </c>
      <c r="W424">
        <v>0.34300000000000003</v>
      </c>
    </row>
    <row r="425" spans="1:23" x14ac:dyDescent="0.3">
      <c r="A425" t="s">
        <v>805</v>
      </c>
      <c r="B425" s="1">
        <v>45201</v>
      </c>
      <c r="C425" s="2">
        <v>0.88472222222222219</v>
      </c>
      <c r="D425" t="s">
        <v>833</v>
      </c>
      <c r="E425">
        <v>54</v>
      </c>
      <c r="F425" t="s">
        <v>812</v>
      </c>
      <c r="G425" t="s">
        <v>833</v>
      </c>
      <c r="H425" t="s">
        <v>131</v>
      </c>
      <c r="I425">
        <v>4.6287159999999998</v>
      </c>
      <c r="J425">
        <v>19.407077999999998</v>
      </c>
      <c r="K425" t="s">
        <v>1498</v>
      </c>
      <c r="L425" t="s">
        <v>1496</v>
      </c>
      <c r="M425" t="s">
        <v>130</v>
      </c>
      <c r="N425" t="s">
        <v>131</v>
      </c>
      <c r="O425" t="s">
        <v>1722</v>
      </c>
      <c r="P425">
        <v>16</v>
      </c>
      <c r="Q425" t="s">
        <v>19</v>
      </c>
      <c r="R425" s="2">
        <v>0.27083333333333331</v>
      </c>
      <c r="S425">
        <v>390</v>
      </c>
      <c r="T425">
        <v>98.17</v>
      </c>
      <c r="U425">
        <v>5</v>
      </c>
      <c r="V425">
        <v>0.45</v>
      </c>
      <c r="W425">
        <v>0.442</v>
      </c>
    </row>
    <row r="426" spans="1:23" x14ac:dyDescent="0.3">
      <c r="A426" t="s">
        <v>805</v>
      </c>
      <c r="B426" s="1">
        <v>45201</v>
      </c>
      <c r="C426" s="2">
        <v>0.88472222222222219</v>
      </c>
      <c r="D426" t="s">
        <v>833</v>
      </c>
      <c r="E426">
        <v>54</v>
      </c>
      <c r="F426" t="s">
        <v>812</v>
      </c>
      <c r="G426" t="s">
        <v>833</v>
      </c>
      <c r="H426" t="s">
        <v>131</v>
      </c>
      <c r="I426">
        <v>4.6287159999999998</v>
      </c>
      <c r="J426">
        <v>19.407077999999998</v>
      </c>
      <c r="K426" t="s">
        <v>1498</v>
      </c>
      <c r="L426" t="s">
        <v>1496</v>
      </c>
      <c r="M426" t="s">
        <v>157</v>
      </c>
      <c r="N426" t="s">
        <v>131</v>
      </c>
      <c r="O426" t="s">
        <v>1777</v>
      </c>
      <c r="P426">
        <v>56</v>
      </c>
      <c r="Q426" t="s">
        <v>19</v>
      </c>
      <c r="R426" s="2">
        <v>0.23125000000000001</v>
      </c>
      <c r="S426">
        <v>333</v>
      </c>
      <c r="T426">
        <v>23.01</v>
      </c>
      <c r="U426">
        <v>2</v>
      </c>
      <c r="V426">
        <v>0.45</v>
      </c>
      <c r="W426">
        <v>0.104</v>
      </c>
    </row>
    <row r="427" spans="1:23" x14ac:dyDescent="0.3">
      <c r="A427" t="s">
        <v>805</v>
      </c>
      <c r="B427" s="1">
        <v>45201</v>
      </c>
      <c r="C427" s="2">
        <v>0.88472222222222219</v>
      </c>
      <c r="D427" t="s">
        <v>833</v>
      </c>
      <c r="E427">
        <v>54</v>
      </c>
      <c r="F427" t="s">
        <v>812</v>
      </c>
      <c r="G427" t="s">
        <v>833</v>
      </c>
      <c r="H427" t="s">
        <v>131</v>
      </c>
      <c r="I427">
        <v>4.6287159999999998</v>
      </c>
      <c r="J427">
        <v>19.407077999999998</v>
      </c>
      <c r="K427" t="s">
        <v>1498</v>
      </c>
      <c r="L427" t="s">
        <v>1496</v>
      </c>
      <c r="M427" t="s">
        <v>202</v>
      </c>
      <c r="N427" t="s">
        <v>131</v>
      </c>
      <c r="O427" t="s">
        <v>1725</v>
      </c>
      <c r="P427">
        <v>92</v>
      </c>
      <c r="Q427" t="s">
        <v>14</v>
      </c>
      <c r="R427" s="2">
        <v>0.33819444444444446</v>
      </c>
      <c r="S427">
        <v>487</v>
      </c>
      <c r="T427">
        <v>58.38</v>
      </c>
      <c r="U427">
        <v>1</v>
      </c>
      <c r="V427">
        <v>0.1</v>
      </c>
      <c r="W427">
        <v>5.8000000000000003E-2</v>
      </c>
    </row>
    <row r="428" spans="1:23" x14ac:dyDescent="0.3">
      <c r="A428" t="s">
        <v>805</v>
      </c>
      <c r="B428" s="1">
        <v>45201</v>
      </c>
      <c r="C428" s="2">
        <v>0.88472222222222219</v>
      </c>
      <c r="D428" t="s">
        <v>833</v>
      </c>
      <c r="E428">
        <v>54</v>
      </c>
      <c r="F428" t="s">
        <v>812</v>
      </c>
      <c r="G428" t="s">
        <v>833</v>
      </c>
      <c r="H428" t="s">
        <v>131</v>
      </c>
      <c r="I428">
        <v>4.6287159999999998</v>
      </c>
      <c r="J428">
        <v>19.407077999999998</v>
      </c>
      <c r="K428" t="s">
        <v>1498</v>
      </c>
      <c r="L428" t="s">
        <v>1496</v>
      </c>
      <c r="M428" t="s">
        <v>240</v>
      </c>
      <c r="N428" t="s">
        <v>131</v>
      </c>
      <c r="O428" t="s">
        <v>1730</v>
      </c>
      <c r="P428">
        <v>18</v>
      </c>
      <c r="Q428" t="s">
        <v>14</v>
      </c>
      <c r="R428" s="2">
        <v>4.9305555555555554E-2</v>
      </c>
      <c r="S428">
        <v>71</v>
      </c>
      <c r="T428">
        <v>46.98</v>
      </c>
      <c r="U428">
        <v>2</v>
      </c>
      <c r="V428">
        <v>0.1</v>
      </c>
      <c r="W428">
        <v>4.7E-2</v>
      </c>
    </row>
    <row r="429" spans="1:23" x14ac:dyDescent="0.3">
      <c r="A429" t="s">
        <v>805</v>
      </c>
      <c r="B429" s="1">
        <v>45201</v>
      </c>
      <c r="C429" s="2">
        <v>0.88472222222222219</v>
      </c>
      <c r="D429" t="s">
        <v>833</v>
      </c>
      <c r="E429">
        <v>54</v>
      </c>
      <c r="F429" t="s">
        <v>812</v>
      </c>
      <c r="G429" t="s">
        <v>833</v>
      </c>
      <c r="H429" t="s">
        <v>131</v>
      </c>
      <c r="I429">
        <v>4.6287159999999998</v>
      </c>
      <c r="J429">
        <v>19.407077999999998</v>
      </c>
      <c r="K429" t="s">
        <v>1498</v>
      </c>
      <c r="L429" t="s">
        <v>1496</v>
      </c>
      <c r="M429" t="s">
        <v>243</v>
      </c>
      <c r="N429" t="s">
        <v>131</v>
      </c>
      <c r="O429" t="s">
        <v>1751</v>
      </c>
      <c r="P429">
        <v>65</v>
      </c>
      <c r="Q429" t="s">
        <v>19</v>
      </c>
      <c r="R429" s="2">
        <v>8.1944444444444445E-2</v>
      </c>
      <c r="S429">
        <v>118</v>
      </c>
      <c r="T429">
        <v>72.430000000000007</v>
      </c>
      <c r="U429">
        <v>1</v>
      </c>
      <c r="V429">
        <v>0.45</v>
      </c>
      <c r="W429">
        <v>0.32600000000000001</v>
      </c>
    </row>
    <row r="430" spans="1:23" x14ac:dyDescent="0.3">
      <c r="A430" t="s">
        <v>805</v>
      </c>
      <c r="B430" s="1">
        <v>45201</v>
      </c>
      <c r="C430" s="2">
        <v>0.88472222222222219</v>
      </c>
      <c r="D430" t="s">
        <v>833</v>
      </c>
      <c r="E430">
        <v>54</v>
      </c>
      <c r="F430" t="s">
        <v>812</v>
      </c>
      <c r="G430" t="s">
        <v>833</v>
      </c>
      <c r="H430" t="s">
        <v>131</v>
      </c>
      <c r="I430">
        <v>4.6287159999999998</v>
      </c>
      <c r="J430">
        <v>19.407077999999998</v>
      </c>
      <c r="K430" t="s">
        <v>1498</v>
      </c>
      <c r="L430" t="s">
        <v>1496</v>
      </c>
      <c r="M430" t="s">
        <v>254</v>
      </c>
      <c r="N430" t="s">
        <v>131</v>
      </c>
      <c r="O430" t="s">
        <v>1732</v>
      </c>
      <c r="P430">
        <v>44</v>
      </c>
      <c r="Q430" t="s">
        <v>19</v>
      </c>
      <c r="R430" s="2">
        <v>0.13819444444444445</v>
      </c>
      <c r="S430">
        <v>199</v>
      </c>
      <c r="T430">
        <v>67.650000000000006</v>
      </c>
      <c r="U430">
        <v>0</v>
      </c>
      <c r="V430">
        <v>0.45</v>
      </c>
      <c r="W430">
        <v>0.30399999999999999</v>
      </c>
    </row>
    <row r="431" spans="1:23" x14ac:dyDescent="0.3">
      <c r="A431" t="s">
        <v>805</v>
      </c>
      <c r="B431" s="1">
        <v>45201</v>
      </c>
      <c r="C431" s="2">
        <v>0.88472222222222219</v>
      </c>
      <c r="D431" t="s">
        <v>833</v>
      </c>
      <c r="E431">
        <v>54</v>
      </c>
      <c r="F431" t="s">
        <v>812</v>
      </c>
      <c r="G431" t="s">
        <v>833</v>
      </c>
      <c r="H431" t="s">
        <v>131</v>
      </c>
      <c r="I431">
        <v>4.6287159999999998</v>
      </c>
      <c r="J431">
        <v>19.407077999999998</v>
      </c>
      <c r="K431" t="s">
        <v>1498</v>
      </c>
      <c r="L431" t="s">
        <v>1496</v>
      </c>
      <c r="M431" t="s">
        <v>260</v>
      </c>
      <c r="N431" t="s">
        <v>131</v>
      </c>
      <c r="O431" t="s">
        <v>1825</v>
      </c>
      <c r="P431">
        <v>5</v>
      </c>
      <c r="Q431" t="s">
        <v>11</v>
      </c>
      <c r="R431" s="2">
        <v>0.28958333333333336</v>
      </c>
      <c r="S431">
        <v>417</v>
      </c>
      <c r="T431">
        <v>90.71</v>
      </c>
      <c r="U431">
        <v>1</v>
      </c>
      <c r="V431">
        <v>0.45</v>
      </c>
      <c r="W431">
        <v>0.40799999999999997</v>
      </c>
    </row>
    <row r="432" spans="1:23" x14ac:dyDescent="0.3">
      <c r="A432" t="s">
        <v>805</v>
      </c>
      <c r="B432" s="1">
        <v>45201</v>
      </c>
      <c r="C432" s="2">
        <v>0.88472222222222219</v>
      </c>
      <c r="D432" t="s">
        <v>833</v>
      </c>
      <c r="E432">
        <v>54</v>
      </c>
      <c r="F432" t="s">
        <v>812</v>
      </c>
      <c r="G432" t="s">
        <v>833</v>
      </c>
      <c r="H432" t="s">
        <v>131</v>
      </c>
      <c r="I432">
        <v>4.6287159999999998</v>
      </c>
      <c r="J432">
        <v>19.407077999999998</v>
      </c>
      <c r="K432" t="s">
        <v>1498</v>
      </c>
      <c r="L432" t="s">
        <v>1496</v>
      </c>
      <c r="M432" t="s">
        <v>303</v>
      </c>
      <c r="N432" t="s">
        <v>131</v>
      </c>
      <c r="O432" t="s">
        <v>1771</v>
      </c>
      <c r="P432">
        <v>118</v>
      </c>
      <c r="Q432" t="s">
        <v>14</v>
      </c>
      <c r="R432" s="2">
        <v>9.166666666666666E-2</v>
      </c>
      <c r="S432">
        <v>132</v>
      </c>
      <c r="T432">
        <v>40.880000000000003</v>
      </c>
      <c r="U432">
        <v>4</v>
      </c>
      <c r="V432">
        <v>0.1</v>
      </c>
      <c r="W432">
        <v>4.1000000000000002E-2</v>
      </c>
    </row>
    <row r="433" spans="1:23" x14ac:dyDescent="0.3">
      <c r="A433" t="s">
        <v>805</v>
      </c>
      <c r="B433" s="1">
        <v>45201</v>
      </c>
      <c r="C433" s="2">
        <v>0.88472222222222219</v>
      </c>
      <c r="D433" t="s">
        <v>833</v>
      </c>
      <c r="E433">
        <v>54</v>
      </c>
      <c r="F433" t="s">
        <v>812</v>
      </c>
      <c r="G433" t="s">
        <v>833</v>
      </c>
      <c r="H433" t="s">
        <v>131</v>
      </c>
      <c r="I433">
        <v>4.6287159999999998</v>
      </c>
      <c r="J433">
        <v>19.407077999999998</v>
      </c>
      <c r="K433" t="s">
        <v>1498</v>
      </c>
      <c r="L433" t="s">
        <v>1496</v>
      </c>
      <c r="M433" t="s">
        <v>315</v>
      </c>
      <c r="N433" t="s">
        <v>131</v>
      </c>
      <c r="O433" t="s">
        <v>1766</v>
      </c>
      <c r="P433">
        <v>97</v>
      </c>
      <c r="Q433" t="s">
        <v>19</v>
      </c>
      <c r="R433" s="2">
        <v>2.7777777777777776E-2</v>
      </c>
      <c r="S433">
        <v>40</v>
      </c>
      <c r="T433">
        <v>85.19</v>
      </c>
      <c r="U433">
        <v>1</v>
      </c>
      <c r="V433">
        <v>0.45</v>
      </c>
      <c r="W433">
        <v>0.38300000000000001</v>
      </c>
    </row>
    <row r="434" spans="1:23" x14ac:dyDescent="0.3">
      <c r="A434" t="s">
        <v>805</v>
      </c>
      <c r="B434" s="1">
        <v>45201</v>
      </c>
      <c r="C434" s="2">
        <v>0.88472222222222219</v>
      </c>
      <c r="D434" t="s">
        <v>833</v>
      </c>
      <c r="E434">
        <v>54</v>
      </c>
      <c r="F434" t="s">
        <v>812</v>
      </c>
      <c r="G434" t="s">
        <v>833</v>
      </c>
      <c r="H434" t="s">
        <v>131</v>
      </c>
      <c r="I434">
        <v>4.6287159999999998</v>
      </c>
      <c r="J434">
        <v>19.407077999999998</v>
      </c>
      <c r="K434" t="s">
        <v>1498</v>
      </c>
      <c r="L434" t="s">
        <v>1496</v>
      </c>
      <c r="M434" t="s">
        <v>320</v>
      </c>
      <c r="N434" t="s">
        <v>131</v>
      </c>
      <c r="O434" t="s">
        <v>1718</v>
      </c>
      <c r="P434">
        <v>63</v>
      </c>
      <c r="Q434" t="s">
        <v>14</v>
      </c>
      <c r="R434" s="2">
        <v>9.7916666666666666E-2</v>
      </c>
      <c r="S434">
        <v>141</v>
      </c>
      <c r="T434">
        <v>95.6</v>
      </c>
      <c r="U434">
        <v>4</v>
      </c>
      <c r="V434">
        <v>0.1</v>
      </c>
      <c r="W434">
        <v>9.6000000000000002E-2</v>
      </c>
    </row>
    <row r="435" spans="1:23" x14ac:dyDescent="0.3">
      <c r="A435" t="s">
        <v>805</v>
      </c>
      <c r="B435" s="1">
        <v>45201</v>
      </c>
      <c r="C435" s="2">
        <v>0.88472222222222219</v>
      </c>
      <c r="D435" t="s">
        <v>833</v>
      </c>
      <c r="E435">
        <v>54</v>
      </c>
      <c r="F435" t="s">
        <v>812</v>
      </c>
      <c r="G435" t="s">
        <v>833</v>
      </c>
      <c r="H435" t="s">
        <v>131</v>
      </c>
      <c r="I435">
        <v>4.6287159999999998</v>
      </c>
      <c r="J435">
        <v>19.407077999999998</v>
      </c>
      <c r="K435" t="s">
        <v>1498</v>
      </c>
      <c r="L435" t="s">
        <v>1496</v>
      </c>
      <c r="M435" t="s">
        <v>339</v>
      </c>
      <c r="N435" t="s">
        <v>131</v>
      </c>
      <c r="O435" t="s">
        <v>1797</v>
      </c>
      <c r="P435">
        <v>91</v>
      </c>
      <c r="Q435" t="s">
        <v>22</v>
      </c>
      <c r="R435" s="2">
        <v>0.28055555555555556</v>
      </c>
      <c r="S435">
        <v>404</v>
      </c>
      <c r="T435">
        <v>76.53</v>
      </c>
      <c r="U435">
        <v>5</v>
      </c>
      <c r="V435">
        <v>0.45</v>
      </c>
      <c r="W435">
        <v>0.34399999999999997</v>
      </c>
    </row>
    <row r="436" spans="1:23" x14ac:dyDescent="0.3">
      <c r="A436" t="s">
        <v>805</v>
      </c>
      <c r="B436" s="1">
        <v>45201</v>
      </c>
      <c r="C436" s="2">
        <v>0.88472222222222219</v>
      </c>
      <c r="D436" t="s">
        <v>833</v>
      </c>
      <c r="E436">
        <v>54</v>
      </c>
      <c r="F436" t="s">
        <v>812</v>
      </c>
      <c r="G436" t="s">
        <v>833</v>
      </c>
      <c r="H436" t="s">
        <v>131</v>
      </c>
      <c r="I436">
        <v>4.6287159999999998</v>
      </c>
      <c r="J436">
        <v>19.407077999999998</v>
      </c>
      <c r="K436" t="s">
        <v>1498</v>
      </c>
      <c r="L436" t="s">
        <v>1496</v>
      </c>
      <c r="M436" t="s">
        <v>341</v>
      </c>
      <c r="N436" t="s">
        <v>131</v>
      </c>
      <c r="O436" t="s">
        <v>1753</v>
      </c>
      <c r="P436">
        <v>4</v>
      </c>
      <c r="Q436" t="s">
        <v>14</v>
      </c>
      <c r="R436" s="2">
        <v>3.4027777777777775E-2</v>
      </c>
      <c r="S436">
        <v>49</v>
      </c>
      <c r="T436">
        <v>41.35</v>
      </c>
      <c r="U436">
        <v>5</v>
      </c>
      <c r="V436">
        <v>0.1</v>
      </c>
      <c r="W436">
        <v>4.1000000000000002E-2</v>
      </c>
    </row>
    <row r="437" spans="1:23" x14ac:dyDescent="0.3">
      <c r="A437" t="s">
        <v>805</v>
      </c>
      <c r="B437" s="1">
        <v>45201</v>
      </c>
      <c r="C437" s="2">
        <v>0.88472222222222219</v>
      </c>
      <c r="D437" t="s">
        <v>833</v>
      </c>
      <c r="E437">
        <v>54</v>
      </c>
      <c r="F437" t="s">
        <v>812</v>
      </c>
      <c r="G437" t="s">
        <v>833</v>
      </c>
      <c r="H437" t="s">
        <v>131</v>
      </c>
      <c r="I437">
        <v>4.6287159999999998</v>
      </c>
      <c r="J437">
        <v>19.407077999999998</v>
      </c>
      <c r="K437" t="s">
        <v>1498</v>
      </c>
      <c r="L437" t="s">
        <v>1496</v>
      </c>
      <c r="M437" t="s">
        <v>357</v>
      </c>
      <c r="N437" t="s">
        <v>131</v>
      </c>
      <c r="O437" t="s">
        <v>1793</v>
      </c>
      <c r="P437">
        <v>67</v>
      </c>
      <c r="Q437" t="s">
        <v>14</v>
      </c>
      <c r="R437" s="2">
        <v>1.8055555555555554E-2</v>
      </c>
      <c r="S437">
        <v>26</v>
      </c>
      <c r="T437">
        <v>81.489999999999995</v>
      </c>
      <c r="U437">
        <v>4</v>
      </c>
      <c r="V437">
        <v>0.1</v>
      </c>
      <c r="W437">
        <v>8.1000000000000003E-2</v>
      </c>
    </row>
    <row r="438" spans="1:23" x14ac:dyDescent="0.3">
      <c r="A438" t="s">
        <v>805</v>
      </c>
      <c r="B438" s="1">
        <v>45201</v>
      </c>
      <c r="C438" s="2">
        <v>0.88472222222222219</v>
      </c>
      <c r="D438" t="s">
        <v>833</v>
      </c>
      <c r="E438">
        <v>54</v>
      </c>
      <c r="F438" t="s">
        <v>812</v>
      </c>
      <c r="G438" t="s">
        <v>833</v>
      </c>
      <c r="H438" t="s">
        <v>131</v>
      </c>
      <c r="I438">
        <v>4.6287159999999998</v>
      </c>
      <c r="J438">
        <v>19.407077999999998</v>
      </c>
      <c r="K438" t="s">
        <v>1498</v>
      </c>
      <c r="L438" t="s">
        <v>1496</v>
      </c>
      <c r="M438" t="s">
        <v>362</v>
      </c>
      <c r="N438" t="s">
        <v>131</v>
      </c>
      <c r="O438" t="s">
        <v>1762</v>
      </c>
      <c r="P438">
        <v>14</v>
      </c>
      <c r="Q438" t="s">
        <v>14</v>
      </c>
      <c r="R438" s="2">
        <v>0.21041666666666667</v>
      </c>
      <c r="S438">
        <v>303</v>
      </c>
      <c r="T438">
        <v>61.43</v>
      </c>
      <c r="U438">
        <v>1</v>
      </c>
      <c r="V438">
        <v>0.1</v>
      </c>
      <c r="W438">
        <v>6.0999999999999999E-2</v>
      </c>
    </row>
    <row r="439" spans="1:23" x14ac:dyDescent="0.3">
      <c r="A439" t="s">
        <v>805</v>
      </c>
      <c r="B439" s="1">
        <v>45201</v>
      </c>
      <c r="C439" s="2">
        <v>0.88472222222222219</v>
      </c>
      <c r="D439" t="s">
        <v>833</v>
      </c>
      <c r="E439">
        <v>54</v>
      </c>
      <c r="F439" t="s">
        <v>812</v>
      </c>
      <c r="G439" t="s">
        <v>833</v>
      </c>
      <c r="H439" t="s">
        <v>131</v>
      </c>
      <c r="I439">
        <v>4.6287159999999998</v>
      </c>
      <c r="J439">
        <v>19.407077999999998</v>
      </c>
      <c r="K439" t="s">
        <v>1498</v>
      </c>
      <c r="L439" t="s">
        <v>1496</v>
      </c>
      <c r="M439" t="s">
        <v>387</v>
      </c>
      <c r="N439" t="s">
        <v>131</v>
      </c>
      <c r="O439" t="s">
        <v>1825</v>
      </c>
      <c r="P439">
        <v>5</v>
      </c>
      <c r="Q439" t="s">
        <v>22</v>
      </c>
      <c r="R439" s="2">
        <v>0.23402777777777778</v>
      </c>
      <c r="S439">
        <v>337</v>
      </c>
      <c r="T439">
        <v>21.07</v>
      </c>
      <c r="U439">
        <v>4</v>
      </c>
      <c r="V439">
        <v>0.45</v>
      </c>
      <c r="W439">
        <v>9.5000000000000001E-2</v>
      </c>
    </row>
    <row r="440" spans="1:23" x14ac:dyDescent="0.3">
      <c r="A440" t="s">
        <v>805</v>
      </c>
      <c r="B440" s="1">
        <v>45201</v>
      </c>
      <c r="C440" s="2">
        <v>0.88472222222222219</v>
      </c>
      <c r="D440" t="s">
        <v>833</v>
      </c>
      <c r="E440">
        <v>54</v>
      </c>
      <c r="F440" t="s">
        <v>812</v>
      </c>
      <c r="G440" t="s">
        <v>833</v>
      </c>
      <c r="H440" t="s">
        <v>131</v>
      </c>
      <c r="I440">
        <v>4.6287159999999998</v>
      </c>
      <c r="J440">
        <v>19.407077999999998</v>
      </c>
      <c r="K440" t="s">
        <v>1498</v>
      </c>
      <c r="L440" t="s">
        <v>1496</v>
      </c>
      <c r="M440" t="s">
        <v>395</v>
      </c>
      <c r="N440" t="s">
        <v>131</v>
      </c>
      <c r="O440" t="s">
        <v>1745</v>
      </c>
      <c r="P440">
        <v>47</v>
      </c>
      <c r="Q440" t="s">
        <v>14</v>
      </c>
      <c r="R440" s="2">
        <v>0.26250000000000001</v>
      </c>
      <c r="S440">
        <v>378</v>
      </c>
      <c r="T440">
        <v>36.42</v>
      </c>
      <c r="U440">
        <v>1</v>
      </c>
      <c r="V440">
        <v>0.1</v>
      </c>
      <c r="W440">
        <v>3.5999999999999997E-2</v>
      </c>
    </row>
    <row r="441" spans="1:23" x14ac:dyDescent="0.3">
      <c r="A441" t="s">
        <v>805</v>
      </c>
      <c r="B441" s="1">
        <v>45201</v>
      </c>
      <c r="C441" s="2">
        <v>0.88472222222222219</v>
      </c>
      <c r="D441" t="s">
        <v>833</v>
      </c>
      <c r="E441">
        <v>54</v>
      </c>
      <c r="F441" t="s">
        <v>812</v>
      </c>
      <c r="G441" t="s">
        <v>833</v>
      </c>
      <c r="H441" t="s">
        <v>131</v>
      </c>
      <c r="I441">
        <v>4.6287159999999998</v>
      </c>
      <c r="J441">
        <v>19.407077999999998</v>
      </c>
      <c r="K441" t="s">
        <v>1498</v>
      </c>
      <c r="L441" t="s">
        <v>1496</v>
      </c>
      <c r="M441" t="s">
        <v>398</v>
      </c>
      <c r="N441" t="s">
        <v>131</v>
      </c>
      <c r="O441" t="s">
        <v>1817</v>
      </c>
      <c r="P441">
        <v>100</v>
      </c>
      <c r="Q441" t="s">
        <v>19</v>
      </c>
      <c r="R441" s="2">
        <v>0.32708333333333334</v>
      </c>
      <c r="S441">
        <v>471</v>
      </c>
      <c r="T441">
        <v>61.2</v>
      </c>
      <c r="U441">
        <v>3</v>
      </c>
      <c r="V441">
        <v>0.45</v>
      </c>
      <c r="W441">
        <v>0.27500000000000002</v>
      </c>
    </row>
    <row r="442" spans="1:23" x14ac:dyDescent="0.3">
      <c r="A442" t="s">
        <v>805</v>
      </c>
      <c r="B442" s="1">
        <v>45201</v>
      </c>
      <c r="C442" s="2">
        <v>0.88472222222222219</v>
      </c>
      <c r="D442" t="s">
        <v>833</v>
      </c>
      <c r="E442">
        <v>54</v>
      </c>
      <c r="F442" t="s">
        <v>812</v>
      </c>
      <c r="G442" t="s">
        <v>833</v>
      </c>
      <c r="H442" t="s">
        <v>131</v>
      </c>
      <c r="I442">
        <v>4.6287159999999998</v>
      </c>
      <c r="J442">
        <v>19.407077999999998</v>
      </c>
      <c r="K442" t="s">
        <v>1498</v>
      </c>
      <c r="L442" t="s">
        <v>1496</v>
      </c>
      <c r="M442" t="s">
        <v>429</v>
      </c>
      <c r="N442" t="s">
        <v>131</v>
      </c>
      <c r="O442" t="s">
        <v>1828</v>
      </c>
      <c r="P442">
        <v>37</v>
      </c>
      <c r="Q442" t="s">
        <v>19</v>
      </c>
      <c r="R442" s="2">
        <v>6.0416666666666667E-2</v>
      </c>
      <c r="S442">
        <v>87</v>
      </c>
      <c r="T442">
        <v>26.4</v>
      </c>
      <c r="U442">
        <v>3</v>
      </c>
      <c r="V442">
        <v>0.45</v>
      </c>
      <c r="W442">
        <v>0.11899999999999999</v>
      </c>
    </row>
    <row r="443" spans="1:23" x14ac:dyDescent="0.3">
      <c r="A443" t="s">
        <v>805</v>
      </c>
      <c r="B443" s="1">
        <v>45201</v>
      </c>
      <c r="C443" s="2">
        <v>0.88472222222222219</v>
      </c>
      <c r="D443" t="s">
        <v>833</v>
      </c>
      <c r="E443">
        <v>54</v>
      </c>
      <c r="F443" t="s">
        <v>812</v>
      </c>
      <c r="G443" t="s">
        <v>833</v>
      </c>
      <c r="H443" t="s">
        <v>131</v>
      </c>
      <c r="I443">
        <v>4.6287159999999998</v>
      </c>
      <c r="J443">
        <v>19.407077999999998</v>
      </c>
      <c r="K443" t="s">
        <v>1498</v>
      </c>
      <c r="L443" t="s">
        <v>1496</v>
      </c>
      <c r="M443" t="s">
        <v>470</v>
      </c>
      <c r="N443" t="s">
        <v>131</v>
      </c>
      <c r="O443" t="s">
        <v>1784</v>
      </c>
      <c r="P443">
        <v>117</v>
      </c>
      <c r="Q443" t="s">
        <v>11</v>
      </c>
      <c r="R443" s="2">
        <v>0.19583333333333333</v>
      </c>
      <c r="S443">
        <v>282</v>
      </c>
      <c r="T443">
        <v>95.11</v>
      </c>
      <c r="U443">
        <v>0</v>
      </c>
      <c r="V443">
        <v>0.45</v>
      </c>
      <c r="W443">
        <v>0.42799999999999999</v>
      </c>
    </row>
    <row r="444" spans="1:23" x14ac:dyDescent="0.3">
      <c r="A444" t="s">
        <v>805</v>
      </c>
      <c r="B444" s="1">
        <v>45201</v>
      </c>
      <c r="C444" s="2">
        <v>0.88472222222222219</v>
      </c>
      <c r="D444" t="s">
        <v>833</v>
      </c>
      <c r="E444">
        <v>54</v>
      </c>
      <c r="F444" t="s">
        <v>812</v>
      </c>
      <c r="G444" t="s">
        <v>833</v>
      </c>
      <c r="H444" t="s">
        <v>131</v>
      </c>
      <c r="I444">
        <v>4.6287159999999998</v>
      </c>
      <c r="J444">
        <v>19.407077999999998</v>
      </c>
      <c r="K444" t="s">
        <v>1498</v>
      </c>
      <c r="L444" t="s">
        <v>1496</v>
      </c>
      <c r="M444" t="s">
        <v>481</v>
      </c>
      <c r="N444" t="s">
        <v>131</v>
      </c>
      <c r="O444" t="s">
        <v>1802</v>
      </c>
      <c r="P444">
        <v>13</v>
      </c>
      <c r="Q444" t="s">
        <v>22</v>
      </c>
      <c r="R444" s="2">
        <v>0.3347222222222222</v>
      </c>
      <c r="S444">
        <v>482</v>
      </c>
      <c r="T444">
        <v>50.15</v>
      </c>
      <c r="U444">
        <v>0</v>
      </c>
      <c r="V444">
        <v>0.45</v>
      </c>
      <c r="W444">
        <v>0.22600000000000001</v>
      </c>
    </row>
    <row r="445" spans="1:23" x14ac:dyDescent="0.3">
      <c r="A445" t="s">
        <v>805</v>
      </c>
      <c r="B445" s="1">
        <v>45201</v>
      </c>
      <c r="C445" s="2">
        <v>0.88472222222222219</v>
      </c>
      <c r="D445" t="s">
        <v>833</v>
      </c>
      <c r="E445">
        <v>54</v>
      </c>
      <c r="F445" t="s">
        <v>812</v>
      </c>
      <c r="G445" t="s">
        <v>833</v>
      </c>
      <c r="H445" t="s">
        <v>131</v>
      </c>
      <c r="I445">
        <v>4.6287159999999998</v>
      </c>
      <c r="J445">
        <v>19.407077999999998</v>
      </c>
      <c r="K445" t="s">
        <v>1498</v>
      </c>
      <c r="L445" t="s">
        <v>1496</v>
      </c>
      <c r="M445" t="s">
        <v>516</v>
      </c>
      <c r="N445" t="s">
        <v>131</v>
      </c>
      <c r="O445" t="s">
        <v>1715</v>
      </c>
      <c r="P445">
        <v>48</v>
      </c>
      <c r="Q445" t="s">
        <v>22</v>
      </c>
      <c r="R445" s="2">
        <v>0.12986111111111112</v>
      </c>
      <c r="S445">
        <v>187</v>
      </c>
      <c r="T445">
        <v>21.26</v>
      </c>
      <c r="U445">
        <v>2</v>
      </c>
      <c r="V445">
        <v>0.45</v>
      </c>
      <c r="W445">
        <v>9.6000000000000002E-2</v>
      </c>
    </row>
    <row r="446" spans="1:23" x14ac:dyDescent="0.3">
      <c r="A446" t="s">
        <v>805</v>
      </c>
      <c r="B446" s="1">
        <v>45201</v>
      </c>
      <c r="C446" s="2">
        <v>0.88472222222222219</v>
      </c>
      <c r="D446" t="s">
        <v>833</v>
      </c>
      <c r="E446">
        <v>54</v>
      </c>
      <c r="F446" t="s">
        <v>812</v>
      </c>
      <c r="G446" t="s">
        <v>833</v>
      </c>
      <c r="H446" t="s">
        <v>131</v>
      </c>
      <c r="I446">
        <v>4.6287159999999998</v>
      </c>
      <c r="J446">
        <v>19.407077999999998</v>
      </c>
      <c r="K446" t="s">
        <v>1498</v>
      </c>
      <c r="L446" t="s">
        <v>1496</v>
      </c>
      <c r="M446" t="s">
        <v>523</v>
      </c>
      <c r="N446" t="s">
        <v>131</v>
      </c>
      <c r="O446" t="s">
        <v>1735</v>
      </c>
      <c r="P446">
        <v>10</v>
      </c>
      <c r="Q446" t="s">
        <v>11</v>
      </c>
      <c r="R446" s="2">
        <v>0.2951388888888889</v>
      </c>
      <c r="S446">
        <v>425</v>
      </c>
      <c r="T446">
        <v>85.75</v>
      </c>
      <c r="U446">
        <v>0</v>
      </c>
      <c r="V446">
        <v>0.45</v>
      </c>
      <c r="W446">
        <v>0.38600000000000001</v>
      </c>
    </row>
    <row r="447" spans="1:23" x14ac:dyDescent="0.3">
      <c r="A447" t="s">
        <v>805</v>
      </c>
      <c r="B447" s="1">
        <v>45201</v>
      </c>
      <c r="C447" s="2">
        <v>0.88472222222222219</v>
      </c>
      <c r="D447" t="s">
        <v>833</v>
      </c>
      <c r="E447">
        <v>54</v>
      </c>
      <c r="F447" t="s">
        <v>812</v>
      </c>
      <c r="G447" t="s">
        <v>833</v>
      </c>
      <c r="H447" t="s">
        <v>131</v>
      </c>
      <c r="I447">
        <v>4.6287159999999998</v>
      </c>
      <c r="J447">
        <v>19.407077999999998</v>
      </c>
      <c r="K447" t="s">
        <v>1498</v>
      </c>
      <c r="L447" t="s">
        <v>1496</v>
      </c>
      <c r="M447" t="s">
        <v>572</v>
      </c>
      <c r="N447" t="s">
        <v>131</v>
      </c>
      <c r="O447" t="s">
        <v>1718</v>
      </c>
      <c r="P447">
        <v>63</v>
      </c>
      <c r="Q447" t="s">
        <v>22</v>
      </c>
      <c r="R447" s="2">
        <v>7.5694444444444439E-2</v>
      </c>
      <c r="S447">
        <v>109</v>
      </c>
      <c r="T447">
        <v>10.33</v>
      </c>
      <c r="U447">
        <v>3</v>
      </c>
      <c r="V447">
        <v>0.45</v>
      </c>
      <c r="W447">
        <v>4.5999999999999999E-2</v>
      </c>
    </row>
    <row r="448" spans="1:23" x14ac:dyDescent="0.3">
      <c r="A448" t="s">
        <v>805</v>
      </c>
      <c r="B448" s="1">
        <v>45203</v>
      </c>
      <c r="C448" s="2">
        <v>0.51180555555555551</v>
      </c>
      <c r="D448" t="s">
        <v>835</v>
      </c>
      <c r="E448">
        <v>64</v>
      </c>
      <c r="F448" t="s">
        <v>812</v>
      </c>
      <c r="G448" t="s">
        <v>835</v>
      </c>
      <c r="H448" t="s">
        <v>73</v>
      </c>
      <c r="I448">
        <v>0.23583499999999999</v>
      </c>
      <c r="J448">
        <v>24.889558999999998</v>
      </c>
      <c r="K448" t="s">
        <v>1500</v>
      </c>
      <c r="L448" t="s">
        <v>1501</v>
      </c>
      <c r="M448" t="s">
        <v>72</v>
      </c>
      <c r="N448" t="s">
        <v>73</v>
      </c>
      <c r="O448" t="s">
        <v>1763</v>
      </c>
      <c r="P448">
        <v>6</v>
      </c>
      <c r="Q448" t="s">
        <v>11</v>
      </c>
      <c r="R448" s="2">
        <v>0.14374999999999999</v>
      </c>
      <c r="S448">
        <v>207</v>
      </c>
      <c r="T448">
        <v>61.55</v>
      </c>
      <c r="U448">
        <v>0</v>
      </c>
      <c r="V448">
        <v>0.45</v>
      </c>
      <c r="W448">
        <v>0.27700000000000002</v>
      </c>
    </row>
    <row r="449" spans="1:23" x14ac:dyDescent="0.3">
      <c r="A449" t="s">
        <v>805</v>
      </c>
      <c r="B449" s="1">
        <v>45203</v>
      </c>
      <c r="C449" s="2">
        <v>0.51180555555555551</v>
      </c>
      <c r="D449" t="s">
        <v>835</v>
      </c>
      <c r="E449">
        <v>64</v>
      </c>
      <c r="F449" t="s">
        <v>812</v>
      </c>
      <c r="G449" t="s">
        <v>835</v>
      </c>
      <c r="H449" t="s">
        <v>73</v>
      </c>
      <c r="I449">
        <v>0.23583499999999999</v>
      </c>
      <c r="J449">
        <v>24.889558999999998</v>
      </c>
      <c r="K449" t="s">
        <v>1500</v>
      </c>
      <c r="L449" t="s">
        <v>1501</v>
      </c>
      <c r="M449" t="s">
        <v>92</v>
      </c>
      <c r="N449" t="s">
        <v>73</v>
      </c>
      <c r="O449" t="s">
        <v>1798</v>
      </c>
      <c r="P449">
        <v>58</v>
      </c>
      <c r="Q449" t="s">
        <v>22</v>
      </c>
      <c r="R449" s="2">
        <v>4.2361111111111113E-2</v>
      </c>
      <c r="S449">
        <v>61</v>
      </c>
      <c r="T449">
        <v>58.64</v>
      </c>
      <c r="U449">
        <v>3</v>
      </c>
      <c r="V449">
        <v>0.45</v>
      </c>
      <c r="W449">
        <v>0.26400000000000001</v>
      </c>
    </row>
    <row r="450" spans="1:23" x14ac:dyDescent="0.3">
      <c r="A450" t="s">
        <v>805</v>
      </c>
      <c r="B450" s="1">
        <v>45203</v>
      </c>
      <c r="C450" s="2">
        <v>0.51180555555555551</v>
      </c>
      <c r="D450" t="s">
        <v>835</v>
      </c>
      <c r="E450">
        <v>64</v>
      </c>
      <c r="F450" t="s">
        <v>812</v>
      </c>
      <c r="G450" t="s">
        <v>835</v>
      </c>
      <c r="H450" t="s">
        <v>73</v>
      </c>
      <c r="I450">
        <v>0.23583499999999999</v>
      </c>
      <c r="J450">
        <v>24.889558999999998</v>
      </c>
      <c r="K450" t="s">
        <v>1500</v>
      </c>
      <c r="L450" t="s">
        <v>1501</v>
      </c>
      <c r="M450" t="s">
        <v>139</v>
      </c>
      <c r="N450" t="s">
        <v>73</v>
      </c>
      <c r="O450" t="s">
        <v>1733</v>
      </c>
      <c r="P450">
        <v>74</v>
      </c>
      <c r="Q450" t="s">
        <v>11</v>
      </c>
      <c r="R450" s="2">
        <v>0.14444444444444443</v>
      </c>
      <c r="S450">
        <v>208</v>
      </c>
      <c r="T450">
        <v>39.56</v>
      </c>
      <c r="U450">
        <v>0</v>
      </c>
      <c r="V450">
        <v>0.45</v>
      </c>
      <c r="W450">
        <v>0.17799999999999999</v>
      </c>
    </row>
    <row r="451" spans="1:23" x14ac:dyDescent="0.3">
      <c r="A451" t="s">
        <v>805</v>
      </c>
      <c r="B451" s="1">
        <v>45203</v>
      </c>
      <c r="C451" s="2">
        <v>0.51180555555555551</v>
      </c>
      <c r="D451" t="s">
        <v>835</v>
      </c>
      <c r="E451">
        <v>64</v>
      </c>
      <c r="F451" t="s">
        <v>812</v>
      </c>
      <c r="G451" t="s">
        <v>835</v>
      </c>
      <c r="H451" t="s">
        <v>73</v>
      </c>
      <c r="I451">
        <v>0.23583499999999999</v>
      </c>
      <c r="J451">
        <v>24.889558999999998</v>
      </c>
      <c r="K451" t="s">
        <v>1500</v>
      </c>
      <c r="L451" t="s">
        <v>1501</v>
      </c>
      <c r="M451" t="s">
        <v>161</v>
      </c>
      <c r="N451" t="s">
        <v>73</v>
      </c>
      <c r="O451" t="s">
        <v>1722</v>
      </c>
      <c r="P451">
        <v>16</v>
      </c>
      <c r="Q451" t="s">
        <v>19</v>
      </c>
      <c r="R451" s="2">
        <v>9.0277777777777769E-3</v>
      </c>
      <c r="S451">
        <v>13</v>
      </c>
      <c r="T451">
        <v>14.91</v>
      </c>
      <c r="U451">
        <v>1</v>
      </c>
      <c r="V451">
        <v>0.45</v>
      </c>
      <c r="W451">
        <v>6.7000000000000004E-2</v>
      </c>
    </row>
    <row r="452" spans="1:23" x14ac:dyDescent="0.3">
      <c r="A452" t="s">
        <v>805</v>
      </c>
      <c r="B452" s="1">
        <v>45203</v>
      </c>
      <c r="C452" s="2">
        <v>0.51180555555555551</v>
      </c>
      <c r="D452" t="s">
        <v>835</v>
      </c>
      <c r="E452">
        <v>64</v>
      </c>
      <c r="F452" t="s">
        <v>812</v>
      </c>
      <c r="G452" t="s">
        <v>835</v>
      </c>
      <c r="H452" t="s">
        <v>73</v>
      </c>
      <c r="I452">
        <v>0.23583499999999999</v>
      </c>
      <c r="J452">
        <v>24.889558999999998</v>
      </c>
      <c r="K452" t="s">
        <v>1500</v>
      </c>
      <c r="L452" t="s">
        <v>1501</v>
      </c>
      <c r="M452" t="s">
        <v>182</v>
      </c>
      <c r="N452" t="s">
        <v>73</v>
      </c>
      <c r="O452" t="s">
        <v>1778</v>
      </c>
      <c r="P452">
        <v>43</v>
      </c>
      <c r="Q452" t="s">
        <v>19</v>
      </c>
      <c r="R452" s="2">
        <v>0.12569444444444444</v>
      </c>
      <c r="S452">
        <v>181</v>
      </c>
      <c r="T452">
        <v>72.39</v>
      </c>
      <c r="U452">
        <v>2</v>
      </c>
      <c r="V452">
        <v>0.45</v>
      </c>
      <c r="W452">
        <v>0.32600000000000001</v>
      </c>
    </row>
    <row r="453" spans="1:23" x14ac:dyDescent="0.3">
      <c r="A453" t="s">
        <v>805</v>
      </c>
      <c r="B453" s="1">
        <v>45203</v>
      </c>
      <c r="C453" s="2">
        <v>0.51180555555555551</v>
      </c>
      <c r="D453" t="s">
        <v>835</v>
      </c>
      <c r="E453">
        <v>64</v>
      </c>
      <c r="F453" t="s">
        <v>812</v>
      </c>
      <c r="G453" t="s">
        <v>835</v>
      </c>
      <c r="H453" t="s">
        <v>73</v>
      </c>
      <c r="I453">
        <v>0.23583499999999999</v>
      </c>
      <c r="J453">
        <v>24.889558999999998</v>
      </c>
      <c r="K453" t="s">
        <v>1500</v>
      </c>
      <c r="L453" t="s">
        <v>1501</v>
      </c>
      <c r="M453" t="s">
        <v>226</v>
      </c>
      <c r="N453" t="s">
        <v>73</v>
      </c>
      <c r="O453" t="s">
        <v>1783</v>
      </c>
      <c r="P453">
        <v>51</v>
      </c>
      <c r="Q453" t="s">
        <v>22</v>
      </c>
      <c r="R453" s="2">
        <v>0.30069444444444443</v>
      </c>
      <c r="S453">
        <v>433</v>
      </c>
      <c r="T453">
        <v>12.89</v>
      </c>
      <c r="U453">
        <v>1</v>
      </c>
      <c r="V453">
        <v>0.45</v>
      </c>
      <c r="W453">
        <v>5.8000000000000003E-2</v>
      </c>
    </row>
    <row r="454" spans="1:23" x14ac:dyDescent="0.3">
      <c r="A454" t="s">
        <v>805</v>
      </c>
      <c r="B454" s="1">
        <v>45203</v>
      </c>
      <c r="C454" s="2">
        <v>0.51180555555555551</v>
      </c>
      <c r="D454" t="s">
        <v>835</v>
      </c>
      <c r="E454">
        <v>64</v>
      </c>
      <c r="F454" t="s">
        <v>812</v>
      </c>
      <c r="G454" t="s">
        <v>835</v>
      </c>
      <c r="H454" t="s">
        <v>73</v>
      </c>
      <c r="I454">
        <v>0.23583499999999999</v>
      </c>
      <c r="J454">
        <v>24.889558999999998</v>
      </c>
      <c r="K454" t="s">
        <v>1500</v>
      </c>
      <c r="L454" t="s">
        <v>1501</v>
      </c>
      <c r="M454" t="s">
        <v>239</v>
      </c>
      <c r="N454" t="s">
        <v>73</v>
      </c>
      <c r="O454" t="s">
        <v>1772</v>
      </c>
      <c r="P454">
        <v>11</v>
      </c>
      <c r="Q454" t="s">
        <v>11</v>
      </c>
      <c r="R454" s="2">
        <v>0.13263888888888889</v>
      </c>
      <c r="S454">
        <v>191</v>
      </c>
      <c r="T454">
        <v>87.37</v>
      </c>
      <c r="U454">
        <v>3</v>
      </c>
      <c r="V454">
        <v>0.45</v>
      </c>
      <c r="W454">
        <v>0.39300000000000002</v>
      </c>
    </row>
    <row r="455" spans="1:23" x14ac:dyDescent="0.3">
      <c r="A455" t="s">
        <v>805</v>
      </c>
      <c r="B455" s="1">
        <v>45203</v>
      </c>
      <c r="C455" s="2">
        <v>0.51180555555555551</v>
      </c>
      <c r="D455" t="s">
        <v>835</v>
      </c>
      <c r="E455">
        <v>64</v>
      </c>
      <c r="F455" t="s">
        <v>812</v>
      </c>
      <c r="G455" t="s">
        <v>835</v>
      </c>
      <c r="H455" t="s">
        <v>73</v>
      </c>
      <c r="I455">
        <v>0.23583499999999999</v>
      </c>
      <c r="J455">
        <v>24.889558999999998</v>
      </c>
      <c r="K455" t="s">
        <v>1500</v>
      </c>
      <c r="L455" t="s">
        <v>1501</v>
      </c>
      <c r="M455" t="s">
        <v>284</v>
      </c>
      <c r="N455" t="s">
        <v>73</v>
      </c>
      <c r="O455" t="s">
        <v>1764</v>
      </c>
      <c r="P455">
        <v>108</v>
      </c>
      <c r="Q455" t="s">
        <v>14</v>
      </c>
      <c r="R455" s="2">
        <v>3.3333333333333333E-2</v>
      </c>
      <c r="S455">
        <v>48</v>
      </c>
      <c r="T455">
        <v>86.22</v>
      </c>
      <c r="U455">
        <v>3</v>
      </c>
      <c r="V455">
        <v>0.1</v>
      </c>
      <c r="W455">
        <v>8.5999999999999993E-2</v>
      </c>
    </row>
    <row r="456" spans="1:23" x14ac:dyDescent="0.3">
      <c r="A456" t="s">
        <v>805</v>
      </c>
      <c r="B456" s="1">
        <v>45203</v>
      </c>
      <c r="C456" s="2">
        <v>0.51180555555555551</v>
      </c>
      <c r="D456" t="s">
        <v>835</v>
      </c>
      <c r="E456">
        <v>64</v>
      </c>
      <c r="F456" t="s">
        <v>812</v>
      </c>
      <c r="G456" t="s">
        <v>835</v>
      </c>
      <c r="H456" t="s">
        <v>73</v>
      </c>
      <c r="I456">
        <v>0.23583499999999999</v>
      </c>
      <c r="J456">
        <v>24.889558999999998</v>
      </c>
      <c r="K456" t="s">
        <v>1500</v>
      </c>
      <c r="L456" t="s">
        <v>1501</v>
      </c>
      <c r="M456" t="s">
        <v>294</v>
      </c>
      <c r="N456" t="s">
        <v>73</v>
      </c>
      <c r="O456" t="s">
        <v>1715</v>
      </c>
      <c r="P456">
        <v>48</v>
      </c>
      <c r="Q456" t="s">
        <v>11</v>
      </c>
      <c r="R456" s="2">
        <v>0.28888888888888886</v>
      </c>
      <c r="S456">
        <v>416</v>
      </c>
      <c r="T456">
        <v>81.260000000000005</v>
      </c>
      <c r="U456">
        <v>5</v>
      </c>
      <c r="V456">
        <v>0.45</v>
      </c>
      <c r="W456">
        <v>0.36599999999999999</v>
      </c>
    </row>
    <row r="457" spans="1:23" x14ac:dyDescent="0.3">
      <c r="A457" t="s">
        <v>805</v>
      </c>
      <c r="B457" s="1">
        <v>45203</v>
      </c>
      <c r="C457" s="2">
        <v>0.51180555555555551</v>
      </c>
      <c r="D457" t="s">
        <v>835</v>
      </c>
      <c r="E457">
        <v>64</v>
      </c>
      <c r="F457" t="s">
        <v>812</v>
      </c>
      <c r="G457" t="s">
        <v>835</v>
      </c>
      <c r="H457" t="s">
        <v>73</v>
      </c>
      <c r="I457">
        <v>0.23583499999999999</v>
      </c>
      <c r="J457">
        <v>24.889558999999998</v>
      </c>
      <c r="K457" t="s">
        <v>1500</v>
      </c>
      <c r="L457" t="s">
        <v>1501</v>
      </c>
      <c r="M457" t="s">
        <v>334</v>
      </c>
      <c r="N457" t="s">
        <v>73</v>
      </c>
      <c r="O457" t="s">
        <v>1825</v>
      </c>
      <c r="P457">
        <v>5</v>
      </c>
      <c r="Q457" t="s">
        <v>11</v>
      </c>
      <c r="R457" s="2">
        <v>0.26666666666666666</v>
      </c>
      <c r="S457">
        <v>384</v>
      </c>
      <c r="T457">
        <v>97.26</v>
      </c>
      <c r="U457">
        <v>3</v>
      </c>
      <c r="V457">
        <v>0.45</v>
      </c>
      <c r="W457">
        <v>0.438</v>
      </c>
    </row>
    <row r="458" spans="1:23" x14ac:dyDescent="0.3">
      <c r="A458" t="s">
        <v>805</v>
      </c>
      <c r="B458" s="1">
        <v>45203</v>
      </c>
      <c r="C458" s="2">
        <v>0.51180555555555551</v>
      </c>
      <c r="D458" t="s">
        <v>835</v>
      </c>
      <c r="E458">
        <v>64</v>
      </c>
      <c r="F458" t="s">
        <v>812</v>
      </c>
      <c r="G458" t="s">
        <v>835</v>
      </c>
      <c r="H458" t="s">
        <v>73</v>
      </c>
      <c r="I458">
        <v>0.23583499999999999</v>
      </c>
      <c r="J458">
        <v>24.889558999999998</v>
      </c>
      <c r="K458" t="s">
        <v>1500</v>
      </c>
      <c r="L458" t="s">
        <v>1501</v>
      </c>
      <c r="M458" t="s">
        <v>421</v>
      </c>
      <c r="N458" t="s">
        <v>73</v>
      </c>
      <c r="O458" t="s">
        <v>1759</v>
      </c>
      <c r="P458">
        <v>104</v>
      </c>
      <c r="Q458" t="s">
        <v>11</v>
      </c>
      <c r="R458" s="2">
        <v>4.7222222222222221E-2</v>
      </c>
      <c r="S458">
        <v>68</v>
      </c>
      <c r="T458">
        <v>21.15</v>
      </c>
      <c r="U458">
        <v>2</v>
      </c>
      <c r="V458">
        <v>0.45</v>
      </c>
      <c r="W458">
        <v>9.5000000000000001E-2</v>
      </c>
    </row>
    <row r="459" spans="1:23" x14ac:dyDescent="0.3">
      <c r="A459" t="s">
        <v>805</v>
      </c>
      <c r="B459" s="1">
        <v>45203</v>
      </c>
      <c r="C459" s="2">
        <v>0.51180555555555551</v>
      </c>
      <c r="D459" t="s">
        <v>835</v>
      </c>
      <c r="E459">
        <v>64</v>
      </c>
      <c r="F459" t="s">
        <v>812</v>
      </c>
      <c r="G459" t="s">
        <v>835</v>
      </c>
      <c r="H459" t="s">
        <v>73</v>
      </c>
      <c r="I459">
        <v>0.23583499999999999</v>
      </c>
      <c r="J459">
        <v>24.889558999999998</v>
      </c>
      <c r="K459" t="s">
        <v>1500</v>
      </c>
      <c r="L459" t="s">
        <v>1501</v>
      </c>
      <c r="M459" t="s">
        <v>459</v>
      </c>
      <c r="N459" t="s">
        <v>73</v>
      </c>
      <c r="O459" t="s">
        <v>1744</v>
      </c>
      <c r="P459">
        <v>24</v>
      </c>
      <c r="Q459" t="s">
        <v>19</v>
      </c>
      <c r="R459" s="2">
        <v>0.17847222222222223</v>
      </c>
      <c r="S459">
        <v>257</v>
      </c>
      <c r="T459">
        <v>41.99</v>
      </c>
      <c r="U459">
        <v>5</v>
      </c>
      <c r="V459">
        <v>0.45</v>
      </c>
      <c r="W459">
        <v>0.189</v>
      </c>
    </row>
    <row r="460" spans="1:23" x14ac:dyDescent="0.3">
      <c r="A460" t="s">
        <v>805</v>
      </c>
      <c r="B460" s="1">
        <v>45203</v>
      </c>
      <c r="C460" s="2">
        <v>0.51180555555555551</v>
      </c>
      <c r="D460" t="s">
        <v>835</v>
      </c>
      <c r="E460">
        <v>64</v>
      </c>
      <c r="F460" t="s">
        <v>812</v>
      </c>
      <c r="G460" t="s">
        <v>835</v>
      </c>
      <c r="H460" t="s">
        <v>73</v>
      </c>
      <c r="I460">
        <v>0.23583499999999999</v>
      </c>
      <c r="J460">
        <v>24.889558999999998</v>
      </c>
      <c r="K460" t="s">
        <v>1500</v>
      </c>
      <c r="L460" t="s">
        <v>1501</v>
      </c>
      <c r="M460" t="s">
        <v>483</v>
      </c>
      <c r="N460" t="s">
        <v>73</v>
      </c>
      <c r="O460" t="s">
        <v>1717</v>
      </c>
      <c r="P460">
        <v>2</v>
      </c>
      <c r="Q460" t="s">
        <v>19</v>
      </c>
      <c r="R460" s="2">
        <v>9.8611111111111108E-2</v>
      </c>
      <c r="S460">
        <v>142</v>
      </c>
      <c r="T460">
        <v>49.05</v>
      </c>
      <c r="U460">
        <v>4</v>
      </c>
      <c r="V460">
        <v>0.45</v>
      </c>
      <c r="W460">
        <v>0.221</v>
      </c>
    </row>
    <row r="461" spans="1:23" x14ac:dyDescent="0.3">
      <c r="A461" t="s">
        <v>805</v>
      </c>
      <c r="B461" s="1">
        <v>45203</v>
      </c>
      <c r="C461" s="2">
        <v>0.51180555555555551</v>
      </c>
      <c r="D461" t="s">
        <v>835</v>
      </c>
      <c r="E461">
        <v>64</v>
      </c>
      <c r="F461" t="s">
        <v>812</v>
      </c>
      <c r="G461" t="s">
        <v>835</v>
      </c>
      <c r="H461" t="s">
        <v>73</v>
      </c>
      <c r="I461">
        <v>0.23583499999999999</v>
      </c>
      <c r="J461">
        <v>24.889558999999998</v>
      </c>
      <c r="K461" t="s">
        <v>1500</v>
      </c>
      <c r="L461" t="s">
        <v>1501</v>
      </c>
      <c r="M461" t="s">
        <v>493</v>
      </c>
      <c r="N461" t="s">
        <v>73</v>
      </c>
      <c r="O461" t="s">
        <v>1745</v>
      </c>
      <c r="P461">
        <v>47</v>
      </c>
      <c r="Q461" t="s">
        <v>14</v>
      </c>
      <c r="R461" s="2">
        <v>7.4305555555555555E-2</v>
      </c>
      <c r="S461">
        <v>107</v>
      </c>
      <c r="T461">
        <v>35.380000000000003</v>
      </c>
      <c r="U461">
        <v>1</v>
      </c>
      <c r="V461">
        <v>0.1</v>
      </c>
      <c r="W461">
        <v>3.5000000000000003E-2</v>
      </c>
    </row>
    <row r="462" spans="1:23" x14ac:dyDescent="0.3">
      <c r="A462" t="s">
        <v>805</v>
      </c>
      <c r="B462" s="1">
        <v>45203</v>
      </c>
      <c r="C462" s="2">
        <v>0.51180555555555551</v>
      </c>
      <c r="D462" t="s">
        <v>835</v>
      </c>
      <c r="E462">
        <v>64</v>
      </c>
      <c r="F462" t="s">
        <v>812</v>
      </c>
      <c r="G462" t="s">
        <v>835</v>
      </c>
      <c r="H462" t="s">
        <v>73</v>
      </c>
      <c r="I462">
        <v>0.23583499999999999</v>
      </c>
      <c r="J462">
        <v>24.889558999999998</v>
      </c>
      <c r="K462" t="s">
        <v>1500</v>
      </c>
      <c r="L462" t="s">
        <v>1501</v>
      </c>
      <c r="M462" t="s">
        <v>508</v>
      </c>
      <c r="N462" t="s">
        <v>73</v>
      </c>
      <c r="O462" t="s">
        <v>1828</v>
      </c>
      <c r="P462">
        <v>37</v>
      </c>
      <c r="Q462" t="s">
        <v>14</v>
      </c>
      <c r="R462" s="2">
        <v>2.5694444444444443E-2</v>
      </c>
      <c r="S462">
        <v>37</v>
      </c>
      <c r="T462">
        <v>92.72</v>
      </c>
      <c r="U462">
        <v>0</v>
      </c>
      <c r="V462">
        <v>0.1</v>
      </c>
      <c r="W462">
        <v>9.2999999999999999E-2</v>
      </c>
    </row>
    <row r="463" spans="1:23" x14ac:dyDescent="0.3">
      <c r="A463" t="s">
        <v>805</v>
      </c>
      <c r="B463" s="1">
        <v>45203</v>
      </c>
      <c r="C463" s="2">
        <v>0.51180555555555551</v>
      </c>
      <c r="D463" t="s">
        <v>835</v>
      </c>
      <c r="E463">
        <v>64</v>
      </c>
      <c r="F463" t="s">
        <v>812</v>
      </c>
      <c r="G463" t="s">
        <v>835</v>
      </c>
      <c r="H463" t="s">
        <v>73</v>
      </c>
      <c r="I463">
        <v>0.23583499999999999</v>
      </c>
      <c r="J463">
        <v>24.889558999999998</v>
      </c>
      <c r="K463" t="s">
        <v>1500</v>
      </c>
      <c r="L463" t="s">
        <v>1501</v>
      </c>
      <c r="M463" t="s">
        <v>545</v>
      </c>
      <c r="N463" t="s">
        <v>73</v>
      </c>
      <c r="O463" t="s">
        <v>1723</v>
      </c>
      <c r="P463">
        <v>94</v>
      </c>
      <c r="Q463" t="s">
        <v>22</v>
      </c>
      <c r="R463" s="2">
        <v>4.1666666666666666E-3</v>
      </c>
      <c r="S463">
        <v>6</v>
      </c>
      <c r="T463">
        <v>67.459999999999994</v>
      </c>
      <c r="U463">
        <v>5</v>
      </c>
      <c r="V463">
        <v>0.45</v>
      </c>
      <c r="W463">
        <v>0.30399999999999999</v>
      </c>
    </row>
    <row r="464" spans="1:23" x14ac:dyDescent="0.3">
      <c r="A464" t="s">
        <v>805</v>
      </c>
      <c r="B464" s="1">
        <v>45203</v>
      </c>
      <c r="C464" s="2">
        <v>0.51180555555555551</v>
      </c>
      <c r="D464" t="s">
        <v>835</v>
      </c>
      <c r="E464">
        <v>64</v>
      </c>
      <c r="F464" t="s">
        <v>812</v>
      </c>
      <c r="G464" t="s">
        <v>835</v>
      </c>
      <c r="H464" t="s">
        <v>73</v>
      </c>
      <c r="I464">
        <v>0.23583499999999999</v>
      </c>
      <c r="J464">
        <v>24.889558999999998</v>
      </c>
      <c r="K464" t="s">
        <v>1500</v>
      </c>
      <c r="L464" t="s">
        <v>1501</v>
      </c>
      <c r="M464" t="s">
        <v>552</v>
      </c>
      <c r="N464" t="s">
        <v>73</v>
      </c>
      <c r="O464" t="s">
        <v>1733</v>
      </c>
      <c r="P464">
        <v>74</v>
      </c>
      <c r="Q464" t="s">
        <v>19</v>
      </c>
      <c r="R464" s="2">
        <v>0.26944444444444443</v>
      </c>
      <c r="S464">
        <v>388</v>
      </c>
      <c r="T464">
        <v>10.89</v>
      </c>
      <c r="U464">
        <v>4</v>
      </c>
      <c r="V464">
        <v>0.45</v>
      </c>
      <c r="W464">
        <v>4.9000000000000002E-2</v>
      </c>
    </row>
    <row r="465" spans="1:23" x14ac:dyDescent="0.3">
      <c r="A465" t="s">
        <v>805</v>
      </c>
      <c r="B465" s="1">
        <v>45203</v>
      </c>
      <c r="C465" s="2">
        <v>0.51180555555555551</v>
      </c>
      <c r="D465" t="s">
        <v>835</v>
      </c>
      <c r="E465">
        <v>64</v>
      </c>
      <c r="F465" t="s">
        <v>812</v>
      </c>
      <c r="G465" t="s">
        <v>835</v>
      </c>
      <c r="H465" t="s">
        <v>73</v>
      </c>
      <c r="I465">
        <v>0.23583499999999999</v>
      </c>
      <c r="J465">
        <v>24.889558999999998</v>
      </c>
      <c r="K465" t="s">
        <v>1500</v>
      </c>
      <c r="L465" t="s">
        <v>1501</v>
      </c>
      <c r="M465" t="s">
        <v>553</v>
      </c>
      <c r="N465" t="s">
        <v>73</v>
      </c>
      <c r="O465" t="s">
        <v>1745</v>
      </c>
      <c r="P465">
        <v>47</v>
      </c>
      <c r="Q465" t="s">
        <v>11</v>
      </c>
      <c r="R465" s="2">
        <v>0.24305555555555555</v>
      </c>
      <c r="S465">
        <v>350</v>
      </c>
      <c r="T465">
        <v>80.48</v>
      </c>
      <c r="U465">
        <v>3</v>
      </c>
      <c r="V465">
        <v>0.45</v>
      </c>
      <c r="W465">
        <v>0.36199999999999999</v>
      </c>
    </row>
    <row r="466" spans="1:23" x14ac:dyDescent="0.3">
      <c r="A466" t="s">
        <v>805</v>
      </c>
      <c r="B466" s="1">
        <v>45203</v>
      </c>
      <c r="C466" s="2">
        <v>0.51180555555555551</v>
      </c>
      <c r="D466" t="s">
        <v>835</v>
      </c>
      <c r="E466">
        <v>64</v>
      </c>
      <c r="F466" t="s">
        <v>812</v>
      </c>
      <c r="G466" t="s">
        <v>835</v>
      </c>
      <c r="H466" t="s">
        <v>73</v>
      </c>
      <c r="I466">
        <v>0.23583499999999999</v>
      </c>
      <c r="J466">
        <v>24.889558999999998</v>
      </c>
      <c r="K466" t="s">
        <v>1500</v>
      </c>
      <c r="L466" t="s">
        <v>1501</v>
      </c>
      <c r="M466" t="s">
        <v>557</v>
      </c>
      <c r="N466" t="s">
        <v>73</v>
      </c>
      <c r="O466" t="s">
        <v>1770</v>
      </c>
      <c r="P466">
        <v>23</v>
      </c>
      <c r="Q466" t="s">
        <v>19</v>
      </c>
      <c r="R466" s="2">
        <v>0.22569444444444445</v>
      </c>
      <c r="S466">
        <v>325</v>
      </c>
      <c r="T466">
        <v>65.489999999999995</v>
      </c>
      <c r="U466">
        <v>1</v>
      </c>
      <c r="V466">
        <v>0.45</v>
      </c>
      <c r="W466">
        <v>0.29499999999999998</v>
      </c>
    </row>
    <row r="467" spans="1:23" x14ac:dyDescent="0.3">
      <c r="A467" t="s">
        <v>1161</v>
      </c>
      <c r="B467" s="1">
        <v>45207</v>
      </c>
      <c r="C467" s="2">
        <v>0.13333333333333333</v>
      </c>
      <c r="D467" t="s">
        <v>1165</v>
      </c>
      <c r="E467">
        <v>66</v>
      </c>
      <c r="F467" t="s">
        <v>810</v>
      </c>
      <c r="G467" t="s">
        <v>1165</v>
      </c>
      <c r="H467" t="s">
        <v>57</v>
      </c>
      <c r="I467">
        <v>-5.4073029999999997</v>
      </c>
      <c r="J467">
        <v>29.762294000000001</v>
      </c>
      <c r="K467" t="s">
        <v>1500</v>
      </c>
      <c r="L467" t="s">
        <v>1496</v>
      </c>
      <c r="M467" t="s">
        <v>56</v>
      </c>
      <c r="N467" t="s">
        <v>57</v>
      </c>
      <c r="O467" t="s">
        <v>1766</v>
      </c>
      <c r="P467">
        <v>97</v>
      </c>
      <c r="Q467" t="s">
        <v>14</v>
      </c>
      <c r="R467" s="2">
        <v>0.22152777777777777</v>
      </c>
      <c r="S467">
        <v>319</v>
      </c>
      <c r="T467">
        <v>31.25</v>
      </c>
      <c r="U467">
        <v>1</v>
      </c>
      <c r="V467">
        <v>0.1</v>
      </c>
      <c r="W467">
        <v>3.1E-2</v>
      </c>
    </row>
    <row r="468" spans="1:23" x14ac:dyDescent="0.3">
      <c r="A468" t="s">
        <v>1161</v>
      </c>
      <c r="B468" s="1">
        <v>45207</v>
      </c>
      <c r="C468" s="2">
        <v>0.13333333333333333</v>
      </c>
      <c r="D468" t="s">
        <v>1165</v>
      </c>
      <c r="E468">
        <v>66</v>
      </c>
      <c r="F468" t="s">
        <v>810</v>
      </c>
      <c r="G468" t="s">
        <v>1165</v>
      </c>
      <c r="H468" t="s">
        <v>57</v>
      </c>
      <c r="I468">
        <v>-5.4073029999999997</v>
      </c>
      <c r="J468">
        <v>29.762294000000001</v>
      </c>
      <c r="K468" t="s">
        <v>1500</v>
      </c>
      <c r="L468" t="s">
        <v>1496</v>
      </c>
      <c r="M468" t="s">
        <v>82</v>
      </c>
      <c r="N468" t="s">
        <v>57</v>
      </c>
      <c r="O468" t="s">
        <v>1784</v>
      </c>
      <c r="P468">
        <v>117</v>
      </c>
      <c r="Q468" t="s">
        <v>22</v>
      </c>
      <c r="R468" s="2">
        <v>0.11874999999999999</v>
      </c>
      <c r="S468">
        <v>171</v>
      </c>
      <c r="T468">
        <v>50.89</v>
      </c>
      <c r="U468">
        <v>4</v>
      </c>
      <c r="V468">
        <v>0.45</v>
      </c>
      <c r="W468">
        <v>0.22900000000000001</v>
      </c>
    </row>
    <row r="469" spans="1:23" x14ac:dyDescent="0.3">
      <c r="A469" t="s">
        <v>1161</v>
      </c>
      <c r="B469" s="1">
        <v>45207</v>
      </c>
      <c r="C469" s="2">
        <v>0.13333333333333333</v>
      </c>
      <c r="D469" t="s">
        <v>1165</v>
      </c>
      <c r="E469">
        <v>66</v>
      </c>
      <c r="F469" t="s">
        <v>810</v>
      </c>
      <c r="G469" t="s">
        <v>1165</v>
      </c>
      <c r="H469" t="s">
        <v>57</v>
      </c>
      <c r="I469">
        <v>-5.4073029999999997</v>
      </c>
      <c r="J469">
        <v>29.762294000000001</v>
      </c>
      <c r="K469" t="s">
        <v>1500</v>
      </c>
      <c r="L469" t="s">
        <v>1496</v>
      </c>
      <c r="M469" t="s">
        <v>143</v>
      </c>
      <c r="N469" t="s">
        <v>57</v>
      </c>
      <c r="O469" t="s">
        <v>1789</v>
      </c>
      <c r="P469">
        <v>79</v>
      </c>
      <c r="Q469" t="s">
        <v>22</v>
      </c>
      <c r="R469" s="2">
        <v>0.27986111111111112</v>
      </c>
      <c r="S469">
        <v>403</v>
      </c>
      <c r="T469">
        <v>21.49</v>
      </c>
      <c r="U469">
        <v>0</v>
      </c>
      <c r="V469">
        <v>0.45</v>
      </c>
      <c r="W469">
        <v>9.7000000000000003E-2</v>
      </c>
    </row>
    <row r="470" spans="1:23" x14ac:dyDescent="0.3">
      <c r="A470" t="s">
        <v>1161</v>
      </c>
      <c r="B470" s="1">
        <v>45207</v>
      </c>
      <c r="C470" s="2">
        <v>0.13333333333333333</v>
      </c>
      <c r="D470" t="s">
        <v>1165</v>
      </c>
      <c r="E470">
        <v>66</v>
      </c>
      <c r="F470" t="s">
        <v>810</v>
      </c>
      <c r="G470" t="s">
        <v>1165</v>
      </c>
      <c r="H470" t="s">
        <v>57</v>
      </c>
      <c r="I470">
        <v>-5.4073029999999997</v>
      </c>
      <c r="J470">
        <v>29.762294000000001</v>
      </c>
      <c r="K470" t="s">
        <v>1500</v>
      </c>
      <c r="L470" t="s">
        <v>1496</v>
      </c>
      <c r="M470" t="s">
        <v>144</v>
      </c>
      <c r="N470" t="s">
        <v>57</v>
      </c>
      <c r="O470" t="s">
        <v>1746</v>
      </c>
      <c r="P470">
        <v>33</v>
      </c>
      <c r="Q470" t="s">
        <v>22</v>
      </c>
      <c r="R470" s="2">
        <v>0.23402777777777778</v>
      </c>
      <c r="S470">
        <v>337</v>
      </c>
      <c r="T470">
        <v>62.61</v>
      </c>
      <c r="U470">
        <v>2</v>
      </c>
      <c r="V470">
        <v>0.45</v>
      </c>
      <c r="W470">
        <v>0.28199999999999997</v>
      </c>
    </row>
    <row r="471" spans="1:23" x14ac:dyDescent="0.3">
      <c r="A471" t="s">
        <v>1161</v>
      </c>
      <c r="B471" s="1">
        <v>45207</v>
      </c>
      <c r="C471" s="2">
        <v>0.13333333333333333</v>
      </c>
      <c r="D471" t="s">
        <v>1165</v>
      </c>
      <c r="E471">
        <v>66</v>
      </c>
      <c r="F471" t="s">
        <v>810</v>
      </c>
      <c r="G471" t="s">
        <v>1165</v>
      </c>
      <c r="H471" t="s">
        <v>57</v>
      </c>
      <c r="I471">
        <v>-5.4073029999999997</v>
      </c>
      <c r="J471">
        <v>29.762294000000001</v>
      </c>
      <c r="K471" t="s">
        <v>1500</v>
      </c>
      <c r="L471" t="s">
        <v>1496</v>
      </c>
      <c r="M471" t="s">
        <v>181</v>
      </c>
      <c r="N471" t="s">
        <v>57</v>
      </c>
      <c r="O471" t="s">
        <v>1813</v>
      </c>
      <c r="P471">
        <v>25</v>
      </c>
      <c r="Q471" t="s">
        <v>19</v>
      </c>
      <c r="R471" s="2">
        <v>9.0972222222222218E-2</v>
      </c>
      <c r="S471">
        <v>131</v>
      </c>
      <c r="T471">
        <v>67.489999999999995</v>
      </c>
      <c r="U471">
        <v>0</v>
      </c>
      <c r="V471">
        <v>0.45</v>
      </c>
      <c r="W471">
        <v>0.30399999999999999</v>
      </c>
    </row>
    <row r="472" spans="1:23" x14ac:dyDescent="0.3">
      <c r="A472" t="s">
        <v>1161</v>
      </c>
      <c r="B472" s="1">
        <v>45207</v>
      </c>
      <c r="C472" s="2">
        <v>0.13333333333333333</v>
      </c>
      <c r="D472" t="s">
        <v>1165</v>
      </c>
      <c r="E472">
        <v>66</v>
      </c>
      <c r="F472" t="s">
        <v>810</v>
      </c>
      <c r="G472" t="s">
        <v>1165</v>
      </c>
      <c r="H472" t="s">
        <v>57</v>
      </c>
      <c r="I472">
        <v>-5.4073029999999997</v>
      </c>
      <c r="J472">
        <v>29.762294000000001</v>
      </c>
      <c r="K472" t="s">
        <v>1500</v>
      </c>
      <c r="L472" t="s">
        <v>1496</v>
      </c>
      <c r="M472" t="s">
        <v>209</v>
      </c>
      <c r="N472" t="s">
        <v>57</v>
      </c>
      <c r="O472" t="s">
        <v>1799</v>
      </c>
      <c r="P472">
        <v>61</v>
      </c>
      <c r="Q472" t="s">
        <v>19</v>
      </c>
      <c r="R472" s="2">
        <v>0.26597222222222222</v>
      </c>
      <c r="S472">
        <v>383</v>
      </c>
      <c r="T472">
        <v>39.72</v>
      </c>
      <c r="U472">
        <v>4</v>
      </c>
      <c r="V472">
        <v>0.45</v>
      </c>
      <c r="W472">
        <v>0.17899999999999999</v>
      </c>
    </row>
    <row r="473" spans="1:23" x14ac:dyDescent="0.3">
      <c r="A473" t="s">
        <v>1161</v>
      </c>
      <c r="B473" s="1">
        <v>45207</v>
      </c>
      <c r="C473" s="2">
        <v>0.13333333333333333</v>
      </c>
      <c r="D473" t="s">
        <v>1165</v>
      </c>
      <c r="E473">
        <v>66</v>
      </c>
      <c r="F473" t="s">
        <v>810</v>
      </c>
      <c r="G473" t="s">
        <v>1165</v>
      </c>
      <c r="H473" t="s">
        <v>57</v>
      </c>
      <c r="I473">
        <v>-5.4073029999999997</v>
      </c>
      <c r="J473">
        <v>29.762294000000001</v>
      </c>
      <c r="K473" t="s">
        <v>1500</v>
      </c>
      <c r="L473" t="s">
        <v>1496</v>
      </c>
      <c r="M473" t="s">
        <v>220</v>
      </c>
      <c r="N473" t="s">
        <v>57</v>
      </c>
      <c r="O473" t="s">
        <v>1714</v>
      </c>
      <c r="P473">
        <v>29</v>
      </c>
      <c r="Q473" t="s">
        <v>22</v>
      </c>
      <c r="R473" s="2">
        <v>0.28888888888888886</v>
      </c>
      <c r="S473">
        <v>416</v>
      </c>
      <c r="T473">
        <v>61.26</v>
      </c>
      <c r="U473">
        <v>0</v>
      </c>
      <c r="V473">
        <v>0.45</v>
      </c>
      <c r="W473">
        <v>0.27600000000000002</v>
      </c>
    </row>
    <row r="474" spans="1:23" x14ac:dyDescent="0.3">
      <c r="A474" t="s">
        <v>1161</v>
      </c>
      <c r="B474" s="1">
        <v>45207</v>
      </c>
      <c r="C474" s="2">
        <v>0.13333333333333333</v>
      </c>
      <c r="D474" t="s">
        <v>1165</v>
      </c>
      <c r="E474">
        <v>66</v>
      </c>
      <c r="F474" t="s">
        <v>810</v>
      </c>
      <c r="G474" t="s">
        <v>1165</v>
      </c>
      <c r="H474" t="s">
        <v>57</v>
      </c>
      <c r="I474">
        <v>-5.4073029999999997</v>
      </c>
      <c r="J474">
        <v>29.762294000000001</v>
      </c>
      <c r="K474" t="s">
        <v>1500</v>
      </c>
      <c r="L474" t="s">
        <v>1496</v>
      </c>
      <c r="M474" t="s">
        <v>248</v>
      </c>
      <c r="N474" t="s">
        <v>57</v>
      </c>
      <c r="O474" t="s">
        <v>1815</v>
      </c>
      <c r="P474">
        <v>82</v>
      </c>
      <c r="Q474" t="s">
        <v>11</v>
      </c>
      <c r="R474" s="2">
        <v>6.1111111111111109E-2</v>
      </c>
      <c r="S474">
        <v>88</v>
      </c>
      <c r="T474">
        <v>86.64</v>
      </c>
      <c r="U474">
        <v>1</v>
      </c>
      <c r="V474">
        <v>0.45</v>
      </c>
      <c r="W474">
        <v>0.39</v>
      </c>
    </row>
    <row r="475" spans="1:23" x14ac:dyDescent="0.3">
      <c r="A475" t="s">
        <v>1161</v>
      </c>
      <c r="B475" s="1">
        <v>45207</v>
      </c>
      <c r="C475" s="2">
        <v>0.13333333333333333</v>
      </c>
      <c r="D475" t="s">
        <v>1165</v>
      </c>
      <c r="E475">
        <v>66</v>
      </c>
      <c r="F475" t="s">
        <v>810</v>
      </c>
      <c r="G475" t="s">
        <v>1165</v>
      </c>
      <c r="H475" t="s">
        <v>57</v>
      </c>
      <c r="I475">
        <v>-5.4073029999999997</v>
      </c>
      <c r="J475">
        <v>29.762294000000001</v>
      </c>
      <c r="K475" t="s">
        <v>1500</v>
      </c>
      <c r="L475" t="s">
        <v>1496</v>
      </c>
      <c r="M475" t="s">
        <v>263</v>
      </c>
      <c r="N475" t="s">
        <v>57</v>
      </c>
      <c r="O475" t="s">
        <v>1758</v>
      </c>
      <c r="P475">
        <v>15</v>
      </c>
      <c r="Q475" t="s">
        <v>19</v>
      </c>
      <c r="R475" s="2">
        <v>0.22152777777777777</v>
      </c>
      <c r="S475">
        <v>319</v>
      </c>
      <c r="T475">
        <v>78.150000000000006</v>
      </c>
      <c r="U475">
        <v>4</v>
      </c>
      <c r="V475">
        <v>0.45</v>
      </c>
      <c r="W475">
        <v>0.35199999999999998</v>
      </c>
    </row>
    <row r="476" spans="1:23" x14ac:dyDescent="0.3">
      <c r="A476" t="s">
        <v>1161</v>
      </c>
      <c r="B476" s="1">
        <v>45207</v>
      </c>
      <c r="C476" s="2">
        <v>0.13333333333333333</v>
      </c>
      <c r="D476" t="s">
        <v>1165</v>
      </c>
      <c r="E476">
        <v>66</v>
      </c>
      <c r="F476" t="s">
        <v>810</v>
      </c>
      <c r="G476" t="s">
        <v>1165</v>
      </c>
      <c r="H476" t="s">
        <v>57</v>
      </c>
      <c r="I476">
        <v>-5.4073029999999997</v>
      </c>
      <c r="J476">
        <v>29.762294000000001</v>
      </c>
      <c r="K476" t="s">
        <v>1500</v>
      </c>
      <c r="L476" t="s">
        <v>1496</v>
      </c>
      <c r="M476" t="s">
        <v>350</v>
      </c>
      <c r="N476" t="s">
        <v>57</v>
      </c>
      <c r="O476" t="s">
        <v>1787</v>
      </c>
      <c r="P476">
        <v>99</v>
      </c>
      <c r="Q476" t="s">
        <v>19</v>
      </c>
      <c r="R476" s="2">
        <v>1.9444444444444445E-2</v>
      </c>
      <c r="S476">
        <v>28</v>
      </c>
      <c r="T476">
        <v>70.19</v>
      </c>
      <c r="U476">
        <v>1</v>
      </c>
      <c r="V476">
        <v>0.45</v>
      </c>
      <c r="W476">
        <v>0.316</v>
      </c>
    </row>
    <row r="477" spans="1:23" x14ac:dyDescent="0.3">
      <c r="A477" t="s">
        <v>1161</v>
      </c>
      <c r="B477" s="1">
        <v>45207</v>
      </c>
      <c r="C477" s="2">
        <v>0.13333333333333333</v>
      </c>
      <c r="D477" t="s">
        <v>1165</v>
      </c>
      <c r="E477">
        <v>66</v>
      </c>
      <c r="F477" t="s">
        <v>810</v>
      </c>
      <c r="G477" t="s">
        <v>1165</v>
      </c>
      <c r="H477" t="s">
        <v>57</v>
      </c>
      <c r="I477">
        <v>-5.4073029999999997</v>
      </c>
      <c r="J477">
        <v>29.762294000000001</v>
      </c>
      <c r="K477" t="s">
        <v>1500</v>
      </c>
      <c r="L477" t="s">
        <v>1496</v>
      </c>
      <c r="M477" t="s">
        <v>369</v>
      </c>
      <c r="N477" t="s">
        <v>57</v>
      </c>
      <c r="O477" t="s">
        <v>1774</v>
      </c>
      <c r="P477">
        <v>19</v>
      </c>
      <c r="Q477" t="s">
        <v>19</v>
      </c>
      <c r="R477" s="2">
        <v>8.6805555555555552E-2</v>
      </c>
      <c r="S477">
        <v>125</v>
      </c>
      <c r="T477">
        <v>11.78</v>
      </c>
      <c r="U477">
        <v>4</v>
      </c>
      <c r="V477">
        <v>0.45</v>
      </c>
      <c r="W477">
        <v>5.2999999999999999E-2</v>
      </c>
    </row>
    <row r="478" spans="1:23" x14ac:dyDescent="0.3">
      <c r="A478" t="s">
        <v>1161</v>
      </c>
      <c r="B478" s="1">
        <v>45207</v>
      </c>
      <c r="C478" s="2">
        <v>0.13333333333333333</v>
      </c>
      <c r="D478" t="s">
        <v>1165</v>
      </c>
      <c r="E478">
        <v>66</v>
      </c>
      <c r="F478" t="s">
        <v>810</v>
      </c>
      <c r="G478" t="s">
        <v>1165</v>
      </c>
      <c r="H478" t="s">
        <v>57</v>
      </c>
      <c r="I478">
        <v>-5.4073029999999997</v>
      </c>
      <c r="J478">
        <v>29.762294000000001</v>
      </c>
      <c r="K478" t="s">
        <v>1500</v>
      </c>
      <c r="L478" t="s">
        <v>1496</v>
      </c>
      <c r="M478" t="s">
        <v>370</v>
      </c>
      <c r="N478" t="s">
        <v>57</v>
      </c>
      <c r="O478" t="s">
        <v>1760</v>
      </c>
      <c r="P478">
        <v>105</v>
      </c>
      <c r="Q478" t="s">
        <v>11</v>
      </c>
      <c r="R478" s="2">
        <v>1.1805555555555555E-2</v>
      </c>
      <c r="S478">
        <v>17</v>
      </c>
      <c r="T478">
        <v>60.05</v>
      </c>
      <c r="U478">
        <v>4</v>
      </c>
      <c r="V478">
        <v>0.45</v>
      </c>
      <c r="W478">
        <v>0.27</v>
      </c>
    </row>
    <row r="479" spans="1:23" x14ac:dyDescent="0.3">
      <c r="A479" t="s">
        <v>1161</v>
      </c>
      <c r="B479" s="1">
        <v>45207</v>
      </c>
      <c r="C479" s="2">
        <v>0.13333333333333333</v>
      </c>
      <c r="D479" t="s">
        <v>1165</v>
      </c>
      <c r="E479">
        <v>66</v>
      </c>
      <c r="F479" t="s">
        <v>810</v>
      </c>
      <c r="G479" t="s">
        <v>1165</v>
      </c>
      <c r="H479" t="s">
        <v>57</v>
      </c>
      <c r="I479">
        <v>-5.4073029999999997</v>
      </c>
      <c r="J479">
        <v>29.762294000000001</v>
      </c>
      <c r="K479" t="s">
        <v>1500</v>
      </c>
      <c r="L479" t="s">
        <v>1496</v>
      </c>
      <c r="M479" t="s">
        <v>432</v>
      </c>
      <c r="N479" t="s">
        <v>57</v>
      </c>
      <c r="O479" t="s">
        <v>1757</v>
      </c>
      <c r="P479">
        <v>78</v>
      </c>
      <c r="Q479" t="s">
        <v>19</v>
      </c>
      <c r="R479" s="2">
        <v>3.9583333333333331E-2</v>
      </c>
      <c r="S479">
        <v>57</v>
      </c>
      <c r="T479">
        <v>49.47</v>
      </c>
      <c r="U479">
        <v>0</v>
      </c>
      <c r="V479">
        <v>0.45</v>
      </c>
      <c r="W479">
        <v>0.223</v>
      </c>
    </row>
    <row r="480" spans="1:23" x14ac:dyDescent="0.3">
      <c r="A480" t="s">
        <v>1161</v>
      </c>
      <c r="B480" s="1">
        <v>45207</v>
      </c>
      <c r="C480" s="2">
        <v>0.13333333333333333</v>
      </c>
      <c r="D480" t="s">
        <v>1165</v>
      </c>
      <c r="E480">
        <v>66</v>
      </c>
      <c r="F480" t="s">
        <v>810</v>
      </c>
      <c r="G480" t="s">
        <v>1165</v>
      </c>
      <c r="H480" t="s">
        <v>57</v>
      </c>
      <c r="I480">
        <v>-5.4073029999999997</v>
      </c>
      <c r="J480">
        <v>29.762294000000001</v>
      </c>
      <c r="K480" t="s">
        <v>1500</v>
      </c>
      <c r="L480" t="s">
        <v>1496</v>
      </c>
      <c r="M480" t="s">
        <v>448</v>
      </c>
      <c r="N480" t="s">
        <v>57</v>
      </c>
      <c r="O480" t="s">
        <v>1758</v>
      </c>
      <c r="P480">
        <v>15</v>
      </c>
      <c r="Q480" t="s">
        <v>22</v>
      </c>
      <c r="R480" s="2">
        <v>5.6250000000000001E-2</v>
      </c>
      <c r="S480">
        <v>81</v>
      </c>
      <c r="T480">
        <v>97.5</v>
      </c>
      <c r="U480">
        <v>4</v>
      </c>
      <c r="V480">
        <v>0.45</v>
      </c>
      <c r="W480">
        <v>0.439</v>
      </c>
    </row>
    <row r="481" spans="1:23" x14ac:dyDescent="0.3">
      <c r="A481" t="s">
        <v>1161</v>
      </c>
      <c r="B481" s="1">
        <v>45207</v>
      </c>
      <c r="C481" s="2">
        <v>0.13333333333333333</v>
      </c>
      <c r="D481" t="s">
        <v>1165</v>
      </c>
      <c r="E481">
        <v>66</v>
      </c>
      <c r="F481" t="s">
        <v>810</v>
      </c>
      <c r="G481" t="s">
        <v>1165</v>
      </c>
      <c r="H481" t="s">
        <v>57</v>
      </c>
      <c r="I481">
        <v>-5.4073029999999997</v>
      </c>
      <c r="J481">
        <v>29.762294000000001</v>
      </c>
      <c r="K481" t="s">
        <v>1500</v>
      </c>
      <c r="L481" t="s">
        <v>1496</v>
      </c>
      <c r="M481" t="s">
        <v>467</v>
      </c>
      <c r="N481" t="s">
        <v>57</v>
      </c>
      <c r="O481" t="s">
        <v>1828</v>
      </c>
      <c r="P481">
        <v>37</v>
      </c>
      <c r="Q481" t="s">
        <v>22</v>
      </c>
      <c r="R481" s="2">
        <v>0.10486111111111111</v>
      </c>
      <c r="S481">
        <v>151</v>
      </c>
      <c r="T481">
        <v>62.49</v>
      </c>
      <c r="U481">
        <v>3</v>
      </c>
      <c r="V481">
        <v>0.45</v>
      </c>
      <c r="W481">
        <v>0.28100000000000003</v>
      </c>
    </row>
    <row r="482" spans="1:23" x14ac:dyDescent="0.3">
      <c r="A482" t="s">
        <v>1161</v>
      </c>
      <c r="B482" s="1">
        <v>45207</v>
      </c>
      <c r="C482" s="2">
        <v>0.13333333333333333</v>
      </c>
      <c r="D482" t="s">
        <v>1165</v>
      </c>
      <c r="E482">
        <v>66</v>
      </c>
      <c r="F482" t="s">
        <v>810</v>
      </c>
      <c r="G482" t="s">
        <v>1165</v>
      </c>
      <c r="H482" t="s">
        <v>57</v>
      </c>
      <c r="I482">
        <v>-5.4073029999999997</v>
      </c>
      <c r="J482">
        <v>29.762294000000001</v>
      </c>
      <c r="K482" t="s">
        <v>1500</v>
      </c>
      <c r="L482" t="s">
        <v>1496</v>
      </c>
      <c r="M482" t="s">
        <v>487</v>
      </c>
      <c r="N482" t="s">
        <v>57</v>
      </c>
      <c r="O482" t="s">
        <v>1743</v>
      </c>
      <c r="P482">
        <v>111</v>
      </c>
      <c r="Q482" t="s">
        <v>14</v>
      </c>
      <c r="R482" s="2">
        <v>0.31041666666666667</v>
      </c>
      <c r="S482">
        <v>447</v>
      </c>
      <c r="T482">
        <v>51.35</v>
      </c>
      <c r="U482">
        <v>0</v>
      </c>
      <c r="V482">
        <v>0.1</v>
      </c>
      <c r="W482">
        <v>5.0999999999999997E-2</v>
      </c>
    </row>
    <row r="483" spans="1:23" x14ac:dyDescent="0.3">
      <c r="A483" t="s">
        <v>1161</v>
      </c>
      <c r="B483" s="1">
        <v>45207</v>
      </c>
      <c r="C483" s="2">
        <v>0.13333333333333333</v>
      </c>
      <c r="D483" t="s">
        <v>1165</v>
      </c>
      <c r="E483">
        <v>66</v>
      </c>
      <c r="F483" t="s">
        <v>810</v>
      </c>
      <c r="G483" t="s">
        <v>1165</v>
      </c>
      <c r="H483" t="s">
        <v>57</v>
      </c>
      <c r="I483">
        <v>-5.4073029999999997</v>
      </c>
      <c r="J483">
        <v>29.762294000000001</v>
      </c>
      <c r="K483" t="s">
        <v>1500</v>
      </c>
      <c r="L483" t="s">
        <v>1496</v>
      </c>
      <c r="M483" t="s">
        <v>488</v>
      </c>
      <c r="N483" t="s">
        <v>57</v>
      </c>
      <c r="O483" t="s">
        <v>1821</v>
      </c>
      <c r="P483">
        <v>17</v>
      </c>
      <c r="Q483" t="s">
        <v>19</v>
      </c>
      <c r="R483" s="2">
        <v>0.28055555555555556</v>
      </c>
      <c r="S483">
        <v>404</v>
      </c>
      <c r="T483">
        <v>83.4</v>
      </c>
      <c r="U483">
        <v>1</v>
      </c>
      <c r="V483">
        <v>0.45</v>
      </c>
      <c r="W483">
        <v>0.375</v>
      </c>
    </row>
    <row r="484" spans="1:23" x14ac:dyDescent="0.3">
      <c r="A484" t="s">
        <v>1161</v>
      </c>
      <c r="B484" s="1">
        <v>45207</v>
      </c>
      <c r="C484" s="2">
        <v>0.13333333333333333</v>
      </c>
      <c r="D484" t="s">
        <v>1165</v>
      </c>
      <c r="E484">
        <v>66</v>
      </c>
      <c r="F484" t="s">
        <v>810</v>
      </c>
      <c r="G484" t="s">
        <v>1165</v>
      </c>
      <c r="H484" t="s">
        <v>57</v>
      </c>
      <c r="I484">
        <v>-5.4073029999999997</v>
      </c>
      <c r="J484">
        <v>29.762294000000001</v>
      </c>
      <c r="K484" t="s">
        <v>1500</v>
      </c>
      <c r="L484" t="s">
        <v>1496</v>
      </c>
      <c r="M484" t="s">
        <v>512</v>
      </c>
      <c r="N484" t="s">
        <v>57</v>
      </c>
      <c r="O484" t="s">
        <v>1755</v>
      </c>
      <c r="P484">
        <v>35</v>
      </c>
      <c r="Q484" t="s">
        <v>14</v>
      </c>
      <c r="R484" s="2">
        <v>0.30902777777777779</v>
      </c>
      <c r="S484">
        <v>445</v>
      </c>
      <c r="T484">
        <v>24.11</v>
      </c>
      <c r="U484">
        <v>2</v>
      </c>
      <c r="V484">
        <v>0.1</v>
      </c>
      <c r="W484">
        <v>2.4E-2</v>
      </c>
    </row>
    <row r="485" spans="1:23" x14ac:dyDescent="0.3">
      <c r="A485" t="s">
        <v>1161</v>
      </c>
      <c r="B485" s="1">
        <v>45207</v>
      </c>
      <c r="C485" s="2">
        <v>0.13333333333333333</v>
      </c>
      <c r="D485" t="s">
        <v>1165</v>
      </c>
      <c r="E485">
        <v>66</v>
      </c>
      <c r="F485" t="s">
        <v>810</v>
      </c>
      <c r="G485" t="s">
        <v>1165</v>
      </c>
      <c r="H485" t="s">
        <v>57</v>
      </c>
      <c r="I485">
        <v>-5.4073029999999997</v>
      </c>
      <c r="J485">
        <v>29.762294000000001</v>
      </c>
      <c r="K485" t="s">
        <v>1500</v>
      </c>
      <c r="L485" t="s">
        <v>1496</v>
      </c>
      <c r="M485" t="s">
        <v>514</v>
      </c>
      <c r="N485" t="s">
        <v>57</v>
      </c>
      <c r="O485" t="s">
        <v>1769</v>
      </c>
      <c r="P485">
        <v>64</v>
      </c>
      <c r="Q485" t="s">
        <v>14</v>
      </c>
      <c r="R485" s="2">
        <v>1.0416666666666666E-2</v>
      </c>
      <c r="S485">
        <v>15</v>
      </c>
      <c r="T485">
        <v>56.94</v>
      </c>
      <c r="U485">
        <v>4</v>
      </c>
      <c r="V485">
        <v>0.1</v>
      </c>
      <c r="W485">
        <v>5.7000000000000002E-2</v>
      </c>
    </row>
    <row r="486" spans="1:23" x14ac:dyDescent="0.3">
      <c r="A486" t="s">
        <v>1161</v>
      </c>
      <c r="B486" s="1">
        <v>45207</v>
      </c>
      <c r="C486" s="2">
        <v>0.13333333333333333</v>
      </c>
      <c r="D486" t="s">
        <v>1165</v>
      </c>
      <c r="E486">
        <v>66</v>
      </c>
      <c r="F486" t="s">
        <v>810</v>
      </c>
      <c r="G486" t="s">
        <v>1165</v>
      </c>
      <c r="H486" t="s">
        <v>57</v>
      </c>
      <c r="I486">
        <v>-5.4073029999999997</v>
      </c>
      <c r="J486">
        <v>29.762294000000001</v>
      </c>
      <c r="K486" t="s">
        <v>1500</v>
      </c>
      <c r="L486" t="s">
        <v>1496</v>
      </c>
      <c r="M486" t="s">
        <v>521</v>
      </c>
      <c r="N486" t="s">
        <v>57</v>
      </c>
      <c r="O486" t="s">
        <v>1725</v>
      </c>
      <c r="P486">
        <v>92</v>
      </c>
      <c r="Q486" t="s">
        <v>19</v>
      </c>
      <c r="R486" s="2">
        <v>4.1666666666666666E-3</v>
      </c>
      <c r="S486">
        <v>6</v>
      </c>
      <c r="T486">
        <v>77.14</v>
      </c>
      <c r="U486">
        <v>5</v>
      </c>
      <c r="V486">
        <v>0.45</v>
      </c>
      <c r="W486">
        <v>0.34699999999999998</v>
      </c>
    </row>
    <row r="487" spans="1:23" x14ac:dyDescent="0.3">
      <c r="A487" t="s">
        <v>1161</v>
      </c>
      <c r="B487" s="1">
        <v>45207</v>
      </c>
      <c r="C487" s="2">
        <v>0.13333333333333333</v>
      </c>
      <c r="D487" t="s">
        <v>1165</v>
      </c>
      <c r="E487">
        <v>66</v>
      </c>
      <c r="F487" t="s">
        <v>810</v>
      </c>
      <c r="G487" t="s">
        <v>1165</v>
      </c>
      <c r="H487" t="s">
        <v>57</v>
      </c>
      <c r="I487">
        <v>-5.4073029999999997</v>
      </c>
      <c r="J487">
        <v>29.762294000000001</v>
      </c>
      <c r="K487" t="s">
        <v>1500</v>
      </c>
      <c r="L487" t="s">
        <v>1496</v>
      </c>
      <c r="M487" t="s">
        <v>530</v>
      </c>
      <c r="N487" t="s">
        <v>57</v>
      </c>
      <c r="O487" t="s">
        <v>1749</v>
      </c>
      <c r="P487">
        <v>84</v>
      </c>
      <c r="Q487" t="s">
        <v>19</v>
      </c>
      <c r="R487" s="2">
        <v>0.2638888888888889</v>
      </c>
      <c r="S487">
        <v>380</v>
      </c>
      <c r="T487">
        <v>82.3</v>
      </c>
      <c r="U487">
        <v>1</v>
      </c>
      <c r="V487">
        <v>0.45</v>
      </c>
      <c r="W487">
        <v>0.37</v>
      </c>
    </row>
    <row r="488" spans="1:23" x14ac:dyDescent="0.3">
      <c r="A488" t="s">
        <v>805</v>
      </c>
      <c r="B488" s="1">
        <v>45211</v>
      </c>
      <c r="C488" s="2">
        <v>0.27916666666666667</v>
      </c>
      <c r="D488" t="s">
        <v>838</v>
      </c>
      <c r="E488">
        <v>75</v>
      </c>
      <c r="F488" t="s">
        <v>807</v>
      </c>
      <c r="G488" t="s">
        <v>838</v>
      </c>
      <c r="H488" t="s">
        <v>89</v>
      </c>
      <c r="I488">
        <v>-8.1437910000000002</v>
      </c>
      <c r="J488">
        <v>28.946161</v>
      </c>
      <c r="K488" t="s">
        <v>1498</v>
      </c>
      <c r="L488" t="s">
        <v>1501</v>
      </c>
      <c r="M488" t="s">
        <v>88</v>
      </c>
      <c r="N488" t="s">
        <v>89</v>
      </c>
      <c r="O488" t="s">
        <v>1823</v>
      </c>
      <c r="P488">
        <v>98</v>
      </c>
      <c r="Q488" t="s">
        <v>14</v>
      </c>
      <c r="R488" s="2">
        <v>0.3347222222222222</v>
      </c>
      <c r="S488">
        <v>482</v>
      </c>
      <c r="T488">
        <v>55.04</v>
      </c>
      <c r="U488">
        <v>5</v>
      </c>
      <c r="V488">
        <v>0.1</v>
      </c>
      <c r="W488">
        <v>5.5E-2</v>
      </c>
    </row>
    <row r="489" spans="1:23" x14ac:dyDescent="0.3">
      <c r="A489" t="s">
        <v>805</v>
      </c>
      <c r="B489" s="1">
        <v>45211</v>
      </c>
      <c r="C489" s="2">
        <v>0.27916666666666667</v>
      </c>
      <c r="D489" t="s">
        <v>838</v>
      </c>
      <c r="E489">
        <v>75</v>
      </c>
      <c r="F489" t="s">
        <v>807</v>
      </c>
      <c r="G489" t="s">
        <v>838</v>
      </c>
      <c r="H489" t="s">
        <v>89</v>
      </c>
      <c r="I489">
        <v>-8.1437910000000002</v>
      </c>
      <c r="J489">
        <v>28.946161</v>
      </c>
      <c r="K489" t="s">
        <v>1498</v>
      </c>
      <c r="L489" t="s">
        <v>1501</v>
      </c>
      <c r="M489" t="s">
        <v>106</v>
      </c>
      <c r="N489" t="s">
        <v>89</v>
      </c>
      <c r="O489" t="s">
        <v>1783</v>
      </c>
      <c r="P489">
        <v>51</v>
      </c>
      <c r="Q489" t="s">
        <v>22</v>
      </c>
      <c r="R489" s="2">
        <v>4.027777777777778E-2</v>
      </c>
      <c r="S489">
        <v>58</v>
      </c>
      <c r="T489">
        <v>34.6</v>
      </c>
      <c r="U489">
        <v>5</v>
      </c>
      <c r="V489">
        <v>0.45</v>
      </c>
      <c r="W489">
        <v>0.156</v>
      </c>
    </row>
    <row r="490" spans="1:23" x14ac:dyDescent="0.3">
      <c r="A490" t="s">
        <v>805</v>
      </c>
      <c r="B490" s="1">
        <v>45211</v>
      </c>
      <c r="C490" s="2">
        <v>0.27916666666666667</v>
      </c>
      <c r="D490" t="s">
        <v>838</v>
      </c>
      <c r="E490">
        <v>75</v>
      </c>
      <c r="F490" t="s">
        <v>807</v>
      </c>
      <c r="G490" t="s">
        <v>838</v>
      </c>
      <c r="H490" t="s">
        <v>89</v>
      </c>
      <c r="I490">
        <v>-8.1437910000000002</v>
      </c>
      <c r="J490">
        <v>28.946161</v>
      </c>
      <c r="K490" t="s">
        <v>1498</v>
      </c>
      <c r="L490" t="s">
        <v>1501</v>
      </c>
      <c r="M490" t="s">
        <v>123</v>
      </c>
      <c r="N490" t="s">
        <v>89</v>
      </c>
      <c r="O490" t="s">
        <v>1782</v>
      </c>
      <c r="P490">
        <v>102</v>
      </c>
      <c r="Q490" t="s">
        <v>14</v>
      </c>
      <c r="R490" s="2">
        <v>0.19652777777777777</v>
      </c>
      <c r="S490">
        <v>283</v>
      </c>
      <c r="T490">
        <v>28.98</v>
      </c>
      <c r="U490">
        <v>3</v>
      </c>
      <c r="V490">
        <v>0.1</v>
      </c>
      <c r="W490">
        <v>2.9000000000000001E-2</v>
      </c>
    </row>
    <row r="491" spans="1:23" x14ac:dyDescent="0.3">
      <c r="A491" t="s">
        <v>805</v>
      </c>
      <c r="B491" s="1">
        <v>45211</v>
      </c>
      <c r="C491" s="2">
        <v>0.27916666666666667</v>
      </c>
      <c r="D491" t="s">
        <v>838</v>
      </c>
      <c r="E491">
        <v>75</v>
      </c>
      <c r="F491" t="s">
        <v>807</v>
      </c>
      <c r="G491" t="s">
        <v>838</v>
      </c>
      <c r="H491" t="s">
        <v>89</v>
      </c>
      <c r="I491">
        <v>-8.1437910000000002</v>
      </c>
      <c r="J491">
        <v>28.946161</v>
      </c>
      <c r="K491" t="s">
        <v>1498</v>
      </c>
      <c r="L491" t="s">
        <v>1501</v>
      </c>
      <c r="M491" t="s">
        <v>125</v>
      </c>
      <c r="N491" t="s">
        <v>89</v>
      </c>
      <c r="O491" t="s">
        <v>1797</v>
      </c>
      <c r="P491">
        <v>91</v>
      </c>
      <c r="Q491" t="s">
        <v>19</v>
      </c>
      <c r="R491" s="2">
        <v>0.20833333333333334</v>
      </c>
      <c r="S491">
        <v>300</v>
      </c>
      <c r="T491">
        <v>82.19</v>
      </c>
      <c r="U491">
        <v>1</v>
      </c>
      <c r="V491">
        <v>0.45</v>
      </c>
      <c r="W491">
        <v>0.37</v>
      </c>
    </row>
    <row r="492" spans="1:23" x14ac:dyDescent="0.3">
      <c r="A492" t="s">
        <v>805</v>
      </c>
      <c r="B492" s="1">
        <v>45211</v>
      </c>
      <c r="C492" s="2">
        <v>0.27916666666666667</v>
      </c>
      <c r="D492" t="s">
        <v>838</v>
      </c>
      <c r="E492">
        <v>75</v>
      </c>
      <c r="F492" t="s">
        <v>807</v>
      </c>
      <c r="G492" t="s">
        <v>838</v>
      </c>
      <c r="H492" t="s">
        <v>89</v>
      </c>
      <c r="I492">
        <v>-8.1437910000000002</v>
      </c>
      <c r="J492">
        <v>28.946161</v>
      </c>
      <c r="K492" t="s">
        <v>1498</v>
      </c>
      <c r="L492" t="s">
        <v>1501</v>
      </c>
      <c r="M492" t="s">
        <v>160</v>
      </c>
      <c r="N492" t="s">
        <v>89</v>
      </c>
      <c r="O492" t="s">
        <v>1721</v>
      </c>
      <c r="P492">
        <v>36</v>
      </c>
      <c r="Q492" t="s">
        <v>11</v>
      </c>
      <c r="R492" s="2">
        <v>0.27777777777777779</v>
      </c>
      <c r="S492">
        <v>400</v>
      </c>
      <c r="T492">
        <v>60.35</v>
      </c>
      <c r="U492">
        <v>1</v>
      </c>
      <c r="V492">
        <v>0.45</v>
      </c>
      <c r="W492">
        <v>0.27200000000000002</v>
      </c>
    </row>
    <row r="493" spans="1:23" x14ac:dyDescent="0.3">
      <c r="A493" t="s">
        <v>805</v>
      </c>
      <c r="B493" s="1">
        <v>45211</v>
      </c>
      <c r="C493" s="2">
        <v>0.27916666666666667</v>
      </c>
      <c r="D493" t="s">
        <v>838</v>
      </c>
      <c r="E493">
        <v>75</v>
      </c>
      <c r="F493" t="s">
        <v>807</v>
      </c>
      <c r="G493" t="s">
        <v>838</v>
      </c>
      <c r="H493" t="s">
        <v>89</v>
      </c>
      <c r="I493">
        <v>-8.1437910000000002</v>
      </c>
      <c r="J493">
        <v>28.946161</v>
      </c>
      <c r="K493" t="s">
        <v>1498</v>
      </c>
      <c r="L493" t="s">
        <v>1501</v>
      </c>
      <c r="M493" t="s">
        <v>168</v>
      </c>
      <c r="N493" t="s">
        <v>89</v>
      </c>
      <c r="O493" t="s">
        <v>1823</v>
      </c>
      <c r="P493">
        <v>98</v>
      </c>
      <c r="Q493" t="s">
        <v>19</v>
      </c>
      <c r="R493" s="2">
        <v>3.6111111111111108E-2</v>
      </c>
      <c r="S493">
        <v>52</v>
      </c>
      <c r="T493">
        <v>52.82</v>
      </c>
      <c r="U493">
        <v>2</v>
      </c>
      <c r="V493">
        <v>0.45</v>
      </c>
      <c r="W493">
        <v>0.23799999999999999</v>
      </c>
    </row>
    <row r="494" spans="1:23" x14ac:dyDescent="0.3">
      <c r="A494" t="s">
        <v>805</v>
      </c>
      <c r="B494" s="1">
        <v>45211</v>
      </c>
      <c r="C494" s="2">
        <v>0.27916666666666667</v>
      </c>
      <c r="D494" t="s">
        <v>838</v>
      </c>
      <c r="E494">
        <v>75</v>
      </c>
      <c r="F494" t="s">
        <v>807</v>
      </c>
      <c r="G494" t="s">
        <v>838</v>
      </c>
      <c r="H494" t="s">
        <v>89</v>
      </c>
      <c r="I494">
        <v>-8.1437910000000002</v>
      </c>
      <c r="J494">
        <v>28.946161</v>
      </c>
      <c r="K494" t="s">
        <v>1498</v>
      </c>
      <c r="L494" t="s">
        <v>1501</v>
      </c>
      <c r="M494" t="s">
        <v>172</v>
      </c>
      <c r="N494" t="s">
        <v>89</v>
      </c>
      <c r="O494" t="s">
        <v>1714</v>
      </c>
      <c r="P494">
        <v>29</v>
      </c>
      <c r="Q494" t="s">
        <v>14</v>
      </c>
      <c r="R494" s="2">
        <v>2.361111111111111E-2</v>
      </c>
      <c r="S494">
        <v>34</v>
      </c>
      <c r="T494">
        <v>86.68</v>
      </c>
      <c r="U494">
        <v>1</v>
      </c>
      <c r="V494">
        <v>0.1</v>
      </c>
      <c r="W494">
        <v>8.6999999999999994E-2</v>
      </c>
    </row>
    <row r="495" spans="1:23" x14ac:dyDescent="0.3">
      <c r="A495" t="s">
        <v>805</v>
      </c>
      <c r="B495" s="1">
        <v>45211</v>
      </c>
      <c r="C495" s="2">
        <v>0.27916666666666667</v>
      </c>
      <c r="D495" t="s">
        <v>838</v>
      </c>
      <c r="E495">
        <v>75</v>
      </c>
      <c r="F495" t="s">
        <v>807</v>
      </c>
      <c r="G495" t="s">
        <v>838</v>
      </c>
      <c r="H495" t="s">
        <v>89</v>
      </c>
      <c r="I495">
        <v>-8.1437910000000002</v>
      </c>
      <c r="J495">
        <v>28.946161</v>
      </c>
      <c r="K495" t="s">
        <v>1498</v>
      </c>
      <c r="L495" t="s">
        <v>1501</v>
      </c>
      <c r="M495" t="s">
        <v>174</v>
      </c>
      <c r="N495" t="s">
        <v>89</v>
      </c>
      <c r="O495" t="s">
        <v>1771</v>
      </c>
      <c r="P495">
        <v>118</v>
      </c>
      <c r="Q495" t="s">
        <v>22</v>
      </c>
      <c r="R495" s="2">
        <v>0.2986111111111111</v>
      </c>
      <c r="S495">
        <v>430</v>
      </c>
      <c r="T495">
        <v>36.97</v>
      </c>
      <c r="U495">
        <v>2</v>
      </c>
      <c r="V495">
        <v>0.45</v>
      </c>
      <c r="W495">
        <v>0.16600000000000001</v>
      </c>
    </row>
    <row r="496" spans="1:23" x14ac:dyDescent="0.3">
      <c r="A496" t="s">
        <v>805</v>
      </c>
      <c r="B496" s="1">
        <v>45211</v>
      </c>
      <c r="C496" s="2">
        <v>0.27916666666666667</v>
      </c>
      <c r="D496" t="s">
        <v>838</v>
      </c>
      <c r="E496">
        <v>75</v>
      </c>
      <c r="F496" t="s">
        <v>807</v>
      </c>
      <c r="G496" t="s">
        <v>838</v>
      </c>
      <c r="H496" t="s">
        <v>89</v>
      </c>
      <c r="I496">
        <v>-8.1437910000000002</v>
      </c>
      <c r="J496">
        <v>28.946161</v>
      </c>
      <c r="K496" t="s">
        <v>1498</v>
      </c>
      <c r="L496" t="s">
        <v>1501</v>
      </c>
      <c r="M496" t="s">
        <v>180</v>
      </c>
      <c r="N496" t="s">
        <v>89</v>
      </c>
      <c r="O496" t="s">
        <v>1783</v>
      </c>
      <c r="P496">
        <v>51</v>
      </c>
      <c r="Q496" t="s">
        <v>19</v>
      </c>
      <c r="R496" s="2">
        <v>0.18055555555555555</v>
      </c>
      <c r="S496">
        <v>260</v>
      </c>
      <c r="T496">
        <v>92.8</v>
      </c>
      <c r="U496">
        <v>5</v>
      </c>
      <c r="V496">
        <v>0.45</v>
      </c>
      <c r="W496">
        <v>0.41799999999999998</v>
      </c>
    </row>
    <row r="497" spans="1:23" x14ac:dyDescent="0.3">
      <c r="A497" t="s">
        <v>805</v>
      </c>
      <c r="B497" s="1">
        <v>45211</v>
      </c>
      <c r="C497" s="2">
        <v>0.27916666666666667</v>
      </c>
      <c r="D497" t="s">
        <v>838</v>
      </c>
      <c r="E497">
        <v>75</v>
      </c>
      <c r="F497" t="s">
        <v>807</v>
      </c>
      <c r="G497" t="s">
        <v>838</v>
      </c>
      <c r="H497" t="s">
        <v>89</v>
      </c>
      <c r="I497">
        <v>-8.1437910000000002</v>
      </c>
      <c r="J497">
        <v>28.946161</v>
      </c>
      <c r="K497" t="s">
        <v>1498</v>
      </c>
      <c r="L497" t="s">
        <v>1501</v>
      </c>
      <c r="M497" t="s">
        <v>213</v>
      </c>
      <c r="N497" t="s">
        <v>89</v>
      </c>
      <c r="O497" t="s">
        <v>1815</v>
      </c>
      <c r="P497">
        <v>82</v>
      </c>
      <c r="Q497" t="s">
        <v>11</v>
      </c>
      <c r="R497" s="2">
        <v>0.18333333333333332</v>
      </c>
      <c r="S497">
        <v>264</v>
      </c>
      <c r="T497">
        <v>88.03</v>
      </c>
      <c r="U497">
        <v>1</v>
      </c>
      <c r="V497">
        <v>0.45</v>
      </c>
      <c r="W497">
        <v>0.39600000000000002</v>
      </c>
    </row>
    <row r="498" spans="1:23" x14ac:dyDescent="0.3">
      <c r="A498" t="s">
        <v>805</v>
      </c>
      <c r="B498" s="1">
        <v>45211</v>
      </c>
      <c r="C498" s="2">
        <v>0.27916666666666667</v>
      </c>
      <c r="D498" t="s">
        <v>838</v>
      </c>
      <c r="E498">
        <v>75</v>
      </c>
      <c r="F498" t="s">
        <v>807</v>
      </c>
      <c r="G498" t="s">
        <v>838</v>
      </c>
      <c r="H498" t="s">
        <v>89</v>
      </c>
      <c r="I498">
        <v>-8.1437910000000002</v>
      </c>
      <c r="J498">
        <v>28.946161</v>
      </c>
      <c r="K498" t="s">
        <v>1498</v>
      </c>
      <c r="L498" t="s">
        <v>1501</v>
      </c>
      <c r="M498" t="s">
        <v>227</v>
      </c>
      <c r="N498" t="s">
        <v>89</v>
      </c>
      <c r="O498" t="s">
        <v>1827</v>
      </c>
      <c r="P498">
        <v>28</v>
      </c>
      <c r="Q498" t="s">
        <v>11</v>
      </c>
      <c r="R498" s="2">
        <v>6.6666666666666666E-2</v>
      </c>
      <c r="S498">
        <v>96</v>
      </c>
      <c r="T498">
        <v>72.010000000000005</v>
      </c>
      <c r="U498">
        <v>4</v>
      </c>
      <c r="V498">
        <v>0.45</v>
      </c>
      <c r="W498">
        <v>0.32400000000000001</v>
      </c>
    </row>
    <row r="499" spans="1:23" x14ac:dyDescent="0.3">
      <c r="A499" t="s">
        <v>805</v>
      </c>
      <c r="B499" s="1">
        <v>45211</v>
      </c>
      <c r="C499" s="2">
        <v>0.27916666666666667</v>
      </c>
      <c r="D499" t="s">
        <v>838</v>
      </c>
      <c r="E499">
        <v>75</v>
      </c>
      <c r="F499" t="s">
        <v>807</v>
      </c>
      <c r="G499" t="s">
        <v>838</v>
      </c>
      <c r="H499" t="s">
        <v>89</v>
      </c>
      <c r="I499">
        <v>-8.1437910000000002</v>
      </c>
      <c r="J499">
        <v>28.946161</v>
      </c>
      <c r="K499" t="s">
        <v>1498</v>
      </c>
      <c r="L499" t="s">
        <v>1501</v>
      </c>
      <c r="M499" t="s">
        <v>258</v>
      </c>
      <c r="N499" t="s">
        <v>89</v>
      </c>
      <c r="O499" t="s">
        <v>1813</v>
      </c>
      <c r="P499">
        <v>25</v>
      </c>
      <c r="Q499" t="s">
        <v>19</v>
      </c>
      <c r="R499" s="2">
        <v>2.2916666666666665E-2</v>
      </c>
      <c r="S499">
        <v>33</v>
      </c>
      <c r="T499">
        <v>30.93</v>
      </c>
      <c r="U499">
        <v>1</v>
      </c>
      <c r="V499">
        <v>0.45</v>
      </c>
      <c r="W499">
        <v>0.13900000000000001</v>
      </c>
    </row>
    <row r="500" spans="1:23" x14ac:dyDescent="0.3">
      <c r="A500" t="s">
        <v>805</v>
      </c>
      <c r="B500" s="1">
        <v>45211</v>
      </c>
      <c r="C500" s="2">
        <v>0.27916666666666667</v>
      </c>
      <c r="D500" t="s">
        <v>838</v>
      </c>
      <c r="E500">
        <v>75</v>
      </c>
      <c r="F500" t="s">
        <v>807</v>
      </c>
      <c r="G500" t="s">
        <v>838</v>
      </c>
      <c r="H500" t="s">
        <v>89</v>
      </c>
      <c r="I500">
        <v>-8.1437910000000002</v>
      </c>
      <c r="J500">
        <v>28.946161</v>
      </c>
      <c r="K500" t="s">
        <v>1498</v>
      </c>
      <c r="L500" t="s">
        <v>1501</v>
      </c>
      <c r="M500" t="s">
        <v>351</v>
      </c>
      <c r="N500" t="s">
        <v>89</v>
      </c>
      <c r="O500" t="s">
        <v>1745</v>
      </c>
      <c r="P500">
        <v>47</v>
      </c>
      <c r="Q500" t="s">
        <v>11</v>
      </c>
      <c r="R500" s="2">
        <v>3.4027777777777775E-2</v>
      </c>
      <c r="S500">
        <v>49</v>
      </c>
      <c r="T500">
        <v>55.88</v>
      </c>
      <c r="U500">
        <v>3</v>
      </c>
      <c r="V500">
        <v>0.45</v>
      </c>
      <c r="W500">
        <v>0.251</v>
      </c>
    </row>
    <row r="501" spans="1:23" x14ac:dyDescent="0.3">
      <c r="A501" t="s">
        <v>805</v>
      </c>
      <c r="B501" s="1">
        <v>45211</v>
      </c>
      <c r="C501" s="2">
        <v>0.27916666666666667</v>
      </c>
      <c r="D501" t="s">
        <v>838</v>
      </c>
      <c r="E501">
        <v>75</v>
      </c>
      <c r="F501" t="s">
        <v>807</v>
      </c>
      <c r="G501" t="s">
        <v>838</v>
      </c>
      <c r="H501" t="s">
        <v>89</v>
      </c>
      <c r="I501">
        <v>-8.1437910000000002</v>
      </c>
      <c r="J501">
        <v>28.946161</v>
      </c>
      <c r="K501" t="s">
        <v>1498</v>
      </c>
      <c r="L501" t="s">
        <v>1501</v>
      </c>
      <c r="M501" t="s">
        <v>379</v>
      </c>
      <c r="N501" t="s">
        <v>89</v>
      </c>
      <c r="O501" t="s">
        <v>1828</v>
      </c>
      <c r="P501">
        <v>37</v>
      </c>
      <c r="Q501" t="s">
        <v>14</v>
      </c>
      <c r="R501" s="2">
        <v>6.1111111111111109E-2</v>
      </c>
      <c r="S501">
        <v>88</v>
      </c>
      <c r="T501">
        <v>77.77</v>
      </c>
      <c r="U501">
        <v>1</v>
      </c>
      <c r="V501">
        <v>0.1</v>
      </c>
      <c r="W501">
        <v>7.8E-2</v>
      </c>
    </row>
    <row r="502" spans="1:23" x14ac:dyDescent="0.3">
      <c r="A502" t="s">
        <v>805</v>
      </c>
      <c r="B502" s="1">
        <v>45211</v>
      </c>
      <c r="C502" s="2">
        <v>0.27916666666666667</v>
      </c>
      <c r="D502" t="s">
        <v>838</v>
      </c>
      <c r="E502">
        <v>75</v>
      </c>
      <c r="F502" t="s">
        <v>807</v>
      </c>
      <c r="G502" t="s">
        <v>838</v>
      </c>
      <c r="H502" t="s">
        <v>89</v>
      </c>
      <c r="I502">
        <v>-8.1437910000000002</v>
      </c>
      <c r="J502">
        <v>28.946161</v>
      </c>
      <c r="K502" t="s">
        <v>1498</v>
      </c>
      <c r="L502" t="s">
        <v>1501</v>
      </c>
      <c r="M502" t="s">
        <v>383</v>
      </c>
      <c r="N502" t="s">
        <v>89</v>
      </c>
      <c r="O502" t="s">
        <v>1801</v>
      </c>
      <c r="P502">
        <v>109</v>
      </c>
      <c r="Q502" t="s">
        <v>14</v>
      </c>
      <c r="R502" s="2">
        <v>0.27569444444444446</v>
      </c>
      <c r="S502">
        <v>397</v>
      </c>
      <c r="T502">
        <v>63.92</v>
      </c>
      <c r="U502">
        <v>1</v>
      </c>
      <c r="V502">
        <v>0.1</v>
      </c>
      <c r="W502">
        <v>6.4000000000000001E-2</v>
      </c>
    </row>
    <row r="503" spans="1:23" x14ac:dyDescent="0.3">
      <c r="A503" t="s">
        <v>805</v>
      </c>
      <c r="B503" s="1">
        <v>45211</v>
      </c>
      <c r="C503" s="2">
        <v>0.27916666666666667</v>
      </c>
      <c r="D503" t="s">
        <v>838</v>
      </c>
      <c r="E503">
        <v>75</v>
      </c>
      <c r="F503" t="s">
        <v>807</v>
      </c>
      <c r="G503" t="s">
        <v>838</v>
      </c>
      <c r="H503" t="s">
        <v>89</v>
      </c>
      <c r="I503">
        <v>-8.1437910000000002</v>
      </c>
      <c r="J503">
        <v>28.946161</v>
      </c>
      <c r="K503" t="s">
        <v>1498</v>
      </c>
      <c r="L503" t="s">
        <v>1501</v>
      </c>
      <c r="M503" t="s">
        <v>388</v>
      </c>
      <c r="N503" t="s">
        <v>89</v>
      </c>
      <c r="O503" t="s">
        <v>1727</v>
      </c>
      <c r="P503">
        <v>77</v>
      </c>
      <c r="Q503" t="s">
        <v>22</v>
      </c>
      <c r="R503" s="2">
        <v>3.125E-2</v>
      </c>
      <c r="S503">
        <v>45</v>
      </c>
      <c r="T503">
        <v>21.59</v>
      </c>
      <c r="U503">
        <v>2</v>
      </c>
      <c r="V503">
        <v>0.45</v>
      </c>
      <c r="W503">
        <v>9.7000000000000003E-2</v>
      </c>
    </row>
    <row r="504" spans="1:23" x14ac:dyDescent="0.3">
      <c r="A504" t="s">
        <v>805</v>
      </c>
      <c r="B504" s="1">
        <v>45211</v>
      </c>
      <c r="C504" s="2">
        <v>0.27916666666666667</v>
      </c>
      <c r="D504" t="s">
        <v>838</v>
      </c>
      <c r="E504">
        <v>75</v>
      </c>
      <c r="F504" t="s">
        <v>807</v>
      </c>
      <c r="G504" t="s">
        <v>838</v>
      </c>
      <c r="H504" t="s">
        <v>89</v>
      </c>
      <c r="I504">
        <v>-8.1437910000000002</v>
      </c>
      <c r="J504">
        <v>28.946161</v>
      </c>
      <c r="K504" t="s">
        <v>1498</v>
      </c>
      <c r="L504" t="s">
        <v>1501</v>
      </c>
      <c r="M504" t="s">
        <v>418</v>
      </c>
      <c r="N504" t="s">
        <v>89</v>
      </c>
      <c r="O504" t="s">
        <v>1739</v>
      </c>
      <c r="P504">
        <v>40</v>
      </c>
      <c r="Q504" t="s">
        <v>19</v>
      </c>
      <c r="R504" s="2">
        <v>2.6388888888888889E-2</v>
      </c>
      <c r="S504">
        <v>38</v>
      </c>
      <c r="T504">
        <v>17.63</v>
      </c>
      <c r="U504">
        <v>0</v>
      </c>
      <c r="V504">
        <v>0.45</v>
      </c>
      <c r="W504">
        <v>7.9000000000000001E-2</v>
      </c>
    </row>
    <row r="505" spans="1:23" x14ac:dyDescent="0.3">
      <c r="A505" t="s">
        <v>805</v>
      </c>
      <c r="B505" s="1">
        <v>45211</v>
      </c>
      <c r="C505" s="2">
        <v>0.27916666666666667</v>
      </c>
      <c r="D505" t="s">
        <v>838</v>
      </c>
      <c r="E505">
        <v>75</v>
      </c>
      <c r="F505" t="s">
        <v>807</v>
      </c>
      <c r="G505" t="s">
        <v>838</v>
      </c>
      <c r="H505" t="s">
        <v>89</v>
      </c>
      <c r="I505">
        <v>-8.1437910000000002</v>
      </c>
      <c r="J505">
        <v>28.946161</v>
      </c>
      <c r="K505" t="s">
        <v>1498</v>
      </c>
      <c r="L505" t="s">
        <v>1501</v>
      </c>
      <c r="M505" t="s">
        <v>463</v>
      </c>
      <c r="N505" t="s">
        <v>89</v>
      </c>
      <c r="O505" t="s">
        <v>1720</v>
      </c>
      <c r="P505">
        <v>85</v>
      </c>
      <c r="Q505" t="s">
        <v>22</v>
      </c>
      <c r="R505" s="2">
        <v>9.166666666666666E-2</v>
      </c>
      <c r="S505">
        <v>132</v>
      </c>
      <c r="T505">
        <v>11.41</v>
      </c>
      <c r="U505">
        <v>0</v>
      </c>
      <c r="V505">
        <v>0.45</v>
      </c>
      <c r="W505">
        <v>5.0999999999999997E-2</v>
      </c>
    </row>
    <row r="506" spans="1:23" x14ac:dyDescent="0.3">
      <c r="A506" t="s">
        <v>854</v>
      </c>
      <c r="B506" s="1">
        <v>45214</v>
      </c>
      <c r="C506" s="2">
        <v>0.9604166666666667</v>
      </c>
      <c r="D506" t="s">
        <v>859</v>
      </c>
      <c r="E506">
        <v>38</v>
      </c>
      <c r="F506" t="s">
        <v>807</v>
      </c>
      <c r="G506" t="s">
        <v>859</v>
      </c>
      <c r="H506" t="s">
        <v>137</v>
      </c>
      <c r="I506">
        <v>-11.710407999999999</v>
      </c>
      <c r="J506">
        <v>23.741330999999999</v>
      </c>
      <c r="K506" t="s">
        <v>1500</v>
      </c>
      <c r="L506" t="s">
        <v>1499</v>
      </c>
      <c r="M506" t="s">
        <v>136</v>
      </c>
      <c r="N506" t="s">
        <v>137</v>
      </c>
      <c r="O506" t="s">
        <v>1790</v>
      </c>
      <c r="P506">
        <v>80</v>
      </c>
      <c r="Q506" t="s">
        <v>22</v>
      </c>
      <c r="R506" s="2">
        <v>0.1076388888888889</v>
      </c>
      <c r="S506">
        <v>155</v>
      </c>
      <c r="T506">
        <v>28.96</v>
      </c>
      <c r="U506">
        <v>2</v>
      </c>
      <c r="V506">
        <v>0.45</v>
      </c>
      <c r="W506">
        <v>0.13</v>
      </c>
    </row>
    <row r="507" spans="1:23" x14ac:dyDescent="0.3">
      <c r="A507" t="s">
        <v>854</v>
      </c>
      <c r="B507" s="1">
        <v>45214</v>
      </c>
      <c r="C507" s="2">
        <v>0.9604166666666667</v>
      </c>
      <c r="D507" t="s">
        <v>859</v>
      </c>
      <c r="E507">
        <v>38</v>
      </c>
      <c r="F507" t="s">
        <v>807</v>
      </c>
      <c r="G507" t="s">
        <v>859</v>
      </c>
      <c r="H507" t="s">
        <v>137</v>
      </c>
      <c r="I507">
        <v>-11.710407999999999</v>
      </c>
      <c r="J507">
        <v>23.741330999999999</v>
      </c>
      <c r="K507" t="s">
        <v>1500</v>
      </c>
      <c r="L507" t="s">
        <v>1499</v>
      </c>
      <c r="M507" t="s">
        <v>211</v>
      </c>
      <c r="N507" t="s">
        <v>137</v>
      </c>
      <c r="O507" t="s">
        <v>1822</v>
      </c>
      <c r="P507">
        <v>75</v>
      </c>
      <c r="Q507" t="s">
        <v>14</v>
      </c>
      <c r="R507" s="2">
        <v>0.16805555555555557</v>
      </c>
      <c r="S507">
        <v>242</v>
      </c>
      <c r="T507">
        <v>64.27</v>
      </c>
      <c r="U507">
        <v>2</v>
      </c>
      <c r="V507">
        <v>0.1</v>
      </c>
      <c r="W507">
        <v>6.4000000000000001E-2</v>
      </c>
    </row>
    <row r="508" spans="1:23" x14ac:dyDescent="0.3">
      <c r="A508" t="s">
        <v>854</v>
      </c>
      <c r="B508" s="1">
        <v>45214</v>
      </c>
      <c r="C508" s="2">
        <v>0.9604166666666667</v>
      </c>
      <c r="D508" t="s">
        <v>859</v>
      </c>
      <c r="E508">
        <v>38</v>
      </c>
      <c r="F508" t="s">
        <v>807</v>
      </c>
      <c r="G508" t="s">
        <v>859</v>
      </c>
      <c r="H508" t="s">
        <v>137</v>
      </c>
      <c r="I508">
        <v>-11.710407999999999</v>
      </c>
      <c r="J508">
        <v>23.741330999999999</v>
      </c>
      <c r="K508" t="s">
        <v>1500</v>
      </c>
      <c r="L508" t="s">
        <v>1499</v>
      </c>
      <c r="M508" t="s">
        <v>277</v>
      </c>
      <c r="N508" t="s">
        <v>137</v>
      </c>
      <c r="O508" t="s">
        <v>1773</v>
      </c>
      <c r="P508">
        <v>32</v>
      </c>
      <c r="Q508" t="s">
        <v>22</v>
      </c>
      <c r="R508" s="2">
        <v>0.28125</v>
      </c>
      <c r="S508">
        <v>405</v>
      </c>
      <c r="T508">
        <v>67.92</v>
      </c>
      <c r="U508">
        <v>3</v>
      </c>
      <c r="V508">
        <v>0.45</v>
      </c>
      <c r="W508">
        <v>0.30599999999999999</v>
      </c>
    </row>
    <row r="509" spans="1:23" x14ac:dyDescent="0.3">
      <c r="A509" t="s">
        <v>854</v>
      </c>
      <c r="B509" s="1">
        <v>45214</v>
      </c>
      <c r="C509" s="2">
        <v>0.9604166666666667</v>
      </c>
      <c r="D509" t="s">
        <v>859</v>
      </c>
      <c r="E509">
        <v>38</v>
      </c>
      <c r="F509" t="s">
        <v>807</v>
      </c>
      <c r="G509" t="s">
        <v>859</v>
      </c>
      <c r="H509" t="s">
        <v>137</v>
      </c>
      <c r="I509">
        <v>-11.710407999999999</v>
      </c>
      <c r="J509">
        <v>23.741330999999999</v>
      </c>
      <c r="K509" t="s">
        <v>1500</v>
      </c>
      <c r="L509" t="s">
        <v>1499</v>
      </c>
      <c r="M509" t="s">
        <v>282</v>
      </c>
      <c r="N509" t="s">
        <v>137</v>
      </c>
      <c r="O509" t="s">
        <v>1785</v>
      </c>
      <c r="P509">
        <v>106</v>
      </c>
      <c r="Q509" t="s">
        <v>22</v>
      </c>
      <c r="R509" s="2">
        <v>8.8888888888888892E-2</v>
      </c>
      <c r="S509">
        <v>128</v>
      </c>
      <c r="T509">
        <v>35.96</v>
      </c>
      <c r="U509">
        <v>2</v>
      </c>
      <c r="V509">
        <v>0.45</v>
      </c>
      <c r="W509">
        <v>0.16200000000000001</v>
      </c>
    </row>
    <row r="510" spans="1:23" x14ac:dyDescent="0.3">
      <c r="A510" t="s">
        <v>854</v>
      </c>
      <c r="B510" s="1">
        <v>45214</v>
      </c>
      <c r="C510" s="2">
        <v>0.9604166666666667</v>
      </c>
      <c r="D510" t="s">
        <v>859</v>
      </c>
      <c r="E510">
        <v>38</v>
      </c>
      <c r="F510" t="s">
        <v>807</v>
      </c>
      <c r="G510" t="s">
        <v>859</v>
      </c>
      <c r="H510" t="s">
        <v>137</v>
      </c>
      <c r="I510">
        <v>-11.710407999999999</v>
      </c>
      <c r="J510">
        <v>23.741330999999999</v>
      </c>
      <c r="K510" t="s">
        <v>1500</v>
      </c>
      <c r="L510" t="s">
        <v>1499</v>
      </c>
      <c r="M510" t="s">
        <v>285</v>
      </c>
      <c r="N510" t="s">
        <v>137</v>
      </c>
      <c r="O510" t="s">
        <v>1812</v>
      </c>
      <c r="P510">
        <v>21</v>
      </c>
      <c r="Q510" t="s">
        <v>19</v>
      </c>
      <c r="R510" s="2">
        <v>0.21319444444444444</v>
      </c>
      <c r="S510">
        <v>307</v>
      </c>
      <c r="T510">
        <v>39.81</v>
      </c>
      <c r="U510">
        <v>5</v>
      </c>
      <c r="V510">
        <v>0.45</v>
      </c>
      <c r="W510">
        <v>0.17899999999999999</v>
      </c>
    </row>
    <row r="511" spans="1:23" x14ac:dyDescent="0.3">
      <c r="A511" t="s">
        <v>854</v>
      </c>
      <c r="B511" s="1">
        <v>45214</v>
      </c>
      <c r="C511" s="2">
        <v>0.9604166666666667</v>
      </c>
      <c r="D511" t="s">
        <v>859</v>
      </c>
      <c r="E511">
        <v>38</v>
      </c>
      <c r="F511" t="s">
        <v>807</v>
      </c>
      <c r="G511" t="s">
        <v>859</v>
      </c>
      <c r="H511" t="s">
        <v>137</v>
      </c>
      <c r="I511">
        <v>-11.710407999999999</v>
      </c>
      <c r="J511">
        <v>23.741330999999999</v>
      </c>
      <c r="K511" t="s">
        <v>1500</v>
      </c>
      <c r="L511" t="s">
        <v>1499</v>
      </c>
      <c r="M511" t="s">
        <v>286</v>
      </c>
      <c r="N511" t="s">
        <v>137</v>
      </c>
      <c r="O511" t="s">
        <v>1796</v>
      </c>
      <c r="P511">
        <v>22</v>
      </c>
      <c r="Q511" t="s">
        <v>11</v>
      </c>
      <c r="R511" s="2">
        <v>0.11527777777777778</v>
      </c>
      <c r="S511">
        <v>166</v>
      </c>
      <c r="T511">
        <v>31.8</v>
      </c>
      <c r="U511">
        <v>1</v>
      </c>
      <c r="V511">
        <v>0.45</v>
      </c>
      <c r="W511">
        <v>0.14299999999999999</v>
      </c>
    </row>
    <row r="512" spans="1:23" x14ac:dyDescent="0.3">
      <c r="A512" t="s">
        <v>854</v>
      </c>
      <c r="B512" s="1">
        <v>45214</v>
      </c>
      <c r="C512" s="2">
        <v>0.9604166666666667</v>
      </c>
      <c r="D512" t="s">
        <v>859</v>
      </c>
      <c r="E512">
        <v>38</v>
      </c>
      <c r="F512" t="s">
        <v>807</v>
      </c>
      <c r="G512" t="s">
        <v>859</v>
      </c>
      <c r="H512" t="s">
        <v>137</v>
      </c>
      <c r="I512">
        <v>-11.710407999999999</v>
      </c>
      <c r="J512">
        <v>23.741330999999999</v>
      </c>
      <c r="K512" t="s">
        <v>1500</v>
      </c>
      <c r="L512" t="s">
        <v>1499</v>
      </c>
      <c r="M512" t="s">
        <v>298</v>
      </c>
      <c r="N512" t="s">
        <v>137</v>
      </c>
      <c r="O512" t="s">
        <v>1713</v>
      </c>
      <c r="P512">
        <v>83</v>
      </c>
      <c r="Q512" t="s">
        <v>22</v>
      </c>
      <c r="R512" s="2">
        <v>2.0833333333333332E-2</v>
      </c>
      <c r="S512">
        <v>30</v>
      </c>
      <c r="T512">
        <v>33.93</v>
      </c>
      <c r="U512">
        <v>3</v>
      </c>
      <c r="V512">
        <v>0.45</v>
      </c>
      <c r="W512">
        <v>0.153</v>
      </c>
    </row>
    <row r="513" spans="1:23" x14ac:dyDescent="0.3">
      <c r="A513" t="s">
        <v>854</v>
      </c>
      <c r="B513" s="1">
        <v>45214</v>
      </c>
      <c r="C513" s="2">
        <v>0.9604166666666667</v>
      </c>
      <c r="D513" t="s">
        <v>859</v>
      </c>
      <c r="E513">
        <v>38</v>
      </c>
      <c r="F513" t="s">
        <v>807</v>
      </c>
      <c r="G513" t="s">
        <v>859</v>
      </c>
      <c r="H513" t="s">
        <v>137</v>
      </c>
      <c r="I513">
        <v>-11.710407999999999</v>
      </c>
      <c r="J513">
        <v>23.741330999999999</v>
      </c>
      <c r="K513" t="s">
        <v>1500</v>
      </c>
      <c r="L513" t="s">
        <v>1499</v>
      </c>
      <c r="M513" t="s">
        <v>302</v>
      </c>
      <c r="N513" t="s">
        <v>137</v>
      </c>
      <c r="O513" t="s">
        <v>1825</v>
      </c>
      <c r="P513">
        <v>5</v>
      </c>
      <c r="Q513" t="s">
        <v>14</v>
      </c>
      <c r="R513" s="2">
        <v>6.805555555555555E-2</v>
      </c>
      <c r="S513">
        <v>98</v>
      </c>
      <c r="T513">
        <v>71.37</v>
      </c>
      <c r="U513">
        <v>1</v>
      </c>
      <c r="V513">
        <v>0.1</v>
      </c>
      <c r="W513">
        <v>7.0999999999999994E-2</v>
      </c>
    </row>
    <row r="514" spans="1:23" x14ac:dyDescent="0.3">
      <c r="A514" t="s">
        <v>854</v>
      </c>
      <c r="B514" s="1">
        <v>45214</v>
      </c>
      <c r="C514" s="2">
        <v>0.9604166666666667</v>
      </c>
      <c r="D514" t="s">
        <v>859</v>
      </c>
      <c r="E514">
        <v>38</v>
      </c>
      <c r="F514" t="s">
        <v>807</v>
      </c>
      <c r="G514" t="s">
        <v>859</v>
      </c>
      <c r="H514" t="s">
        <v>137</v>
      </c>
      <c r="I514">
        <v>-11.710407999999999</v>
      </c>
      <c r="J514">
        <v>23.741330999999999</v>
      </c>
      <c r="K514" t="s">
        <v>1500</v>
      </c>
      <c r="L514" t="s">
        <v>1499</v>
      </c>
      <c r="M514" t="s">
        <v>306</v>
      </c>
      <c r="N514" t="s">
        <v>137</v>
      </c>
      <c r="O514" t="s">
        <v>1788</v>
      </c>
      <c r="P514">
        <v>120</v>
      </c>
      <c r="Q514" t="s">
        <v>14</v>
      </c>
      <c r="R514" s="2">
        <v>0.1451388888888889</v>
      </c>
      <c r="S514">
        <v>209</v>
      </c>
      <c r="T514">
        <v>42.51</v>
      </c>
      <c r="U514">
        <v>4</v>
      </c>
      <c r="V514">
        <v>0.1</v>
      </c>
      <c r="W514">
        <v>4.2999999999999997E-2</v>
      </c>
    </row>
    <row r="515" spans="1:23" x14ac:dyDescent="0.3">
      <c r="A515" t="s">
        <v>854</v>
      </c>
      <c r="B515" s="1">
        <v>45214</v>
      </c>
      <c r="C515" s="2">
        <v>0.9604166666666667</v>
      </c>
      <c r="D515" t="s">
        <v>859</v>
      </c>
      <c r="E515">
        <v>38</v>
      </c>
      <c r="F515" t="s">
        <v>807</v>
      </c>
      <c r="G515" t="s">
        <v>859</v>
      </c>
      <c r="H515" t="s">
        <v>137</v>
      </c>
      <c r="I515">
        <v>-11.710407999999999</v>
      </c>
      <c r="J515">
        <v>23.741330999999999</v>
      </c>
      <c r="K515" t="s">
        <v>1500</v>
      </c>
      <c r="L515" t="s">
        <v>1499</v>
      </c>
      <c r="M515" t="s">
        <v>352</v>
      </c>
      <c r="N515" t="s">
        <v>137</v>
      </c>
      <c r="O515" t="s">
        <v>1731</v>
      </c>
      <c r="P515">
        <v>103</v>
      </c>
      <c r="Q515" t="s">
        <v>22</v>
      </c>
      <c r="R515" s="2">
        <v>0.12638888888888888</v>
      </c>
      <c r="S515">
        <v>182</v>
      </c>
      <c r="T515">
        <v>12.07</v>
      </c>
      <c r="U515">
        <v>5</v>
      </c>
      <c r="V515">
        <v>0.45</v>
      </c>
      <c r="W515">
        <v>5.3999999999999999E-2</v>
      </c>
    </row>
    <row r="516" spans="1:23" x14ac:dyDescent="0.3">
      <c r="A516" t="s">
        <v>854</v>
      </c>
      <c r="B516" s="1">
        <v>45214</v>
      </c>
      <c r="C516" s="2">
        <v>0.9604166666666667</v>
      </c>
      <c r="D516" t="s">
        <v>859</v>
      </c>
      <c r="E516">
        <v>38</v>
      </c>
      <c r="F516" t="s">
        <v>807</v>
      </c>
      <c r="G516" t="s">
        <v>859</v>
      </c>
      <c r="H516" t="s">
        <v>137</v>
      </c>
      <c r="I516">
        <v>-11.710407999999999</v>
      </c>
      <c r="J516">
        <v>23.741330999999999</v>
      </c>
      <c r="K516" t="s">
        <v>1500</v>
      </c>
      <c r="L516" t="s">
        <v>1499</v>
      </c>
      <c r="M516" t="s">
        <v>549</v>
      </c>
      <c r="N516" t="s">
        <v>137</v>
      </c>
      <c r="O516" t="s">
        <v>1812</v>
      </c>
      <c r="P516">
        <v>21</v>
      </c>
      <c r="Q516" t="s">
        <v>22</v>
      </c>
      <c r="R516" s="2">
        <v>0.30833333333333335</v>
      </c>
      <c r="S516">
        <v>444</v>
      </c>
      <c r="T516">
        <v>41.92</v>
      </c>
      <c r="U516">
        <v>3</v>
      </c>
      <c r="V516">
        <v>0.45</v>
      </c>
      <c r="W516">
        <v>0.189</v>
      </c>
    </row>
    <row r="517" spans="1:23" x14ac:dyDescent="0.3">
      <c r="A517" t="s">
        <v>854</v>
      </c>
      <c r="B517" s="1">
        <v>45214</v>
      </c>
      <c r="C517" s="2">
        <v>0.9604166666666667</v>
      </c>
      <c r="D517" t="s">
        <v>859</v>
      </c>
      <c r="E517">
        <v>38</v>
      </c>
      <c r="F517" t="s">
        <v>807</v>
      </c>
      <c r="G517" t="s">
        <v>859</v>
      </c>
      <c r="H517" t="s">
        <v>137</v>
      </c>
      <c r="I517">
        <v>-11.710407999999999</v>
      </c>
      <c r="J517">
        <v>23.741330999999999</v>
      </c>
      <c r="K517" t="s">
        <v>1500</v>
      </c>
      <c r="L517" t="s">
        <v>1499</v>
      </c>
      <c r="M517" t="s">
        <v>558</v>
      </c>
      <c r="N517" t="s">
        <v>137</v>
      </c>
      <c r="O517" t="s">
        <v>1797</v>
      </c>
      <c r="P517">
        <v>91</v>
      </c>
      <c r="Q517" t="s">
        <v>22</v>
      </c>
      <c r="R517" s="2">
        <v>6.25E-2</v>
      </c>
      <c r="S517">
        <v>90</v>
      </c>
      <c r="T517">
        <v>39.14</v>
      </c>
      <c r="U517">
        <v>3</v>
      </c>
      <c r="V517">
        <v>0.45</v>
      </c>
      <c r="W517">
        <v>0.17599999999999999</v>
      </c>
    </row>
    <row r="518" spans="1:23" x14ac:dyDescent="0.3">
      <c r="A518" t="s">
        <v>854</v>
      </c>
      <c r="B518" s="1">
        <v>45214</v>
      </c>
      <c r="C518" s="2">
        <v>0.9604166666666667</v>
      </c>
      <c r="D518" t="s">
        <v>859</v>
      </c>
      <c r="E518">
        <v>38</v>
      </c>
      <c r="F518" t="s">
        <v>807</v>
      </c>
      <c r="G518" t="s">
        <v>859</v>
      </c>
      <c r="H518" t="s">
        <v>137</v>
      </c>
      <c r="I518">
        <v>-11.710407999999999</v>
      </c>
      <c r="J518">
        <v>23.741330999999999</v>
      </c>
      <c r="K518" t="s">
        <v>1500</v>
      </c>
      <c r="L518" t="s">
        <v>1499</v>
      </c>
      <c r="M518" t="s">
        <v>570</v>
      </c>
      <c r="N518" t="s">
        <v>137</v>
      </c>
      <c r="O518" t="s">
        <v>1722</v>
      </c>
      <c r="P518">
        <v>16</v>
      </c>
      <c r="Q518" t="s">
        <v>14</v>
      </c>
      <c r="R518" s="2">
        <v>0.14861111111111111</v>
      </c>
      <c r="S518">
        <v>214</v>
      </c>
      <c r="T518">
        <v>46.57</v>
      </c>
      <c r="U518">
        <v>5</v>
      </c>
      <c r="V518">
        <v>0.1</v>
      </c>
      <c r="W518">
        <v>4.7E-2</v>
      </c>
    </row>
    <row r="519" spans="1:23" x14ac:dyDescent="0.3">
      <c r="A519" t="s">
        <v>898</v>
      </c>
      <c r="B519" s="1">
        <v>45206</v>
      </c>
      <c r="C519" s="2">
        <v>0.6875</v>
      </c>
      <c r="D519" t="s">
        <v>926</v>
      </c>
      <c r="E519">
        <v>76</v>
      </c>
      <c r="F519" t="s">
        <v>812</v>
      </c>
      <c r="G519" t="s">
        <v>926</v>
      </c>
      <c r="H519" t="s">
        <v>127</v>
      </c>
      <c r="I519">
        <v>-12.100756000000001</v>
      </c>
      <c r="J519">
        <v>21.938649999999999</v>
      </c>
      <c r="K519" t="s">
        <v>1498</v>
      </c>
      <c r="L519" t="s">
        <v>1499</v>
      </c>
      <c r="M519" t="s">
        <v>126</v>
      </c>
      <c r="N519" t="s">
        <v>127</v>
      </c>
      <c r="O519" t="s">
        <v>1739</v>
      </c>
      <c r="P519">
        <v>40</v>
      </c>
      <c r="Q519" t="s">
        <v>11</v>
      </c>
      <c r="R519" s="2">
        <v>0.23958333333333334</v>
      </c>
      <c r="S519">
        <v>345</v>
      </c>
      <c r="T519">
        <v>89.55</v>
      </c>
      <c r="U519">
        <v>3</v>
      </c>
      <c r="V519">
        <v>0.45</v>
      </c>
      <c r="W519">
        <v>0.40300000000000002</v>
      </c>
    </row>
    <row r="520" spans="1:23" x14ac:dyDescent="0.3">
      <c r="A520" t="s">
        <v>898</v>
      </c>
      <c r="B520" s="1">
        <v>45206</v>
      </c>
      <c r="C520" s="2">
        <v>0.6875</v>
      </c>
      <c r="D520" t="s">
        <v>926</v>
      </c>
      <c r="E520">
        <v>76</v>
      </c>
      <c r="F520" t="s">
        <v>812</v>
      </c>
      <c r="G520" t="s">
        <v>926</v>
      </c>
      <c r="H520" t="s">
        <v>127</v>
      </c>
      <c r="I520">
        <v>-12.100756000000001</v>
      </c>
      <c r="J520">
        <v>21.938649999999999</v>
      </c>
      <c r="K520" t="s">
        <v>1498</v>
      </c>
      <c r="L520" t="s">
        <v>1499</v>
      </c>
      <c r="M520" t="s">
        <v>253</v>
      </c>
      <c r="N520" t="s">
        <v>127</v>
      </c>
      <c r="O520" t="s">
        <v>1775</v>
      </c>
      <c r="P520">
        <v>49</v>
      </c>
      <c r="Q520" t="s">
        <v>22</v>
      </c>
      <c r="R520" s="2">
        <v>4.1666666666666666E-3</v>
      </c>
      <c r="S520">
        <v>6</v>
      </c>
      <c r="T520">
        <v>44.41</v>
      </c>
      <c r="U520">
        <v>3</v>
      </c>
      <c r="V520">
        <v>0.45</v>
      </c>
      <c r="W520">
        <v>0.2</v>
      </c>
    </row>
    <row r="521" spans="1:23" x14ac:dyDescent="0.3">
      <c r="A521" t="s">
        <v>898</v>
      </c>
      <c r="B521" s="1">
        <v>45206</v>
      </c>
      <c r="C521" s="2">
        <v>0.6875</v>
      </c>
      <c r="D521" t="s">
        <v>926</v>
      </c>
      <c r="E521">
        <v>76</v>
      </c>
      <c r="F521" t="s">
        <v>812</v>
      </c>
      <c r="G521" t="s">
        <v>926</v>
      </c>
      <c r="H521" t="s">
        <v>127</v>
      </c>
      <c r="I521">
        <v>-12.100756000000001</v>
      </c>
      <c r="J521">
        <v>21.938649999999999</v>
      </c>
      <c r="K521" t="s">
        <v>1498</v>
      </c>
      <c r="L521" t="s">
        <v>1499</v>
      </c>
      <c r="M521" t="s">
        <v>289</v>
      </c>
      <c r="N521" t="s">
        <v>127</v>
      </c>
      <c r="O521" t="s">
        <v>1757</v>
      </c>
      <c r="P521">
        <v>78</v>
      </c>
      <c r="Q521" t="s">
        <v>22</v>
      </c>
      <c r="R521" s="2">
        <v>0.13750000000000001</v>
      </c>
      <c r="S521">
        <v>198</v>
      </c>
      <c r="T521">
        <v>69.849999999999994</v>
      </c>
      <c r="U521">
        <v>0</v>
      </c>
      <c r="V521">
        <v>0.45</v>
      </c>
      <c r="W521">
        <v>0.314</v>
      </c>
    </row>
    <row r="522" spans="1:23" x14ac:dyDescent="0.3">
      <c r="A522" t="s">
        <v>898</v>
      </c>
      <c r="B522" s="1">
        <v>45206</v>
      </c>
      <c r="C522" s="2">
        <v>0.6875</v>
      </c>
      <c r="D522" t="s">
        <v>926</v>
      </c>
      <c r="E522">
        <v>76</v>
      </c>
      <c r="F522" t="s">
        <v>812</v>
      </c>
      <c r="G522" t="s">
        <v>926</v>
      </c>
      <c r="H522" t="s">
        <v>127</v>
      </c>
      <c r="I522">
        <v>-12.100756000000001</v>
      </c>
      <c r="J522">
        <v>21.938649999999999</v>
      </c>
      <c r="K522" t="s">
        <v>1498</v>
      </c>
      <c r="L522" t="s">
        <v>1499</v>
      </c>
      <c r="M522" t="s">
        <v>316</v>
      </c>
      <c r="N522" t="s">
        <v>127</v>
      </c>
      <c r="O522" t="s">
        <v>1819</v>
      </c>
      <c r="P522">
        <v>93</v>
      </c>
      <c r="Q522" t="s">
        <v>11</v>
      </c>
      <c r="R522" s="2">
        <v>0.10416666666666667</v>
      </c>
      <c r="S522">
        <v>150</v>
      </c>
      <c r="T522">
        <v>93.25</v>
      </c>
      <c r="U522">
        <v>3</v>
      </c>
      <c r="V522">
        <v>0.45</v>
      </c>
      <c r="W522">
        <v>0.42</v>
      </c>
    </row>
    <row r="523" spans="1:23" x14ac:dyDescent="0.3">
      <c r="A523" t="s">
        <v>898</v>
      </c>
      <c r="B523" s="1">
        <v>45206</v>
      </c>
      <c r="C523" s="2">
        <v>0.6875</v>
      </c>
      <c r="D523" t="s">
        <v>926</v>
      </c>
      <c r="E523">
        <v>76</v>
      </c>
      <c r="F523" t="s">
        <v>812</v>
      </c>
      <c r="G523" t="s">
        <v>926</v>
      </c>
      <c r="H523" t="s">
        <v>127</v>
      </c>
      <c r="I523">
        <v>-12.100756000000001</v>
      </c>
      <c r="J523">
        <v>21.938649999999999</v>
      </c>
      <c r="K523" t="s">
        <v>1498</v>
      </c>
      <c r="L523" t="s">
        <v>1499</v>
      </c>
      <c r="M523" t="s">
        <v>318</v>
      </c>
      <c r="N523" t="s">
        <v>127</v>
      </c>
      <c r="O523" t="s">
        <v>1816</v>
      </c>
      <c r="P523">
        <v>66</v>
      </c>
      <c r="Q523" t="s">
        <v>11</v>
      </c>
      <c r="R523" s="2">
        <v>0.13402777777777777</v>
      </c>
      <c r="S523">
        <v>193</v>
      </c>
      <c r="T523">
        <v>21.06</v>
      </c>
      <c r="U523">
        <v>3</v>
      </c>
      <c r="V523">
        <v>0.45</v>
      </c>
      <c r="W523">
        <v>9.5000000000000001E-2</v>
      </c>
    </row>
    <row r="524" spans="1:23" x14ac:dyDescent="0.3">
      <c r="A524" t="s">
        <v>898</v>
      </c>
      <c r="B524" s="1">
        <v>45206</v>
      </c>
      <c r="C524" s="2">
        <v>0.6875</v>
      </c>
      <c r="D524" t="s">
        <v>926</v>
      </c>
      <c r="E524">
        <v>76</v>
      </c>
      <c r="F524" t="s">
        <v>812</v>
      </c>
      <c r="G524" t="s">
        <v>926</v>
      </c>
      <c r="H524" t="s">
        <v>127</v>
      </c>
      <c r="I524">
        <v>-12.100756000000001</v>
      </c>
      <c r="J524">
        <v>21.938649999999999</v>
      </c>
      <c r="K524" t="s">
        <v>1498</v>
      </c>
      <c r="L524" t="s">
        <v>1499</v>
      </c>
      <c r="M524" t="s">
        <v>399</v>
      </c>
      <c r="N524" t="s">
        <v>127</v>
      </c>
      <c r="O524" t="s">
        <v>1755</v>
      </c>
      <c r="P524">
        <v>35</v>
      </c>
      <c r="Q524" t="s">
        <v>22</v>
      </c>
      <c r="R524" s="2">
        <v>0.29236111111111113</v>
      </c>
      <c r="S524">
        <v>421</v>
      </c>
      <c r="T524">
        <v>29.57</v>
      </c>
      <c r="U524">
        <v>5</v>
      </c>
      <c r="V524">
        <v>0.45</v>
      </c>
      <c r="W524">
        <v>0.13300000000000001</v>
      </c>
    </row>
    <row r="525" spans="1:23" x14ac:dyDescent="0.3">
      <c r="A525" t="s">
        <v>898</v>
      </c>
      <c r="B525" s="1">
        <v>45206</v>
      </c>
      <c r="C525" s="2">
        <v>0.6875</v>
      </c>
      <c r="D525" t="s">
        <v>926</v>
      </c>
      <c r="E525">
        <v>76</v>
      </c>
      <c r="F525" t="s">
        <v>812</v>
      </c>
      <c r="G525" t="s">
        <v>926</v>
      </c>
      <c r="H525" t="s">
        <v>127</v>
      </c>
      <c r="I525">
        <v>-12.100756000000001</v>
      </c>
      <c r="J525">
        <v>21.938649999999999</v>
      </c>
      <c r="K525" t="s">
        <v>1498</v>
      </c>
      <c r="L525" t="s">
        <v>1499</v>
      </c>
      <c r="M525" t="s">
        <v>560</v>
      </c>
      <c r="N525" t="s">
        <v>127</v>
      </c>
      <c r="O525" t="s">
        <v>1741</v>
      </c>
      <c r="P525">
        <v>59</v>
      </c>
      <c r="Q525" t="s">
        <v>14</v>
      </c>
      <c r="R525" s="2">
        <v>0.05</v>
      </c>
      <c r="S525">
        <v>72</v>
      </c>
      <c r="T525">
        <v>94.51</v>
      </c>
      <c r="U525">
        <v>2</v>
      </c>
      <c r="V525">
        <v>0.1</v>
      </c>
      <c r="W525">
        <v>9.5000000000000001E-2</v>
      </c>
    </row>
    <row r="526" spans="1:23" x14ac:dyDescent="0.3">
      <c r="A526" t="s">
        <v>1161</v>
      </c>
      <c r="B526" s="1">
        <v>45207</v>
      </c>
      <c r="C526" s="2">
        <v>0.13333333333333333</v>
      </c>
      <c r="D526" t="s">
        <v>1165</v>
      </c>
      <c r="E526">
        <v>66</v>
      </c>
      <c r="F526" t="s">
        <v>810</v>
      </c>
      <c r="G526" t="s">
        <v>1165</v>
      </c>
      <c r="H526" t="s">
        <v>57</v>
      </c>
      <c r="I526">
        <v>-5.4073029999999997</v>
      </c>
      <c r="J526">
        <v>29.762294000000001</v>
      </c>
      <c r="K526" t="s">
        <v>1500</v>
      </c>
      <c r="L526" t="s">
        <v>1496</v>
      </c>
      <c r="M526" t="s">
        <v>573</v>
      </c>
      <c r="N526" t="s">
        <v>57</v>
      </c>
      <c r="O526" t="s">
        <v>1763</v>
      </c>
      <c r="P526">
        <v>6</v>
      </c>
      <c r="Q526" t="s">
        <v>14</v>
      </c>
      <c r="R526" s="2">
        <v>0.23749999999999999</v>
      </c>
      <c r="S526">
        <v>342</v>
      </c>
      <c r="T526">
        <v>50.55</v>
      </c>
      <c r="U526">
        <v>5</v>
      </c>
      <c r="V526">
        <v>0.1</v>
      </c>
      <c r="W526">
        <v>5.0999999999999997E-2</v>
      </c>
    </row>
    <row r="527" spans="1:23" x14ac:dyDescent="0.3">
      <c r="A527" t="s">
        <v>805</v>
      </c>
      <c r="B527" s="1">
        <v>45202</v>
      </c>
      <c r="C527" s="2">
        <v>0.25972222222222224</v>
      </c>
      <c r="D527" t="s">
        <v>815</v>
      </c>
      <c r="E527">
        <v>79</v>
      </c>
      <c r="F527" t="s">
        <v>807</v>
      </c>
      <c r="G527" t="s">
        <v>815</v>
      </c>
      <c r="H527" t="s">
        <v>33</v>
      </c>
      <c r="I527">
        <v>-1.648264</v>
      </c>
      <c r="J527">
        <v>28.866143999999998</v>
      </c>
      <c r="K527" t="s">
        <v>1495</v>
      </c>
      <c r="L527" t="s">
        <v>1496</v>
      </c>
      <c r="M527" t="s">
        <v>574</v>
      </c>
      <c r="N527" t="s">
        <v>33</v>
      </c>
      <c r="O527" t="s">
        <v>1745</v>
      </c>
      <c r="P527">
        <v>47</v>
      </c>
      <c r="Q527" t="s">
        <v>11</v>
      </c>
      <c r="R527" s="2">
        <v>0.31736111111111109</v>
      </c>
      <c r="S527">
        <v>457</v>
      </c>
      <c r="T527">
        <v>84.93</v>
      </c>
      <c r="U527">
        <v>2</v>
      </c>
      <c r="V527">
        <v>0.45</v>
      </c>
      <c r="W527">
        <v>0.38200000000000001</v>
      </c>
    </row>
    <row r="528" spans="1:23" x14ac:dyDescent="0.3">
      <c r="A528" t="s">
        <v>854</v>
      </c>
      <c r="B528" s="1">
        <v>45216</v>
      </c>
      <c r="C528" s="2">
        <v>0.67361111111111116</v>
      </c>
      <c r="D528" t="s">
        <v>881</v>
      </c>
      <c r="E528">
        <v>117</v>
      </c>
      <c r="F528" t="s">
        <v>807</v>
      </c>
      <c r="G528" t="s">
        <v>881</v>
      </c>
      <c r="H528" t="s">
        <v>31</v>
      </c>
      <c r="I528">
        <v>-12.141233</v>
      </c>
      <c r="J528">
        <v>15.179043999999999</v>
      </c>
      <c r="K528" t="s">
        <v>1495</v>
      </c>
      <c r="L528" t="s">
        <v>1496</v>
      </c>
      <c r="M528" t="s">
        <v>575</v>
      </c>
      <c r="N528" t="s">
        <v>31</v>
      </c>
      <c r="O528" t="s">
        <v>1716</v>
      </c>
      <c r="P528">
        <v>110</v>
      </c>
      <c r="Q528" t="s">
        <v>19</v>
      </c>
      <c r="R528" s="2">
        <v>9.166666666666666E-2</v>
      </c>
      <c r="S528">
        <v>132</v>
      </c>
      <c r="T528">
        <v>21.31</v>
      </c>
      <c r="U528">
        <v>5</v>
      </c>
      <c r="V528">
        <v>0.45</v>
      </c>
      <c r="W528">
        <v>9.6000000000000002E-2</v>
      </c>
    </row>
    <row r="529" spans="1:23" x14ac:dyDescent="0.3">
      <c r="A529" t="s">
        <v>854</v>
      </c>
      <c r="B529" s="1">
        <v>45216</v>
      </c>
      <c r="C529" s="2">
        <v>0.67361111111111116</v>
      </c>
      <c r="D529" t="s">
        <v>881</v>
      </c>
      <c r="E529">
        <v>117</v>
      </c>
      <c r="F529" t="s">
        <v>807</v>
      </c>
      <c r="G529" t="s">
        <v>881</v>
      </c>
      <c r="H529" t="s">
        <v>31</v>
      </c>
      <c r="I529">
        <v>-12.141233</v>
      </c>
      <c r="J529">
        <v>15.179043999999999</v>
      </c>
      <c r="K529" t="s">
        <v>1495</v>
      </c>
      <c r="L529" t="s">
        <v>1496</v>
      </c>
      <c r="M529" t="s">
        <v>576</v>
      </c>
      <c r="N529" t="s">
        <v>31</v>
      </c>
      <c r="O529" t="s">
        <v>1828</v>
      </c>
      <c r="P529">
        <v>37</v>
      </c>
      <c r="Q529" t="s">
        <v>11</v>
      </c>
      <c r="R529" s="2">
        <v>6.5277777777777782E-2</v>
      </c>
      <c r="S529">
        <v>94</v>
      </c>
      <c r="T529">
        <v>50.44</v>
      </c>
      <c r="U529">
        <v>4</v>
      </c>
      <c r="V529">
        <v>0.45</v>
      </c>
      <c r="W529">
        <v>0.22700000000000001</v>
      </c>
    </row>
    <row r="530" spans="1:23" x14ac:dyDescent="0.3">
      <c r="A530" t="s">
        <v>805</v>
      </c>
      <c r="B530" s="1">
        <v>45213</v>
      </c>
      <c r="C530" s="2">
        <v>0.31111111111111112</v>
      </c>
      <c r="D530" t="s">
        <v>819</v>
      </c>
      <c r="E530">
        <v>22</v>
      </c>
      <c r="F530" t="s">
        <v>810</v>
      </c>
      <c r="G530" t="s">
        <v>819</v>
      </c>
      <c r="H530" t="s">
        <v>40</v>
      </c>
      <c r="I530">
        <v>4.8319039999999998</v>
      </c>
      <c r="J530">
        <v>20.733468999999999</v>
      </c>
      <c r="K530" t="s">
        <v>1495</v>
      </c>
      <c r="L530" t="s">
        <v>1496</v>
      </c>
      <c r="M530" t="s">
        <v>577</v>
      </c>
      <c r="N530" t="s">
        <v>40</v>
      </c>
      <c r="O530" t="s">
        <v>1814</v>
      </c>
      <c r="P530">
        <v>52</v>
      </c>
      <c r="Q530" t="s">
        <v>11</v>
      </c>
      <c r="R530" s="2">
        <v>0.2951388888888889</v>
      </c>
      <c r="S530">
        <v>425</v>
      </c>
      <c r="T530">
        <v>97.25</v>
      </c>
      <c r="U530">
        <v>0</v>
      </c>
      <c r="V530">
        <v>0.45</v>
      </c>
      <c r="W530">
        <v>0.438</v>
      </c>
    </row>
    <row r="531" spans="1:23" x14ac:dyDescent="0.3">
      <c r="A531" t="s">
        <v>1014</v>
      </c>
      <c r="B531" s="1">
        <v>45225</v>
      </c>
      <c r="C531" s="2">
        <v>0.21527777777777779</v>
      </c>
      <c r="D531" t="s">
        <v>1043</v>
      </c>
      <c r="E531">
        <v>41</v>
      </c>
      <c r="F531" t="s">
        <v>812</v>
      </c>
      <c r="G531" t="s">
        <v>1043</v>
      </c>
      <c r="H531" t="s">
        <v>44</v>
      </c>
      <c r="I531">
        <v>-4.9552579999999997</v>
      </c>
      <c r="J531">
        <v>22.008103999999999</v>
      </c>
      <c r="K531" t="s">
        <v>1498</v>
      </c>
      <c r="L531" t="s">
        <v>1499</v>
      </c>
      <c r="M531" t="s">
        <v>578</v>
      </c>
      <c r="N531" t="s">
        <v>44</v>
      </c>
      <c r="O531" t="s">
        <v>1804</v>
      </c>
      <c r="P531">
        <v>53</v>
      </c>
      <c r="Q531" t="s">
        <v>14</v>
      </c>
      <c r="R531" s="2">
        <v>1.8749999999999999E-2</v>
      </c>
      <c r="S531">
        <v>27</v>
      </c>
      <c r="T531">
        <v>18.77</v>
      </c>
      <c r="U531">
        <v>0</v>
      </c>
      <c r="V531">
        <v>0.1</v>
      </c>
      <c r="W531">
        <v>1.9E-2</v>
      </c>
    </row>
    <row r="532" spans="1:23" x14ac:dyDescent="0.3">
      <c r="A532" t="s">
        <v>805</v>
      </c>
      <c r="B532" s="1">
        <v>45211</v>
      </c>
      <c r="C532" s="2">
        <v>0.27916666666666667</v>
      </c>
      <c r="D532" t="s">
        <v>838</v>
      </c>
      <c r="E532">
        <v>75</v>
      </c>
      <c r="F532" t="s">
        <v>807</v>
      </c>
      <c r="G532" t="s">
        <v>838</v>
      </c>
      <c r="H532" t="s">
        <v>89</v>
      </c>
      <c r="I532">
        <v>-8.1437910000000002</v>
      </c>
      <c r="J532">
        <v>28.946161</v>
      </c>
      <c r="K532" t="s">
        <v>1498</v>
      </c>
      <c r="L532" t="s">
        <v>1501</v>
      </c>
      <c r="M532" t="s">
        <v>579</v>
      </c>
      <c r="N532" t="s">
        <v>89</v>
      </c>
      <c r="O532" t="s">
        <v>1716</v>
      </c>
      <c r="P532">
        <v>110</v>
      </c>
      <c r="Q532" t="s">
        <v>22</v>
      </c>
      <c r="R532" s="2">
        <v>3.2638888888888891E-2</v>
      </c>
      <c r="S532">
        <v>47</v>
      </c>
      <c r="T532">
        <v>29.68</v>
      </c>
      <c r="U532">
        <v>0</v>
      </c>
      <c r="V532">
        <v>0.45</v>
      </c>
      <c r="W532">
        <v>0.13400000000000001</v>
      </c>
    </row>
    <row r="533" spans="1:23" x14ac:dyDescent="0.3">
      <c r="A533" t="s">
        <v>854</v>
      </c>
      <c r="B533" s="1">
        <v>45221</v>
      </c>
      <c r="C533" s="2">
        <v>0.77500000000000002</v>
      </c>
      <c r="D533" t="s">
        <v>889</v>
      </c>
      <c r="E533">
        <v>24</v>
      </c>
      <c r="F533" t="s">
        <v>807</v>
      </c>
      <c r="G533" t="s">
        <v>889</v>
      </c>
      <c r="H533" t="s">
        <v>16</v>
      </c>
      <c r="I533">
        <v>-11.514188000000001</v>
      </c>
      <c r="J533">
        <v>15.971181</v>
      </c>
      <c r="K533" t="s">
        <v>1495</v>
      </c>
      <c r="L533" t="s">
        <v>1496</v>
      </c>
      <c r="M533" t="s">
        <v>580</v>
      </c>
      <c r="N533" t="s">
        <v>16</v>
      </c>
      <c r="O533" t="s">
        <v>1790</v>
      </c>
      <c r="P533">
        <v>80</v>
      </c>
      <c r="Q533" t="s">
        <v>14</v>
      </c>
      <c r="R533" s="2">
        <v>0.31805555555555554</v>
      </c>
      <c r="S533">
        <v>458</v>
      </c>
      <c r="T533">
        <v>98.11</v>
      </c>
      <c r="U533">
        <v>0</v>
      </c>
      <c r="V533">
        <v>0.1</v>
      </c>
      <c r="W533">
        <v>9.8000000000000004E-2</v>
      </c>
    </row>
    <row r="534" spans="1:23" x14ac:dyDescent="0.3">
      <c r="A534" t="s">
        <v>854</v>
      </c>
      <c r="B534" s="1">
        <v>45222</v>
      </c>
      <c r="C534" s="2">
        <v>0.42708333333333331</v>
      </c>
      <c r="D534" t="s">
        <v>892</v>
      </c>
      <c r="E534">
        <v>82</v>
      </c>
      <c r="F534" t="s">
        <v>807</v>
      </c>
      <c r="G534" t="s">
        <v>892</v>
      </c>
      <c r="H534" t="s">
        <v>26</v>
      </c>
      <c r="I534">
        <v>-4.4697000000000001E-2</v>
      </c>
      <c r="J534">
        <v>22.943373000000001</v>
      </c>
      <c r="K534" t="s">
        <v>1500</v>
      </c>
      <c r="L534" t="s">
        <v>1499</v>
      </c>
      <c r="M534" t="s">
        <v>581</v>
      </c>
      <c r="N534" t="s">
        <v>26</v>
      </c>
      <c r="O534" t="s">
        <v>1771</v>
      </c>
      <c r="P534">
        <v>118</v>
      </c>
      <c r="Q534" t="s">
        <v>19</v>
      </c>
      <c r="R534" s="2">
        <v>0.32013888888888886</v>
      </c>
      <c r="S534">
        <v>461</v>
      </c>
      <c r="T534">
        <v>47.82</v>
      </c>
      <c r="U534">
        <v>5</v>
      </c>
      <c r="V534">
        <v>0.45</v>
      </c>
      <c r="W534">
        <v>0.215</v>
      </c>
    </row>
    <row r="535" spans="1:23" x14ac:dyDescent="0.3">
      <c r="A535" t="s">
        <v>898</v>
      </c>
      <c r="B535" s="1">
        <v>45216</v>
      </c>
      <c r="C535" s="2">
        <v>0.90277777777777779</v>
      </c>
      <c r="D535" t="s">
        <v>929</v>
      </c>
      <c r="E535">
        <v>20</v>
      </c>
      <c r="F535" t="s">
        <v>812</v>
      </c>
      <c r="G535" t="s">
        <v>929</v>
      </c>
      <c r="H535" t="s">
        <v>51</v>
      </c>
      <c r="I535">
        <v>-4.2408359999999998</v>
      </c>
      <c r="J535">
        <v>26.210014000000001</v>
      </c>
      <c r="K535" t="s">
        <v>1498</v>
      </c>
      <c r="L535" t="s">
        <v>1499</v>
      </c>
      <c r="M535" t="s">
        <v>582</v>
      </c>
      <c r="N535" t="s">
        <v>51</v>
      </c>
      <c r="O535" t="s">
        <v>1811</v>
      </c>
      <c r="P535">
        <v>88</v>
      </c>
      <c r="Q535" t="s">
        <v>11</v>
      </c>
      <c r="R535" s="2">
        <v>0.15208333333333332</v>
      </c>
      <c r="S535">
        <v>219</v>
      </c>
      <c r="T535">
        <v>59.15</v>
      </c>
      <c r="U535">
        <v>0</v>
      </c>
      <c r="V535">
        <v>0.45</v>
      </c>
      <c r="W535">
        <v>0.26600000000000001</v>
      </c>
    </row>
    <row r="536" spans="1:23" x14ac:dyDescent="0.3">
      <c r="A536" t="s">
        <v>805</v>
      </c>
      <c r="B536" s="1">
        <v>45214</v>
      </c>
      <c r="C536" s="2">
        <v>0.71319444444444446</v>
      </c>
      <c r="D536" t="s">
        <v>828</v>
      </c>
      <c r="E536">
        <v>25</v>
      </c>
      <c r="F536" t="s">
        <v>807</v>
      </c>
      <c r="G536" t="s">
        <v>828</v>
      </c>
      <c r="H536" t="s">
        <v>24</v>
      </c>
      <c r="I536">
        <v>0.172153</v>
      </c>
      <c r="J536">
        <v>21.091376</v>
      </c>
      <c r="K536" t="s">
        <v>1500</v>
      </c>
      <c r="L536" t="s">
        <v>1496</v>
      </c>
      <c r="M536" t="s">
        <v>583</v>
      </c>
      <c r="N536" t="s">
        <v>24</v>
      </c>
      <c r="O536" t="s">
        <v>1821</v>
      </c>
      <c r="P536">
        <v>17</v>
      </c>
      <c r="Q536" t="s">
        <v>14</v>
      </c>
      <c r="R536" s="2">
        <v>0.12152777777777778</v>
      </c>
      <c r="S536">
        <v>175</v>
      </c>
      <c r="T536">
        <v>24.95</v>
      </c>
      <c r="U536">
        <v>4</v>
      </c>
      <c r="V536">
        <v>0.1</v>
      </c>
      <c r="W536">
        <v>2.5000000000000001E-2</v>
      </c>
    </row>
    <row r="537" spans="1:23" x14ac:dyDescent="0.3">
      <c r="A537" t="s">
        <v>898</v>
      </c>
      <c r="B537" s="1">
        <v>45210</v>
      </c>
      <c r="C537" s="2">
        <v>0.56805555555555554</v>
      </c>
      <c r="D537" t="s">
        <v>904</v>
      </c>
      <c r="E537">
        <v>96</v>
      </c>
      <c r="F537" t="s">
        <v>807</v>
      </c>
      <c r="G537" t="s">
        <v>904</v>
      </c>
      <c r="H537" t="s">
        <v>64</v>
      </c>
      <c r="I537">
        <v>-5.4126279999999998</v>
      </c>
      <c r="J537">
        <v>25.498235999999999</v>
      </c>
      <c r="K537" t="s">
        <v>1495</v>
      </c>
      <c r="L537" t="s">
        <v>1501</v>
      </c>
      <c r="M537" t="s">
        <v>584</v>
      </c>
      <c r="N537" t="s">
        <v>64</v>
      </c>
      <c r="O537" t="s">
        <v>1807</v>
      </c>
      <c r="P537">
        <v>57</v>
      </c>
      <c r="Q537" t="s">
        <v>19</v>
      </c>
      <c r="R537" s="2">
        <v>0.34236111111111112</v>
      </c>
      <c r="S537">
        <v>493</v>
      </c>
      <c r="T537">
        <v>43.98</v>
      </c>
      <c r="U537">
        <v>3</v>
      </c>
      <c r="V537">
        <v>0.45</v>
      </c>
      <c r="W537">
        <v>0.19800000000000001</v>
      </c>
    </row>
    <row r="538" spans="1:23" x14ac:dyDescent="0.3">
      <c r="A538" t="s">
        <v>1014</v>
      </c>
      <c r="B538" s="1">
        <v>45225</v>
      </c>
      <c r="C538" s="2">
        <v>0.21527777777777779</v>
      </c>
      <c r="D538" t="s">
        <v>1043</v>
      </c>
      <c r="E538">
        <v>41</v>
      </c>
      <c r="F538" t="s">
        <v>812</v>
      </c>
      <c r="G538" t="s">
        <v>1043</v>
      </c>
      <c r="H538" t="s">
        <v>44</v>
      </c>
      <c r="I538">
        <v>-4.9552579999999997</v>
      </c>
      <c r="J538">
        <v>22.008103999999999</v>
      </c>
      <c r="K538" t="s">
        <v>1498</v>
      </c>
      <c r="L538" t="s">
        <v>1499</v>
      </c>
      <c r="M538" t="s">
        <v>585</v>
      </c>
      <c r="N538" t="s">
        <v>44</v>
      </c>
      <c r="O538" t="s">
        <v>1745</v>
      </c>
      <c r="P538">
        <v>47</v>
      </c>
      <c r="Q538" t="s">
        <v>22</v>
      </c>
      <c r="R538" s="2">
        <v>0.2673611111111111</v>
      </c>
      <c r="S538">
        <v>385</v>
      </c>
      <c r="T538">
        <v>41.33</v>
      </c>
      <c r="U538">
        <v>0</v>
      </c>
      <c r="V538">
        <v>0.45</v>
      </c>
      <c r="W538">
        <v>0.186</v>
      </c>
    </row>
    <row r="539" spans="1:23" x14ac:dyDescent="0.3">
      <c r="A539" t="s">
        <v>854</v>
      </c>
      <c r="B539" s="1">
        <v>45214</v>
      </c>
      <c r="C539" s="2">
        <v>0.9604166666666667</v>
      </c>
      <c r="D539" t="s">
        <v>859</v>
      </c>
      <c r="E539">
        <v>38</v>
      </c>
      <c r="F539" t="s">
        <v>807</v>
      </c>
      <c r="G539" t="s">
        <v>859</v>
      </c>
      <c r="H539" t="s">
        <v>137</v>
      </c>
      <c r="I539">
        <v>-11.710407999999999</v>
      </c>
      <c r="J539">
        <v>23.741330999999999</v>
      </c>
      <c r="K539" t="s">
        <v>1500</v>
      </c>
      <c r="L539" t="s">
        <v>1499</v>
      </c>
      <c r="M539" t="s">
        <v>586</v>
      </c>
      <c r="N539" t="s">
        <v>137</v>
      </c>
      <c r="O539" t="s">
        <v>1816</v>
      </c>
      <c r="P539">
        <v>66</v>
      </c>
      <c r="Q539" t="s">
        <v>14</v>
      </c>
      <c r="R539" s="2">
        <v>0.10555555555555556</v>
      </c>
      <c r="S539">
        <v>152</v>
      </c>
      <c r="T539">
        <v>95.71</v>
      </c>
      <c r="U539">
        <v>3</v>
      </c>
      <c r="V539">
        <v>0.1</v>
      </c>
      <c r="W539">
        <v>9.6000000000000002E-2</v>
      </c>
    </row>
    <row r="540" spans="1:23" x14ac:dyDescent="0.3">
      <c r="A540" t="s">
        <v>854</v>
      </c>
      <c r="B540" s="1">
        <v>45213</v>
      </c>
      <c r="C540" s="2">
        <v>0.94861111111111107</v>
      </c>
      <c r="D540" t="s">
        <v>874</v>
      </c>
      <c r="E540">
        <v>72</v>
      </c>
      <c r="F540" t="s">
        <v>810</v>
      </c>
      <c r="G540" t="s">
        <v>874</v>
      </c>
      <c r="H540" t="s">
        <v>35</v>
      </c>
      <c r="I540">
        <v>-2.7140689999999998</v>
      </c>
      <c r="J540">
        <v>22.222104000000002</v>
      </c>
      <c r="K540" t="s">
        <v>1498</v>
      </c>
      <c r="L540" t="s">
        <v>1508</v>
      </c>
      <c r="M540" t="s">
        <v>587</v>
      </c>
      <c r="N540" t="s">
        <v>35</v>
      </c>
      <c r="O540" t="s">
        <v>1801</v>
      </c>
      <c r="P540">
        <v>109</v>
      </c>
      <c r="Q540" t="s">
        <v>22</v>
      </c>
      <c r="R540" s="2">
        <v>5.8333333333333334E-2</v>
      </c>
      <c r="S540">
        <v>84</v>
      </c>
      <c r="T540">
        <v>97.46</v>
      </c>
      <c r="U540">
        <v>5</v>
      </c>
      <c r="V540">
        <v>0.45</v>
      </c>
      <c r="W540">
        <v>0.439</v>
      </c>
    </row>
    <row r="541" spans="1:23" x14ac:dyDescent="0.3">
      <c r="A541" t="s">
        <v>1133</v>
      </c>
      <c r="B541" s="1">
        <v>45222</v>
      </c>
      <c r="C541" s="2">
        <v>0.58472222222222225</v>
      </c>
      <c r="D541" t="s">
        <v>1155</v>
      </c>
      <c r="E541">
        <v>15</v>
      </c>
      <c r="F541" t="s">
        <v>812</v>
      </c>
      <c r="G541" t="s">
        <v>1155</v>
      </c>
      <c r="H541" t="s">
        <v>60</v>
      </c>
      <c r="I541">
        <v>-9.1215879999999991</v>
      </c>
      <c r="J541">
        <v>16.457916999999998</v>
      </c>
      <c r="K541" t="s">
        <v>1498</v>
      </c>
      <c r="L541" t="s">
        <v>1508</v>
      </c>
      <c r="M541" t="s">
        <v>588</v>
      </c>
      <c r="N541" t="s">
        <v>60</v>
      </c>
      <c r="O541" t="s">
        <v>1790</v>
      </c>
      <c r="P541">
        <v>80</v>
      </c>
      <c r="Q541" t="s">
        <v>22</v>
      </c>
      <c r="R541" s="2">
        <v>7.013888888888889E-2</v>
      </c>
      <c r="S541">
        <v>101</v>
      </c>
      <c r="T541">
        <v>61.92</v>
      </c>
      <c r="U541">
        <v>4</v>
      </c>
      <c r="V541">
        <v>0.45</v>
      </c>
      <c r="W541">
        <v>0.27900000000000003</v>
      </c>
    </row>
    <row r="542" spans="1:23" x14ac:dyDescent="0.3">
      <c r="A542" t="s">
        <v>805</v>
      </c>
      <c r="B542" s="1">
        <v>45214</v>
      </c>
      <c r="C542" s="2">
        <v>0.71319444444444446</v>
      </c>
      <c r="D542" t="s">
        <v>828</v>
      </c>
      <c r="E542">
        <v>25</v>
      </c>
      <c r="F542" t="s">
        <v>807</v>
      </c>
      <c r="G542" t="s">
        <v>828</v>
      </c>
      <c r="H542" t="s">
        <v>24</v>
      </c>
      <c r="I542">
        <v>0.172153</v>
      </c>
      <c r="J542">
        <v>21.091376</v>
      </c>
      <c r="K542" t="s">
        <v>1500</v>
      </c>
      <c r="L542" t="s">
        <v>1496</v>
      </c>
      <c r="M542" t="s">
        <v>589</v>
      </c>
      <c r="N542" t="s">
        <v>24</v>
      </c>
      <c r="O542" t="s">
        <v>1794</v>
      </c>
      <c r="P542">
        <v>41</v>
      </c>
      <c r="Q542" t="s">
        <v>11</v>
      </c>
      <c r="R542" s="2">
        <v>0.12361111111111112</v>
      </c>
      <c r="S542">
        <v>178</v>
      </c>
      <c r="T542">
        <v>11.29</v>
      </c>
      <c r="U542">
        <v>4</v>
      </c>
      <c r="V542">
        <v>0.45</v>
      </c>
      <c r="W542">
        <v>5.0999999999999997E-2</v>
      </c>
    </row>
    <row r="543" spans="1:23" x14ac:dyDescent="0.3">
      <c r="A543" t="s">
        <v>805</v>
      </c>
      <c r="B543" s="1">
        <v>45214</v>
      </c>
      <c r="C543" s="2">
        <v>0.71319444444444446</v>
      </c>
      <c r="D543" t="s">
        <v>828</v>
      </c>
      <c r="E543">
        <v>25</v>
      </c>
      <c r="F543" t="s">
        <v>807</v>
      </c>
      <c r="G543" t="s">
        <v>828</v>
      </c>
      <c r="H543" t="s">
        <v>24</v>
      </c>
      <c r="I543">
        <v>0.172153</v>
      </c>
      <c r="J543">
        <v>21.091376</v>
      </c>
      <c r="K543" t="s">
        <v>1500</v>
      </c>
      <c r="L543" t="s">
        <v>1496</v>
      </c>
      <c r="M543" t="s">
        <v>590</v>
      </c>
      <c r="N543" t="s">
        <v>24</v>
      </c>
      <c r="O543" t="s">
        <v>1715</v>
      </c>
      <c r="P543">
        <v>48</v>
      </c>
      <c r="Q543" t="s">
        <v>19</v>
      </c>
      <c r="R543" s="2">
        <v>0.3347222222222222</v>
      </c>
      <c r="S543">
        <v>482</v>
      </c>
      <c r="T543">
        <v>83.24</v>
      </c>
      <c r="U543">
        <v>0</v>
      </c>
      <c r="V543">
        <v>0.45</v>
      </c>
      <c r="W543">
        <v>0.375</v>
      </c>
    </row>
    <row r="544" spans="1:23" x14ac:dyDescent="0.3">
      <c r="A544" t="s">
        <v>805</v>
      </c>
      <c r="B544" s="1">
        <v>45213</v>
      </c>
      <c r="C544" s="2">
        <v>0.31111111111111112</v>
      </c>
      <c r="D544" t="s">
        <v>819</v>
      </c>
      <c r="E544">
        <v>22</v>
      </c>
      <c r="F544" t="s">
        <v>810</v>
      </c>
      <c r="G544" t="s">
        <v>819</v>
      </c>
      <c r="H544" t="s">
        <v>40</v>
      </c>
      <c r="I544">
        <v>4.8319039999999998</v>
      </c>
      <c r="J544">
        <v>20.733468999999999</v>
      </c>
      <c r="K544" t="s">
        <v>1495</v>
      </c>
      <c r="L544" t="s">
        <v>1496</v>
      </c>
      <c r="M544" t="s">
        <v>591</v>
      </c>
      <c r="N544" t="s">
        <v>40</v>
      </c>
      <c r="O544" t="s">
        <v>1772</v>
      </c>
      <c r="P544">
        <v>11</v>
      </c>
      <c r="Q544" t="s">
        <v>14</v>
      </c>
      <c r="R544" s="2">
        <v>0.14861111111111111</v>
      </c>
      <c r="S544">
        <v>214</v>
      </c>
      <c r="T544">
        <v>11.46</v>
      </c>
      <c r="U544">
        <v>5</v>
      </c>
      <c r="V544">
        <v>0.1</v>
      </c>
      <c r="W544">
        <v>1.0999999999999999E-2</v>
      </c>
    </row>
    <row r="545" spans="1:23" x14ac:dyDescent="0.3">
      <c r="A545" t="s">
        <v>854</v>
      </c>
      <c r="B545" s="1">
        <v>45222</v>
      </c>
      <c r="C545" s="2">
        <v>0.42708333333333331</v>
      </c>
      <c r="D545" t="s">
        <v>892</v>
      </c>
      <c r="E545">
        <v>82</v>
      </c>
      <c r="F545" t="s">
        <v>807</v>
      </c>
      <c r="G545" t="s">
        <v>892</v>
      </c>
      <c r="H545" t="s">
        <v>26</v>
      </c>
      <c r="I545">
        <v>-4.4697000000000001E-2</v>
      </c>
      <c r="J545">
        <v>22.943373000000001</v>
      </c>
      <c r="K545" t="s">
        <v>1500</v>
      </c>
      <c r="L545" t="s">
        <v>1499</v>
      </c>
      <c r="M545" t="s">
        <v>592</v>
      </c>
      <c r="N545" t="s">
        <v>26</v>
      </c>
      <c r="O545" t="s">
        <v>1811</v>
      </c>
      <c r="P545">
        <v>88</v>
      </c>
      <c r="Q545" t="s">
        <v>19</v>
      </c>
      <c r="R545" s="2">
        <v>0.17083333333333334</v>
      </c>
      <c r="S545">
        <v>246</v>
      </c>
      <c r="T545">
        <v>90.7</v>
      </c>
      <c r="U545">
        <v>3</v>
      </c>
      <c r="V545">
        <v>0.45</v>
      </c>
      <c r="W545">
        <v>0.40799999999999997</v>
      </c>
    </row>
    <row r="546" spans="1:23" x14ac:dyDescent="0.3">
      <c r="A546" t="s">
        <v>898</v>
      </c>
      <c r="B546" s="1">
        <v>45216</v>
      </c>
      <c r="C546" s="2">
        <v>0.90277777777777779</v>
      </c>
      <c r="D546" t="s">
        <v>929</v>
      </c>
      <c r="E546">
        <v>20</v>
      </c>
      <c r="F546" t="s">
        <v>812</v>
      </c>
      <c r="G546" t="s">
        <v>929</v>
      </c>
      <c r="H546" t="s">
        <v>51</v>
      </c>
      <c r="I546">
        <v>-4.2408359999999998</v>
      </c>
      <c r="J546">
        <v>26.210014000000001</v>
      </c>
      <c r="K546" t="s">
        <v>1498</v>
      </c>
      <c r="L546" t="s">
        <v>1499</v>
      </c>
      <c r="M546" t="s">
        <v>593</v>
      </c>
      <c r="N546" t="s">
        <v>51</v>
      </c>
      <c r="O546" t="s">
        <v>1804</v>
      </c>
      <c r="P546">
        <v>53</v>
      </c>
      <c r="Q546" t="s">
        <v>11</v>
      </c>
      <c r="R546" s="2">
        <v>0.16875000000000001</v>
      </c>
      <c r="S546">
        <v>243</v>
      </c>
      <c r="T546">
        <v>55.19</v>
      </c>
      <c r="U546">
        <v>4</v>
      </c>
      <c r="V546">
        <v>0.45</v>
      </c>
      <c r="W546">
        <v>0.248</v>
      </c>
    </row>
    <row r="547" spans="1:23" x14ac:dyDescent="0.3">
      <c r="A547" t="s">
        <v>898</v>
      </c>
      <c r="B547" s="1">
        <v>45206</v>
      </c>
      <c r="C547" s="2">
        <v>0.6875</v>
      </c>
      <c r="D547" t="s">
        <v>926</v>
      </c>
      <c r="E547">
        <v>76</v>
      </c>
      <c r="F547" t="s">
        <v>812</v>
      </c>
      <c r="G547" t="s">
        <v>926</v>
      </c>
      <c r="H547" t="s">
        <v>127</v>
      </c>
      <c r="I547">
        <v>-12.100756000000001</v>
      </c>
      <c r="J547">
        <v>21.938649999999999</v>
      </c>
      <c r="K547" t="s">
        <v>1498</v>
      </c>
      <c r="L547" t="s">
        <v>1499</v>
      </c>
      <c r="M547" t="s">
        <v>594</v>
      </c>
      <c r="N547" t="s">
        <v>127</v>
      </c>
      <c r="O547" t="s">
        <v>1751</v>
      </c>
      <c r="P547">
        <v>65</v>
      </c>
      <c r="Q547" t="s">
        <v>14</v>
      </c>
      <c r="R547" s="2">
        <v>0.19027777777777777</v>
      </c>
      <c r="S547">
        <v>274</v>
      </c>
      <c r="T547">
        <v>88.1</v>
      </c>
      <c r="U547">
        <v>4</v>
      </c>
      <c r="V547">
        <v>0.1</v>
      </c>
      <c r="W547">
        <v>8.7999999999999995E-2</v>
      </c>
    </row>
    <row r="548" spans="1:23" x14ac:dyDescent="0.3">
      <c r="A548" t="s">
        <v>1073</v>
      </c>
      <c r="B548" s="1">
        <v>45221</v>
      </c>
      <c r="C548" s="2">
        <v>0.37638888888888888</v>
      </c>
      <c r="D548" t="s">
        <v>1096</v>
      </c>
      <c r="E548">
        <v>59</v>
      </c>
      <c r="F548" t="s">
        <v>812</v>
      </c>
      <c r="G548" t="s">
        <v>1096</v>
      </c>
      <c r="H548" t="s">
        <v>78</v>
      </c>
      <c r="I548">
        <v>-8.4824669999999998</v>
      </c>
      <c r="J548">
        <v>21.897777999999999</v>
      </c>
      <c r="K548" t="s">
        <v>1495</v>
      </c>
      <c r="L548" t="s">
        <v>1496</v>
      </c>
      <c r="M548" t="s">
        <v>595</v>
      </c>
      <c r="N548" t="s">
        <v>78</v>
      </c>
      <c r="O548" t="s">
        <v>1798</v>
      </c>
      <c r="P548">
        <v>58</v>
      </c>
      <c r="Q548" t="s">
        <v>14</v>
      </c>
      <c r="R548" s="2">
        <v>0.24444444444444444</v>
      </c>
      <c r="S548">
        <v>352</v>
      </c>
      <c r="T548">
        <v>72.94</v>
      </c>
      <c r="U548">
        <v>0</v>
      </c>
      <c r="V548">
        <v>0.1</v>
      </c>
      <c r="W548">
        <v>7.2999999999999995E-2</v>
      </c>
    </row>
    <row r="549" spans="1:23" x14ac:dyDescent="0.3">
      <c r="A549" t="s">
        <v>805</v>
      </c>
      <c r="B549" s="1">
        <v>45217</v>
      </c>
      <c r="C549" s="2">
        <v>0.96875</v>
      </c>
      <c r="D549" t="s">
        <v>842</v>
      </c>
      <c r="E549">
        <v>97</v>
      </c>
      <c r="F549" t="s">
        <v>810</v>
      </c>
      <c r="G549" t="s">
        <v>842</v>
      </c>
      <c r="H549" t="s">
        <v>29</v>
      </c>
      <c r="I549">
        <v>-10.059846</v>
      </c>
      <c r="J549">
        <v>14.375757999999999</v>
      </c>
      <c r="K549" t="s">
        <v>1498</v>
      </c>
      <c r="L549" t="s">
        <v>1499</v>
      </c>
      <c r="M549" t="s">
        <v>596</v>
      </c>
      <c r="N549" t="s">
        <v>29</v>
      </c>
      <c r="O549" t="s">
        <v>1779</v>
      </c>
      <c r="P549">
        <v>34</v>
      </c>
      <c r="Q549" t="s">
        <v>22</v>
      </c>
      <c r="R549" s="2">
        <v>0.27847222222222223</v>
      </c>
      <c r="S549">
        <v>401</v>
      </c>
      <c r="T549">
        <v>68.400000000000006</v>
      </c>
      <c r="U549">
        <v>5</v>
      </c>
      <c r="V549">
        <v>0.45</v>
      </c>
      <c r="W549">
        <v>0.308</v>
      </c>
    </row>
    <row r="550" spans="1:23" x14ac:dyDescent="0.3">
      <c r="A550" t="s">
        <v>1161</v>
      </c>
      <c r="B550" s="1">
        <v>45207</v>
      </c>
      <c r="C550" s="2">
        <v>0.13333333333333333</v>
      </c>
      <c r="D550" t="s">
        <v>1165</v>
      </c>
      <c r="E550">
        <v>66</v>
      </c>
      <c r="F550" t="s">
        <v>810</v>
      </c>
      <c r="G550" t="s">
        <v>1165</v>
      </c>
      <c r="H550" t="s">
        <v>57</v>
      </c>
      <c r="I550">
        <v>-5.4073029999999997</v>
      </c>
      <c r="J550">
        <v>29.762294000000001</v>
      </c>
      <c r="K550" t="s">
        <v>1500</v>
      </c>
      <c r="L550" t="s">
        <v>1496</v>
      </c>
      <c r="M550" t="s">
        <v>598</v>
      </c>
      <c r="N550" t="s">
        <v>57</v>
      </c>
      <c r="O550" t="s">
        <v>1783</v>
      </c>
      <c r="P550">
        <v>51</v>
      </c>
      <c r="Q550" t="s">
        <v>22</v>
      </c>
      <c r="R550" s="2">
        <v>0.10555555555555556</v>
      </c>
      <c r="S550">
        <v>152</v>
      </c>
      <c r="T550">
        <v>34.630000000000003</v>
      </c>
      <c r="U550">
        <v>2</v>
      </c>
      <c r="V550">
        <v>0.45</v>
      </c>
      <c r="W550">
        <v>0.156</v>
      </c>
    </row>
    <row r="551" spans="1:23" x14ac:dyDescent="0.3">
      <c r="A551" t="s">
        <v>854</v>
      </c>
      <c r="B551" s="1">
        <v>45214</v>
      </c>
      <c r="C551" s="2">
        <v>0.9604166666666667</v>
      </c>
      <c r="D551" t="s">
        <v>859</v>
      </c>
      <c r="E551">
        <v>38</v>
      </c>
      <c r="F551" t="s">
        <v>807</v>
      </c>
      <c r="G551" t="s">
        <v>859</v>
      </c>
      <c r="H551" t="s">
        <v>137</v>
      </c>
      <c r="I551">
        <v>-11.710407999999999</v>
      </c>
      <c r="J551">
        <v>23.741330999999999</v>
      </c>
      <c r="K551" t="s">
        <v>1500</v>
      </c>
      <c r="L551" t="s">
        <v>1499</v>
      </c>
      <c r="M551" t="s">
        <v>599</v>
      </c>
      <c r="N551" t="s">
        <v>137</v>
      </c>
      <c r="O551" t="s">
        <v>1813</v>
      </c>
      <c r="P551">
        <v>25</v>
      </c>
      <c r="Q551" t="s">
        <v>19</v>
      </c>
      <c r="R551" s="2">
        <v>3.472222222222222E-3</v>
      </c>
      <c r="S551">
        <v>5</v>
      </c>
      <c r="T551">
        <v>27.93</v>
      </c>
      <c r="U551">
        <v>0</v>
      </c>
      <c r="V551">
        <v>0.45</v>
      </c>
      <c r="W551">
        <v>0.126</v>
      </c>
    </row>
    <row r="552" spans="1:23" x14ac:dyDescent="0.3">
      <c r="A552" t="s">
        <v>898</v>
      </c>
      <c r="B552" s="1">
        <v>45206</v>
      </c>
      <c r="C552" s="2">
        <v>0.6875</v>
      </c>
      <c r="D552" t="s">
        <v>926</v>
      </c>
      <c r="E552">
        <v>76</v>
      </c>
      <c r="F552" t="s">
        <v>812</v>
      </c>
      <c r="G552" t="s">
        <v>926</v>
      </c>
      <c r="H552" t="s">
        <v>127</v>
      </c>
      <c r="I552">
        <v>-12.100756000000001</v>
      </c>
      <c r="J552">
        <v>21.938649999999999</v>
      </c>
      <c r="K552" t="s">
        <v>1498</v>
      </c>
      <c r="L552" t="s">
        <v>1499</v>
      </c>
      <c r="M552" t="s">
        <v>600</v>
      </c>
      <c r="N552" t="s">
        <v>127</v>
      </c>
      <c r="O552" t="s">
        <v>1789</v>
      </c>
      <c r="P552">
        <v>79</v>
      </c>
      <c r="Q552" t="s">
        <v>19</v>
      </c>
      <c r="R552" s="2">
        <v>0.32083333333333336</v>
      </c>
      <c r="S552">
        <v>462</v>
      </c>
      <c r="T552">
        <v>18.28</v>
      </c>
      <c r="U552">
        <v>0</v>
      </c>
      <c r="V552">
        <v>0.45</v>
      </c>
      <c r="W552">
        <v>8.2000000000000003E-2</v>
      </c>
    </row>
    <row r="553" spans="1:23" x14ac:dyDescent="0.3">
      <c r="A553" t="s">
        <v>1133</v>
      </c>
      <c r="B553" s="1">
        <v>45222</v>
      </c>
      <c r="C553" s="2">
        <v>0.58472222222222225</v>
      </c>
      <c r="D553" t="s">
        <v>1155</v>
      </c>
      <c r="E553">
        <v>15</v>
      </c>
      <c r="F553" t="s">
        <v>812</v>
      </c>
      <c r="G553" t="s">
        <v>1155</v>
      </c>
      <c r="H553" t="s">
        <v>60</v>
      </c>
      <c r="I553">
        <v>-9.1215879999999991</v>
      </c>
      <c r="J553">
        <v>16.457916999999998</v>
      </c>
      <c r="K553" t="s">
        <v>1498</v>
      </c>
      <c r="L553" t="s">
        <v>1508</v>
      </c>
      <c r="M553" t="s">
        <v>601</v>
      </c>
      <c r="N553" t="s">
        <v>60</v>
      </c>
      <c r="O553" t="s">
        <v>1713</v>
      </c>
      <c r="P553">
        <v>83</v>
      </c>
      <c r="Q553" t="s">
        <v>14</v>
      </c>
      <c r="R553" s="2">
        <v>6.3194444444444442E-2</v>
      </c>
      <c r="S553">
        <v>91</v>
      </c>
      <c r="T553">
        <v>73.73</v>
      </c>
      <c r="U553">
        <v>2</v>
      </c>
      <c r="V553">
        <v>0.1</v>
      </c>
      <c r="W553">
        <v>7.3999999999999996E-2</v>
      </c>
    </row>
    <row r="554" spans="1:23" x14ac:dyDescent="0.3">
      <c r="A554" t="s">
        <v>805</v>
      </c>
      <c r="B554" s="1">
        <v>45201</v>
      </c>
      <c r="C554" s="2">
        <v>0.88472222222222219</v>
      </c>
      <c r="D554" t="s">
        <v>833</v>
      </c>
      <c r="E554">
        <v>54</v>
      </c>
      <c r="F554" t="s">
        <v>812</v>
      </c>
      <c r="G554" t="s">
        <v>833</v>
      </c>
      <c r="H554" t="s">
        <v>131</v>
      </c>
      <c r="I554">
        <v>4.6287159999999998</v>
      </c>
      <c r="J554">
        <v>19.407077999999998</v>
      </c>
      <c r="K554" t="s">
        <v>1498</v>
      </c>
      <c r="L554" t="s">
        <v>1496</v>
      </c>
      <c r="M554" t="s">
        <v>602</v>
      </c>
      <c r="N554" t="s">
        <v>131</v>
      </c>
      <c r="O554" t="s">
        <v>1783</v>
      </c>
      <c r="P554">
        <v>51</v>
      </c>
      <c r="Q554" t="s">
        <v>19</v>
      </c>
      <c r="R554" s="2">
        <v>0.23402777777777778</v>
      </c>
      <c r="S554">
        <v>337</v>
      </c>
      <c r="T554">
        <v>68.67</v>
      </c>
      <c r="U554">
        <v>5</v>
      </c>
      <c r="V554">
        <v>0.45</v>
      </c>
      <c r="W554">
        <v>0.309</v>
      </c>
    </row>
    <row r="555" spans="1:23" x14ac:dyDescent="0.3">
      <c r="A555" t="s">
        <v>898</v>
      </c>
      <c r="B555" s="1">
        <v>45216</v>
      </c>
      <c r="C555" s="2">
        <v>0.90277777777777779</v>
      </c>
      <c r="D555" t="s">
        <v>929</v>
      </c>
      <c r="E555">
        <v>20</v>
      </c>
      <c r="F555" t="s">
        <v>812</v>
      </c>
      <c r="G555" t="s">
        <v>929</v>
      </c>
      <c r="H555" t="s">
        <v>51</v>
      </c>
      <c r="I555">
        <v>-4.2408359999999998</v>
      </c>
      <c r="J555">
        <v>26.210014000000001</v>
      </c>
      <c r="K555" t="s">
        <v>1498</v>
      </c>
      <c r="L555" t="s">
        <v>1499</v>
      </c>
      <c r="M555" t="s">
        <v>603</v>
      </c>
      <c r="N555" t="s">
        <v>51</v>
      </c>
      <c r="O555" t="s">
        <v>1829</v>
      </c>
      <c r="P555">
        <v>107</v>
      </c>
      <c r="Q555" t="s">
        <v>22</v>
      </c>
      <c r="R555" s="2">
        <v>0.2013888888888889</v>
      </c>
      <c r="S555">
        <v>290</v>
      </c>
      <c r="T555">
        <v>52.03</v>
      </c>
      <c r="U555">
        <v>0</v>
      </c>
      <c r="V555">
        <v>0.45</v>
      </c>
      <c r="W555">
        <v>0.23400000000000001</v>
      </c>
    </row>
    <row r="556" spans="1:23" x14ac:dyDescent="0.3">
      <c r="A556" t="s">
        <v>805</v>
      </c>
      <c r="B556" s="1">
        <v>45202</v>
      </c>
      <c r="C556" s="2">
        <v>0.25972222222222224</v>
      </c>
      <c r="D556" t="s">
        <v>815</v>
      </c>
      <c r="E556">
        <v>79</v>
      </c>
      <c r="F556" t="s">
        <v>807</v>
      </c>
      <c r="G556" t="s">
        <v>815</v>
      </c>
      <c r="H556" t="s">
        <v>33</v>
      </c>
      <c r="I556">
        <v>-1.648264</v>
      </c>
      <c r="J556">
        <v>28.866143999999998</v>
      </c>
      <c r="K556" t="s">
        <v>1495</v>
      </c>
      <c r="L556" t="s">
        <v>1496</v>
      </c>
      <c r="M556" t="s">
        <v>604</v>
      </c>
      <c r="N556" t="s">
        <v>33</v>
      </c>
      <c r="O556" t="s">
        <v>1776</v>
      </c>
      <c r="P556">
        <v>7</v>
      </c>
      <c r="Q556" t="s">
        <v>14</v>
      </c>
      <c r="R556" s="2">
        <v>0.22430555555555556</v>
      </c>
      <c r="S556">
        <v>323</v>
      </c>
      <c r="T556">
        <v>82.81</v>
      </c>
      <c r="U556">
        <v>5</v>
      </c>
      <c r="V556">
        <v>0.1</v>
      </c>
      <c r="W556">
        <v>8.3000000000000004E-2</v>
      </c>
    </row>
    <row r="557" spans="1:23" x14ac:dyDescent="0.3">
      <c r="A557" t="s">
        <v>854</v>
      </c>
      <c r="B557" s="1">
        <v>45222</v>
      </c>
      <c r="C557" s="2">
        <v>0.42708333333333331</v>
      </c>
      <c r="D557" t="s">
        <v>892</v>
      </c>
      <c r="E557">
        <v>82</v>
      </c>
      <c r="F557" t="s">
        <v>807</v>
      </c>
      <c r="G557" t="s">
        <v>892</v>
      </c>
      <c r="H557" t="s">
        <v>26</v>
      </c>
      <c r="I557">
        <v>-4.4697000000000001E-2</v>
      </c>
      <c r="J557">
        <v>22.943373000000001</v>
      </c>
      <c r="K557" t="s">
        <v>1500</v>
      </c>
      <c r="L557" t="s">
        <v>1499</v>
      </c>
      <c r="M557" t="s">
        <v>605</v>
      </c>
      <c r="N557" t="s">
        <v>26</v>
      </c>
      <c r="O557" t="s">
        <v>1731</v>
      </c>
      <c r="P557">
        <v>103</v>
      </c>
      <c r="Q557" t="s">
        <v>11</v>
      </c>
      <c r="R557" s="2">
        <v>0.21527777777777779</v>
      </c>
      <c r="S557">
        <v>310</v>
      </c>
      <c r="T557">
        <v>49.25</v>
      </c>
      <c r="U557">
        <v>2</v>
      </c>
      <c r="V557">
        <v>0.45</v>
      </c>
      <c r="W557">
        <v>0.222</v>
      </c>
    </row>
    <row r="558" spans="1:23" x14ac:dyDescent="0.3">
      <c r="A558" t="s">
        <v>898</v>
      </c>
      <c r="B558" s="1">
        <v>45216</v>
      </c>
      <c r="C558" s="2">
        <v>0.90277777777777779</v>
      </c>
      <c r="D558" t="s">
        <v>929</v>
      </c>
      <c r="E558">
        <v>20</v>
      </c>
      <c r="F558" t="s">
        <v>812</v>
      </c>
      <c r="G558" t="s">
        <v>929</v>
      </c>
      <c r="H558" t="s">
        <v>51</v>
      </c>
      <c r="I558">
        <v>-4.2408359999999998</v>
      </c>
      <c r="J558">
        <v>26.210014000000001</v>
      </c>
      <c r="K558" t="s">
        <v>1498</v>
      </c>
      <c r="L558" t="s">
        <v>1499</v>
      </c>
      <c r="M558" t="s">
        <v>606</v>
      </c>
      <c r="N558" t="s">
        <v>51</v>
      </c>
      <c r="O558" t="s">
        <v>1788</v>
      </c>
      <c r="P558">
        <v>120</v>
      </c>
      <c r="Q558" t="s">
        <v>22</v>
      </c>
      <c r="R558" s="2">
        <v>0.3034722222222222</v>
      </c>
      <c r="S558">
        <v>437</v>
      </c>
      <c r="T558">
        <v>95.17</v>
      </c>
      <c r="U558">
        <v>1</v>
      </c>
      <c r="V558">
        <v>0.45</v>
      </c>
      <c r="W558">
        <v>0.42799999999999999</v>
      </c>
    </row>
    <row r="559" spans="1:23" x14ac:dyDescent="0.3">
      <c r="A559" t="s">
        <v>936</v>
      </c>
      <c r="B559" s="1">
        <v>45221</v>
      </c>
      <c r="C559" s="2">
        <v>0.51736111111111116</v>
      </c>
      <c r="D559" t="s">
        <v>963</v>
      </c>
      <c r="E559">
        <v>83</v>
      </c>
      <c r="F559" t="s">
        <v>812</v>
      </c>
      <c r="G559" t="s">
        <v>963</v>
      </c>
      <c r="H559" t="s">
        <v>21</v>
      </c>
      <c r="I559">
        <v>-2.9651529999999999</v>
      </c>
      <c r="J559">
        <v>29.79908</v>
      </c>
      <c r="K559" t="s">
        <v>1498</v>
      </c>
      <c r="L559" t="s">
        <v>1496</v>
      </c>
      <c r="M559" t="s">
        <v>607</v>
      </c>
      <c r="N559" t="s">
        <v>21</v>
      </c>
      <c r="O559" t="s">
        <v>1733</v>
      </c>
      <c r="P559">
        <v>74</v>
      </c>
      <c r="Q559" t="s">
        <v>22</v>
      </c>
      <c r="R559" s="2">
        <v>1.1111111111111112E-2</v>
      </c>
      <c r="S559">
        <v>16</v>
      </c>
      <c r="T559">
        <v>93.01</v>
      </c>
      <c r="U559">
        <v>3</v>
      </c>
      <c r="V559">
        <v>0.45</v>
      </c>
      <c r="W559">
        <v>0.41899999999999998</v>
      </c>
    </row>
    <row r="560" spans="1:23" x14ac:dyDescent="0.3">
      <c r="A560" t="s">
        <v>805</v>
      </c>
      <c r="B560" s="1">
        <v>45214</v>
      </c>
      <c r="C560" s="2">
        <v>0.71319444444444446</v>
      </c>
      <c r="D560" t="s">
        <v>828</v>
      </c>
      <c r="E560">
        <v>25</v>
      </c>
      <c r="F560" t="s">
        <v>807</v>
      </c>
      <c r="G560" t="s">
        <v>828</v>
      </c>
      <c r="H560" t="s">
        <v>24</v>
      </c>
      <c r="I560">
        <v>0.172153</v>
      </c>
      <c r="J560">
        <v>21.091376</v>
      </c>
      <c r="K560" t="s">
        <v>1500</v>
      </c>
      <c r="L560" t="s">
        <v>1496</v>
      </c>
      <c r="M560" t="s">
        <v>608</v>
      </c>
      <c r="N560" t="s">
        <v>24</v>
      </c>
      <c r="O560" t="s">
        <v>1712</v>
      </c>
      <c r="P560">
        <v>55</v>
      </c>
      <c r="Q560" t="s">
        <v>22</v>
      </c>
      <c r="R560" s="2">
        <v>4.1666666666666664E-2</v>
      </c>
      <c r="S560">
        <v>60</v>
      </c>
      <c r="T560">
        <v>32.51</v>
      </c>
      <c r="U560">
        <v>4</v>
      </c>
      <c r="V560">
        <v>0.45</v>
      </c>
      <c r="W560">
        <v>0.14599999999999999</v>
      </c>
    </row>
    <row r="561" spans="1:23" x14ac:dyDescent="0.3">
      <c r="A561" t="s">
        <v>898</v>
      </c>
      <c r="B561" s="1">
        <v>45206</v>
      </c>
      <c r="C561" s="2">
        <v>0.6875</v>
      </c>
      <c r="D561" t="s">
        <v>926</v>
      </c>
      <c r="E561">
        <v>76</v>
      </c>
      <c r="F561" t="s">
        <v>812</v>
      </c>
      <c r="G561" t="s">
        <v>926</v>
      </c>
      <c r="H561" t="s">
        <v>127</v>
      </c>
      <c r="I561">
        <v>-12.100756000000001</v>
      </c>
      <c r="J561">
        <v>21.938649999999999</v>
      </c>
      <c r="K561" t="s">
        <v>1498</v>
      </c>
      <c r="L561" t="s">
        <v>1499</v>
      </c>
      <c r="M561" t="s">
        <v>609</v>
      </c>
      <c r="N561" t="s">
        <v>127</v>
      </c>
      <c r="O561" t="s">
        <v>1821</v>
      </c>
      <c r="P561">
        <v>17</v>
      </c>
      <c r="Q561" t="s">
        <v>11</v>
      </c>
      <c r="R561" s="2">
        <v>0.34652777777777777</v>
      </c>
      <c r="S561">
        <v>499</v>
      </c>
      <c r="T561">
        <v>27.81</v>
      </c>
      <c r="U561">
        <v>2</v>
      </c>
      <c r="V561">
        <v>0.45</v>
      </c>
      <c r="W561">
        <v>0.125</v>
      </c>
    </row>
    <row r="562" spans="1:23" x14ac:dyDescent="0.3">
      <c r="A562" t="s">
        <v>854</v>
      </c>
      <c r="B562" s="1">
        <v>45219</v>
      </c>
      <c r="C562" s="2">
        <v>0.10138888888888889</v>
      </c>
      <c r="D562" t="s">
        <v>888</v>
      </c>
      <c r="E562">
        <v>75</v>
      </c>
      <c r="F562" t="s">
        <v>807</v>
      </c>
      <c r="G562" t="s">
        <v>888</v>
      </c>
      <c r="H562" t="s">
        <v>10</v>
      </c>
      <c r="I562">
        <v>-7.0076900000000002</v>
      </c>
      <c r="J562">
        <v>27.367121999999998</v>
      </c>
      <c r="K562" t="s">
        <v>1500</v>
      </c>
      <c r="L562" t="s">
        <v>1508</v>
      </c>
      <c r="M562" t="s">
        <v>610</v>
      </c>
      <c r="N562" t="s">
        <v>10</v>
      </c>
      <c r="O562" t="s">
        <v>1815</v>
      </c>
      <c r="P562">
        <v>82</v>
      </c>
      <c r="Q562" t="s">
        <v>22</v>
      </c>
      <c r="R562" s="2">
        <v>0.12152777777777778</v>
      </c>
      <c r="S562">
        <v>175</v>
      </c>
      <c r="T562">
        <v>86.14</v>
      </c>
      <c r="U562">
        <v>1</v>
      </c>
      <c r="V562">
        <v>0.45</v>
      </c>
      <c r="W562">
        <v>0.38800000000000001</v>
      </c>
    </row>
    <row r="563" spans="1:23" x14ac:dyDescent="0.3">
      <c r="A563" t="s">
        <v>854</v>
      </c>
      <c r="B563" s="1">
        <v>45221</v>
      </c>
      <c r="C563" s="2">
        <v>0.77500000000000002</v>
      </c>
      <c r="D563" t="s">
        <v>889</v>
      </c>
      <c r="E563">
        <v>24</v>
      </c>
      <c r="F563" t="s">
        <v>807</v>
      </c>
      <c r="G563" t="s">
        <v>889</v>
      </c>
      <c r="H563" t="s">
        <v>16</v>
      </c>
      <c r="I563">
        <v>-11.514188000000001</v>
      </c>
      <c r="J563">
        <v>15.971181</v>
      </c>
      <c r="K563" t="s">
        <v>1495</v>
      </c>
      <c r="L563" t="s">
        <v>1496</v>
      </c>
      <c r="M563" t="s">
        <v>611</v>
      </c>
      <c r="N563" t="s">
        <v>16</v>
      </c>
      <c r="O563" t="s">
        <v>1719</v>
      </c>
      <c r="P563">
        <v>50</v>
      </c>
      <c r="Q563" t="s">
        <v>22</v>
      </c>
      <c r="R563" s="2">
        <v>0.12291666666666666</v>
      </c>
      <c r="S563">
        <v>177</v>
      </c>
      <c r="T563">
        <v>74.569999999999993</v>
      </c>
      <c r="U563">
        <v>4</v>
      </c>
      <c r="V563">
        <v>0.45</v>
      </c>
      <c r="W563">
        <v>0.33600000000000002</v>
      </c>
    </row>
    <row r="564" spans="1:23" x14ac:dyDescent="0.3">
      <c r="A564" t="s">
        <v>805</v>
      </c>
      <c r="B564" s="1">
        <v>45212</v>
      </c>
      <c r="C564" s="2">
        <v>0.14027777777777778</v>
      </c>
      <c r="D564" t="s">
        <v>826</v>
      </c>
      <c r="E564">
        <v>19</v>
      </c>
      <c r="F564" t="s">
        <v>810</v>
      </c>
      <c r="G564" t="s">
        <v>826</v>
      </c>
      <c r="H564" t="s">
        <v>37</v>
      </c>
      <c r="I564">
        <v>-9.4708620000000003</v>
      </c>
      <c r="J564">
        <v>29.234387999999999</v>
      </c>
      <c r="K564" t="s">
        <v>1500</v>
      </c>
      <c r="L564" t="s">
        <v>1501</v>
      </c>
      <c r="M564" t="s">
        <v>612</v>
      </c>
      <c r="N564" t="s">
        <v>37</v>
      </c>
      <c r="O564" t="s">
        <v>1723</v>
      </c>
      <c r="P564">
        <v>94</v>
      </c>
      <c r="Q564" t="s">
        <v>14</v>
      </c>
      <c r="R564" s="2">
        <v>0.17152777777777778</v>
      </c>
      <c r="S564">
        <v>247</v>
      </c>
      <c r="T564">
        <v>96.57</v>
      </c>
      <c r="U564">
        <v>0</v>
      </c>
      <c r="V564">
        <v>0.1</v>
      </c>
      <c r="W564">
        <v>9.7000000000000003E-2</v>
      </c>
    </row>
    <row r="565" spans="1:23" x14ac:dyDescent="0.3">
      <c r="A565" t="s">
        <v>805</v>
      </c>
      <c r="B565" s="1">
        <v>45214</v>
      </c>
      <c r="C565" s="2">
        <v>0.71319444444444446</v>
      </c>
      <c r="D565" t="s">
        <v>828</v>
      </c>
      <c r="E565">
        <v>25</v>
      </c>
      <c r="F565" t="s">
        <v>807</v>
      </c>
      <c r="G565" t="s">
        <v>828</v>
      </c>
      <c r="H565" t="s">
        <v>24</v>
      </c>
      <c r="I565">
        <v>0.172153</v>
      </c>
      <c r="J565">
        <v>21.091376</v>
      </c>
      <c r="K565" t="s">
        <v>1500</v>
      </c>
      <c r="L565" t="s">
        <v>1496</v>
      </c>
      <c r="M565" t="s">
        <v>613</v>
      </c>
      <c r="N565" t="s">
        <v>24</v>
      </c>
      <c r="O565" t="s">
        <v>1770</v>
      </c>
      <c r="P565">
        <v>23</v>
      </c>
      <c r="Q565" t="s">
        <v>11</v>
      </c>
      <c r="R565" s="2">
        <v>0.21805555555555556</v>
      </c>
      <c r="S565">
        <v>314</v>
      </c>
      <c r="T565">
        <v>19.260000000000002</v>
      </c>
      <c r="U565">
        <v>3</v>
      </c>
      <c r="V565">
        <v>0.45</v>
      </c>
      <c r="W565">
        <v>8.6999999999999994E-2</v>
      </c>
    </row>
    <row r="566" spans="1:23" x14ac:dyDescent="0.3">
      <c r="A566" t="s">
        <v>1073</v>
      </c>
      <c r="B566" s="1">
        <v>45205</v>
      </c>
      <c r="C566" s="2">
        <v>0.47152777777777777</v>
      </c>
      <c r="D566" t="s">
        <v>1088</v>
      </c>
      <c r="E566">
        <v>50</v>
      </c>
      <c r="F566" t="s">
        <v>810</v>
      </c>
      <c r="G566" t="s">
        <v>1088</v>
      </c>
      <c r="H566" t="s">
        <v>18</v>
      </c>
      <c r="I566">
        <v>2.628638</v>
      </c>
      <c r="J566">
        <v>28.420582</v>
      </c>
      <c r="K566" t="s">
        <v>1498</v>
      </c>
      <c r="L566" t="s">
        <v>1499</v>
      </c>
      <c r="M566" t="s">
        <v>614</v>
      </c>
      <c r="N566" t="s">
        <v>18</v>
      </c>
      <c r="O566" t="s">
        <v>1814</v>
      </c>
      <c r="P566">
        <v>52</v>
      </c>
      <c r="Q566" t="s">
        <v>19</v>
      </c>
      <c r="R566" s="2">
        <v>0.21319444444444444</v>
      </c>
      <c r="S566">
        <v>307</v>
      </c>
      <c r="T566">
        <v>81.38</v>
      </c>
      <c r="U566">
        <v>2</v>
      </c>
      <c r="V566">
        <v>0.45</v>
      </c>
      <c r="W566">
        <v>0.36599999999999999</v>
      </c>
    </row>
    <row r="567" spans="1:23" x14ac:dyDescent="0.3">
      <c r="A567" t="s">
        <v>805</v>
      </c>
      <c r="B567" s="1">
        <v>45201</v>
      </c>
      <c r="C567" s="2">
        <v>0.88472222222222219</v>
      </c>
      <c r="D567" t="s">
        <v>833</v>
      </c>
      <c r="E567">
        <v>54</v>
      </c>
      <c r="F567" t="s">
        <v>812</v>
      </c>
      <c r="G567" t="s">
        <v>833</v>
      </c>
      <c r="H567" t="s">
        <v>131</v>
      </c>
      <c r="I567">
        <v>4.6287159999999998</v>
      </c>
      <c r="J567">
        <v>19.407077999999998</v>
      </c>
      <c r="K567" t="s">
        <v>1498</v>
      </c>
      <c r="L567" t="s">
        <v>1496</v>
      </c>
      <c r="M567" t="s">
        <v>615</v>
      </c>
      <c r="N567" t="s">
        <v>131</v>
      </c>
      <c r="O567" t="s">
        <v>1808</v>
      </c>
      <c r="P567">
        <v>116</v>
      </c>
      <c r="Q567" t="s">
        <v>11</v>
      </c>
      <c r="R567" s="2">
        <v>0.19375000000000001</v>
      </c>
      <c r="S567">
        <v>279</v>
      </c>
      <c r="T567">
        <v>62.88</v>
      </c>
      <c r="U567">
        <v>4</v>
      </c>
      <c r="V567">
        <v>0.45</v>
      </c>
      <c r="W567">
        <v>0.28299999999999997</v>
      </c>
    </row>
    <row r="568" spans="1:23" x14ac:dyDescent="0.3">
      <c r="A568" t="s">
        <v>898</v>
      </c>
      <c r="B568" s="1">
        <v>45210</v>
      </c>
      <c r="C568" s="2">
        <v>0.56805555555555554</v>
      </c>
      <c r="D568" t="s">
        <v>904</v>
      </c>
      <c r="E568">
        <v>96</v>
      </c>
      <c r="F568" t="s">
        <v>807</v>
      </c>
      <c r="G568" t="s">
        <v>904</v>
      </c>
      <c r="H568" t="s">
        <v>64</v>
      </c>
      <c r="I568">
        <v>-5.4126279999999998</v>
      </c>
      <c r="J568">
        <v>25.498235999999999</v>
      </c>
      <c r="K568" t="s">
        <v>1495</v>
      </c>
      <c r="L568" t="s">
        <v>1501</v>
      </c>
      <c r="M568" t="s">
        <v>616</v>
      </c>
      <c r="N568" t="s">
        <v>64</v>
      </c>
      <c r="O568" t="s">
        <v>1794</v>
      </c>
      <c r="P568">
        <v>41</v>
      </c>
      <c r="Q568" t="s">
        <v>19</v>
      </c>
      <c r="R568" s="2">
        <v>1.3888888888888889E-3</v>
      </c>
      <c r="S568">
        <v>2</v>
      </c>
      <c r="T568">
        <v>24.91</v>
      </c>
      <c r="U568">
        <v>1</v>
      </c>
      <c r="V568">
        <v>0.45</v>
      </c>
      <c r="W568">
        <v>0.112</v>
      </c>
    </row>
    <row r="569" spans="1:23" x14ac:dyDescent="0.3">
      <c r="A569" t="s">
        <v>936</v>
      </c>
      <c r="B569" s="1">
        <v>45221</v>
      </c>
      <c r="C569" s="2">
        <v>0.51736111111111116</v>
      </c>
      <c r="D569" t="s">
        <v>963</v>
      </c>
      <c r="E569">
        <v>83</v>
      </c>
      <c r="F569" t="s">
        <v>812</v>
      </c>
      <c r="G569" t="s">
        <v>963</v>
      </c>
      <c r="H569" t="s">
        <v>21</v>
      </c>
      <c r="I569">
        <v>-2.9651529999999999</v>
      </c>
      <c r="J569">
        <v>29.79908</v>
      </c>
      <c r="K569" t="s">
        <v>1498</v>
      </c>
      <c r="L569" t="s">
        <v>1496</v>
      </c>
      <c r="M569" t="s">
        <v>617</v>
      </c>
      <c r="N569" t="s">
        <v>21</v>
      </c>
      <c r="O569" t="s">
        <v>1793</v>
      </c>
      <c r="P569">
        <v>67</v>
      </c>
      <c r="Q569" t="s">
        <v>22</v>
      </c>
      <c r="R569" s="2">
        <v>5.6250000000000001E-2</v>
      </c>
      <c r="S569">
        <v>81</v>
      </c>
      <c r="T569">
        <v>28.52</v>
      </c>
      <c r="U569">
        <v>4</v>
      </c>
      <c r="V569">
        <v>0.45</v>
      </c>
      <c r="W569">
        <v>0.128</v>
      </c>
    </row>
    <row r="570" spans="1:23" x14ac:dyDescent="0.3">
      <c r="A570" t="s">
        <v>805</v>
      </c>
      <c r="B570" s="1">
        <v>45214</v>
      </c>
      <c r="C570" s="2">
        <v>0.71319444444444446</v>
      </c>
      <c r="D570" t="s">
        <v>828</v>
      </c>
      <c r="E570">
        <v>25</v>
      </c>
      <c r="F570" t="s">
        <v>807</v>
      </c>
      <c r="G570" t="s">
        <v>828</v>
      </c>
      <c r="H570" t="s">
        <v>24</v>
      </c>
      <c r="I570">
        <v>0.172153</v>
      </c>
      <c r="J570">
        <v>21.091376</v>
      </c>
      <c r="K570" t="s">
        <v>1500</v>
      </c>
      <c r="L570" t="s">
        <v>1496</v>
      </c>
      <c r="M570" t="s">
        <v>618</v>
      </c>
      <c r="N570" t="s">
        <v>24</v>
      </c>
      <c r="O570" t="s">
        <v>1812</v>
      </c>
      <c r="P570">
        <v>21</v>
      </c>
      <c r="Q570" t="s">
        <v>19</v>
      </c>
      <c r="R570" s="2">
        <v>0.18541666666666667</v>
      </c>
      <c r="S570">
        <v>267</v>
      </c>
      <c r="T570">
        <v>74.989999999999995</v>
      </c>
      <c r="U570">
        <v>1</v>
      </c>
      <c r="V570">
        <v>0.45</v>
      </c>
      <c r="W570">
        <v>0.33700000000000002</v>
      </c>
    </row>
    <row r="571" spans="1:23" x14ac:dyDescent="0.3">
      <c r="A571" t="s">
        <v>1161</v>
      </c>
      <c r="B571" s="1">
        <v>45207</v>
      </c>
      <c r="C571" s="2">
        <v>0.13333333333333333</v>
      </c>
      <c r="D571" t="s">
        <v>1165</v>
      </c>
      <c r="E571">
        <v>66</v>
      </c>
      <c r="F571" t="s">
        <v>810</v>
      </c>
      <c r="G571" t="s">
        <v>1165</v>
      </c>
      <c r="H571" t="s">
        <v>57</v>
      </c>
      <c r="I571">
        <v>-5.4073029999999997</v>
      </c>
      <c r="J571">
        <v>29.762294000000001</v>
      </c>
      <c r="K571" t="s">
        <v>1500</v>
      </c>
      <c r="L571" t="s">
        <v>1496</v>
      </c>
      <c r="M571" t="s">
        <v>619</v>
      </c>
      <c r="N571" t="s">
        <v>57</v>
      </c>
      <c r="O571" t="s">
        <v>1777</v>
      </c>
      <c r="P571">
        <v>56</v>
      </c>
      <c r="Q571" t="s">
        <v>19</v>
      </c>
      <c r="R571" s="2">
        <v>0.26319444444444445</v>
      </c>
      <c r="S571">
        <v>379</v>
      </c>
      <c r="T571">
        <v>49.01</v>
      </c>
      <c r="U571">
        <v>0</v>
      </c>
      <c r="V571">
        <v>0.45</v>
      </c>
      <c r="W571">
        <v>0.221</v>
      </c>
    </row>
    <row r="572" spans="1:23" x14ac:dyDescent="0.3">
      <c r="A572" t="s">
        <v>805</v>
      </c>
      <c r="B572" s="1">
        <v>45203</v>
      </c>
      <c r="C572" s="2">
        <v>0.51180555555555551</v>
      </c>
      <c r="D572" t="s">
        <v>835</v>
      </c>
      <c r="E572">
        <v>64</v>
      </c>
      <c r="F572" t="s">
        <v>812</v>
      </c>
      <c r="G572" t="s">
        <v>835</v>
      </c>
      <c r="H572" t="s">
        <v>73</v>
      </c>
      <c r="I572">
        <v>0.23583499999999999</v>
      </c>
      <c r="J572">
        <v>24.889558999999998</v>
      </c>
      <c r="K572" t="s">
        <v>1500</v>
      </c>
      <c r="L572" t="s">
        <v>1501</v>
      </c>
      <c r="M572" t="s">
        <v>620</v>
      </c>
      <c r="N572" t="s">
        <v>73</v>
      </c>
      <c r="O572" t="s">
        <v>1824</v>
      </c>
      <c r="P572">
        <v>30</v>
      </c>
      <c r="Q572" t="s">
        <v>19</v>
      </c>
      <c r="R572" s="2">
        <v>9.0277777777777776E-2</v>
      </c>
      <c r="S572">
        <v>130</v>
      </c>
      <c r="T572">
        <v>50.15</v>
      </c>
      <c r="U572">
        <v>4</v>
      </c>
      <c r="V572">
        <v>0.45</v>
      </c>
      <c r="W572">
        <v>0.22600000000000001</v>
      </c>
    </row>
    <row r="573" spans="1:23" x14ac:dyDescent="0.3">
      <c r="A573" t="s">
        <v>854</v>
      </c>
      <c r="B573" s="1">
        <v>45213</v>
      </c>
      <c r="C573" s="2">
        <v>0.94861111111111107</v>
      </c>
      <c r="D573" t="s">
        <v>874</v>
      </c>
      <c r="E573">
        <v>72</v>
      </c>
      <c r="F573" t="s">
        <v>810</v>
      </c>
      <c r="G573" t="s">
        <v>874</v>
      </c>
      <c r="H573" t="s">
        <v>35</v>
      </c>
      <c r="I573">
        <v>-2.7140689999999998</v>
      </c>
      <c r="J573">
        <v>22.222104000000002</v>
      </c>
      <c r="K573" t="s">
        <v>1498</v>
      </c>
      <c r="L573" t="s">
        <v>1508</v>
      </c>
      <c r="M573" t="s">
        <v>621</v>
      </c>
      <c r="N573" t="s">
        <v>35</v>
      </c>
      <c r="O573" t="s">
        <v>1802</v>
      </c>
      <c r="P573">
        <v>13</v>
      </c>
      <c r="Q573" t="s">
        <v>14</v>
      </c>
      <c r="R573" s="2">
        <v>0.32916666666666666</v>
      </c>
      <c r="S573">
        <v>474</v>
      </c>
      <c r="T573">
        <v>63.67</v>
      </c>
      <c r="U573">
        <v>2</v>
      </c>
      <c r="V573">
        <v>0.1</v>
      </c>
      <c r="W573">
        <v>6.4000000000000001E-2</v>
      </c>
    </row>
    <row r="574" spans="1:23" x14ac:dyDescent="0.3">
      <c r="A574" t="s">
        <v>805</v>
      </c>
      <c r="B574" s="1">
        <v>45218</v>
      </c>
      <c r="C574" s="2">
        <v>0.36875000000000002</v>
      </c>
      <c r="D574" t="s">
        <v>820</v>
      </c>
      <c r="E574">
        <v>70</v>
      </c>
      <c r="F574" t="s">
        <v>807</v>
      </c>
      <c r="G574" t="s">
        <v>820</v>
      </c>
      <c r="H574" t="s">
        <v>67</v>
      </c>
      <c r="I574">
        <v>-8.4227860000000003</v>
      </c>
      <c r="J574">
        <v>16.781293000000002</v>
      </c>
      <c r="K574" t="s">
        <v>1498</v>
      </c>
      <c r="L574" t="s">
        <v>1499</v>
      </c>
      <c r="M574" t="s">
        <v>622</v>
      </c>
      <c r="N574" t="s">
        <v>67</v>
      </c>
      <c r="O574" t="s">
        <v>1797</v>
      </c>
      <c r="P574">
        <v>91</v>
      </c>
      <c r="Q574" t="s">
        <v>19</v>
      </c>
      <c r="R574" s="2">
        <v>4.3055555555555555E-2</v>
      </c>
      <c r="S574">
        <v>62</v>
      </c>
      <c r="T574">
        <v>34.450000000000003</v>
      </c>
      <c r="U574">
        <v>5</v>
      </c>
      <c r="V574">
        <v>0.45</v>
      </c>
      <c r="W574">
        <v>0.155</v>
      </c>
    </row>
    <row r="575" spans="1:23" x14ac:dyDescent="0.3">
      <c r="A575" t="s">
        <v>854</v>
      </c>
      <c r="B575" s="1">
        <v>45213</v>
      </c>
      <c r="C575" s="2">
        <v>0.25416666666666665</v>
      </c>
      <c r="D575" t="s">
        <v>857</v>
      </c>
      <c r="E575">
        <v>73</v>
      </c>
      <c r="F575" t="s">
        <v>812</v>
      </c>
      <c r="G575" t="s">
        <v>857</v>
      </c>
      <c r="H575" t="s">
        <v>13</v>
      </c>
      <c r="I575">
        <v>-5.1030600000000002</v>
      </c>
      <c r="J575">
        <v>22.849231</v>
      </c>
      <c r="K575" t="s">
        <v>1495</v>
      </c>
      <c r="L575" t="s">
        <v>1501</v>
      </c>
      <c r="M575" t="s">
        <v>623</v>
      </c>
      <c r="N575" t="s">
        <v>13</v>
      </c>
      <c r="O575" t="s">
        <v>1731</v>
      </c>
      <c r="P575">
        <v>103</v>
      </c>
      <c r="Q575" t="s">
        <v>19</v>
      </c>
      <c r="R575" s="2">
        <v>6.805555555555555E-2</v>
      </c>
      <c r="S575">
        <v>98</v>
      </c>
      <c r="T575">
        <v>38.69</v>
      </c>
      <c r="U575">
        <v>4</v>
      </c>
      <c r="V575">
        <v>0.45</v>
      </c>
      <c r="W575">
        <v>0.17399999999999999</v>
      </c>
    </row>
    <row r="576" spans="1:23" x14ac:dyDescent="0.3">
      <c r="A576" t="s">
        <v>805</v>
      </c>
      <c r="B576" s="1">
        <v>45218</v>
      </c>
      <c r="C576" s="2">
        <v>0.36875000000000002</v>
      </c>
      <c r="D576" t="s">
        <v>820</v>
      </c>
      <c r="E576">
        <v>70</v>
      </c>
      <c r="F576" t="s">
        <v>807</v>
      </c>
      <c r="G576" t="s">
        <v>820</v>
      </c>
      <c r="H576" t="s">
        <v>67</v>
      </c>
      <c r="I576">
        <v>-8.4227860000000003</v>
      </c>
      <c r="J576">
        <v>16.781293000000002</v>
      </c>
      <c r="K576" t="s">
        <v>1498</v>
      </c>
      <c r="L576" t="s">
        <v>1499</v>
      </c>
      <c r="M576" t="s">
        <v>624</v>
      </c>
      <c r="N576" t="s">
        <v>67</v>
      </c>
      <c r="O576" t="s">
        <v>1821</v>
      </c>
      <c r="P576">
        <v>17</v>
      </c>
      <c r="Q576" t="s">
        <v>22</v>
      </c>
      <c r="R576" s="2">
        <v>0.21527777777777779</v>
      </c>
      <c r="S576">
        <v>310</v>
      </c>
      <c r="T576">
        <v>19.68</v>
      </c>
      <c r="U576">
        <v>5</v>
      </c>
      <c r="V576">
        <v>0.45</v>
      </c>
      <c r="W576">
        <v>8.8999999999999996E-2</v>
      </c>
    </row>
    <row r="577" spans="1:23" x14ac:dyDescent="0.3">
      <c r="A577" t="s">
        <v>854</v>
      </c>
      <c r="B577" s="1">
        <v>45213</v>
      </c>
      <c r="C577" s="2">
        <v>0.94861111111111107</v>
      </c>
      <c r="D577" t="s">
        <v>874</v>
      </c>
      <c r="E577">
        <v>72</v>
      </c>
      <c r="F577" t="s">
        <v>810</v>
      </c>
      <c r="G577" t="s">
        <v>874</v>
      </c>
      <c r="H577" t="s">
        <v>35</v>
      </c>
      <c r="I577">
        <v>-2.7140689999999998</v>
      </c>
      <c r="J577">
        <v>22.222104000000002</v>
      </c>
      <c r="K577" t="s">
        <v>1498</v>
      </c>
      <c r="L577" t="s">
        <v>1508</v>
      </c>
      <c r="M577" t="s">
        <v>625</v>
      </c>
      <c r="N577" t="s">
        <v>35</v>
      </c>
      <c r="O577" t="s">
        <v>1751</v>
      </c>
      <c r="P577">
        <v>65</v>
      </c>
      <c r="Q577" t="s">
        <v>11</v>
      </c>
      <c r="R577" s="2">
        <v>1.0416666666666666E-2</v>
      </c>
      <c r="S577">
        <v>15</v>
      </c>
      <c r="T577">
        <v>44.47</v>
      </c>
      <c r="U577">
        <v>0</v>
      </c>
      <c r="V577">
        <v>0.45</v>
      </c>
      <c r="W577">
        <v>0.2</v>
      </c>
    </row>
    <row r="578" spans="1:23" x14ac:dyDescent="0.3">
      <c r="A578" t="s">
        <v>805</v>
      </c>
      <c r="B578" s="1">
        <v>45214</v>
      </c>
      <c r="C578" s="2">
        <v>0.71319444444444446</v>
      </c>
      <c r="D578" t="s">
        <v>828</v>
      </c>
      <c r="E578">
        <v>25</v>
      </c>
      <c r="F578" t="s">
        <v>807</v>
      </c>
      <c r="G578" t="s">
        <v>828</v>
      </c>
      <c r="H578" t="s">
        <v>24</v>
      </c>
      <c r="I578">
        <v>0.172153</v>
      </c>
      <c r="J578">
        <v>21.091376</v>
      </c>
      <c r="K578" t="s">
        <v>1500</v>
      </c>
      <c r="L578" t="s">
        <v>1496</v>
      </c>
      <c r="M578" t="s">
        <v>626</v>
      </c>
      <c r="N578" t="s">
        <v>24</v>
      </c>
      <c r="O578" t="s">
        <v>1722</v>
      </c>
      <c r="P578">
        <v>16</v>
      </c>
      <c r="Q578" t="s">
        <v>11</v>
      </c>
      <c r="R578" s="2">
        <v>0.19027777777777777</v>
      </c>
      <c r="S578">
        <v>274</v>
      </c>
      <c r="T578">
        <v>27.97</v>
      </c>
      <c r="U578">
        <v>4</v>
      </c>
      <c r="V578">
        <v>0.45</v>
      </c>
      <c r="W578">
        <v>0.126</v>
      </c>
    </row>
    <row r="579" spans="1:23" x14ac:dyDescent="0.3">
      <c r="A579" t="s">
        <v>854</v>
      </c>
      <c r="B579" s="1">
        <v>45219</v>
      </c>
      <c r="C579" s="2">
        <v>0.10138888888888889</v>
      </c>
      <c r="D579" t="s">
        <v>888</v>
      </c>
      <c r="E579">
        <v>75</v>
      </c>
      <c r="F579" t="s">
        <v>807</v>
      </c>
      <c r="G579" t="s">
        <v>888</v>
      </c>
      <c r="H579" t="s">
        <v>10</v>
      </c>
      <c r="I579">
        <v>-7.0076900000000002</v>
      </c>
      <c r="J579">
        <v>27.367121999999998</v>
      </c>
      <c r="K579" t="s">
        <v>1500</v>
      </c>
      <c r="L579" t="s">
        <v>1508</v>
      </c>
      <c r="M579" t="s">
        <v>627</v>
      </c>
      <c r="N579" t="s">
        <v>10</v>
      </c>
      <c r="O579" t="s">
        <v>1810</v>
      </c>
      <c r="P579">
        <v>81</v>
      </c>
      <c r="Q579" t="s">
        <v>22</v>
      </c>
      <c r="R579" s="2">
        <v>7.6388888888888886E-3</v>
      </c>
      <c r="S579">
        <v>11</v>
      </c>
      <c r="T579">
        <v>41.76</v>
      </c>
      <c r="U579">
        <v>5</v>
      </c>
      <c r="V579">
        <v>0.45</v>
      </c>
      <c r="W579">
        <v>0.188</v>
      </c>
    </row>
    <row r="580" spans="1:23" x14ac:dyDescent="0.3">
      <c r="A580" t="s">
        <v>854</v>
      </c>
      <c r="B580" s="1">
        <v>45213</v>
      </c>
      <c r="C580" s="2">
        <v>0.25416666666666665</v>
      </c>
      <c r="D580" t="s">
        <v>857</v>
      </c>
      <c r="E580">
        <v>73</v>
      </c>
      <c r="F580" t="s">
        <v>812</v>
      </c>
      <c r="G580" t="s">
        <v>857</v>
      </c>
      <c r="H580" t="s">
        <v>13</v>
      </c>
      <c r="I580">
        <v>-5.1030600000000002</v>
      </c>
      <c r="J580">
        <v>22.849231</v>
      </c>
      <c r="K580" t="s">
        <v>1495</v>
      </c>
      <c r="L580" t="s">
        <v>1501</v>
      </c>
      <c r="M580" t="s">
        <v>628</v>
      </c>
      <c r="N580" t="s">
        <v>13</v>
      </c>
      <c r="O580" t="s">
        <v>1733</v>
      </c>
      <c r="P580">
        <v>74</v>
      </c>
      <c r="Q580" t="s">
        <v>19</v>
      </c>
      <c r="R580" s="2">
        <v>0.18402777777777779</v>
      </c>
      <c r="S580">
        <v>265</v>
      </c>
      <c r="T580">
        <v>90.81</v>
      </c>
      <c r="U580">
        <v>3</v>
      </c>
      <c r="V580">
        <v>0.45</v>
      </c>
      <c r="W580">
        <v>0.40899999999999997</v>
      </c>
    </row>
    <row r="581" spans="1:23" x14ac:dyDescent="0.3">
      <c r="A581" t="s">
        <v>1161</v>
      </c>
      <c r="B581" s="1">
        <v>45207</v>
      </c>
      <c r="C581" s="2">
        <v>0.13333333333333333</v>
      </c>
      <c r="D581" t="s">
        <v>1165</v>
      </c>
      <c r="E581">
        <v>66</v>
      </c>
      <c r="F581" t="s">
        <v>810</v>
      </c>
      <c r="G581" t="s">
        <v>1165</v>
      </c>
      <c r="H581" t="s">
        <v>57</v>
      </c>
      <c r="I581">
        <v>-5.4073029999999997</v>
      </c>
      <c r="J581">
        <v>29.762294000000001</v>
      </c>
      <c r="K581" t="s">
        <v>1500</v>
      </c>
      <c r="L581" t="s">
        <v>1496</v>
      </c>
      <c r="M581" t="s">
        <v>629</v>
      </c>
      <c r="N581" t="s">
        <v>57</v>
      </c>
      <c r="O581" t="s">
        <v>1750</v>
      </c>
      <c r="P581">
        <v>101</v>
      </c>
      <c r="Q581" t="s">
        <v>19</v>
      </c>
      <c r="R581" s="2">
        <v>0.18194444444444444</v>
      </c>
      <c r="S581">
        <v>262</v>
      </c>
      <c r="T581">
        <v>83.74</v>
      </c>
      <c r="U581">
        <v>5</v>
      </c>
      <c r="V581">
        <v>0.45</v>
      </c>
      <c r="W581">
        <v>0.377</v>
      </c>
    </row>
    <row r="582" spans="1:23" x14ac:dyDescent="0.3">
      <c r="A582" t="s">
        <v>898</v>
      </c>
      <c r="B582" s="1">
        <v>45210</v>
      </c>
      <c r="C582" s="2">
        <v>0.56805555555555554</v>
      </c>
      <c r="D582" t="s">
        <v>904</v>
      </c>
      <c r="E582">
        <v>96</v>
      </c>
      <c r="F582" t="s">
        <v>807</v>
      </c>
      <c r="G582" t="s">
        <v>904</v>
      </c>
      <c r="H582" t="s">
        <v>64</v>
      </c>
      <c r="I582">
        <v>-5.4126279999999998</v>
      </c>
      <c r="J582">
        <v>25.498235999999999</v>
      </c>
      <c r="K582" t="s">
        <v>1495</v>
      </c>
      <c r="L582" t="s">
        <v>1501</v>
      </c>
      <c r="M582" t="s">
        <v>630</v>
      </c>
      <c r="N582" t="s">
        <v>64</v>
      </c>
      <c r="O582" t="s">
        <v>1783</v>
      </c>
      <c r="P582">
        <v>51</v>
      </c>
      <c r="Q582" t="s">
        <v>14</v>
      </c>
      <c r="R582" s="2">
        <v>0.27013888888888887</v>
      </c>
      <c r="S582">
        <v>389</v>
      </c>
      <c r="T582">
        <v>50.45</v>
      </c>
      <c r="U582">
        <v>3</v>
      </c>
      <c r="V582">
        <v>0.1</v>
      </c>
      <c r="W582">
        <v>0.05</v>
      </c>
    </row>
    <row r="583" spans="1:23" x14ac:dyDescent="0.3">
      <c r="A583" t="s">
        <v>854</v>
      </c>
      <c r="B583" s="1">
        <v>45219</v>
      </c>
      <c r="C583" s="2">
        <v>0.10138888888888889</v>
      </c>
      <c r="D583" t="s">
        <v>888</v>
      </c>
      <c r="E583">
        <v>75</v>
      </c>
      <c r="F583" t="s">
        <v>807</v>
      </c>
      <c r="G583" t="s">
        <v>888</v>
      </c>
      <c r="H583" t="s">
        <v>10</v>
      </c>
      <c r="I583">
        <v>-7.0076900000000002</v>
      </c>
      <c r="J583">
        <v>27.367121999999998</v>
      </c>
      <c r="K583" t="s">
        <v>1500</v>
      </c>
      <c r="L583" t="s">
        <v>1508</v>
      </c>
      <c r="M583" t="s">
        <v>631</v>
      </c>
      <c r="N583" t="s">
        <v>10</v>
      </c>
      <c r="O583" t="s">
        <v>1764</v>
      </c>
      <c r="P583">
        <v>108</v>
      </c>
      <c r="Q583" t="s">
        <v>11</v>
      </c>
      <c r="R583" s="2">
        <v>5.4166666666666669E-2</v>
      </c>
      <c r="S583">
        <v>78</v>
      </c>
      <c r="T583">
        <v>90.05</v>
      </c>
      <c r="U583">
        <v>2</v>
      </c>
      <c r="V583">
        <v>0.45</v>
      </c>
      <c r="W583">
        <v>0.40500000000000003</v>
      </c>
    </row>
    <row r="584" spans="1:23" x14ac:dyDescent="0.3">
      <c r="A584" t="s">
        <v>805</v>
      </c>
      <c r="B584" s="1">
        <v>45213</v>
      </c>
      <c r="C584" s="2">
        <v>4.2361111111111113E-2</v>
      </c>
      <c r="D584" t="s">
        <v>814</v>
      </c>
      <c r="E584">
        <v>119</v>
      </c>
      <c r="F584" t="s">
        <v>810</v>
      </c>
      <c r="G584" t="s">
        <v>814</v>
      </c>
      <c r="H584" t="s">
        <v>62</v>
      </c>
      <c r="I584">
        <v>-2.8211520000000001</v>
      </c>
      <c r="J584">
        <v>20.651419000000001</v>
      </c>
      <c r="K584" t="s">
        <v>1495</v>
      </c>
      <c r="L584" t="s">
        <v>1496</v>
      </c>
      <c r="M584" t="s">
        <v>632</v>
      </c>
      <c r="N584" t="s">
        <v>62</v>
      </c>
      <c r="O584" t="s">
        <v>1823</v>
      </c>
      <c r="P584">
        <v>98</v>
      </c>
      <c r="Q584" t="s">
        <v>22</v>
      </c>
      <c r="R584" s="2">
        <v>7.6388888888888895E-2</v>
      </c>
      <c r="S584">
        <v>110</v>
      </c>
      <c r="T584">
        <v>96.23</v>
      </c>
      <c r="U584">
        <v>2</v>
      </c>
      <c r="V584">
        <v>0.45</v>
      </c>
      <c r="W584">
        <v>0.433</v>
      </c>
    </row>
    <row r="585" spans="1:23" x14ac:dyDescent="0.3">
      <c r="A585" t="s">
        <v>898</v>
      </c>
      <c r="B585" s="1">
        <v>45210</v>
      </c>
      <c r="C585" s="2">
        <v>0.56805555555555554</v>
      </c>
      <c r="D585" t="s">
        <v>904</v>
      </c>
      <c r="E585">
        <v>96</v>
      </c>
      <c r="F585" t="s">
        <v>807</v>
      </c>
      <c r="G585" t="s">
        <v>904</v>
      </c>
      <c r="H585" t="s">
        <v>64</v>
      </c>
      <c r="I585">
        <v>-5.4126279999999998</v>
      </c>
      <c r="J585">
        <v>25.498235999999999</v>
      </c>
      <c r="K585" t="s">
        <v>1495</v>
      </c>
      <c r="L585" t="s">
        <v>1501</v>
      </c>
      <c r="M585" t="s">
        <v>633</v>
      </c>
      <c r="N585" t="s">
        <v>64</v>
      </c>
      <c r="O585" t="s">
        <v>1810</v>
      </c>
      <c r="P585">
        <v>81</v>
      </c>
      <c r="Q585" t="s">
        <v>14</v>
      </c>
      <c r="R585" s="2">
        <v>0.30763888888888891</v>
      </c>
      <c r="S585">
        <v>443</v>
      </c>
      <c r="T585">
        <v>32.78</v>
      </c>
      <c r="U585">
        <v>1</v>
      </c>
      <c r="V585">
        <v>0.1</v>
      </c>
      <c r="W585">
        <v>3.3000000000000002E-2</v>
      </c>
    </row>
    <row r="586" spans="1:23" x14ac:dyDescent="0.3">
      <c r="A586" t="s">
        <v>898</v>
      </c>
      <c r="B586" s="1">
        <v>45210</v>
      </c>
      <c r="C586" s="2">
        <v>0.56805555555555554</v>
      </c>
      <c r="D586" t="s">
        <v>904</v>
      </c>
      <c r="E586">
        <v>96</v>
      </c>
      <c r="F586" t="s">
        <v>807</v>
      </c>
      <c r="G586" t="s">
        <v>904</v>
      </c>
      <c r="H586" t="s">
        <v>64</v>
      </c>
      <c r="I586">
        <v>-5.4126279999999998</v>
      </c>
      <c r="J586">
        <v>25.498235999999999</v>
      </c>
      <c r="K586" t="s">
        <v>1495</v>
      </c>
      <c r="L586" t="s">
        <v>1501</v>
      </c>
      <c r="M586" t="s">
        <v>634</v>
      </c>
      <c r="N586" t="s">
        <v>64</v>
      </c>
      <c r="O586" t="s">
        <v>1771</v>
      </c>
      <c r="P586">
        <v>118</v>
      </c>
      <c r="Q586" t="s">
        <v>19</v>
      </c>
      <c r="R586" s="2">
        <v>0.12916666666666668</v>
      </c>
      <c r="S586">
        <v>186</v>
      </c>
      <c r="T586">
        <v>46.88</v>
      </c>
      <c r="U586">
        <v>1</v>
      </c>
      <c r="V586">
        <v>0.45</v>
      </c>
      <c r="W586">
        <v>0.21099999999999999</v>
      </c>
    </row>
    <row r="587" spans="1:23" x14ac:dyDescent="0.3">
      <c r="A587" t="s">
        <v>1014</v>
      </c>
      <c r="B587" s="1">
        <v>45225</v>
      </c>
      <c r="C587" s="2">
        <v>0.21527777777777779</v>
      </c>
      <c r="D587" t="s">
        <v>1043</v>
      </c>
      <c r="E587">
        <v>41</v>
      </c>
      <c r="F587" t="s">
        <v>812</v>
      </c>
      <c r="G587" t="s">
        <v>1043</v>
      </c>
      <c r="H587" t="s">
        <v>44</v>
      </c>
      <c r="I587">
        <v>-4.9552579999999997</v>
      </c>
      <c r="J587">
        <v>22.008103999999999</v>
      </c>
      <c r="K587" t="s">
        <v>1498</v>
      </c>
      <c r="L587" t="s">
        <v>1499</v>
      </c>
      <c r="M587" t="s">
        <v>635</v>
      </c>
      <c r="N587" t="s">
        <v>44</v>
      </c>
      <c r="O587" t="s">
        <v>1779</v>
      </c>
      <c r="P587">
        <v>34</v>
      </c>
      <c r="Q587" t="s">
        <v>14</v>
      </c>
      <c r="R587" s="2">
        <v>4.027777777777778E-2</v>
      </c>
      <c r="S587">
        <v>58</v>
      </c>
      <c r="T587">
        <v>64.349999999999994</v>
      </c>
      <c r="U587">
        <v>0</v>
      </c>
      <c r="V587">
        <v>0.1</v>
      </c>
      <c r="W587">
        <v>6.4000000000000001E-2</v>
      </c>
    </row>
    <row r="588" spans="1:23" x14ac:dyDescent="0.3">
      <c r="A588" t="s">
        <v>805</v>
      </c>
      <c r="B588" s="1">
        <v>45214</v>
      </c>
      <c r="C588" s="2">
        <v>0.71319444444444446</v>
      </c>
      <c r="D588" t="s">
        <v>828</v>
      </c>
      <c r="E588">
        <v>25</v>
      </c>
      <c r="F588" t="s">
        <v>807</v>
      </c>
      <c r="G588" t="s">
        <v>828</v>
      </c>
      <c r="H588" t="s">
        <v>24</v>
      </c>
      <c r="I588">
        <v>0.172153</v>
      </c>
      <c r="J588">
        <v>21.091376</v>
      </c>
      <c r="K588" t="s">
        <v>1500</v>
      </c>
      <c r="L588" t="s">
        <v>1496</v>
      </c>
      <c r="M588" t="s">
        <v>636</v>
      </c>
      <c r="N588" t="s">
        <v>24</v>
      </c>
      <c r="O588" t="s">
        <v>1764</v>
      </c>
      <c r="P588">
        <v>108</v>
      </c>
      <c r="Q588" t="s">
        <v>19</v>
      </c>
      <c r="R588" s="2">
        <v>0.31944444444444442</v>
      </c>
      <c r="S588">
        <v>460</v>
      </c>
      <c r="T588">
        <v>88.95</v>
      </c>
      <c r="U588">
        <v>3</v>
      </c>
      <c r="V588">
        <v>0.45</v>
      </c>
      <c r="W588">
        <v>0.4</v>
      </c>
    </row>
    <row r="589" spans="1:23" x14ac:dyDescent="0.3">
      <c r="A589" t="s">
        <v>936</v>
      </c>
      <c r="B589" s="1">
        <v>45221</v>
      </c>
      <c r="C589" s="2">
        <v>0.51736111111111116</v>
      </c>
      <c r="D589" t="s">
        <v>963</v>
      </c>
      <c r="E589">
        <v>83</v>
      </c>
      <c r="F589" t="s">
        <v>812</v>
      </c>
      <c r="G589" t="s">
        <v>963</v>
      </c>
      <c r="H589" t="s">
        <v>21</v>
      </c>
      <c r="I589">
        <v>-2.9651529999999999</v>
      </c>
      <c r="J589">
        <v>29.79908</v>
      </c>
      <c r="K589" t="s">
        <v>1498</v>
      </c>
      <c r="L589" t="s">
        <v>1496</v>
      </c>
      <c r="M589" t="s">
        <v>637</v>
      </c>
      <c r="N589" t="s">
        <v>21</v>
      </c>
      <c r="O589" t="s">
        <v>1726</v>
      </c>
      <c r="P589">
        <v>71</v>
      </c>
      <c r="Q589" t="s">
        <v>14</v>
      </c>
      <c r="R589" s="2">
        <v>7.7083333333333337E-2</v>
      </c>
      <c r="S589">
        <v>111</v>
      </c>
      <c r="T589">
        <v>95.53</v>
      </c>
      <c r="U589">
        <v>3</v>
      </c>
      <c r="V589">
        <v>0.1</v>
      </c>
      <c r="W589">
        <v>9.6000000000000002E-2</v>
      </c>
    </row>
    <row r="590" spans="1:23" x14ac:dyDescent="0.3">
      <c r="A590" t="s">
        <v>805</v>
      </c>
      <c r="B590" s="1">
        <v>45203</v>
      </c>
      <c r="C590" s="2">
        <v>0.51180555555555551</v>
      </c>
      <c r="D590" t="s">
        <v>835</v>
      </c>
      <c r="E590">
        <v>64</v>
      </c>
      <c r="F590" t="s">
        <v>812</v>
      </c>
      <c r="G590" t="s">
        <v>835</v>
      </c>
      <c r="H590" t="s">
        <v>73</v>
      </c>
      <c r="I590">
        <v>0.23583499999999999</v>
      </c>
      <c r="J590">
        <v>24.889558999999998</v>
      </c>
      <c r="K590" t="s">
        <v>1500</v>
      </c>
      <c r="L590" t="s">
        <v>1501</v>
      </c>
      <c r="M590" t="s">
        <v>638</v>
      </c>
      <c r="N590" t="s">
        <v>73</v>
      </c>
      <c r="O590" t="s">
        <v>1812</v>
      </c>
      <c r="P590">
        <v>21</v>
      </c>
      <c r="Q590" t="s">
        <v>19</v>
      </c>
      <c r="R590" s="2">
        <v>1.0416666666666666E-2</v>
      </c>
      <c r="S590">
        <v>15</v>
      </c>
      <c r="T590">
        <v>57.74</v>
      </c>
      <c r="U590">
        <v>0</v>
      </c>
      <c r="V590">
        <v>0.45</v>
      </c>
      <c r="W590">
        <v>0.26</v>
      </c>
    </row>
    <row r="591" spans="1:23" x14ac:dyDescent="0.3">
      <c r="A591" t="s">
        <v>1073</v>
      </c>
      <c r="B591" s="1">
        <v>45205</v>
      </c>
      <c r="C591" s="2">
        <v>0.47152777777777777</v>
      </c>
      <c r="D591" t="s">
        <v>1088</v>
      </c>
      <c r="E591">
        <v>50</v>
      </c>
      <c r="F591" t="s">
        <v>810</v>
      </c>
      <c r="G591" t="s">
        <v>1088</v>
      </c>
      <c r="H591" t="s">
        <v>18</v>
      </c>
      <c r="I591">
        <v>2.628638</v>
      </c>
      <c r="J591">
        <v>28.420582</v>
      </c>
      <c r="K591" t="s">
        <v>1498</v>
      </c>
      <c r="L591" t="s">
        <v>1499</v>
      </c>
      <c r="M591" t="s">
        <v>639</v>
      </c>
      <c r="N591" t="s">
        <v>18</v>
      </c>
      <c r="O591" t="s">
        <v>1780</v>
      </c>
      <c r="P591">
        <v>42</v>
      </c>
      <c r="Q591" t="s">
        <v>14</v>
      </c>
      <c r="R591" s="2">
        <v>0.11597222222222223</v>
      </c>
      <c r="S591">
        <v>167</v>
      </c>
      <c r="T591">
        <v>45.85</v>
      </c>
      <c r="U591">
        <v>2</v>
      </c>
      <c r="V591">
        <v>0.1</v>
      </c>
      <c r="W591">
        <v>4.5999999999999999E-2</v>
      </c>
    </row>
    <row r="592" spans="1:23" x14ac:dyDescent="0.3">
      <c r="A592" t="s">
        <v>854</v>
      </c>
      <c r="B592" s="1">
        <v>45216</v>
      </c>
      <c r="C592" s="2">
        <v>0.67361111111111116</v>
      </c>
      <c r="D592" t="s">
        <v>881</v>
      </c>
      <c r="E592">
        <v>117</v>
      </c>
      <c r="F592" t="s">
        <v>807</v>
      </c>
      <c r="G592" t="s">
        <v>881</v>
      </c>
      <c r="H592" t="s">
        <v>31</v>
      </c>
      <c r="I592">
        <v>-12.141233</v>
      </c>
      <c r="J592">
        <v>15.179043999999999</v>
      </c>
      <c r="K592" t="s">
        <v>1495</v>
      </c>
      <c r="L592" t="s">
        <v>1496</v>
      </c>
      <c r="M592" t="s">
        <v>640</v>
      </c>
      <c r="N592" t="s">
        <v>31</v>
      </c>
      <c r="O592" t="s">
        <v>1818</v>
      </c>
      <c r="P592">
        <v>27</v>
      </c>
      <c r="Q592" t="s">
        <v>19</v>
      </c>
      <c r="R592" s="2">
        <v>4.8611111111111112E-2</v>
      </c>
      <c r="S592">
        <v>70</v>
      </c>
      <c r="T592">
        <v>20.32</v>
      </c>
      <c r="U592">
        <v>3</v>
      </c>
      <c r="V592">
        <v>0.45</v>
      </c>
      <c r="W592">
        <v>9.0999999999999998E-2</v>
      </c>
    </row>
    <row r="593" spans="1:23" x14ac:dyDescent="0.3">
      <c r="A593" t="s">
        <v>1073</v>
      </c>
      <c r="B593" s="1">
        <v>45221</v>
      </c>
      <c r="C593" s="2">
        <v>0.37638888888888888</v>
      </c>
      <c r="D593" t="s">
        <v>1096</v>
      </c>
      <c r="E593">
        <v>59</v>
      </c>
      <c r="F593" t="s">
        <v>812</v>
      </c>
      <c r="G593" t="s">
        <v>1096</v>
      </c>
      <c r="H593" t="s">
        <v>78</v>
      </c>
      <c r="I593">
        <v>-8.4824669999999998</v>
      </c>
      <c r="J593">
        <v>21.897777999999999</v>
      </c>
      <c r="K593" t="s">
        <v>1495</v>
      </c>
      <c r="L593" t="s">
        <v>1496</v>
      </c>
      <c r="M593" t="s">
        <v>641</v>
      </c>
      <c r="N593" t="s">
        <v>78</v>
      </c>
      <c r="O593" t="s">
        <v>1803</v>
      </c>
      <c r="P593">
        <v>12</v>
      </c>
      <c r="Q593" t="s">
        <v>22</v>
      </c>
      <c r="R593" s="2">
        <v>7.7777777777777779E-2</v>
      </c>
      <c r="S593">
        <v>112</v>
      </c>
      <c r="T593">
        <v>82.81</v>
      </c>
      <c r="U593">
        <v>0</v>
      </c>
      <c r="V593">
        <v>0.45</v>
      </c>
      <c r="W593">
        <v>0.373</v>
      </c>
    </row>
    <row r="594" spans="1:23" x14ac:dyDescent="0.3">
      <c r="A594" t="s">
        <v>1073</v>
      </c>
      <c r="B594" s="1">
        <v>45221</v>
      </c>
      <c r="C594" s="2">
        <v>0.37638888888888888</v>
      </c>
      <c r="D594" t="s">
        <v>1096</v>
      </c>
      <c r="E594">
        <v>59</v>
      </c>
      <c r="F594" t="s">
        <v>812</v>
      </c>
      <c r="G594" t="s">
        <v>1096</v>
      </c>
      <c r="H594" t="s">
        <v>78</v>
      </c>
      <c r="I594">
        <v>-8.4824669999999998</v>
      </c>
      <c r="J594">
        <v>21.897777999999999</v>
      </c>
      <c r="K594" t="s">
        <v>1495</v>
      </c>
      <c r="L594" t="s">
        <v>1496</v>
      </c>
      <c r="M594" t="s">
        <v>642</v>
      </c>
      <c r="N594" t="s">
        <v>78</v>
      </c>
      <c r="O594" t="s">
        <v>1803</v>
      </c>
      <c r="P594">
        <v>12</v>
      </c>
      <c r="Q594" t="s">
        <v>14</v>
      </c>
      <c r="R594" s="2">
        <v>2.9166666666666667E-2</v>
      </c>
      <c r="S594">
        <v>42</v>
      </c>
      <c r="T594">
        <v>48.64</v>
      </c>
      <c r="U594">
        <v>0</v>
      </c>
      <c r="V594">
        <v>0.1</v>
      </c>
      <c r="W594">
        <v>4.9000000000000002E-2</v>
      </c>
    </row>
    <row r="595" spans="1:23" x14ac:dyDescent="0.3">
      <c r="A595" t="s">
        <v>805</v>
      </c>
      <c r="B595" s="1">
        <v>45217</v>
      </c>
      <c r="C595" s="2">
        <v>0.96875</v>
      </c>
      <c r="D595" t="s">
        <v>842</v>
      </c>
      <c r="E595">
        <v>97</v>
      </c>
      <c r="F595" t="s">
        <v>810</v>
      </c>
      <c r="G595" t="s">
        <v>842</v>
      </c>
      <c r="H595" t="s">
        <v>29</v>
      </c>
      <c r="I595">
        <v>-10.059846</v>
      </c>
      <c r="J595">
        <v>14.375757999999999</v>
      </c>
      <c r="K595" t="s">
        <v>1498</v>
      </c>
      <c r="L595" t="s">
        <v>1499</v>
      </c>
      <c r="M595" t="s">
        <v>643</v>
      </c>
      <c r="N595" t="s">
        <v>29</v>
      </c>
      <c r="O595" t="s">
        <v>1753</v>
      </c>
      <c r="P595">
        <v>4</v>
      </c>
      <c r="Q595" t="s">
        <v>14</v>
      </c>
      <c r="R595" s="2">
        <v>0.25833333333333336</v>
      </c>
      <c r="S595">
        <v>372</v>
      </c>
      <c r="T595">
        <v>26.73</v>
      </c>
      <c r="U595">
        <v>3</v>
      </c>
      <c r="V595">
        <v>0.1</v>
      </c>
      <c r="W595">
        <v>2.7E-2</v>
      </c>
    </row>
    <row r="596" spans="1:23" x14ac:dyDescent="0.3">
      <c r="A596" t="s">
        <v>805</v>
      </c>
      <c r="B596" s="1">
        <v>45211</v>
      </c>
      <c r="C596" s="2">
        <v>0.27916666666666667</v>
      </c>
      <c r="D596" t="s">
        <v>838</v>
      </c>
      <c r="E596">
        <v>75</v>
      </c>
      <c r="F596" t="s">
        <v>807</v>
      </c>
      <c r="G596" t="s">
        <v>838</v>
      </c>
      <c r="H596" t="s">
        <v>89</v>
      </c>
      <c r="I596">
        <v>-8.1437910000000002</v>
      </c>
      <c r="J596">
        <v>28.946161</v>
      </c>
      <c r="K596" t="s">
        <v>1498</v>
      </c>
      <c r="L596" t="s">
        <v>1501</v>
      </c>
      <c r="M596" t="s">
        <v>644</v>
      </c>
      <c r="N596" t="s">
        <v>89</v>
      </c>
      <c r="O596" t="s">
        <v>1777</v>
      </c>
      <c r="P596">
        <v>56</v>
      </c>
      <c r="Q596" t="s">
        <v>11</v>
      </c>
      <c r="R596" s="2">
        <v>0.24583333333333332</v>
      </c>
      <c r="S596">
        <v>354</v>
      </c>
      <c r="T596">
        <v>32.08</v>
      </c>
      <c r="U596">
        <v>1</v>
      </c>
      <c r="V596">
        <v>0.45</v>
      </c>
      <c r="W596">
        <v>0.14399999999999999</v>
      </c>
    </row>
    <row r="597" spans="1:23" x14ac:dyDescent="0.3">
      <c r="A597" t="s">
        <v>854</v>
      </c>
      <c r="B597" s="1">
        <v>45219</v>
      </c>
      <c r="C597" s="2">
        <v>0.10138888888888889</v>
      </c>
      <c r="D597" t="s">
        <v>888</v>
      </c>
      <c r="E597">
        <v>75</v>
      </c>
      <c r="F597" t="s">
        <v>807</v>
      </c>
      <c r="G597" t="s">
        <v>888</v>
      </c>
      <c r="H597" t="s">
        <v>10</v>
      </c>
      <c r="I597">
        <v>-7.0076900000000002</v>
      </c>
      <c r="J597">
        <v>27.367121999999998</v>
      </c>
      <c r="K597" t="s">
        <v>1500</v>
      </c>
      <c r="L597" t="s">
        <v>1508</v>
      </c>
      <c r="M597" t="s">
        <v>645</v>
      </c>
      <c r="N597" t="s">
        <v>10</v>
      </c>
      <c r="O597" t="s">
        <v>1717</v>
      </c>
      <c r="P597">
        <v>2</v>
      </c>
      <c r="Q597" t="s">
        <v>14</v>
      </c>
      <c r="R597" s="2">
        <v>0.33402777777777776</v>
      </c>
      <c r="S597">
        <v>481</v>
      </c>
      <c r="T597">
        <v>29.37</v>
      </c>
      <c r="U597">
        <v>4</v>
      </c>
      <c r="V597">
        <v>0.1</v>
      </c>
      <c r="W597">
        <v>2.9000000000000001E-2</v>
      </c>
    </row>
    <row r="598" spans="1:23" x14ac:dyDescent="0.3">
      <c r="A598" t="s">
        <v>1161</v>
      </c>
      <c r="B598" s="1">
        <v>45207</v>
      </c>
      <c r="C598" s="2">
        <v>0.13333333333333333</v>
      </c>
      <c r="D598" t="s">
        <v>1165</v>
      </c>
      <c r="E598">
        <v>66</v>
      </c>
      <c r="F598" t="s">
        <v>810</v>
      </c>
      <c r="G598" t="s">
        <v>1165</v>
      </c>
      <c r="H598" t="s">
        <v>57</v>
      </c>
      <c r="I598">
        <v>-5.4073029999999997</v>
      </c>
      <c r="J598">
        <v>29.762294000000001</v>
      </c>
      <c r="K598" t="s">
        <v>1500</v>
      </c>
      <c r="L598" t="s">
        <v>1496</v>
      </c>
      <c r="M598" t="s">
        <v>646</v>
      </c>
      <c r="N598" t="s">
        <v>57</v>
      </c>
      <c r="O598" t="s">
        <v>1810</v>
      </c>
      <c r="P598">
        <v>81</v>
      </c>
      <c r="Q598" t="s">
        <v>22</v>
      </c>
      <c r="R598" s="2">
        <v>4.4444444444444446E-2</v>
      </c>
      <c r="S598">
        <v>64</v>
      </c>
      <c r="T598">
        <v>43.45</v>
      </c>
      <c r="U598">
        <v>2</v>
      </c>
      <c r="V598">
        <v>0.45</v>
      </c>
      <c r="W598">
        <v>0.19600000000000001</v>
      </c>
    </row>
    <row r="599" spans="1:23" x14ac:dyDescent="0.3">
      <c r="A599" t="s">
        <v>1133</v>
      </c>
      <c r="B599" s="1">
        <v>45222</v>
      </c>
      <c r="C599" s="2">
        <v>0.58472222222222225</v>
      </c>
      <c r="D599" t="s">
        <v>1155</v>
      </c>
      <c r="E599">
        <v>15</v>
      </c>
      <c r="F599" t="s">
        <v>812</v>
      </c>
      <c r="G599" t="s">
        <v>1155</v>
      </c>
      <c r="H599" t="s">
        <v>60</v>
      </c>
      <c r="I599">
        <v>-9.1215879999999991</v>
      </c>
      <c r="J599">
        <v>16.457916999999998</v>
      </c>
      <c r="K599" t="s">
        <v>1498</v>
      </c>
      <c r="L599" t="s">
        <v>1508</v>
      </c>
      <c r="M599" t="s">
        <v>647</v>
      </c>
      <c r="N599" t="s">
        <v>60</v>
      </c>
      <c r="O599" t="s">
        <v>1787</v>
      </c>
      <c r="P599">
        <v>99</v>
      </c>
      <c r="Q599" t="s">
        <v>22</v>
      </c>
      <c r="R599" s="2">
        <v>9.5138888888888884E-2</v>
      </c>
      <c r="S599">
        <v>137</v>
      </c>
      <c r="T599">
        <v>23.05</v>
      </c>
      <c r="U599">
        <v>4</v>
      </c>
      <c r="V599">
        <v>0.45</v>
      </c>
      <c r="W599">
        <v>0.104</v>
      </c>
    </row>
    <row r="600" spans="1:23" x14ac:dyDescent="0.3">
      <c r="A600" t="s">
        <v>854</v>
      </c>
      <c r="B600" s="1">
        <v>45213</v>
      </c>
      <c r="C600" s="2">
        <v>0.94861111111111107</v>
      </c>
      <c r="D600" t="s">
        <v>874</v>
      </c>
      <c r="E600">
        <v>72</v>
      </c>
      <c r="F600" t="s">
        <v>810</v>
      </c>
      <c r="G600" t="s">
        <v>874</v>
      </c>
      <c r="H600" t="s">
        <v>35</v>
      </c>
      <c r="I600">
        <v>-2.7140689999999998</v>
      </c>
      <c r="J600">
        <v>22.222104000000002</v>
      </c>
      <c r="K600" t="s">
        <v>1498</v>
      </c>
      <c r="L600" t="s">
        <v>1508</v>
      </c>
      <c r="M600" t="s">
        <v>649</v>
      </c>
      <c r="N600" t="s">
        <v>35</v>
      </c>
      <c r="O600" t="s">
        <v>1730</v>
      </c>
      <c r="P600">
        <v>18</v>
      </c>
      <c r="Q600" t="s">
        <v>14</v>
      </c>
      <c r="R600" s="2">
        <v>5.2083333333333336E-2</v>
      </c>
      <c r="S600">
        <v>75</v>
      </c>
      <c r="T600">
        <v>57.66</v>
      </c>
      <c r="U600">
        <v>1</v>
      </c>
      <c r="V600">
        <v>0.1</v>
      </c>
      <c r="W600">
        <v>5.8000000000000003E-2</v>
      </c>
    </row>
    <row r="601" spans="1:23" x14ac:dyDescent="0.3">
      <c r="A601" t="s">
        <v>898</v>
      </c>
      <c r="B601" s="1">
        <v>45210</v>
      </c>
      <c r="C601" s="2">
        <v>0.56805555555555554</v>
      </c>
      <c r="D601" t="s">
        <v>904</v>
      </c>
      <c r="E601">
        <v>96</v>
      </c>
      <c r="F601" t="s">
        <v>807</v>
      </c>
      <c r="G601" t="s">
        <v>904</v>
      </c>
      <c r="H601" t="s">
        <v>64</v>
      </c>
      <c r="I601">
        <v>-5.4126279999999998</v>
      </c>
      <c r="J601">
        <v>25.498235999999999</v>
      </c>
      <c r="K601" t="s">
        <v>1495</v>
      </c>
      <c r="L601" t="s">
        <v>1501</v>
      </c>
      <c r="M601" t="s">
        <v>650</v>
      </c>
      <c r="N601" t="s">
        <v>64</v>
      </c>
      <c r="O601" t="s">
        <v>1762</v>
      </c>
      <c r="P601">
        <v>14</v>
      </c>
      <c r="Q601" t="s">
        <v>14</v>
      </c>
      <c r="R601" s="2">
        <v>0.16388888888888889</v>
      </c>
      <c r="S601">
        <v>236</v>
      </c>
      <c r="T601">
        <v>54.43</v>
      </c>
      <c r="U601">
        <v>3</v>
      </c>
      <c r="V601">
        <v>0.1</v>
      </c>
      <c r="W601">
        <v>5.3999999999999999E-2</v>
      </c>
    </row>
    <row r="602" spans="1:23" x14ac:dyDescent="0.3">
      <c r="A602" t="s">
        <v>854</v>
      </c>
      <c r="B602" s="1">
        <v>45221</v>
      </c>
      <c r="C602" s="2">
        <v>0.77500000000000002</v>
      </c>
      <c r="D602" t="s">
        <v>889</v>
      </c>
      <c r="E602">
        <v>24</v>
      </c>
      <c r="F602" t="s">
        <v>807</v>
      </c>
      <c r="G602" t="s">
        <v>889</v>
      </c>
      <c r="H602" t="s">
        <v>16</v>
      </c>
      <c r="I602">
        <v>-11.514188000000001</v>
      </c>
      <c r="J602">
        <v>15.971181</v>
      </c>
      <c r="K602" t="s">
        <v>1495</v>
      </c>
      <c r="L602" t="s">
        <v>1496</v>
      </c>
      <c r="M602" t="s">
        <v>651</v>
      </c>
      <c r="N602" t="s">
        <v>16</v>
      </c>
      <c r="O602" t="s">
        <v>1780</v>
      </c>
      <c r="P602">
        <v>42</v>
      </c>
      <c r="Q602" t="s">
        <v>19</v>
      </c>
      <c r="R602" s="2">
        <v>0.31111111111111112</v>
      </c>
      <c r="S602">
        <v>448</v>
      </c>
      <c r="T602">
        <v>49.02</v>
      </c>
      <c r="U602">
        <v>0</v>
      </c>
      <c r="V602">
        <v>0.45</v>
      </c>
      <c r="W602">
        <v>0.221</v>
      </c>
    </row>
    <row r="603" spans="1:23" x14ac:dyDescent="0.3">
      <c r="A603" t="s">
        <v>805</v>
      </c>
      <c r="B603" s="1">
        <v>45214</v>
      </c>
      <c r="C603" s="2">
        <v>0.71319444444444446</v>
      </c>
      <c r="D603" t="s">
        <v>828</v>
      </c>
      <c r="E603">
        <v>25</v>
      </c>
      <c r="F603" t="s">
        <v>807</v>
      </c>
      <c r="G603" t="s">
        <v>828</v>
      </c>
      <c r="H603" t="s">
        <v>24</v>
      </c>
      <c r="I603">
        <v>0.172153</v>
      </c>
      <c r="J603">
        <v>21.091376</v>
      </c>
      <c r="K603" t="s">
        <v>1500</v>
      </c>
      <c r="L603" t="s">
        <v>1496</v>
      </c>
      <c r="M603" t="s">
        <v>652</v>
      </c>
      <c r="N603" t="s">
        <v>24</v>
      </c>
      <c r="O603" t="s">
        <v>1743</v>
      </c>
      <c r="P603">
        <v>111</v>
      </c>
      <c r="Q603" t="s">
        <v>22</v>
      </c>
      <c r="R603" s="2">
        <v>3.7499999999999999E-2</v>
      </c>
      <c r="S603">
        <v>54</v>
      </c>
      <c r="T603">
        <v>71.3</v>
      </c>
      <c r="U603">
        <v>0</v>
      </c>
      <c r="V603">
        <v>0.45</v>
      </c>
      <c r="W603">
        <v>0.32100000000000001</v>
      </c>
    </row>
    <row r="604" spans="1:23" x14ac:dyDescent="0.3">
      <c r="A604" t="s">
        <v>805</v>
      </c>
      <c r="B604" s="1">
        <v>45211</v>
      </c>
      <c r="C604" s="2">
        <v>0.27916666666666667</v>
      </c>
      <c r="D604" t="s">
        <v>838</v>
      </c>
      <c r="E604">
        <v>75</v>
      </c>
      <c r="F604" t="s">
        <v>807</v>
      </c>
      <c r="G604" t="s">
        <v>838</v>
      </c>
      <c r="H604" t="s">
        <v>89</v>
      </c>
      <c r="I604">
        <v>-8.1437910000000002</v>
      </c>
      <c r="J604">
        <v>28.946161</v>
      </c>
      <c r="K604" t="s">
        <v>1498</v>
      </c>
      <c r="L604" t="s">
        <v>1501</v>
      </c>
      <c r="M604" t="s">
        <v>653</v>
      </c>
      <c r="N604" t="s">
        <v>89</v>
      </c>
      <c r="O604" t="s">
        <v>1756</v>
      </c>
      <c r="P604">
        <v>89</v>
      </c>
      <c r="Q604" t="s">
        <v>14</v>
      </c>
      <c r="R604" s="2">
        <v>0.26458333333333334</v>
      </c>
      <c r="S604">
        <v>381</v>
      </c>
      <c r="T604">
        <v>68.17</v>
      </c>
      <c r="U604">
        <v>0</v>
      </c>
      <c r="V604">
        <v>0.1</v>
      </c>
      <c r="W604">
        <v>6.8000000000000005E-2</v>
      </c>
    </row>
    <row r="605" spans="1:23" x14ac:dyDescent="0.3">
      <c r="A605" t="s">
        <v>898</v>
      </c>
      <c r="B605" s="1">
        <v>45210</v>
      </c>
      <c r="C605" s="2">
        <v>0.56805555555555554</v>
      </c>
      <c r="D605" t="s">
        <v>904</v>
      </c>
      <c r="E605">
        <v>96</v>
      </c>
      <c r="F605" t="s">
        <v>807</v>
      </c>
      <c r="G605" t="s">
        <v>904</v>
      </c>
      <c r="H605" t="s">
        <v>64</v>
      </c>
      <c r="I605">
        <v>-5.4126279999999998</v>
      </c>
      <c r="J605">
        <v>25.498235999999999</v>
      </c>
      <c r="K605" t="s">
        <v>1495</v>
      </c>
      <c r="L605" t="s">
        <v>1501</v>
      </c>
      <c r="M605" t="s">
        <v>654</v>
      </c>
      <c r="N605" t="s">
        <v>64</v>
      </c>
      <c r="O605" t="s">
        <v>1819</v>
      </c>
      <c r="P605">
        <v>93</v>
      </c>
      <c r="Q605" t="s">
        <v>14</v>
      </c>
      <c r="R605" s="2">
        <v>3.888888888888889E-2</v>
      </c>
      <c r="S605">
        <v>56</v>
      </c>
      <c r="T605">
        <v>96.31</v>
      </c>
      <c r="U605">
        <v>4</v>
      </c>
      <c r="V605">
        <v>0.1</v>
      </c>
      <c r="W605">
        <v>9.6000000000000002E-2</v>
      </c>
    </row>
    <row r="606" spans="1:23" x14ac:dyDescent="0.3">
      <c r="A606" t="s">
        <v>898</v>
      </c>
      <c r="B606" s="1">
        <v>45206</v>
      </c>
      <c r="C606" s="2">
        <v>0.6875</v>
      </c>
      <c r="D606" t="s">
        <v>926</v>
      </c>
      <c r="E606">
        <v>76</v>
      </c>
      <c r="F606" t="s">
        <v>812</v>
      </c>
      <c r="G606" t="s">
        <v>926</v>
      </c>
      <c r="H606" t="s">
        <v>127</v>
      </c>
      <c r="I606">
        <v>-12.100756000000001</v>
      </c>
      <c r="J606">
        <v>21.938649999999999</v>
      </c>
      <c r="K606" t="s">
        <v>1498</v>
      </c>
      <c r="L606" t="s">
        <v>1499</v>
      </c>
      <c r="M606" t="s">
        <v>655</v>
      </c>
      <c r="N606" t="s">
        <v>127</v>
      </c>
      <c r="O606" t="s">
        <v>1777</v>
      </c>
      <c r="P606">
        <v>56</v>
      </c>
      <c r="Q606" t="s">
        <v>11</v>
      </c>
      <c r="R606" s="2">
        <v>8.5416666666666669E-2</v>
      </c>
      <c r="S606">
        <v>123</v>
      </c>
      <c r="T606">
        <v>29.76</v>
      </c>
      <c r="U606">
        <v>5</v>
      </c>
      <c r="V606">
        <v>0.45</v>
      </c>
      <c r="W606">
        <v>0.13400000000000001</v>
      </c>
    </row>
    <row r="607" spans="1:23" x14ac:dyDescent="0.3">
      <c r="A607" t="s">
        <v>854</v>
      </c>
      <c r="B607" s="1">
        <v>45213</v>
      </c>
      <c r="C607" s="2">
        <v>0.94861111111111107</v>
      </c>
      <c r="D607" t="s">
        <v>874</v>
      </c>
      <c r="E607">
        <v>72</v>
      </c>
      <c r="F607" t="s">
        <v>810</v>
      </c>
      <c r="G607" t="s">
        <v>874</v>
      </c>
      <c r="H607" t="s">
        <v>35</v>
      </c>
      <c r="I607">
        <v>-2.7140689999999998</v>
      </c>
      <c r="J607">
        <v>22.222104000000002</v>
      </c>
      <c r="K607" t="s">
        <v>1498</v>
      </c>
      <c r="L607" t="s">
        <v>1508</v>
      </c>
      <c r="M607" t="s">
        <v>656</v>
      </c>
      <c r="N607" t="s">
        <v>35</v>
      </c>
      <c r="O607" t="s">
        <v>1714</v>
      </c>
      <c r="P607">
        <v>29</v>
      </c>
      <c r="Q607" t="s">
        <v>11</v>
      </c>
      <c r="R607" s="2">
        <v>5.5555555555555558E-3</v>
      </c>
      <c r="S607">
        <v>8</v>
      </c>
      <c r="T607">
        <v>14.78</v>
      </c>
      <c r="U607">
        <v>2</v>
      </c>
      <c r="V607">
        <v>0.45</v>
      </c>
      <c r="W607">
        <v>6.7000000000000004E-2</v>
      </c>
    </row>
    <row r="608" spans="1:23" x14ac:dyDescent="0.3">
      <c r="A608" t="s">
        <v>1014</v>
      </c>
      <c r="B608" s="1">
        <v>45225</v>
      </c>
      <c r="C608" s="2">
        <v>0.21527777777777779</v>
      </c>
      <c r="D608" t="s">
        <v>1043</v>
      </c>
      <c r="E608">
        <v>41</v>
      </c>
      <c r="F608" t="s">
        <v>812</v>
      </c>
      <c r="G608" t="s">
        <v>1043</v>
      </c>
      <c r="H608" t="s">
        <v>44</v>
      </c>
      <c r="I608">
        <v>-4.9552579999999997</v>
      </c>
      <c r="J608">
        <v>22.008103999999999</v>
      </c>
      <c r="K608" t="s">
        <v>1498</v>
      </c>
      <c r="L608" t="s">
        <v>1499</v>
      </c>
      <c r="M608" t="s">
        <v>657</v>
      </c>
      <c r="N608" t="s">
        <v>44</v>
      </c>
      <c r="O608" t="s">
        <v>1796</v>
      </c>
      <c r="P608">
        <v>22</v>
      </c>
      <c r="Q608" t="s">
        <v>14</v>
      </c>
      <c r="R608" s="2">
        <v>0.31736111111111109</v>
      </c>
      <c r="S608">
        <v>457</v>
      </c>
      <c r="T608">
        <v>13.21</v>
      </c>
      <c r="U608">
        <v>1</v>
      </c>
      <c r="V608">
        <v>0.1</v>
      </c>
      <c r="W608">
        <v>1.2999999999999999E-2</v>
      </c>
    </row>
    <row r="609" spans="1:23" x14ac:dyDescent="0.3">
      <c r="A609" t="s">
        <v>805</v>
      </c>
      <c r="B609" s="1">
        <v>45201</v>
      </c>
      <c r="C609" s="2">
        <v>0.88472222222222219</v>
      </c>
      <c r="D609" t="s">
        <v>833</v>
      </c>
      <c r="E609">
        <v>54</v>
      </c>
      <c r="F609" t="s">
        <v>812</v>
      </c>
      <c r="G609" t="s">
        <v>833</v>
      </c>
      <c r="H609" t="s">
        <v>131</v>
      </c>
      <c r="I609">
        <v>4.6287159999999998</v>
      </c>
      <c r="J609">
        <v>19.407077999999998</v>
      </c>
      <c r="K609" t="s">
        <v>1498</v>
      </c>
      <c r="L609" t="s">
        <v>1496</v>
      </c>
      <c r="M609" t="s">
        <v>658</v>
      </c>
      <c r="N609" t="s">
        <v>131</v>
      </c>
      <c r="O609" t="s">
        <v>1803</v>
      </c>
      <c r="P609">
        <v>12</v>
      </c>
      <c r="Q609" t="s">
        <v>22</v>
      </c>
      <c r="R609" s="2">
        <v>0.16319444444444445</v>
      </c>
      <c r="S609">
        <v>235</v>
      </c>
      <c r="T609">
        <v>33.96</v>
      </c>
      <c r="U609">
        <v>4</v>
      </c>
      <c r="V609">
        <v>0.45</v>
      </c>
      <c r="W609">
        <v>0.153</v>
      </c>
    </row>
    <row r="610" spans="1:23" x14ac:dyDescent="0.3">
      <c r="A610" t="s">
        <v>805</v>
      </c>
      <c r="B610" s="1">
        <v>45213</v>
      </c>
      <c r="C610" s="2">
        <v>4.2361111111111113E-2</v>
      </c>
      <c r="D610" t="s">
        <v>814</v>
      </c>
      <c r="E610">
        <v>119</v>
      </c>
      <c r="F610" t="s">
        <v>810</v>
      </c>
      <c r="G610" t="s">
        <v>814</v>
      </c>
      <c r="H610" t="s">
        <v>62</v>
      </c>
      <c r="I610">
        <v>-2.8211520000000001</v>
      </c>
      <c r="J610">
        <v>20.651419000000001</v>
      </c>
      <c r="K610" t="s">
        <v>1495</v>
      </c>
      <c r="L610" t="s">
        <v>1496</v>
      </c>
      <c r="M610" t="s">
        <v>659</v>
      </c>
      <c r="N610" t="s">
        <v>62</v>
      </c>
      <c r="O610" t="s">
        <v>1813</v>
      </c>
      <c r="P610">
        <v>25</v>
      </c>
      <c r="Q610" t="s">
        <v>19</v>
      </c>
      <c r="R610" s="2">
        <v>6.5972222222222224E-2</v>
      </c>
      <c r="S610">
        <v>95</v>
      </c>
      <c r="T610">
        <v>15.93</v>
      </c>
      <c r="U610">
        <v>4</v>
      </c>
      <c r="V610">
        <v>0.45</v>
      </c>
      <c r="W610">
        <v>7.1999999999999995E-2</v>
      </c>
    </row>
    <row r="611" spans="1:23" x14ac:dyDescent="0.3">
      <c r="A611" t="s">
        <v>1133</v>
      </c>
      <c r="B611" s="1">
        <v>45222</v>
      </c>
      <c r="C611" s="2">
        <v>0.58472222222222225</v>
      </c>
      <c r="D611" t="s">
        <v>1155</v>
      </c>
      <c r="E611">
        <v>15</v>
      </c>
      <c r="F611" t="s">
        <v>812</v>
      </c>
      <c r="G611" t="s">
        <v>1155</v>
      </c>
      <c r="H611" t="s">
        <v>60</v>
      </c>
      <c r="I611">
        <v>-9.1215879999999991</v>
      </c>
      <c r="J611">
        <v>16.457916999999998</v>
      </c>
      <c r="K611" t="s">
        <v>1498</v>
      </c>
      <c r="L611" t="s">
        <v>1508</v>
      </c>
      <c r="M611" t="s">
        <v>660</v>
      </c>
      <c r="N611" t="s">
        <v>60</v>
      </c>
      <c r="O611" t="s">
        <v>1819</v>
      </c>
      <c r="P611">
        <v>93</v>
      </c>
      <c r="Q611" t="s">
        <v>11</v>
      </c>
      <c r="R611" s="2">
        <v>9.4444444444444442E-2</v>
      </c>
      <c r="S611">
        <v>136</v>
      </c>
      <c r="T611">
        <v>19.09</v>
      </c>
      <c r="U611">
        <v>1</v>
      </c>
      <c r="V611">
        <v>0.45</v>
      </c>
      <c r="W611">
        <v>8.5999999999999993E-2</v>
      </c>
    </row>
    <row r="612" spans="1:23" x14ac:dyDescent="0.3">
      <c r="A612" t="s">
        <v>805</v>
      </c>
      <c r="B612" s="1">
        <v>45203</v>
      </c>
      <c r="C612" s="2">
        <v>0.51180555555555551</v>
      </c>
      <c r="D612" t="s">
        <v>835</v>
      </c>
      <c r="E612">
        <v>64</v>
      </c>
      <c r="F612" t="s">
        <v>812</v>
      </c>
      <c r="G612" t="s">
        <v>835</v>
      </c>
      <c r="H612" t="s">
        <v>73</v>
      </c>
      <c r="I612">
        <v>0.23583499999999999</v>
      </c>
      <c r="J612">
        <v>24.889558999999998</v>
      </c>
      <c r="K612" t="s">
        <v>1500</v>
      </c>
      <c r="L612" t="s">
        <v>1501</v>
      </c>
      <c r="M612" t="s">
        <v>661</v>
      </c>
      <c r="N612" t="s">
        <v>73</v>
      </c>
      <c r="O612" t="s">
        <v>1808</v>
      </c>
      <c r="P612">
        <v>116</v>
      </c>
      <c r="Q612" t="s">
        <v>11</v>
      </c>
      <c r="R612" s="2">
        <v>9.7222222222222224E-3</v>
      </c>
      <c r="S612">
        <v>14</v>
      </c>
      <c r="T612">
        <v>30.38</v>
      </c>
      <c r="U612">
        <v>1</v>
      </c>
      <c r="V612">
        <v>0.45</v>
      </c>
      <c r="W612">
        <v>0.13700000000000001</v>
      </c>
    </row>
    <row r="613" spans="1:23" x14ac:dyDescent="0.3">
      <c r="A613" t="s">
        <v>805</v>
      </c>
      <c r="B613" s="1">
        <v>45213</v>
      </c>
      <c r="C613" s="2">
        <v>4.2361111111111113E-2</v>
      </c>
      <c r="D613" t="s">
        <v>814</v>
      </c>
      <c r="E613">
        <v>119</v>
      </c>
      <c r="F613" t="s">
        <v>810</v>
      </c>
      <c r="G613" t="s">
        <v>814</v>
      </c>
      <c r="H613" t="s">
        <v>62</v>
      </c>
      <c r="I613">
        <v>-2.8211520000000001</v>
      </c>
      <c r="J613">
        <v>20.651419000000001</v>
      </c>
      <c r="K613" t="s">
        <v>1495</v>
      </c>
      <c r="L613" t="s">
        <v>1496</v>
      </c>
      <c r="M613" t="s">
        <v>662</v>
      </c>
      <c r="N613" t="s">
        <v>62</v>
      </c>
      <c r="O613" t="s">
        <v>1759</v>
      </c>
      <c r="P613">
        <v>104</v>
      </c>
      <c r="Q613" t="s">
        <v>19</v>
      </c>
      <c r="R613" s="2">
        <v>0.16875000000000001</v>
      </c>
      <c r="S613">
        <v>243</v>
      </c>
      <c r="T613">
        <v>65.819999999999993</v>
      </c>
      <c r="U613">
        <v>0</v>
      </c>
      <c r="V613">
        <v>0.45</v>
      </c>
      <c r="W613">
        <v>0.29599999999999999</v>
      </c>
    </row>
    <row r="614" spans="1:23" x14ac:dyDescent="0.3">
      <c r="A614" t="s">
        <v>1073</v>
      </c>
      <c r="B614" s="1">
        <v>45221</v>
      </c>
      <c r="C614" s="2">
        <v>0.37638888888888888</v>
      </c>
      <c r="D614" t="s">
        <v>1096</v>
      </c>
      <c r="E614">
        <v>59</v>
      </c>
      <c r="F614" t="s">
        <v>812</v>
      </c>
      <c r="G614" t="s">
        <v>1096</v>
      </c>
      <c r="H614" t="s">
        <v>78</v>
      </c>
      <c r="I614">
        <v>-8.4824669999999998</v>
      </c>
      <c r="J614">
        <v>21.897777999999999</v>
      </c>
      <c r="K614" t="s">
        <v>1495</v>
      </c>
      <c r="L614" t="s">
        <v>1496</v>
      </c>
      <c r="M614" t="s">
        <v>663</v>
      </c>
      <c r="N614" t="s">
        <v>78</v>
      </c>
      <c r="O614" t="s">
        <v>1715</v>
      </c>
      <c r="P614">
        <v>48</v>
      </c>
      <c r="Q614" t="s">
        <v>11</v>
      </c>
      <c r="R614" s="2">
        <v>0.23472222222222222</v>
      </c>
      <c r="S614">
        <v>338</v>
      </c>
      <c r="T614">
        <v>74.42</v>
      </c>
      <c r="U614">
        <v>0</v>
      </c>
      <c r="V614">
        <v>0.45</v>
      </c>
      <c r="W614">
        <v>0.33500000000000002</v>
      </c>
    </row>
    <row r="615" spans="1:23" x14ac:dyDescent="0.3">
      <c r="A615" t="s">
        <v>854</v>
      </c>
      <c r="B615" s="1">
        <v>45221</v>
      </c>
      <c r="C615" s="2">
        <v>0.77500000000000002</v>
      </c>
      <c r="D615" t="s">
        <v>889</v>
      </c>
      <c r="E615">
        <v>24</v>
      </c>
      <c r="F615" t="s">
        <v>807</v>
      </c>
      <c r="G615" t="s">
        <v>889</v>
      </c>
      <c r="H615" t="s">
        <v>16</v>
      </c>
      <c r="I615">
        <v>-11.514188000000001</v>
      </c>
      <c r="J615">
        <v>15.971181</v>
      </c>
      <c r="K615" t="s">
        <v>1495</v>
      </c>
      <c r="L615" t="s">
        <v>1496</v>
      </c>
      <c r="M615" t="s">
        <v>664</v>
      </c>
      <c r="N615" t="s">
        <v>16</v>
      </c>
      <c r="O615" t="s">
        <v>1760</v>
      </c>
      <c r="P615">
        <v>105</v>
      </c>
      <c r="Q615" t="s">
        <v>22</v>
      </c>
      <c r="R615" s="2">
        <v>0.18819444444444444</v>
      </c>
      <c r="S615">
        <v>271</v>
      </c>
      <c r="T615">
        <v>45.27</v>
      </c>
      <c r="U615">
        <v>2</v>
      </c>
      <c r="V615">
        <v>0.45</v>
      </c>
      <c r="W615">
        <v>0.20399999999999999</v>
      </c>
    </row>
    <row r="616" spans="1:23" x14ac:dyDescent="0.3">
      <c r="A616" t="s">
        <v>898</v>
      </c>
      <c r="B616" s="1">
        <v>45210</v>
      </c>
      <c r="C616" s="2">
        <v>0.56805555555555554</v>
      </c>
      <c r="D616" t="s">
        <v>904</v>
      </c>
      <c r="E616">
        <v>96</v>
      </c>
      <c r="F616" t="s">
        <v>807</v>
      </c>
      <c r="G616" t="s">
        <v>904</v>
      </c>
      <c r="H616" t="s">
        <v>64</v>
      </c>
      <c r="I616">
        <v>-5.4126279999999998</v>
      </c>
      <c r="J616">
        <v>25.498235999999999</v>
      </c>
      <c r="K616" t="s">
        <v>1495</v>
      </c>
      <c r="L616" t="s">
        <v>1501</v>
      </c>
      <c r="M616" t="s">
        <v>665</v>
      </c>
      <c r="N616" t="s">
        <v>64</v>
      </c>
      <c r="O616" t="s">
        <v>1808</v>
      </c>
      <c r="P616">
        <v>116</v>
      </c>
      <c r="Q616" t="s">
        <v>22</v>
      </c>
      <c r="R616" s="2">
        <v>0.16041666666666668</v>
      </c>
      <c r="S616">
        <v>231</v>
      </c>
      <c r="T616">
        <v>19.12</v>
      </c>
      <c r="U616">
        <v>5</v>
      </c>
      <c r="V616">
        <v>0.45</v>
      </c>
      <c r="W616">
        <v>8.5999999999999993E-2</v>
      </c>
    </row>
    <row r="617" spans="1:23" x14ac:dyDescent="0.3">
      <c r="A617" t="s">
        <v>805</v>
      </c>
      <c r="B617" s="1">
        <v>45213</v>
      </c>
      <c r="C617" s="2">
        <v>0.31111111111111112</v>
      </c>
      <c r="D617" t="s">
        <v>819</v>
      </c>
      <c r="E617">
        <v>22</v>
      </c>
      <c r="F617" t="s">
        <v>810</v>
      </c>
      <c r="G617" t="s">
        <v>819</v>
      </c>
      <c r="H617" t="s">
        <v>40</v>
      </c>
      <c r="I617">
        <v>4.8319039999999998</v>
      </c>
      <c r="J617">
        <v>20.733468999999999</v>
      </c>
      <c r="K617" t="s">
        <v>1495</v>
      </c>
      <c r="L617" t="s">
        <v>1496</v>
      </c>
      <c r="M617" t="s">
        <v>666</v>
      </c>
      <c r="N617" t="s">
        <v>40</v>
      </c>
      <c r="O617" t="s">
        <v>1711</v>
      </c>
      <c r="P617">
        <v>69</v>
      </c>
      <c r="Q617" t="s">
        <v>19</v>
      </c>
      <c r="R617" s="2">
        <v>0.125</v>
      </c>
      <c r="S617">
        <v>180</v>
      </c>
      <c r="T617">
        <v>76.05</v>
      </c>
      <c r="U617">
        <v>2</v>
      </c>
      <c r="V617">
        <v>0.45</v>
      </c>
      <c r="W617">
        <v>0.34200000000000003</v>
      </c>
    </row>
    <row r="618" spans="1:23" x14ac:dyDescent="0.3">
      <c r="A618" t="s">
        <v>854</v>
      </c>
      <c r="B618" s="1">
        <v>45222</v>
      </c>
      <c r="C618" s="2">
        <v>0.42708333333333331</v>
      </c>
      <c r="D618" t="s">
        <v>892</v>
      </c>
      <c r="E618">
        <v>82</v>
      </c>
      <c r="F618" t="s">
        <v>807</v>
      </c>
      <c r="G618" t="s">
        <v>892</v>
      </c>
      <c r="H618" t="s">
        <v>26</v>
      </c>
      <c r="I618">
        <v>-4.4697000000000001E-2</v>
      </c>
      <c r="J618">
        <v>22.943373000000001</v>
      </c>
      <c r="K618" t="s">
        <v>1500</v>
      </c>
      <c r="L618" t="s">
        <v>1499</v>
      </c>
      <c r="M618" t="s">
        <v>667</v>
      </c>
      <c r="N618" t="s">
        <v>26</v>
      </c>
      <c r="O618" t="s">
        <v>1728</v>
      </c>
      <c r="P618">
        <v>1</v>
      </c>
      <c r="Q618" t="s">
        <v>19</v>
      </c>
      <c r="R618" s="2">
        <v>9.375E-2</v>
      </c>
      <c r="S618">
        <v>135</v>
      </c>
      <c r="T618">
        <v>89.16</v>
      </c>
      <c r="U618">
        <v>3</v>
      </c>
      <c r="V618">
        <v>0.45</v>
      </c>
      <c r="W618">
        <v>0.40100000000000002</v>
      </c>
    </row>
    <row r="619" spans="1:23" x14ac:dyDescent="0.3">
      <c r="A619" t="s">
        <v>898</v>
      </c>
      <c r="B619" s="1">
        <v>45216</v>
      </c>
      <c r="C619" s="2">
        <v>0.90277777777777779</v>
      </c>
      <c r="D619" t="s">
        <v>929</v>
      </c>
      <c r="E619">
        <v>20</v>
      </c>
      <c r="F619" t="s">
        <v>812</v>
      </c>
      <c r="G619" t="s">
        <v>929</v>
      </c>
      <c r="H619" t="s">
        <v>51</v>
      </c>
      <c r="I619">
        <v>-4.2408359999999998</v>
      </c>
      <c r="J619">
        <v>26.210014000000001</v>
      </c>
      <c r="K619" t="s">
        <v>1498</v>
      </c>
      <c r="L619" t="s">
        <v>1499</v>
      </c>
      <c r="M619" t="s">
        <v>668</v>
      </c>
      <c r="N619" t="s">
        <v>51</v>
      </c>
      <c r="O619" t="s">
        <v>1788</v>
      </c>
      <c r="P619">
        <v>120</v>
      </c>
      <c r="Q619" t="s">
        <v>14</v>
      </c>
      <c r="R619" s="2">
        <v>4.1666666666666664E-2</v>
      </c>
      <c r="S619">
        <v>60</v>
      </c>
      <c r="T619">
        <v>34.14</v>
      </c>
      <c r="U619">
        <v>3</v>
      </c>
      <c r="V619">
        <v>0.1</v>
      </c>
      <c r="W619">
        <v>3.4000000000000002E-2</v>
      </c>
    </row>
    <row r="620" spans="1:23" x14ac:dyDescent="0.3">
      <c r="A620" t="s">
        <v>805</v>
      </c>
      <c r="B620" s="1">
        <v>45214</v>
      </c>
      <c r="C620" s="2">
        <v>0.71319444444444446</v>
      </c>
      <c r="D620" t="s">
        <v>828</v>
      </c>
      <c r="E620">
        <v>25</v>
      </c>
      <c r="F620" t="s">
        <v>807</v>
      </c>
      <c r="G620" t="s">
        <v>828</v>
      </c>
      <c r="H620" t="s">
        <v>24</v>
      </c>
      <c r="I620">
        <v>0.172153</v>
      </c>
      <c r="J620">
        <v>21.091376</v>
      </c>
      <c r="K620" t="s">
        <v>1500</v>
      </c>
      <c r="L620" t="s">
        <v>1496</v>
      </c>
      <c r="M620" t="s">
        <v>669</v>
      </c>
      <c r="N620" t="s">
        <v>24</v>
      </c>
      <c r="O620" t="s">
        <v>1756</v>
      </c>
      <c r="P620">
        <v>89</v>
      </c>
      <c r="Q620" t="s">
        <v>19</v>
      </c>
      <c r="R620" s="2">
        <v>0.32916666666666666</v>
      </c>
      <c r="S620">
        <v>474</v>
      </c>
      <c r="T620">
        <v>28.51</v>
      </c>
      <c r="U620">
        <v>5</v>
      </c>
      <c r="V620">
        <v>0.45</v>
      </c>
      <c r="W620">
        <v>0.128</v>
      </c>
    </row>
    <row r="621" spans="1:23" x14ac:dyDescent="0.3">
      <c r="A621" t="s">
        <v>854</v>
      </c>
      <c r="B621" s="1">
        <v>45219</v>
      </c>
      <c r="C621" s="2">
        <v>0.10138888888888889</v>
      </c>
      <c r="D621" t="s">
        <v>888</v>
      </c>
      <c r="E621">
        <v>75</v>
      </c>
      <c r="F621" t="s">
        <v>807</v>
      </c>
      <c r="G621" t="s">
        <v>888</v>
      </c>
      <c r="H621" t="s">
        <v>10</v>
      </c>
      <c r="I621">
        <v>-7.0076900000000002</v>
      </c>
      <c r="J621">
        <v>27.367121999999998</v>
      </c>
      <c r="K621" t="s">
        <v>1500</v>
      </c>
      <c r="L621" t="s">
        <v>1508</v>
      </c>
      <c r="M621" t="s">
        <v>670</v>
      </c>
      <c r="N621" t="s">
        <v>10</v>
      </c>
      <c r="O621" t="s">
        <v>1806</v>
      </c>
      <c r="P621">
        <v>112</v>
      </c>
      <c r="Q621" t="s">
        <v>22</v>
      </c>
      <c r="R621" s="2">
        <v>0.19513888888888889</v>
      </c>
      <c r="S621">
        <v>281</v>
      </c>
      <c r="T621">
        <v>80.72</v>
      </c>
      <c r="U621">
        <v>2</v>
      </c>
      <c r="V621">
        <v>0.45</v>
      </c>
      <c r="W621">
        <v>0.36299999999999999</v>
      </c>
    </row>
    <row r="622" spans="1:23" x14ac:dyDescent="0.3">
      <c r="A622" t="s">
        <v>1073</v>
      </c>
      <c r="B622" s="1">
        <v>45205</v>
      </c>
      <c r="C622" s="2">
        <v>0.47152777777777777</v>
      </c>
      <c r="D622" t="s">
        <v>1088</v>
      </c>
      <c r="E622">
        <v>50</v>
      </c>
      <c r="F622" t="s">
        <v>810</v>
      </c>
      <c r="G622" t="s">
        <v>1088</v>
      </c>
      <c r="H622" t="s">
        <v>18</v>
      </c>
      <c r="I622">
        <v>2.628638</v>
      </c>
      <c r="J622">
        <v>28.420582</v>
      </c>
      <c r="K622" t="s">
        <v>1498</v>
      </c>
      <c r="L622" t="s">
        <v>1499</v>
      </c>
      <c r="M622" t="s">
        <v>671</v>
      </c>
      <c r="N622" t="s">
        <v>18</v>
      </c>
      <c r="O622" t="s">
        <v>1776</v>
      </c>
      <c r="P622">
        <v>7</v>
      </c>
      <c r="Q622" t="s">
        <v>19</v>
      </c>
      <c r="R622" s="2">
        <v>2.9861111111111113E-2</v>
      </c>
      <c r="S622">
        <v>43</v>
      </c>
      <c r="T622">
        <v>41.29</v>
      </c>
      <c r="U622">
        <v>4</v>
      </c>
      <c r="V622">
        <v>0.45</v>
      </c>
      <c r="W622">
        <v>0.186</v>
      </c>
    </row>
    <row r="623" spans="1:23" x14ac:dyDescent="0.3">
      <c r="A623" t="s">
        <v>854</v>
      </c>
      <c r="B623" s="1">
        <v>45213</v>
      </c>
      <c r="C623" s="2">
        <v>0.94861111111111107</v>
      </c>
      <c r="D623" t="s">
        <v>874</v>
      </c>
      <c r="E623">
        <v>72</v>
      </c>
      <c r="F623" t="s">
        <v>810</v>
      </c>
      <c r="G623" t="s">
        <v>874</v>
      </c>
      <c r="H623" t="s">
        <v>35</v>
      </c>
      <c r="I623">
        <v>-2.7140689999999998</v>
      </c>
      <c r="J623">
        <v>22.222104000000002</v>
      </c>
      <c r="K623" t="s">
        <v>1498</v>
      </c>
      <c r="L623" t="s">
        <v>1508</v>
      </c>
      <c r="M623" t="s">
        <v>672</v>
      </c>
      <c r="N623" t="s">
        <v>35</v>
      </c>
      <c r="O623" t="s">
        <v>1779</v>
      </c>
      <c r="P623">
        <v>34</v>
      </c>
      <c r="Q623" t="s">
        <v>22</v>
      </c>
      <c r="R623" s="2">
        <v>0.12569444444444444</v>
      </c>
      <c r="S623">
        <v>181</v>
      </c>
      <c r="T623">
        <v>35.92</v>
      </c>
      <c r="U623">
        <v>2</v>
      </c>
      <c r="V623">
        <v>0.45</v>
      </c>
      <c r="W623">
        <v>0.16200000000000001</v>
      </c>
    </row>
    <row r="624" spans="1:23" x14ac:dyDescent="0.3">
      <c r="A624" t="s">
        <v>805</v>
      </c>
      <c r="B624" s="1">
        <v>45218</v>
      </c>
      <c r="C624" s="2">
        <v>0.36875000000000002</v>
      </c>
      <c r="D624" t="s">
        <v>820</v>
      </c>
      <c r="E624">
        <v>70</v>
      </c>
      <c r="F624" t="s">
        <v>807</v>
      </c>
      <c r="G624" t="s">
        <v>820</v>
      </c>
      <c r="H624" t="s">
        <v>67</v>
      </c>
      <c r="I624">
        <v>-8.4227860000000003</v>
      </c>
      <c r="J624">
        <v>16.781293000000002</v>
      </c>
      <c r="K624" t="s">
        <v>1498</v>
      </c>
      <c r="L624" t="s">
        <v>1499</v>
      </c>
      <c r="M624" t="s">
        <v>673</v>
      </c>
      <c r="N624" t="s">
        <v>67</v>
      </c>
      <c r="O624" t="s">
        <v>1754</v>
      </c>
      <c r="P624">
        <v>114</v>
      </c>
      <c r="Q624" t="s">
        <v>14</v>
      </c>
      <c r="R624" s="2">
        <v>0.15277777777777779</v>
      </c>
      <c r="S624">
        <v>220</v>
      </c>
      <c r="T624">
        <v>63.67</v>
      </c>
      <c r="U624">
        <v>5</v>
      </c>
      <c r="V624">
        <v>0.1</v>
      </c>
      <c r="W624">
        <v>6.4000000000000001E-2</v>
      </c>
    </row>
    <row r="625" spans="1:23" x14ac:dyDescent="0.3">
      <c r="A625" t="s">
        <v>1073</v>
      </c>
      <c r="B625" s="1">
        <v>45221</v>
      </c>
      <c r="C625" s="2">
        <v>0.37638888888888888</v>
      </c>
      <c r="D625" t="s">
        <v>1096</v>
      </c>
      <c r="E625">
        <v>59</v>
      </c>
      <c r="F625" t="s">
        <v>812</v>
      </c>
      <c r="G625" t="s">
        <v>1096</v>
      </c>
      <c r="H625" t="s">
        <v>78</v>
      </c>
      <c r="I625">
        <v>-8.4824669999999998</v>
      </c>
      <c r="J625">
        <v>21.897777999999999</v>
      </c>
      <c r="K625" t="s">
        <v>1495</v>
      </c>
      <c r="L625" t="s">
        <v>1496</v>
      </c>
      <c r="M625" t="s">
        <v>674</v>
      </c>
      <c r="N625" t="s">
        <v>78</v>
      </c>
      <c r="O625" t="s">
        <v>1750</v>
      </c>
      <c r="P625">
        <v>101</v>
      </c>
      <c r="Q625" t="s">
        <v>14</v>
      </c>
      <c r="R625" s="2">
        <v>7.4999999999999997E-2</v>
      </c>
      <c r="S625">
        <v>108</v>
      </c>
      <c r="T625">
        <v>76.05</v>
      </c>
      <c r="U625">
        <v>3</v>
      </c>
      <c r="V625">
        <v>0.1</v>
      </c>
      <c r="W625">
        <v>7.5999999999999998E-2</v>
      </c>
    </row>
    <row r="626" spans="1:23" x14ac:dyDescent="0.3">
      <c r="A626" t="s">
        <v>854</v>
      </c>
      <c r="B626" s="1">
        <v>45214</v>
      </c>
      <c r="C626" s="2">
        <v>0.9604166666666667</v>
      </c>
      <c r="D626" t="s">
        <v>859</v>
      </c>
      <c r="E626">
        <v>38</v>
      </c>
      <c r="F626" t="s">
        <v>807</v>
      </c>
      <c r="G626" t="s">
        <v>859</v>
      </c>
      <c r="H626" t="s">
        <v>137</v>
      </c>
      <c r="I626">
        <v>-11.710407999999999</v>
      </c>
      <c r="J626">
        <v>23.741330999999999</v>
      </c>
      <c r="K626" t="s">
        <v>1500</v>
      </c>
      <c r="L626" t="s">
        <v>1499</v>
      </c>
      <c r="M626" t="s">
        <v>675</v>
      </c>
      <c r="N626" t="s">
        <v>137</v>
      </c>
      <c r="O626" t="s">
        <v>1763</v>
      </c>
      <c r="P626">
        <v>6</v>
      </c>
      <c r="Q626" t="s">
        <v>22</v>
      </c>
      <c r="R626" s="2">
        <v>5.347222222222222E-2</v>
      </c>
      <c r="S626">
        <v>77</v>
      </c>
      <c r="T626">
        <v>18.48</v>
      </c>
      <c r="U626">
        <v>2</v>
      </c>
      <c r="V626">
        <v>0.45</v>
      </c>
      <c r="W626">
        <v>8.3000000000000004E-2</v>
      </c>
    </row>
    <row r="627" spans="1:23" x14ac:dyDescent="0.3">
      <c r="A627" t="s">
        <v>936</v>
      </c>
      <c r="B627" s="1">
        <v>45221</v>
      </c>
      <c r="C627" s="2">
        <v>0.51736111111111116</v>
      </c>
      <c r="D627" t="s">
        <v>963</v>
      </c>
      <c r="E627">
        <v>83</v>
      </c>
      <c r="F627" t="s">
        <v>812</v>
      </c>
      <c r="G627" t="s">
        <v>963</v>
      </c>
      <c r="H627" t="s">
        <v>21</v>
      </c>
      <c r="I627">
        <v>-2.9651529999999999</v>
      </c>
      <c r="J627">
        <v>29.79908</v>
      </c>
      <c r="K627" t="s">
        <v>1498</v>
      </c>
      <c r="L627" t="s">
        <v>1496</v>
      </c>
      <c r="M627" t="s">
        <v>676</v>
      </c>
      <c r="N627" t="s">
        <v>21</v>
      </c>
      <c r="O627" t="s">
        <v>1758</v>
      </c>
      <c r="P627">
        <v>15</v>
      </c>
      <c r="Q627" t="s">
        <v>14</v>
      </c>
      <c r="R627" s="2">
        <v>0.14097222222222222</v>
      </c>
      <c r="S627">
        <v>203</v>
      </c>
      <c r="T627">
        <v>55.29</v>
      </c>
      <c r="U627">
        <v>2</v>
      </c>
      <c r="V627">
        <v>0.1</v>
      </c>
      <c r="W627">
        <v>5.5E-2</v>
      </c>
    </row>
    <row r="628" spans="1:23" x14ac:dyDescent="0.3">
      <c r="A628" t="s">
        <v>805</v>
      </c>
      <c r="B628" s="1">
        <v>45201</v>
      </c>
      <c r="C628" s="2">
        <v>0.88472222222222219</v>
      </c>
      <c r="D628" t="s">
        <v>833</v>
      </c>
      <c r="E628">
        <v>54</v>
      </c>
      <c r="F628" t="s">
        <v>812</v>
      </c>
      <c r="G628" t="s">
        <v>833</v>
      </c>
      <c r="H628" t="s">
        <v>131</v>
      </c>
      <c r="I628">
        <v>4.6287159999999998</v>
      </c>
      <c r="J628">
        <v>19.407077999999998</v>
      </c>
      <c r="K628" t="s">
        <v>1498</v>
      </c>
      <c r="L628" t="s">
        <v>1496</v>
      </c>
      <c r="M628" t="s">
        <v>677</v>
      </c>
      <c r="N628" t="s">
        <v>131</v>
      </c>
      <c r="O628" t="s">
        <v>1776</v>
      </c>
      <c r="P628">
        <v>7</v>
      </c>
      <c r="Q628" t="s">
        <v>19</v>
      </c>
      <c r="R628" s="2">
        <v>0.17847222222222223</v>
      </c>
      <c r="S628">
        <v>257</v>
      </c>
      <c r="T628">
        <v>73.040000000000006</v>
      </c>
      <c r="U628">
        <v>3</v>
      </c>
      <c r="V628">
        <v>0.45</v>
      </c>
      <c r="W628">
        <v>0.32900000000000001</v>
      </c>
    </row>
    <row r="629" spans="1:23" x14ac:dyDescent="0.3">
      <c r="A629" t="s">
        <v>805</v>
      </c>
      <c r="B629" s="1">
        <v>45213</v>
      </c>
      <c r="C629" s="2">
        <v>0.31111111111111112</v>
      </c>
      <c r="D629" t="s">
        <v>819</v>
      </c>
      <c r="E629">
        <v>22</v>
      </c>
      <c r="F629" t="s">
        <v>810</v>
      </c>
      <c r="G629" t="s">
        <v>819</v>
      </c>
      <c r="H629" t="s">
        <v>40</v>
      </c>
      <c r="I629">
        <v>4.8319039999999998</v>
      </c>
      <c r="J629">
        <v>20.733468999999999</v>
      </c>
      <c r="K629" t="s">
        <v>1495</v>
      </c>
      <c r="L629" t="s">
        <v>1496</v>
      </c>
      <c r="M629" t="s">
        <v>678</v>
      </c>
      <c r="N629" t="s">
        <v>40</v>
      </c>
      <c r="O629" t="s">
        <v>1724</v>
      </c>
      <c r="P629">
        <v>39</v>
      </c>
      <c r="Q629" t="s">
        <v>11</v>
      </c>
      <c r="R629" s="2">
        <v>0.15277777777777779</v>
      </c>
      <c r="S629">
        <v>220</v>
      </c>
      <c r="T629">
        <v>52.91</v>
      </c>
      <c r="U629">
        <v>0</v>
      </c>
      <c r="V629">
        <v>0.45</v>
      </c>
      <c r="W629">
        <v>0.23799999999999999</v>
      </c>
    </row>
    <row r="630" spans="1:23" x14ac:dyDescent="0.3">
      <c r="A630" t="s">
        <v>1133</v>
      </c>
      <c r="B630" s="1">
        <v>45222</v>
      </c>
      <c r="C630" s="2">
        <v>0.58472222222222225</v>
      </c>
      <c r="D630" t="s">
        <v>1155</v>
      </c>
      <c r="E630">
        <v>15</v>
      </c>
      <c r="F630" t="s">
        <v>812</v>
      </c>
      <c r="G630" t="s">
        <v>1155</v>
      </c>
      <c r="H630" t="s">
        <v>60</v>
      </c>
      <c r="I630">
        <v>-9.1215879999999991</v>
      </c>
      <c r="J630">
        <v>16.457916999999998</v>
      </c>
      <c r="K630" t="s">
        <v>1498</v>
      </c>
      <c r="L630" t="s">
        <v>1508</v>
      </c>
      <c r="M630" t="s">
        <v>679</v>
      </c>
      <c r="N630" t="s">
        <v>60</v>
      </c>
      <c r="O630" t="s">
        <v>1735</v>
      </c>
      <c r="P630">
        <v>10</v>
      </c>
      <c r="Q630" t="s">
        <v>22</v>
      </c>
      <c r="R630" s="2">
        <v>0.18055555555555555</v>
      </c>
      <c r="S630">
        <v>260</v>
      </c>
      <c r="T630">
        <v>37.479999999999997</v>
      </c>
      <c r="U630">
        <v>2</v>
      </c>
      <c r="V630">
        <v>0.45</v>
      </c>
      <c r="W630">
        <v>0.16900000000000001</v>
      </c>
    </row>
    <row r="631" spans="1:23" x14ac:dyDescent="0.3">
      <c r="A631" t="s">
        <v>854</v>
      </c>
      <c r="B631" s="1">
        <v>45214</v>
      </c>
      <c r="C631" s="2">
        <v>0.9604166666666667</v>
      </c>
      <c r="D631" t="s">
        <v>859</v>
      </c>
      <c r="E631">
        <v>38</v>
      </c>
      <c r="F631" t="s">
        <v>807</v>
      </c>
      <c r="G631" t="s">
        <v>859</v>
      </c>
      <c r="H631" t="s">
        <v>137</v>
      </c>
      <c r="I631">
        <v>-11.710407999999999</v>
      </c>
      <c r="J631">
        <v>23.741330999999999</v>
      </c>
      <c r="K631" t="s">
        <v>1500</v>
      </c>
      <c r="L631" t="s">
        <v>1499</v>
      </c>
      <c r="M631" t="s">
        <v>680</v>
      </c>
      <c r="N631" t="s">
        <v>137</v>
      </c>
      <c r="O631" t="s">
        <v>1779</v>
      </c>
      <c r="P631">
        <v>34</v>
      </c>
      <c r="Q631" t="s">
        <v>11</v>
      </c>
      <c r="R631" s="2">
        <v>0.11805555555555555</v>
      </c>
      <c r="S631">
        <v>170</v>
      </c>
      <c r="T631">
        <v>91.6</v>
      </c>
      <c r="U631">
        <v>2</v>
      </c>
      <c r="V631">
        <v>0.45</v>
      </c>
      <c r="W631">
        <v>0.41199999999999998</v>
      </c>
    </row>
    <row r="632" spans="1:23" x14ac:dyDescent="0.3">
      <c r="A632" t="s">
        <v>1073</v>
      </c>
      <c r="B632" s="1">
        <v>45221</v>
      </c>
      <c r="C632" s="2">
        <v>0.37638888888888888</v>
      </c>
      <c r="D632" t="s">
        <v>1096</v>
      </c>
      <c r="E632">
        <v>59</v>
      </c>
      <c r="F632" t="s">
        <v>812</v>
      </c>
      <c r="G632" t="s">
        <v>1096</v>
      </c>
      <c r="H632" t="s">
        <v>78</v>
      </c>
      <c r="I632">
        <v>-8.4824669999999998</v>
      </c>
      <c r="J632">
        <v>21.897777999999999</v>
      </c>
      <c r="K632" t="s">
        <v>1495</v>
      </c>
      <c r="L632" t="s">
        <v>1496</v>
      </c>
      <c r="M632" t="s">
        <v>681</v>
      </c>
      <c r="N632" t="s">
        <v>78</v>
      </c>
      <c r="O632" t="s">
        <v>1778</v>
      </c>
      <c r="P632">
        <v>43</v>
      </c>
      <c r="Q632" t="s">
        <v>11</v>
      </c>
      <c r="R632" s="2">
        <v>1.8749999999999999E-2</v>
      </c>
      <c r="S632">
        <v>27</v>
      </c>
      <c r="T632">
        <v>31.48</v>
      </c>
      <c r="U632">
        <v>5</v>
      </c>
      <c r="V632">
        <v>0.45</v>
      </c>
      <c r="W632">
        <v>0.14199999999999999</v>
      </c>
    </row>
    <row r="633" spans="1:23" x14ac:dyDescent="0.3">
      <c r="A633" t="s">
        <v>854</v>
      </c>
      <c r="B633" s="1">
        <v>45222</v>
      </c>
      <c r="C633" s="2">
        <v>0.42708333333333331</v>
      </c>
      <c r="D633" t="s">
        <v>892</v>
      </c>
      <c r="E633">
        <v>82</v>
      </c>
      <c r="F633" t="s">
        <v>807</v>
      </c>
      <c r="G633" t="s">
        <v>892</v>
      </c>
      <c r="H633" t="s">
        <v>26</v>
      </c>
      <c r="I633">
        <v>-4.4697000000000001E-2</v>
      </c>
      <c r="J633">
        <v>22.943373000000001</v>
      </c>
      <c r="K633" t="s">
        <v>1500</v>
      </c>
      <c r="L633" t="s">
        <v>1499</v>
      </c>
      <c r="M633" t="s">
        <v>682</v>
      </c>
      <c r="N633" t="s">
        <v>26</v>
      </c>
      <c r="O633" t="s">
        <v>1756</v>
      </c>
      <c r="P633">
        <v>89</v>
      </c>
      <c r="Q633" t="s">
        <v>14</v>
      </c>
      <c r="R633" s="2">
        <v>0.15625</v>
      </c>
      <c r="S633">
        <v>225</v>
      </c>
      <c r="T633">
        <v>38.36</v>
      </c>
      <c r="U633">
        <v>2</v>
      </c>
      <c r="V633">
        <v>0.1</v>
      </c>
      <c r="W633">
        <v>3.7999999999999999E-2</v>
      </c>
    </row>
    <row r="634" spans="1:23" x14ac:dyDescent="0.3">
      <c r="A634" t="s">
        <v>854</v>
      </c>
      <c r="B634" s="1">
        <v>45216</v>
      </c>
      <c r="C634" s="2">
        <v>0.67361111111111116</v>
      </c>
      <c r="D634" t="s">
        <v>881</v>
      </c>
      <c r="E634">
        <v>117</v>
      </c>
      <c r="F634" t="s">
        <v>807</v>
      </c>
      <c r="G634" t="s">
        <v>881</v>
      </c>
      <c r="H634" t="s">
        <v>31</v>
      </c>
      <c r="I634">
        <v>-12.141233</v>
      </c>
      <c r="J634">
        <v>15.179043999999999</v>
      </c>
      <c r="K634" t="s">
        <v>1495</v>
      </c>
      <c r="L634" t="s">
        <v>1496</v>
      </c>
      <c r="M634" t="s">
        <v>683</v>
      </c>
      <c r="N634" t="s">
        <v>31</v>
      </c>
      <c r="O634" t="s">
        <v>1789</v>
      </c>
      <c r="P634">
        <v>79</v>
      </c>
      <c r="Q634" t="s">
        <v>22</v>
      </c>
      <c r="R634" s="2">
        <v>9.6527777777777782E-2</v>
      </c>
      <c r="S634">
        <v>139</v>
      </c>
      <c r="T634">
        <v>16.25</v>
      </c>
      <c r="U634">
        <v>4</v>
      </c>
      <c r="V634">
        <v>0.45</v>
      </c>
      <c r="W634">
        <v>7.2999999999999995E-2</v>
      </c>
    </row>
    <row r="635" spans="1:23" x14ac:dyDescent="0.3">
      <c r="A635" t="s">
        <v>805</v>
      </c>
      <c r="B635" s="1">
        <v>45213</v>
      </c>
      <c r="C635" s="2">
        <v>4.2361111111111113E-2</v>
      </c>
      <c r="D635" t="s">
        <v>814</v>
      </c>
      <c r="E635">
        <v>119</v>
      </c>
      <c r="F635" t="s">
        <v>810</v>
      </c>
      <c r="G635" t="s">
        <v>814</v>
      </c>
      <c r="H635" t="s">
        <v>62</v>
      </c>
      <c r="I635">
        <v>-2.8211520000000001</v>
      </c>
      <c r="J635">
        <v>20.651419000000001</v>
      </c>
      <c r="K635" t="s">
        <v>1495</v>
      </c>
      <c r="L635" t="s">
        <v>1496</v>
      </c>
      <c r="M635" t="s">
        <v>684</v>
      </c>
      <c r="N635" t="s">
        <v>62</v>
      </c>
      <c r="O635" t="s">
        <v>1782</v>
      </c>
      <c r="P635">
        <v>102</v>
      </c>
      <c r="Q635" t="s">
        <v>19</v>
      </c>
      <c r="R635" s="2">
        <v>0.13125000000000001</v>
      </c>
      <c r="S635">
        <v>189</v>
      </c>
      <c r="T635">
        <v>26.86</v>
      </c>
      <c r="U635">
        <v>5</v>
      </c>
      <c r="V635">
        <v>0.45</v>
      </c>
      <c r="W635">
        <v>0.121</v>
      </c>
    </row>
    <row r="636" spans="1:23" x14ac:dyDescent="0.3">
      <c r="A636" t="s">
        <v>805</v>
      </c>
      <c r="B636" s="1">
        <v>45201</v>
      </c>
      <c r="C636" s="2">
        <v>0.88472222222222219</v>
      </c>
      <c r="D636" t="s">
        <v>833</v>
      </c>
      <c r="E636">
        <v>54</v>
      </c>
      <c r="F636" t="s">
        <v>812</v>
      </c>
      <c r="G636" t="s">
        <v>833</v>
      </c>
      <c r="H636" t="s">
        <v>131</v>
      </c>
      <c r="I636">
        <v>4.6287159999999998</v>
      </c>
      <c r="J636">
        <v>19.407077999999998</v>
      </c>
      <c r="K636" t="s">
        <v>1498</v>
      </c>
      <c r="L636" t="s">
        <v>1496</v>
      </c>
      <c r="M636" t="s">
        <v>685</v>
      </c>
      <c r="N636" t="s">
        <v>131</v>
      </c>
      <c r="O636" t="s">
        <v>1759</v>
      </c>
      <c r="P636">
        <v>104</v>
      </c>
      <c r="Q636" t="s">
        <v>22</v>
      </c>
      <c r="R636" s="2">
        <v>3.4722222222222224E-2</v>
      </c>
      <c r="S636">
        <v>50</v>
      </c>
      <c r="T636">
        <v>90.99</v>
      </c>
      <c r="U636">
        <v>4</v>
      </c>
      <c r="V636">
        <v>0.45</v>
      </c>
      <c r="W636">
        <v>0.40899999999999997</v>
      </c>
    </row>
    <row r="637" spans="1:23" x14ac:dyDescent="0.3">
      <c r="A637" t="s">
        <v>854</v>
      </c>
      <c r="B637" s="1">
        <v>45213</v>
      </c>
      <c r="C637" s="2">
        <v>0.94861111111111107</v>
      </c>
      <c r="D637" t="s">
        <v>874</v>
      </c>
      <c r="E637">
        <v>72</v>
      </c>
      <c r="F637" t="s">
        <v>810</v>
      </c>
      <c r="G637" t="s">
        <v>874</v>
      </c>
      <c r="H637" t="s">
        <v>35</v>
      </c>
      <c r="I637">
        <v>-2.7140689999999998</v>
      </c>
      <c r="J637">
        <v>22.222104000000002</v>
      </c>
      <c r="K637" t="s">
        <v>1498</v>
      </c>
      <c r="L637" t="s">
        <v>1508</v>
      </c>
      <c r="M637" t="s">
        <v>686</v>
      </c>
      <c r="N637" t="s">
        <v>35</v>
      </c>
      <c r="O637" t="s">
        <v>1775</v>
      </c>
      <c r="P637">
        <v>49</v>
      </c>
      <c r="Q637" t="s">
        <v>22</v>
      </c>
      <c r="R637" s="2">
        <v>1.7361111111111112E-2</v>
      </c>
      <c r="S637">
        <v>25</v>
      </c>
      <c r="T637">
        <v>22.77</v>
      </c>
      <c r="U637">
        <v>3</v>
      </c>
      <c r="V637">
        <v>0.45</v>
      </c>
      <c r="W637">
        <v>0.10199999999999999</v>
      </c>
    </row>
    <row r="638" spans="1:23" x14ac:dyDescent="0.3">
      <c r="A638" t="s">
        <v>805</v>
      </c>
      <c r="B638" s="1">
        <v>45212</v>
      </c>
      <c r="C638" s="2">
        <v>0.14027777777777778</v>
      </c>
      <c r="D638" t="s">
        <v>826</v>
      </c>
      <c r="E638">
        <v>19</v>
      </c>
      <c r="F638" t="s">
        <v>810</v>
      </c>
      <c r="G638" t="s">
        <v>826</v>
      </c>
      <c r="H638" t="s">
        <v>37</v>
      </c>
      <c r="I638">
        <v>-9.4708620000000003</v>
      </c>
      <c r="J638">
        <v>29.234387999999999</v>
      </c>
      <c r="K638" t="s">
        <v>1500</v>
      </c>
      <c r="L638" t="s">
        <v>1501</v>
      </c>
      <c r="M638" t="s">
        <v>687</v>
      </c>
      <c r="N638" t="s">
        <v>37</v>
      </c>
      <c r="O638" t="s">
        <v>1755</v>
      </c>
      <c r="P638">
        <v>35</v>
      </c>
      <c r="Q638" t="s">
        <v>11</v>
      </c>
      <c r="R638" s="2">
        <v>0.23055555555555557</v>
      </c>
      <c r="S638">
        <v>332</v>
      </c>
      <c r="T638">
        <v>11.15</v>
      </c>
      <c r="U638">
        <v>0</v>
      </c>
      <c r="V638">
        <v>0.45</v>
      </c>
      <c r="W638">
        <v>0.05</v>
      </c>
    </row>
    <row r="639" spans="1:23" x14ac:dyDescent="0.3">
      <c r="A639" t="s">
        <v>898</v>
      </c>
      <c r="B639" s="1">
        <v>45206</v>
      </c>
      <c r="C639" s="2">
        <v>0.6875</v>
      </c>
      <c r="D639" t="s">
        <v>926</v>
      </c>
      <c r="E639">
        <v>76</v>
      </c>
      <c r="F639" t="s">
        <v>812</v>
      </c>
      <c r="G639" t="s">
        <v>926</v>
      </c>
      <c r="H639" t="s">
        <v>127</v>
      </c>
      <c r="I639">
        <v>-12.100756000000001</v>
      </c>
      <c r="J639">
        <v>21.938649999999999</v>
      </c>
      <c r="K639" t="s">
        <v>1498</v>
      </c>
      <c r="L639" t="s">
        <v>1499</v>
      </c>
      <c r="M639" t="s">
        <v>688</v>
      </c>
      <c r="N639" t="s">
        <v>127</v>
      </c>
      <c r="O639" t="s">
        <v>1800</v>
      </c>
      <c r="P639">
        <v>90</v>
      </c>
      <c r="Q639" t="s">
        <v>14</v>
      </c>
      <c r="R639" s="2">
        <v>0.13541666666666666</v>
      </c>
      <c r="S639">
        <v>195</v>
      </c>
      <c r="T639">
        <v>52.71</v>
      </c>
      <c r="U639">
        <v>2</v>
      </c>
      <c r="V639">
        <v>0.1</v>
      </c>
      <c r="W639">
        <v>5.2999999999999999E-2</v>
      </c>
    </row>
    <row r="640" spans="1:23" x14ac:dyDescent="0.3">
      <c r="A640" t="s">
        <v>854</v>
      </c>
      <c r="B640" s="1">
        <v>45222</v>
      </c>
      <c r="C640" s="2">
        <v>0.42708333333333331</v>
      </c>
      <c r="D640" t="s">
        <v>892</v>
      </c>
      <c r="E640">
        <v>82</v>
      </c>
      <c r="F640" t="s">
        <v>807</v>
      </c>
      <c r="G640" t="s">
        <v>892</v>
      </c>
      <c r="H640" t="s">
        <v>26</v>
      </c>
      <c r="I640">
        <v>-4.4697000000000001E-2</v>
      </c>
      <c r="J640">
        <v>22.943373000000001</v>
      </c>
      <c r="K640" t="s">
        <v>1500</v>
      </c>
      <c r="L640" t="s">
        <v>1499</v>
      </c>
      <c r="M640" t="s">
        <v>689</v>
      </c>
      <c r="N640" t="s">
        <v>26</v>
      </c>
      <c r="O640" t="s">
        <v>1796</v>
      </c>
      <c r="P640">
        <v>22</v>
      </c>
      <c r="Q640" t="s">
        <v>14</v>
      </c>
      <c r="R640" s="2">
        <v>0.25972222222222224</v>
      </c>
      <c r="S640">
        <v>374</v>
      </c>
      <c r="T640">
        <v>40.06</v>
      </c>
      <c r="U640">
        <v>5</v>
      </c>
      <c r="V640">
        <v>0.1</v>
      </c>
      <c r="W640">
        <v>0.04</v>
      </c>
    </row>
    <row r="641" spans="1:23" x14ac:dyDescent="0.3">
      <c r="A641" t="s">
        <v>854</v>
      </c>
      <c r="B641" s="1">
        <v>45221</v>
      </c>
      <c r="C641" s="2">
        <v>0.77500000000000002</v>
      </c>
      <c r="D641" t="s">
        <v>889</v>
      </c>
      <c r="E641">
        <v>24</v>
      </c>
      <c r="F641" t="s">
        <v>807</v>
      </c>
      <c r="G641" t="s">
        <v>889</v>
      </c>
      <c r="H641" t="s">
        <v>16</v>
      </c>
      <c r="I641">
        <v>-11.514188000000001</v>
      </c>
      <c r="J641">
        <v>15.971181</v>
      </c>
      <c r="K641" t="s">
        <v>1495</v>
      </c>
      <c r="L641" t="s">
        <v>1496</v>
      </c>
      <c r="M641" t="s">
        <v>690</v>
      </c>
      <c r="N641" t="s">
        <v>16</v>
      </c>
      <c r="O641" t="s">
        <v>1761</v>
      </c>
      <c r="P641">
        <v>119</v>
      </c>
      <c r="Q641" t="s">
        <v>22</v>
      </c>
      <c r="R641" s="2">
        <v>0.3298611111111111</v>
      </c>
      <c r="S641">
        <v>475</v>
      </c>
      <c r="T641">
        <v>25.98</v>
      </c>
      <c r="U641">
        <v>4</v>
      </c>
      <c r="V641">
        <v>0.45</v>
      </c>
      <c r="W641">
        <v>0.11700000000000001</v>
      </c>
    </row>
    <row r="642" spans="1:23" x14ac:dyDescent="0.3">
      <c r="A642" t="s">
        <v>898</v>
      </c>
      <c r="B642" s="1">
        <v>45216</v>
      </c>
      <c r="C642" s="2">
        <v>0.90277777777777779</v>
      </c>
      <c r="D642" t="s">
        <v>929</v>
      </c>
      <c r="E642">
        <v>20</v>
      </c>
      <c r="F642" t="s">
        <v>812</v>
      </c>
      <c r="G642" t="s">
        <v>929</v>
      </c>
      <c r="H642" t="s">
        <v>51</v>
      </c>
      <c r="I642">
        <v>-4.2408359999999998</v>
      </c>
      <c r="J642">
        <v>26.210014000000001</v>
      </c>
      <c r="K642" t="s">
        <v>1498</v>
      </c>
      <c r="L642" t="s">
        <v>1499</v>
      </c>
      <c r="M642" t="s">
        <v>691</v>
      </c>
      <c r="N642" t="s">
        <v>51</v>
      </c>
      <c r="O642" t="s">
        <v>1730</v>
      </c>
      <c r="P642">
        <v>18</v>
      </c>
      <c r="Q642" t="s">
        <v>14</v>
      </c>
      <c r="R642" s="2">
        <v>0.15</v>
      </c>
      <c r="S642">
        <v>216</v>
      </c>
      <c r="T642">
        <v>33.74</v>
      </c>
      <c r="U642">
        <v>5</v>
      </c>
      <c r="V642">
        <v>0.1</v>
      </c>
      <c r="W642">
        <v>3.4000000000000002E-2</v>
      </c>
    </row>
    <row r="643" spans="1:23" x14ac:dyDescent="0.3">
      <c r="A643" t="s">
        <v>936</v>
      </c>
      <c r="B643" s="1">
        <v>45221</v>
      </c>
      <c r="C643" s="2">
        <v>0.51736111111111116</v>
      </c>
      <c r="D643" t="s">
        <v>963</v>
      </c>
      <c r="E643">
        <v>83</v>
      </c>
      <c r="F643" t="s">
        <v>812</v>
      </c>
      <c r="G643" t="s">
        <v>963</v>
      </c>
      <c r="H643" t="s">
        <v>21</v>
      </c>
      <c r="I643">
        <v>-2.9651529999999999</v>
      </c>
      <c r="J643">
        <v>29.79908</v>
      </c>
      <c r="K643" t="s">
        <v>1498</v>
      </c>
      <c r="L643" t="s">
        <v>1496</v>
      </c>
      <c r="M643" t="s">
        <v>692</v>
      </c>
      <c r="N643" t="s">
        <v>21</v>
      </c>
      <c r="O643" t="s">
        <v>1822</v>
      </c>
      <c r="P643">
        <v>75</v>
      </c>
      <c r="Q643" t="s">
        <v>22</v>
      </c>
      <c r="R643" s="2">
        <v>6.8750000000000006E-2</v>
      </c>
      <c r="S643">
        <v>99</v>
      </c>
      <c r="T643">
        <v>16.93</v>
      </c>
      <c r="U643">
        <v>5</v>
      </c>
      <c r="V643">
        <v>0.45</v>
      </c>
      <c r="W643">
        <v>7.5999999999999998E-2</v>
      </c>
    </row>
    <row r="644" spans="1:23" x14ac:dyDescent="0.3">
      <c r="A644" t="s">
        <v>854</v>
      </c>
      <c r="B644" s="1">
        <v>45216</v>
      </c>
      <c r="C644" s="2">
        <v>0.67361111111111116</v>
      </c>
      <c r="D644" t="s">
        <v>881</v>
      </c>
      <c r="E644">
        <v>117</v>
      </c>
      <c r="F644" t="s">
        <v>807</v>
      </c>
      <c r="G644" t="s">
        <v>881</v>
      </c>
      <c r="H644" t="s">
        <v>31</v>
      </c>
      <c r="I644">
        <v>-12.141233</v>
      </c>
      <c r="J644">
        <v>15.179043999999999</v>
      </c>
      <c r="K644" t="s">
        <v>1495</v>
      </c>
      <c r="L644" t="s">
        <v>1496</v>
      </c>
      <c r="M644" t="s">
        <v>693</v>
      </c>
      <c r="N644" t="s">
        <v>31</v>
      </c>
      <c r="O644" t="s">
        <v>1741</v>
      </c>
      <c r="P644">
        <v>59</v>
      </c>
      <c r="Q644" t="s">
        <v>19</v>
      </c>
      <c r="R644" s="2">
        <v>0.10416666666666667</v>
      </c>
      <c r="S644">
        <v>150</v>
      </c>
      <c r="T644">
        <v>71.13</v>
      </c>
      <c r="U644">
        <v>0</v>
      </c>
      <c r="V644">
        <v>0.45</v>
      </c>
      <c r="W644">
        <v>0.32</v>
      </c>
    </row>
    <row r="645" spans="1:23" x14ac:dyDescent="0.3">
      <c r="A645" t="s">
        <v>898</v>
      </c>
      <c r="B645" s="1">
        <v>45216</v>
      </c>
      <c r="C645" s="2">
        <v>0.90277777777777779</v>
      </c>
      <c r="D645" t="s">
        <v>929</v>
      </c>
      <c r="E645">
        <v>20</v>
      </c>
      <c r="F645" t="s">
        <v>812</v>
      </c>
      <c r="G645" t="s">
        <v>929</v>
      </c>
      <c r="H645" t="s">
        <v>51</v>
      </c>
      <c r="I645">
        <v>-4.2408359999999998</v>
      </c>
      <c r="J645">
        <v>26.210014000000001</v>
      </c>
      <c r="K645" t="s">
        <v>1498</v>
      </c>
      <c r="L645" t="s">
        <v>1499</v>
      </c>
      <c r="M645" t="s">
        <v>694</v>
      </c>
      <c r="N645" t="s">
        <v>51</v>
      </c>
      <c r="O645" t="s">
        <v>1722</v>
      </c>
      <c r="P645">
        <v>16</v>
      </c>
      <c r="Q645" t="s">
        <v>11</v>
      </c>
      <c r="R645" s="2">
        <v>6.6666666666666666E-2</v>
      </c>
      <c r="S645">
        <v>96</v>
      </c>
      <c r="T645">
        <v>86.78</v>
      </c>
      <c r="U645">
        <v>1</v>
      </c>
      <c r="V645">
        <v>0.45</v>
      </c>
      <c r="W645">
        <v>0.39100000000000001</v>
      </c>
    </row>
    <row r="646" spans="1:23" x14ac:dyDescent="0.3">
      <c r="A646" t="s">
        <v>898</v>
      </c>
      <c r="B646" s="1">
        <v>45210</v>
      </c>
      <c r="C646" s="2">
        <v>0.56805555555555554</v>
      </c>
      <c r="D646" t="s">
        <v>904</v>
      </c>
      <c r="E646">
        <v>96</v>
      </c>
      <c r="F646" t="s">
        <v>807</v>
      </c>
      <c r="G646" t="s">
        <v>904</v>
      </c>
      <c r="H646" t="s">
        <v>64</v>
      </c>
      <c r="I646">
        <v>-5.4126279999999998</v>
      </c>
      <c r="J646">
        <v>25.498235999999999</v>
      </c>
      <c r="K646" t="s">
        <v>1495</v>
      </c>
      <c r="L646" t="s">
        <v>1501</v>
      </c>
      <c r="M646" t="s">
        <v>695</v>
      </c>
      <c r="N646" t="s">
        <v>64</v>
      </c>
      <c r="O646" t="s">
        <v>1821</v>
      </c>
      <c r="P646">
        <v>17</v>
      </c>
      <c r="Q646" t="s">
        <v>14</v>
      </c>
      <c r="R646" s="2">
        <v>0.14305555555555555</v>
      </c>
      <c r="S646">
        <v>206</v>
      </c>
      <c r="T646">
        <v>63.46</v>
      </c>
      <c r="U646">
        <v>3</v>
      </c>
      <c r="V646">
        <v>0.1</v>
      </c>
      <c r="W646">
        <v>6.3E-2</v>
      </c>
    </row>
    <row r="647" spans="1:23" x14ac:dyDescent="0.3">
      <c r="A647" t="s">
        <v>1161</v>
      </c>
      <c r="B647" s="1">
        <v>45207</v>
      </c>
      <c r="C647" s="2">
        <v>0.13333333333333333</v>
      </c>
      <c r="D647" t="s">
        <v>1165</v>
      </c>
      <c r="E647">
        <v>66</v>
      </c>
      <c r="F647" t="s">
        <v>810</v>
      </c>
      <c r="G647" t="s">
        <v>1165</v>
      </c>
      <c r="H647" t="s">
        <v>57</v>
      </c>
      <c r="I647">
        <v>-5.4073029999999997</v>
      </c>
      <c r="J647">
        <v>29.762294000000001</v>
      </c>
      <c r="K647" t="s">
        <v>1500</v>
      </c>
      <c r="L647" t="s">
        <v>1496</v>
      </c>
      <c r="M647" t="s">
        <v>696</v>
      </c>
      <c r="N647" t="s">
        <v>57</v>
      </c>
      <c r="O647" t="s">
        <v>1794</v>
      </c>
      <c r="P647">
        <v>41</v>
      </c>
      <c r="Q647" t="s">
        <v>22</v>
      </c>
      <c r="R647" s="2">
        <v>6.25E-2</v>
      </c>
      <c r="S647">
        <v>90</v>
      </c>
      <c r="T647">
        <v>97.26</v>
      </c>
      <c r="U647">
        <v>1</v>
      </c>
      <c r="V647">
        <v>0.45</v>
      </c>
      <c r="W647">
        <v>0.438</v>
      </c>
    </row>
    <row r="648" spans="1:23" x14ac:dyDescent="0.3">
      <c r="A648" t="s">
        <v>805</v>
      </c>
      <c r="B648" s="1">
        <v>45213</v>
      </c>
      <c r="C648" s="2">
        <v>4.2361111111111113E-2</v>
      </c>
      <c r="D648" t="s">
        <v>814</v>
      </c>
      <c r="E648">
        <v>119</v>
      </c>
      <c r="F648" t="s">
        <v>810</v>
      </c>
      <c r="G648" t="s">
        <v>814</v>
      </c>
      <c r="H648" t="s">
        <v>62</v>
      </c>
      <c r="I648">
        <v>-2.8211520000000001</v>
      </c>
      <c r="J648">
        <v>20.651419000000001</v>
      </c>
      <c r="K648" t="s">
        <v>1495</v>
      </c>
      <c r="L648" t="s">
        <v>1496</v>
      </c>
      <c r="M648" t="s">
        <v>697</v>
      </c>
      <c r="N648" t="s">
        <v>62</v>
      </c>
      <c r="O648" t="s">
        <v>1743</v>
      </c>
      <c r="P648">
        <v>111</v>
      </c>
      <c r="Q648" t="s">
        <v>11</v>
      </c>
      <c r="R648" s="2">
        <v>0.21111111111111111</v>
      </c>
      <c r="S648">
        <v>304</v>
      </c>
      <c r="T648">
        <v>62.48</v>
      </c>
      <c r="U648">
        <v>5</v>
      </c>
      <c r="V648">
        <v>0.45</v>
      </c>
      <c r="W648">
        <v>0.28100000000000003</v>
      </c>
    </row>
    <row r="649" spans="1:23" x14ac:dyDescent="0.3">
      <c r="A649" t="s">
        <v>898</v>
      </c>
      <c r="B649" s="1">
        <v>45210</v>
      </c>
      <c r="C649" s="2">
        <v>0.56805555555555554</v>
      </c>
      <c r="D649" t="s">
        <v>904</v>
      </c>
      <c r="E649">
        <v>96</v>
      </c>
      <c r="F649" t="s">
        <v>807</v>
      </c>
      <c r="G649" t="s">
        <v>904</v>
      </c>
      <c r="H649" t="s">
        <v>64</v>
      </c>
      <c r="I649">
        <v>-5.4126279999999998</v>
      </c>
      <c r="J649">
        <v>25.498235999999999</v>
      </c>
      <c r="K649" t="s">
        <v>1495</v>
      </c>
      <c r="L649" t="s">
        <v>1501</v>
      </c>
      <c r="M649" t="s">
        <v>698</v>
      </c>
      <c r="N649" t="s">
        <v>64</v>
      </c>
      <c r="O649" t="s">
        <v>1774</v>
      </c>
      <c r="P649">
        <v>19</v>
      </c>
      <c r="Q649" t="s">
        <v>19</v>
      </c>
      <c r="R649" s="2">
        <v>9.7916666666666666E-2</v>
      </c>
      <c r="S649">
        <v>141</v>
      </c>
      <c r="T649">
        <v>53.95</v>
      </c>
      <c r="U649">
        <v>1</v>
      </c>
      <c r="V649">
        <v>0.45</v>
      </c>
      <c r="W649">
        <v>0.24299999999999999</v>
      </c>
    </row>
    <row r="650" spans="1:23" x14ac:dyDescent="0.3">
      <c r="A650" t="s">
        <v>1073</v>
      </c>
      <c r="B650" s="1">
        <v>45205</v>
      </c>
      <c r="C650" s="2">
        <v>0.47152777777777777</v>
      </c>
      <c r="D650" t="s">
        <v>1088</v>
      </c>
      <c r="E650">
        <v>50</v>
      </c>
      <c r="F650" t="s">
        <v>810</v>
      </c>
      <c r="G650" t="s">
        <v>1088</v>
      </c>
      <c r="H650" t="s">
        <v>18</v>
      </c>
      <c r="I650">
        <v>2.628638</v>
      </c>
      <c r="J650">
        <v>28.420582</v>
      </c>
      <c r="K650" t="s">
        <v>1498</v>
      </c>
      <c r="L650" t="s">
        <v>1499</v>
      </c>
      <c r="M650" t="s">
        <v>700</v>
      </c>
      <c r="N650" t="s">
        <v>18</v>
      </c>
      <c r="O650" t="s">
        <v>1792</v>
      </c>
      <c r="P650">
        <v>20</v>
      </c>
      <c r="Q650" t="s">
        <v>19</v>
      </c>
      <c r="R650" s="2">
        <v>0.20624999999999999</v>
      </c>
      <c r="S650">
        <v>297</v>
      </c>
      <c r="T650">
        <v>14.77</v>
      </c>
      <c r="U650">
        <v>0</v>
      </c>
      <c r="V650">
        <v>0.45</v>
      </c>
      <c r="W650">
        <v>6.6000000000000003E-2</v>
      </c>
    </row>
    <row r="651" spans="1:23" x14ac:dyDescent="0.3">
      <c r="A651" t="s">
        <v>805</v>
      </c>
      <c r="B651" s="1">
        <v>45212</v>
      </c>
      <c r="C651" s="2">
        <v>0.14027777777777778</v>
      </c>
      <c r="D651" t="s">
        <v>826</v>
      </c>
      <c r="E651">
        <v>19</v>
      </c>
      <c r="F651" t="s">
        <v>810</v>
      </c>
      <c r="G651" t="s">
        <v>826</v>
      </c>
      <c r="H651" t="s">
        <v>37</v>
      </c>
      <c r="I651">
        <v>-9.4708620000000003</v>
      </c>
      <c r="J651">
        <v>29.234387999999999</v>
      </c>
      <c r="K651" t="s">
        <v>1500</v>
      </c>
      <c r="L651" t="s">
        <v>1501</v>
      </c>
      <c r="M651" t="s">
        <v>701</v>
      </c>
      <c r="N651" t="s">
        <v>37</v>
      </c>
      <c r="O651" t="s">
        <v>1793</v>
      </c>
      <c r="P651">
        <v>67</v>
      </c>
      <c r="Q651" t="s">
        <v>11</v>
      </c>
      <c r="R651" s="2">
        <v>0.18194444444444444</v>
      </c>
      <c r="S651">
        <v>262</v>
      </c>
      <c r="T651">
        <v>28.46</v>
      </c>
      <c r="U651">
        <v>3</v>
      </c>
      <c r="V651">
        <v>0.45</v>
      </c>
      <c r="W651">
        <v>0.128</v>
      </c>
    </row>
    <row r="652" spans="1:23" x14ac:dyDescent="0.3">
      <c r="A652" t="s">
        <v>854</v>
      </c>
      <c r="B652" s="1">
        <v>45219</v>
      </c>
      <c r="C652" s="2">
        <v>0.10138888888888889</v>
      </c>
      <c r="D652" t="s">
        <v>888</v>
      </c>
      <c r="E652">
        <v>75</v>
      </c>
      <c r="F652" t="s">
        <v>807</v>
      </c>
      <c r="G652" t="s">
        <v>888</v>
      </c>
      <c r="H652" t="s">
        <v>10</v>
      </c>
      <c r="I652">
        <v>-7.0076900000000002</v>
      </c>
      <c r="J652">
        <v>27.367121999999998</v>
      </c>
      <c r="K652" t="s">
        <v>1500</v>
      </c>
      <c r="L652" t="s">
        <v>1508</v>
      </c>
      <c r="M652" t="s">
        <v>702</v>
      </c>
      <c r="N652" t="s">
        <v>10</v>
      </c>
      <c r="O652" t="s">
        <v>1805</v>
      </c>
      <c r="P652">
        <v>38</v>
      </c>
      <c r="Q652" t="s">
        <v>22</v>
      </c>
      <c r="R652" s="2">
        <v>0.13263888888888889</v>
      </c>
      <c r="S652">
        <v>191</v>
      </c>
      <c r="T652">
        <v>22.97</v>
      </c>
      <c r="U652">
        <v>3</v>
      </c>
      <c r="V652">
        <v>0.45</v>
      </c>
      <c r="W652">
        <v>0.10299999999999999</v>
      </c>
    </row>
    <row r="653" spans="1:23" x14ac:dyDescent="0.3">
      <c r="A653" t="s">
        <v>936</v>
      </c>
      <c r="B653" s="1">
        <v>45221</v>
      </c>
      <c r="C653" s="2">
        <v>0.51736111111111116</v>
      </c>
      <c r="D653" t="s">
        <v>963</v>
      </c>
      <c r="E653">
        <v>83</v>
      </c>
      <c r="F653" t="s">
        <v>812</v>
      </c>
      <c r="G653" t="s">
        <v>963</v>
      </c>
      <c r="H653" t="s">
        <v>21</v>
      </c>
      <c r="I653">
        <v>-2.9651529999999999</v>
      </c>
      <c r="J653">
        <v>29.79908</v>
      </c>
      <c r="K653" t="s">
        <v>1498</v>
      </c>
      <c r="L653" t="s">
        <v>1496</v>
      </c>
      <c r="M653" t="s">
        <v>703</v>
      </c>
      <c r="N653" t="s">
        <v>21</v>
      </c>
      <c r="O653" t="s">
        <v>1790</v>
      </c>
      <c r="P653">
        <v>80</v>
      </c>
      <c r="Q653" t="s">
        <v>19</v>
      </c>
      <c r="R653" s="2">
        <v>4.5138888888888888E-2</v>
      </c>
      <c r="S653">
        <v>65</v>
      </c>
      <c r="T653">
        <v>76.64</v>
      </c>
      <c r="U653">
        <v>3</v>
      </c>
      <c r="V653">
        <v>0.45</v>
      </c>
      <c r="W653">
        <v>0.34499999999999997</v>
      </c>
    </row>
    <row r="654" spans="1:23" x14ac:dyDescent="0.3">
      <c r="A654" t="s">
        <v>805</v>
      </c>
      <c r="B654" s="1">
        <v>45202</v>
      </c>
      <c r="C654" s="2">
        <v>0.25972222222222224</v>
      </c>
      <c r="D654" t="s">
        <v>815</v>
      </c>
      <c r="E654">
        <v>79</v>
      </c>
      <c r="F654" t="s">
        <v>807</v>
      </c>
      <c r="G654" t="s">
        <v>815</v>
      </c>
      <c r="H654" t="s">
        <v>33</v>
      </c>
      <c r="I654">
        <v>-1.648264</v>
      </c>
      <c r="J654">
        <v>28.866143999999998</v>
      </c>
      <c r="K654" t="s">
        <v>1495</v>
      </c>
      <c r="L654" t="s">
        <v>1496</v>
      </c>
      <c r="M654" t="s">
        <v>704</v>
      </c>
      <c r="N654" t="s">
        <v>33</v>
      </c>
      <c r="O654" t="s">
        <v>1768</v>
      </c>
      <c r="P654">
        <v>72</v>
      </c>
      <c r="Q654" t="s">
        <v>14</v>
      </c>
      <c r="R654" s="2">
        <v>0.22013888888888888</v>
      </c>
      <c r="S654">
        <v>317</v>
      </c>
      <c r="T654">
        <v>54.58</v>
      </c>
      <c r="U654">
        <v>1</v>
      </c>
      <c r="V654">
        <v>0.1</v>
      </c>
      <c r="W654">
        <v>5.5E-2</v>
      </c>
    </row>
    <row r="655" spans="1:23" x14ac:dyDescent="0.3">
      <c r="A655" t="s">
        <v>1073</v>
      </c>
      <c r="B655" s="1">
        <v>45205</v>
      </c>
      <c r="C655" s="2">
        <v>0.47152777777777777</v>
      </c>
      <c r="D655" t="s">
        <v>1088</v>
      </c>
      <c r="E655">
        <v>50</v>
      </c>
      <c r="F655" t="s">
        <v>810</v>
      </c>
      <c r="G655" t="s">
        <v>1088</v>
      </c>
      <c r="H655" t="s">
        <v>18</v>
      </c>
      <c r="I655">
        <v>2.628638</v>
      </c>
      <c r="J655">
        <v>28.420582</v>
      </c>
      <c r="K655" t="s">
        <v>1498</v>
      </c>
      <c r="L655" t="s">
        <v>1499</v>
      </c>
      <c r="M655" t="s">
        <v>705</v>
      </c>
      <c r="N655" t="s">
        <v>18</v>
      </c>
      <c r="O655" t="s">
        <v>1747</v>
      </c>
      <c r="P655">
        <v>86</v>
      </c>
      <c r="Q655" t="s">
        <v>11</v>
      </c>
      <c r="R655" s="2">
        <v>0.19305555555555556</v>
      </c>
      <c r="S655">
        <v>278</v>
      </c>
      <c r="T655">
        <v>30.12</v>
      </c>
      <c r="U655">
        <v>0</v>
      </c>
      <c r="V655">
        <v>0.45</v>
      </c>
      <c r="W655">
        <v>0.13600000000000001</v>
      </c>
    </row>
    <row r="656" spans="1:23" x14ac:dyDescent="0.3">
      <c r="A656" t="s">
        <v>805</v>
      </c>
      <c r="B656" s="1">
        <v>45213</v>
      </c>
      <c r="C656" s="2">
        <v>0.31111111111111112</v>
      </c>
      <c r="D656" t="s">
        <v>819</v>
      </c>
      <c r="E656">
        <v>22</v>
      </c>
      <c r="F656" t="s">
        <v>810</v>
      </c>
      <c r="G656" t="s">
        <v>819</v>
      </c>
      <c r="H656" t="s">
        <v>40</v>
      </c>
      <c r="I656">
        <v>4.8319039999999998</v>
      </c>
      <c r="J656">
        <v>20.733468999999999</v>
      </c>
      <c r="K656" t="s">
        <v>1495</v>
      </c>
      <c r="L656" t="s">
        <v>1496</v>
      </c>
      <c r="M656" t="s">
        <v>706</v>
      </c>
      <c r="N656" t="s">
        <v>40</v>
      </c>
      <c r="O656" t="s">
        <v>1812</v>
      </c>
      <c r="P656">
        <v>21</v>
      </c>
      <c r="Q656" t="s">
        <v>22</v>
      </c>
      <c r="R656" s="2">
        <v>0.31944444444444442</v>
      </c>
      <c r="S656">
        <v>460</v>
      </c>
      <c r="T656">
        <v>70.81</v>
      </c>
      <c r="U656">
        <v>2</v>
      </c>
      <c r="V656">
        <v>0.45</v>
      </c>
      <c r="W656">
        <v>0.31900000000000001</v>
      </c>
    </row>
    <row r="657" spans="1:23" x14ac:dyDescent="0.3">
      <c r="A657" t="s">
        <v>805</v>
      </c>
      <c r="B657" s="1">
        <v>45202</v>
      </c>
      <c r="C657" s="2">
        <v>0.25972222222222224</v>
      </c>
      <c r="D657" t="s">
        <v>815</v>
      </c>
      <c r="E657">
        <v>79</v>
      </c>
      <c r="F657" t="s">
        <v>807</v>
      </c>
      <c r="G657" t="s">
        <v>815</v>
      </c>
      <c r="H657" t="s">
        <v>33</v>
      </c>
      <c r="I657">
        <v>-1.648264</v>
      </c>
      <c r="J657">
        <v>28.866143999999998</v>
      </c>
      <c r="K657" t="s">
        <v>1495</v>
      </c>
      <c r="L657" t="s">
        <v>1496</v>
      </c>
      <c r="M657" t="s">
        <v>707</v>
      </c>
      <c r="N657" t="s">
        <v>33</v>
      </c>
      <c r="O657" t="s">
        <v>1724</v>
      </c>
      <c r="P657">
        <v>39</v>
      </c>
      <c r="Q657" t="s">
        <v>14</v>
      </c>
      <c r="R657" s="2">
        <v>0.20069444444444445</v>
      </c>
      <c r="S657">
        <v>289</v>
      </c>
      <c r="T657">
        <v>86.7</v>
      </c>
      <c r="U657">
        <v>3</v>
      </c>
      <c r="V657">
        <v>0.1</v>
      </c>
      <c r="W657">
        <v>8.6999999999999994E-2</v>
      </c>
    </row>
    <row r="658" spans="1:23" x14ac:dyDescent="0.3">
      <c r="A658" t="s">
        <v>805</v>
      </c>
      <c r="B658" s="1">
        <v>45201</v>
      </c>
      <c r="C658" s="2">
        <v>0.88472222222222219</v>
      </c>
      <c r="D658" t="s">
        <v>833</v>
      </c>
      <c r="E658">
        <v>54</v>
      </c>
      <c r="F658" t="s">
        <v>812</v>
      </c>
      <c r="G658" t="s">
        <v>833</v>
      </c>
      <c r="H658" t="s">
        <v>131</v>
      </c>
      <c r="I658">
        <v>4.6287159999999998</v>
      </c>
      <c r="J658">
        <v>19.407077999999998</v>
      </c>
      <c r="K658" t="s">
        <v>1498</v>
      </c>
      <c r="L658" t="s">
        <v>1496</v>
      </c>
      <c r="M658" t="s">
        <v>708</v>
      </c>
      <c r="N658" t="s">
        <v>131</v>
      </c>
      <c r="O658" t="s">
        <v>1718</v>
      </c>
      <c r="P658">
        <v>63</v>
      </c>
      <c r="Q658" t="s">
        <v>14</v>
      </c>
      <c r="R658" s="2">
        <v>0.31180555555555556</v>
      </c>
      <c r="S658">
        <v>449</v>
      </c>
      <c r="T658">
        <v>37.08</v>
      </c>
      <c r="U658">
        <v>0</v>
      </c>
      <c r="V658">
        <v>0.1</v>
      </c>
      <c r="W658">
        <v>3.6999999999999998E-2</v>
      </c>
    </row>
    <row r="659" spans="1:23" x14ac:dyDescent="0.3">
      <c r="A659" t="s">
        <v>854</v>
      </c>
      <c r="B659" s="1">
        <v>45221</v>
      </c>
      <c r="C659" s="2">
        <v>0.77500000000000002</v>
      </c>
      <c r="D659" t="s">
        <v>889</v>
      </c>
      <c r="E659">
        <v>24</v>
      </c>
      <c r="F659" t="s">
        <v>807</v>
      </c>
      <c r="G659" t="s">
        <v>889</v>
      </c>
      <c r="H659" t="s">
        <v>16</v>
      </c>
      <c r="I659">
        <v>-11.514188000000001</v>
      </c>
      <c r="J659">
        <v>15.971181</v>
      </c>
      <c r="K659" t="s">
        <v>1495</v>
      </c>
      <c r="L659" t="s">
        <v>1496</v>
      </c>
      <c r="M659" t="s">
        <v>709</v>
      </c>
      <c r="N659" t="s">
        <v>16</v>
      </c>
      <c r="O659" t="s">
        <v>1828</v>
      </c>
      <c r="P659">
        <v>37</v>
      </c>
      <c r="Q659" t="s">
        <v>14</v>
      </c>
      <c r="R659" s="2">
        <v>0.10416666666666667</v>
      </c>
      <c r="S659">
        <v>150</v>
      </c>
      <c r="T659">
        <v>37.979999999999997</v>
      </c>
      <c r="U659">
        <v>4</v>
      </c>
      <c r="V659">
        <v>0.1</v>
      </c>
      <c r="W659">
        <v>3.7999999999999999E-2</v>
      </c>
    </row>
    <row r="660" spans="1:23" x14ac:dyDescent="0.3">
      <c r="A660" t="s">
        <v>898</v>
      </c>
      <c r="B660" s="1">
        <v>45216</v>
      </c>
      <c r="C660" s="2">
        <v>0.90277777777777779</v>
      </c>
      <c r="D660" t="s">
        <v>929</v>
      </c>
      <c r="E660">
        <v>20</v>
      </c>
      <c r="F660" t="s">
        <v>812</v>
      </c>
      <c r="G660" t="s">
        <v>929</v>
      </c>
      <c r="H660" t="s">
        <v>51</v>
      </c>
      <c r="I660">
        <v>-4.2408359999999998</v>
      </c>
      <c r="J660">
        <v>26.210014000000001</v>
      </c>
      <c r="K660" t="s">
        <v>1498</v>
      </c>
      <c r="L660" t="s">
        <v>1499</v>
      </c>
      <c r="M660" t="s">
        <v>710</v>
      </c>
      <c r="N660" t="s">
        <v>51</v>
      </c>
      <c r="O660" t="s">
        <v>1729</v>
      </c>
      <c r="P660">
        <v>9</v>
      </c>
      <c r="Q660" t="s">
        <v>19</v>
      </c>
      <c r="R660" s="2">
        <v>1.8749999999999999E-2</v>
      </c>
      <c r="S660">
        <v>27</v>
      </c>
      <c r="T660">
        <v>99.02</v>
      </c>
      <c r="U660">
        <v>3</v>
      </c>
      <c r="V660">
        <v>0.45</v>
      </c>
      <c r="W660">
        <v>0.44600000000000001</v>
      </c>
    </row>
    <row r="661" spans="1:23" x14ac:dyDescent="0.3">
      <c r="A661" t="s">
        <v>805</v>
      </c>
      <c r="B661" s="1">
        <v>45218</v>
      </c>
      <c r="C661" s="2">
        <v>0.36875000000000002</v>
      </c>
      <c r="D661" t="s">
        <v>820</v>
      </c>
      <c r="E661">
        <v>70</v>
      </c>
      <c r="F661" t="s">
        <v>807</v>
      </c>
      <c r="G661" t="s">
        <v>820</v>
      </c>
      <c r="H661" t="s">
        <v>67</v>
      </c>
      <c r="I661">
        <v>-8.4227860000000003</v>
      </c>
      <c r="J661">
        <v>16.781293000000002</v>
      </c>
      <c r="K661" t="s">
        <v>1498</v>
      </c>
      <c r="L661" t="s">
        <v>1499</v>
      </c>
      <c r="M661" t="s">
        <v>711</v>
      </c>
      <c r="N661" t="s">
        <v>67</v>
      </c>
      <c r="O661" t="s">
        <v>1731</v>
      </c>
      <c r="P661">
        <v>103</v>
      </c>
      <c r="Q661" t="s">
        <v>11</v>
      </c>
      <c r="R661" s="2">
        <v>0.26805555555555555</v>
      </c>
      <c r="S661">
        <v>386</v>
      </c>
      <c r="T661">
        <v>10.58</v>
      </c>
      <c r="U661">
        <v>0</v>
      </c>
      <c r="V661">
        <v>0.45</v>
      </c>
      <c r="W661">
        <v>4.8000000000000001E-2</v>
      </c>
    </row>
    <row r="662" spans="1:23" x14ac:dyDescent="0.3">
      <c r="A662" t="s">
        <v>854</v>
      </c>
      <c r="B662" s="1">
        <v>45221</v>
      </c>
      <c r="C662" s="2">
        <v>0.77500000000000002</v>
      </c>
      <c r="D662" t="s">
        <v>889</v>
      </c>
      <c r="E662">
        <v>24</v>
      </c>
      <c r="F662" t="s">
        <v>807</v>
      </c>
      <c r="G662" t="s">
        <v>889</v>
      </c>
      <c r="H662" t="s">
        <v>16</v>
      </c>
      <c r="I662">
        <v>-11.514188000000001</v>
      </c>
      <c r="J662">
        <v>15.971181</v>
      </c>
      <c r="K662" t="s">
        <v>1495</v>
      </c>
      <c r="L662" t="s">
        <v>1496</v>
      </c>
      <c r="M662" t="s">
        <v>712</v>
      </c>
      <c r="N662" t="s">
        <v>16</v>
      </c>
      <c r="O662" t="s">
        <v>1805</v>
      </c>
      <c r="P662">
        <v>38</v>
      </c>
      <c r="Q662" t="s">
        <v>11</v>
      </c>
      <c r="R662" s="2">
        <v>0.3</v>
      </c>
      <c r="S662">
        <v>432</v>
      </c>
      <c r="T662">
        <v>53.65</v>
      </c>
      <c r="U662">
        <v>4</v>
      </c>
      <c r="V662">
        <v>0.45</v>
      </c>
      <c r="W662">
        <v>0.24099999999999999</v>
      </c>
    </row>
    <row r="663" spans="1:23" x14ac:dyDescent="0.3">
      <c r="A663" t="s">
        <v>854</v>
      </c>
      <c r="B663" s="1">
        <v>45213</v>
      </c>
      <c r="C663" s="2">
        <v>0.25416666666666665</v>
      </c>
      <c r="D663" t="s">
        <v>857</v>
      </c>
      <c r="E663">
        <v>73</v>
      </c>
      <c r="F663" t="s">
        <v>812</v>
      </c>
      <c r="G663" t="s">
        <v>857</v>
      </c>
      <c r="H663" t="s">
        <v>13</v>
      </c>
      <c r="I663">
        <v>-5.1030600000000002</v>
      </c>
      <c r="J663">
        <v>22.849231</v>
      </c>
      <c r="K663" t="s">
        <v>1495</v>
      </c>
      <c r="L663" t="s">
        <v>1501</v>
      </c>
      <c r="M663" t="s">
        <v>713</v>
      </c>
      <c r="N663" t="s">
        <v>13</v>
      </c>
      <c r="O663" t="s">
        <v>1717</v>
      </c>
      <c r="P663">
        <v>2</v>
      </c>
      <c r="Q663" t="s">
        <v>11</v>
      </c>
      <c r="R663" s="2">
        <v>0.13958333333333334</v>
      </c>
      <c r="S663">
        <v>201</v>
      </c>
      <c r="T663">
        <v>71.900000000000006</v>
      </c>
      <c r="U663">
        <v>2</v>
      </c>
      <c r="V663">
        <v>0.45</v>
      </c>
      <c r="W663">
        <v>0.32400000000000001</v>
      </c>
    </row>
    <row r="664" spans="1:23" x14ac:dyDescent="0.3">
      <c r="A664" t="s">
        <v>1133</v>
      </c>
      <c r="B664" s="1">
        <v>45222</v>
      </c>
      <c r="C664" s="2">
        <v>0.58472222222222225</v>
      </c>
      <c r="D664" t="s">
        <v>1155</v>
      </c>
      <c r="E664">
        <v>15</v>
      </c>
      <c r="F664" t="s">
        <v>812</v>
      </c>
      <c r="G664" t="s">
        <v>1155</v>
      </c>
      <c r="H664" t="s">
        <v>60</v>
      </c>
      <c r="I664">
        <v>-9.1215879999999991</v>
      </c>
      <c r="J664">
        <v>16.457916999999998</v>
      </c>
      <c r="K664" t="s">
        <v>1498</v>
      </c>
      <c r="L664" t="s">
        <v>1508</v>
      </c>
      <c r="M664" t="s">
        <v>714</v>
      </c>
      <c r="N664" t="s">
        <v>60</v>
      </c>
      <c r="O664" t="s">
        <v>1741</v>
      </c>
      <c r="P664">
        <v>59</v>
      </c>
      <c r="Q664" t="s">
        <v>22</v>
      </c>
      <c r="R664" s="2">
        <v>4.4444444444444446E-2</v>
      </c>
      <c r="S664">
        <v>64</v>
      </c>
      <c r="T664">
        <v>20.32</v>
      </c>
      <c r="U664">
        <v>0</v>
      </c>
      <c r="V664">
        <v>0.45</v>
      </c>
      <c r="W664">
        <v>9.0999999999999998E-2</v>
      </c>
    </row>
    <row r="665" spans="1:23" x14ac:dyDescent="0.3">
      <c r="A665" t="s">
        <v>898</v>
      </c>
      <c r="B665" s="1">
        <v>45206</v>
      </c>
      <c r="C665" s="2">
        <v>0.6875</v>
      </c>
      <c r="D665" t="s">
        <v>926</v>
      </c>
      <c r="E665">
        <v>76</v>
      </c>
      <c r="F665" t="s">
        <v>812</v>
      </c>
      <c r="G665" t="s">
        <v>926</v>
      </c>
      <c r="H665" t="s">
        <v>127</v>
      </c>
      <c r="I665">
        <v>-12.100756000000001</v>
      </c>
      <c r="J665">
        <v>21.938649999999999</v>
      </c>
      <c r="K665" t="s">
        <v>1498</v>
      </c>
      <c r="L665" t="s">
        <v>1499</v>
      </c>
      <c r="M665" t="s">
        <v>715</v>
      </c>
      <c r="N665" t="s">
        <v>127</v>
      </c>
      <c r="O665" t="s">
        <v>1763</v>
      </c>
      <c r="P665">
        <v>6</v>
      </c>
      <c r="Q665" t="s">
        <v>14</v>
      </c>
      <c r="R665" s="2">
        <v>0.14305555555555555</v>
      </c>
      <c r="S665">
        <v>206</v>
      </c>
      <c r="T665">
        <v>10</v>
      </c>
      <c r="U665">
        <v>5</v>
      </c>
      <c r="V665">
        <v>0.1</v>
      </c>
      <c r="W665">
        <v>0.01</v>
      </c>
    </row>
    <row r="666" spans="1:23" x14ac:dyDescent="0.3">
      <c r="A666" t="s">
        <v>805</v>
      </c>
      <c r="B666" s="1">
        <v>45203</v>
      </c>
      <c r="C666" s="2">
        <v>0.51180555555555551</v>
      </c>
      <c r="D666" t="s">
        <v>835</v>
      </c>
      <c r="E666">
        <v>64</v>
      </c>
      <c r="F666" t="s">
        <v>812</v>
      </c>
      <c r="G666" t="s">
        <v>835</v>
      </c>
      <c r="H666" t="s">
        <v>73</v>
      </c>
      <c r="I666">
        <v>0.23583499999999999</v>
      </c>
      <c r="J666">
        <v>24.889558999999998</v>
      </c>
      <c r="K666" t="s">
        <v>1500</v>
      </c>
      <c r="L666" t="s">
        <v>1501</v>
      </c>
      <c r="M666" t="s">
        <v>716</v>
      </c>
      <c r="N666" t="s">
        <v>73</v>
      </c>
      <c r="O666" t="s">
        <v>1827</v>
      </c>
      <c r="P666">
        <v>28</v>
      </c>
      <c r="Q666" t="s">
        <v>11</v>
      </c>
      <c r="R666" s="2">
        <v>0.23819444444444443</v>
      </c>
      <c r="S666">
        <v>343</v>
      </c>
      <c r="T666">
        <v>64.34</v>
      </c>
      <c r="U666">
        <v>5</v>
      </c>
      <c r="V666">
        <v>0.45</v>
      </c>
      <c r="W666">
        <v>0.28999999999999998</v>
      </c>
    </row>
    <row r="667" spans="1:23" x14ac:dyDescent="0.3">
      <c r="A667" t="s">
        <v>805</v>
      </c>
      <c r="B667" s="1">
        <v>45217</v>
      </c>
      <c r="C667" s="2">
        <v>0.96875</v>
      </c>
      <c r="D667" t="s">
        <v>842</v>
      </c>
      <c r="E667">
        <v>97</v>
      </c>
      <c r="F667" t="s">
        <v>810</v>
      </c>
      <c r="G667" t="s">
        <v>842</v>
      </c>
      <c r="H667" t="s">
        <v>29</v>
      </c>
      <c r="I667">
        <v>-10.059846</v>
      </c>
      <c r="J667">
        <v>14.375757999999999</v>
      </c>
      <c r="K667" t="s">
        <v>1498</v>
      </c>
      <c r="L667" t="s">
        <v>1499</v>
      </c>
      <c r="M667" t="s">
        <v>717</v>
      </c>
      <c r="N667" t="s">
        <v>29</v>
      </c>
      <c r="O667" t="s">
        <v>1828</v>
      </c>
      <c r="P667">
        <v>37</v>
      </c>
      <c r="Q667" t="s">
        <v>22</v>
      </c>
      <c r="R667" s="2">
        <v>2.0833333333333333E-3</v>
      </c>
      <c r="S667">
        <v>3</v>
      </c>
      <c r="T667">
        <v>20.89</v>
      </c>
      <c r="U667">
        <v>5</v>
      </c>
      <c r="V667">
        <v>0.45</v>
      </c>
      <c r="W667">
        <v>9.4E-2</v>
      </c>
    </row>
    <row r="668" spans="1:23" x14ac:dyDescent="0.3">
      <c r="A668" t="s">
        <v>805</v>
      </c>
      <c r="B668" s="1">
        <v>45218</v>
      </c>
      <c r="C668" s="2">
        <v>0.36875000000000002</v>
      </c>
      <c r="D668" t="s">
        <v>820</v>
      </c>
      <c r="E668">
        <v>70</v>
      </c>
      <c r="F668" t="s">
        <v>807</v>
      </c>
      <c r="G668" t="s">
        <v>820</v>
      </c>
      <c r="H668" t="s">
        <v>67</v>
      </c>
      <c r="I668">
        <v>-8.4227860000000003</v>
      </c>
      <c r="J668">
        <v>16.781293000000002</v>
      </c>
      <c r="K668" t="s">
        <v>1498</v>
      </c>
      <c r="L668" t="s">
        <v>1499</v>
      </c>
      <c r="M668" t="s">
        <v>718</v>
      </c>
      <c r="N668" t="s">
        <v>67</v>
      </c>
      <c r="O668" t="s">
        <v>1785</v>
      </c>
      <c r="P668">
        <v>106</v>
      </c>
      <c r="Q668" t="s">
        <v>22</v>
      </c>
      <c r="R668" s="2">
        <v>0.16388888888888889</v>
      </c>
      <c r="S668">
        <v>236</v>
      </c>
      <c r="T668">
        <v>18.72</v>
      </c>
      <c r="U668">
        <v>4</v>
      </c>
      <c r="V668">
        <v>0.45</v>
      </c>
      <c r="W668">
        <v>8.4000000000000005E-2</v>
      </c>
    </row>
    <row r="669" spans="1:23" x14ac:dyDescent="0.3">
      <c r="A669" t="s">
        <v>854</v>
      </c>
      <c r="B669" s="1">
        <v>45213</v>
      </c>
      <c r="C669" s="2">
        <v>0.25416666666666665</v>
      </c>
      <c r="D669" t="s">
        <v>857</v>
      </c>
      <c r="E669">
        <v>73</v>
      </c>
      <c r="F669" t="s">
        <v>812</v>
      </c>
      <c r="G669" t="s">
        <v>857</v>
      </c>
      <c r="H669" t="s">
        <v>13</v>
      </c>
      <c r="I669">
        <v>-5.1030600000000002</v>
      </c>
      <c r="J669">
        <v>22.849231</v>
      </c>
      <c r="K669" t="s">
        <v>1495</v>
      </c>
      <c r="L669" t="s">
        <v>1501</v>
      </c>
      <c r="M669" t="s">
        <v>719</v>
      </c>
      <c r="N669" t="s">
        <v>13</v>
      </c>
      <c r="O669" t="s">
        <v>1765</v>
      </c>
      <c r="P669">
        <v>76</v>
      </c>
      <c r="Q669" t="s">
        <v>11</v>
      </c>
      <c r="R669" s="2">
        <v>0.28680555555555554</v>
      </c>
      <c r="S669">
        <v>413</v>
      </c>
      <c r="T669">
        <v>28.39</v>
      </c>
      <c r="U669">
        <v>3</v>
      </c>
      <c r="V669">
        <v>0.45</v>
      </c>
      <c r="W669">
        <v>0.128</v>
      </c>
    </row>
    <row r="670" spans="1:23" x14ac:dyDescent="0.3">
      <c r="A670" t="s">
        <v>936</v>
      </c>
      <c r="B670" s="1">
        <v>45221</v>
      </c>
      <c r="C670" s="2">
        <v>0.51736111111111116</v>
      </c>
      <c r="D670" t="s">
        <v>963</v>
      </c>
      <c r="E670">
        <v>83</v>
      </c>
      <c r="F670" t="s">
        <v>812</v>
      </c>
      <c r="G670" t="s">
        <v>963</v>
      </c>
      <c r="H670" t="s">
        <v>21</v>
      </c>
      <c r="I670">
        <v>-2.9651529999999999</v>
      </c>
      <c r="J670">
        <v>29.79908</v>
      </c>
      <c r="K670" t="s">
        <v>1498</v>
      </c>
      <c r="L670" t="s">
        <v>1496</v>
      </c>
      <c r="M670" t="s">
        <v>720</v>
      </c>
      <c r="N670" t="s">
        <v>21</v>
      </c>
      <c r="O670" t="s">
        <v>1722</v>
      </c>
      <c r="P670">
        <v>16</v>
      </c>
      <c r="Q670" t="s">
        <v>22</v>
      </c>
      <c r="R670" s="2">
        <v>0.27083333333333331</v>
      </c>
      <c r="S670">
        <v>390</v>
      </c>
      <c r="T670">
        <v>52.64</v>
      </c>
      <c r="U670">
        <v>0</v>
      </c>
      <c r="V670">
        <v>0.45</v>
      </c>
      <c r="W670">
        <v>0.23699999999999999</v>
      </c>
    </row>
    <row r="671" spans="1:23" x14ac:dyDescent="0.3">
      <c r="A671" t="s">
        <v>1073</v>
      </c>
      <c r="B671" s="1">
        <v>45221</v>
      </c>
      <c r="C671" s="2">
        <v>0.37638888888888888</v>
      </c>
      <c r="D671" t="s">
        <v>1096</v>
      </c>
      <c r="E671">
        <v>59</v>
      </c>
      <c r="F671" t="s">
        <v>812</v>
      </c>
      <c r="G671" t="s">
        <v>1096</v>
      </c>
      <c r="H671" t="s">
        <v>78</v>
      </c>
      <c r="I671">
        <v>-8.4824669999999998</v>
      </c>
      <c r="J671">
        <v>21.897777999999999</v>
      </c>
      <c r="K671" t="s">
        <v>1495</v>
      </c>
      <c r="L671" t="s">
        <v>1496</v>
      </c>
      <c r="M671" t="s">
        <v>721</v>
      </c>
      <c r="N671" t="s">
        <v>78</v>
      </c>
      <c r="O671" t="s">
        <v>1776</v>
      </c>
      <c r="P671">
        <v>7</v>
      </c>
      <c r="Q671" t="s">
        <v>14</v>
      </c>
      <c r="R671" s="2">
        <v>0.31041666666666667</v>
      </c>
      <c r="S671">
        <v>447</v>
      </c>
      <c r="T671">
        <v>84.95</v>
      </c>
      <c r="U671">
        <v>2</v>
      </c>
      <c r="V671">
        <v>0.1</v>
      </c>
      <c r="W671">
        <v>8.5000000000000006E-2</v>
      </c>
    </row>
    <row r="672" spans="1:23" x14ac:dyDescent="0.3">
      <c r="A672" t="s">
        <v>805</v>
      </c>
      <c r="B672" s="1">
        <v>45201</v>
      </c>
      <c r="C672" s="2">
        <v>0.88472222222222219</v>
      </c>
      <c r="D672" t="s">
        <v>833</v>
      </c>
      <c r="E672">
        <v>54</v>
      </c>
      <c r="F672" t="s">
        <v>812</v>
      </c>
      <c r="G672" t="s">
        <v>833</v>
      </c>
      <c r="H672" t="s">
        <v>131</v>
      </c>
      <c r="I672">
        <v>4.6287159999999998</v>
      </c>
      <c r="J672">
        <v>19.407077999999998</v>
      </c>
      <c r="K672" t="s">
        <v>1498</v>
      </c>
      <c r="L672" t="s">
        <v>1496</v>
      </c>
      <c r="M672" t="s">
        <v>722</v>
      </c>
      <c r="N672" t="s">
        <v>131</v>
      </c>
      <c r="O672" t="s">
        <v>1718</v>
      </c>
      <c r="P672">
        <v>63</v>
      </c>
      <c r="Q672" t="s">
        <v>22</v>
      </c>
      <c r="R672" s="2">
        <v>0.18402777777777779</v>
      </c>
      <c r="S672">
        <v>265</v>
      </c>
      <c r="T672">
        <v>49.94</v>
      </c>
      <c r="U672">
        <v>1</v>
      </c>
      <c r="V672">
        <v>0.45</v>
      </c>
      <c r="W672">
        <v>0.22500000000000001</v>
      </c>
    </row>
    <row r="673" spans="1:23" x14ac:dyDescent="0.3">
      <c r="A673" t="s">
        <v>805</v>
      </c>
      <c r="B673" s="1">
        <v>45211</v>
      </c>
      <c r="C673" s="2">
        <v>0.27916666666666667</v>
      </c>
      <c r="D673" t="s">
        <v>838</v>
      </c>
      <c r="E673">
        <v>75</v>
      </c>
      <c r="F673" t="s">
        <v>807</v>
      </c>
      <c r="G673" t="s">
        <v>838</v>
      </c>
      <c r="H673" t="s">
        <v>89</v>
      </c>
      <c r="I673">
        <v>-8.1437910000000002</v>
      </c>
      <c r="J673">
        <v>28.946161</v>
      </c>
      <c r="K673" t="s">
        <v>1498</v>
      </c>
      <c r="L673" t="s">
        <v>1501</v>
      </c>
      <c r="M673" t="s">
        <v>723</v>
      </c>
      <c r="N673" t="s">
        <v>89</v>
      </c>
      <c r="O673" t="s">
        <v>1739</v>
      </c>
      <c r="P673">
        <v>40</v>
      </c>
      <c r="Q673" t="s">
        <v>11</v>
      </c>
      <c r="R673" s="2">
        <v>0.16319444444444445</v>
      </c>
      <c r="S673">
        <v>235</v>
      </c>
      <c r="T673">
        <v>15.01</v>
      </c>
      <c r="U673">
        <v>3</v>
      </c>
      <c r="V673">
        <v>0.45</v>
      </c>
      <c r="W673">
        <v>6.8000000000000005E-2</v>
      </c>
    </row>
    <row r="674" spans="1:23" x14ac:dyDescent="0.3">
      <c r="A674" t="s">
        <v>854</v>
      </c>
      <c r="B674" s="1">
        <v>45219</v>
      </c>
      <c r="C674" s="2">
        <v>0.10138888888888889</v>
      </c>
      <c r="D674" t="s">
        <v>888</v>
      </c>
      <c r="E674">
        <v>75</v>
      </c>
      <c r="F674" t="s">
        <v>807</v>
      </c>
      <c r="G674" t="s">
        <v>888</v>
      </c>
      <c r="H674" t="s">
        <v>10</v>
      </c>
      <c r="I674">
        <v>-7.0076900000000002</v>
      </c>
      <c r="J674">
        <v>27.367121999999998</v>
      </c>
      <c r="K674" t="s">
        <v>1500</v>
      </c>
      <c r="L674" t="s">
        <v>1508</v>
      </c>
      <c r="M674" t="s">
        <v>724</v>
      </c>
      <c r="N674" t="s">
        <v>10</v>
      </c>
      <c r="O674" t="s">
        <v>1728</v>
      </c>
      <c r="P674">
        <v>1</v>
      </c>
      <c r="Q674" t="s">
        <v>11</v>
      </c>
      <c r="R674" s="2">
        <v>0.29791666666666666</v>
      </c>
      <c r="S674">
        <v>429</v>
      </c>
      <c r="T674">
        <v>20.96</v>
      </c>
      <c r="U674">
        <v>5</v>
      </c>
      <c r="V674">
        <v>0.45</v>
      </c>
      <c r="W674">
        <v>9.4E-2</v>
      </c>
    </row>
    <row r="675" spans="1:23" x14ac:dyDescent="0.3">
      <c r="A675" t="s">
        <v>805</v>
      </c>
      <c r="B675" s="1">
        <v>45218</v>
      </c>
      <c r="C675" s="2">
        <v>0.36875000000000002</v>
      </c>
      <c r="D675" t="s">
        <v>820</v>
      </c>
      <c r="E675">
        <v>70</v>
      </c>
      <c r="F675" t="s">
        <v>807</v>
      </c>
      <c r="G675" t="s">
        <v>820</v>
      </c>
      <c r="H675" t="s">
        <v>67</v>
      </c>
      <c r="I675">
        <v>-8.4227860000000003</v>
      </c>
      <c r="J675">
        <v>16.781293000000002</v>
      </c>
      <c r="K675" t="s">
        <v>1498</v>
      </c>
      <c r="L675" t="s">
        <v>1499</v>
      </c>
      <c r="M675" t="s">
        <v>725</v>
      </c>
      <c r="N675" t="s">
        <v>67</v>
      </c>
      <c r="O675" t="s">
        <v>1777</v>
      </c>
      <c r="P675">
        <v>56</v>
      </c>
      <c r="Q675" t="s">
        <v>19</v>
      </c>
      <c r="R675" s="2">
        <v>1.8749999999999999E-2</v>
      </c>
      <c r="S675">
        <v>27</v>
      </c>
      <c r="T675">
        <v>46.41</v>
      </c>
      <c r="U675">
        <v>3</v>
      </c>
      <c r="V675">
        <v>0.45</v>
      </c>
      <c r="W675">
        <v>0.20899999999999999</v>
      </c>
    </row>
    <row r="676" spans="1:23" x14ac:dyDescent="0.3">
      <c r="A676" t="s">
        <v>854</v>
      </c>
      <c r="B676" s="1">
        <v>45213</v>
      </c>
      <c r="C676" s="2">
        <v>0.94861111111111107</v>
      </c>
      <c r="D676" t="s">
        <v>874</v>
      </c>
      <c r="E676">
        <v>72</v>
      </c>
      <c r="F676" t="s">
        <v>810</v>
      </c>
      <c r="G676" t="s">
        <v>874</v>
      </c>
      <c r="H676" t="s">
        <v>35</v>
      </c>
      <c r="I676">
        <v>-2.7140689999999998</v>
      </c>
      <c r="J676">
        <v>22.222104000000002</v>
      </c>
      <c r="K676" t="s">
        <v>1498</v>
      </c>
      <c r="L676" t="s">
        <v>1508</v>
      </c>
      <c r="M676" t="s">
        <v>726</v>
      </c>
      <c r="N676" t="s">
        <v>35</v>
      </c>
      <c r="O676" t="s">
        <v>1795</v>
      </c>
      <c r="P676">
        <v>46</v>
      </c>
      <c r="Q676" t="s">
        <v>11</v>
      </c>
      <c r="R676" s="2">
        <v>2.9861111111111113E-2</v>
      </c>
      <c r="S676">
        <v>43</v>
      </c>
      <c r="T676">
        <v>98.44</v>
      </c>
      <c r="U676">
        <v>2</v>
      </c>
      <c r="V676">
        <v>0.45</v>
      </c>
      <c r="W676">
        <v>0.443</v>
      </c>
    </row>
    <row r="677" spans="1:23" x14ac:dyDescent="0.3">
      <c r="A677" t="s">
        <v>805</v>
      </c>
      <c r="B677" s="1">
        <v>45202</v>
      </c>
      <c r="C677" s="2">
        <v>0.25972222222222224</v>
      </c>
      <c r="D677" t="s">
        <v>815</v>
      </c>
      <c r="E677">
        <v>79</v>
      </c>
      <c r="F677" t="s">
        <v>807</v>
      </c>
      <c r="G677" t="s">
        <v>815</v>
      </c>
      <c r="H677" t="s">
        <v>33</v>
      </c>
      <c r="I677">
        <v>-1.648264</v>
      </c>
      <c r="J677">
        <v>28.866143999999998</v>
      </c>
      <c r="K677" t="s">
        <v>1495</v>
      </c>
      <c r="L677" t="s">
        <v>1496</v>
      </c>
      <c r="M677" t="s">
        <v>727</v>
      </c>
      <c r="N677" t="s">
        <v>33</v>
      </c>
      <c r="O677" t="s">
        <v>1720</v>
      </c>
      <c r="P677">
        <v>85</v>
      </c>
      <c r="Q677" t="s">
        <v>14</v>
      </c>
      <c r="R677" s="2">
        <v>1.9444444444444445E-2</v>
      </c>
      <c r="S677">
        <v>28</v>
      </c>
      <c r="T677">
        <v>83.82</v>
      </c>
      <c r="U677">
        <v>0</v>
      </c>
      <c r="V677">
        <v>0.1</v>
      </c>
      <c r="W677">
        <v>8.4000000000000005E-2</v>
      </c>
    </row>
    <row r="678" spans="1:23" x14ac:dyDescent="0.3">
      <c r="A678" t="s">
        <v>805</v>
      </c>
      <c r="B678" s="1">
        <v>45213</v>
      </c>
      <c r="C678" s="2">
        <v>4.2361111111111113E-2</v>
      </c>
      <c r="D678" t="s">
        <v>814</v>
      </c>
      <c r="E678">
        <v>119</v>
      </c>
      <c r="F678" t="s">
        <v>810</v>
      </c>
      <c r="G678" t="s">
        <v>814</v>
      </c>
      <c r="H678" t="s">
        <v>62</v>
      </c>
      <c r="I678">
        <v>-2.8211520000000001</v>
      </c>
      <c r="J678">
        <v>20.651419000000001</v>
      </c>
      <c r="K678" t="s">
        <v>1495</v>
      </c>
      <c r="L678" t="s">
        <v>1496</v>
      </c>
      <c r="M678" t="s">
        <v>728</v>
      </c>
      <c r="N678" t="s">
        <v>62</v>
      </c>
      <c r="O678" t="s">
        <v>1829</v>
      </c>
      <c r="P678">
        <v>107</v>
      </c>
      <c r="Q678" t="s">
        <v>22</v>
      </c>
      <c r="R678" s="2">
        <v>9.583333333333334E-2</v>
      </c>
      <c r="S678">
        <v>138</v>
      </c>
      <c r="T678">
        <v>85.75</v>
      </c>
      <c r="U678">
        <v>1</v>
      </c>
      <c r="V678">
        <v>0.45</v>
      </c>
      <c r="W678">
        <v>0.38600000000000001</v>
      </c>
    </row>
    <row r="679" spans="1:23" x14ac:dyDescent="0.3">
      <c r="A679" t="s">
        <v>805</v>
      </c>
      <c r="B679" s="1">
        <v>45211</v>
      </c>
      <c r="C679" s="2">
        <v>0.27916666666666667</v>
      </c>
      <c r="D679" t="s">
        <v>838</v>
      </c>
      <c r="E679">
        <v>75</v>
      </c>
      <c r="F679" t="s">
        <v>807</v>
      </c>
      <c r="G679" t="s">
        <v>838</v>
      </c>
      <c r="H679" t="s">
        <v>89</v>
      </c>
      <c r="I679">
        <v>-8.1437910000000002</v>
      </c>
      <c r="J679">
        <v>28.946161</v>
      </c>
      <c r="K679" t="s">
        <v>1498</v>
      </c>
      <c r="L679" t="s">
        <v>1501</v>
      </c>
      <c r="M679" t="s">
        <v>729</v>
      </c>
      <c r="N679" t="s">
        <v>89</v>
      </c>
      <c r="O679" t="s">
        <v>1728</v>
      </c>
      <c r="P679">
        <v>1</v>
      </c>
      <c r="Q679" t="s">
        <v>14</v>
      </c>
      <c r="R679" s="2">
        <v>0.29444444444444445</v>
      </c>
      <c r="S679">
        <v>424</v>
      </c>
      <c r="T679">
        <v>59.2</v>
      </c>
      <c r="U679">
        <v>2</v>
      </c>
      <c r="V679">
        <v>0.1</v>
      </c>
      <c r="W679">
        <v>5.8999999999999997E-2</v>
      </c>
    </row>
    <row r="680" spans="1:23" x14ac:dyDescent="0.3">
      <c r="A680" t="s">
        <v>805</v>
      </c>
      <c r="B680" s="1">
        <v>45203</v>
      </c>
      <c r="C680" s="2">
        <v>0.51180555555555551</v>
      </c>
      <c r="D680" t="s">
        <v>835</v>
      </c>
      <c r="E680">
        <v>64</v>
      </c>
      <c r="F680" t="s">
        <v>812</v>
      </c>
      <c r="G680" t="s">
        <v>835</v>
      </c>
      <c r="H680" t="s">
        <v>73</v>
      </c>
      <c r="I680">
        <v>0.23583499999999999</v>
      </c>
      <c r="J680">
        <v>24.889558999999998</v>
      </c>
      <c r="K680" t="s">
        <v>1500</v>
      </c>
      <c r="L680" t="s">
        <v>1501</v>
      </c>
      <c r="M680" t="s">
        <v>730</v>
      </c>
      <c r="N680" t="s">
        <v>73</v>
      </c>
      <c r="O680" t="s">
        <v>1776</v>
      </c>
      <c r="P680">
        <v>7</v>
      </c>
      <c r="Q680" t="s">
        <v>14</v>
      </c>
      <c r="R680" s="2">
        <v>0.23055555555555557</v>
      </c>
      <c r="S680">
        <v>332</v>
      </c>
      <c r="T680">
        <v>83.95</v>
      </c>
      <c r="U680">
        <v>4</v>
      </c>
      <c r="V680">
        <v>0.1</v>
      </c>
      <c r="W680">
        <v>8.4000000000000005E-2</v>
      </c>
    </row>
    <row r="681" spans="1:23" x14ac:dyDescent="0.3">
      <c r="A681" t="s">
        <v>805</v>
      </c>
      <c r="B681" s="1">
        <v>45212</v>
      </c>
      <c r="C681" s="2">
        <v>0.14027777777777778</v>
      </c>
      <c r="D681" t="s">
        <v>826</v>
      </c>
      <c r="E681">
        <v>19</v>
      </c>
      <c r="F681" t="s">
        <v>810</v>
      </c>
      <c r="G681" t="s">
        <v>826</v>
      </c>
      <c r="H681" t="s">
        <v>37</v>
      </c>
      <c r="I681">
        <v>-9.4708620000000003</v>
      </c>
      <c r="J681">
        <v>29.234387999999999</v>
      </c>
      <c r="K681" t="s">
        <v>1500</v>
      </c>
      <c r="L681" t="s">
        <v>1501</v>
      </c>
      <c r="M681" t="s">
        <v>731</v>
      </c>
      <c r="N681" t="s">
        <v>37</v>
      </c>
      <c r="O681" t="s">
        <v>1746</v>
      </c>
      <c r="P681">
        <v>33</v>
      </c>
      <c r="Q681" t="s">
        <v>19</v>
      </c>
      <c r="R681" s="2">
        <v>3.7499999999999999E-2</v>
      </c>
      <c r="S681">
        <v>54</v>
      </c>
      <c r="T681">
        <v>71.319999999999993</v>
      </c>
      <c r="U681">
        <v>4</v>
      </c>
      <c r="V681">
        <v>0.45</v>
      </c>
      <c r="W681">
        <v>0.32100000000000001</v>
      </c>
    </row>
    <row r="682" spans="1:23" x14ac:dyDescent="0.3">
      <c r="A682" t="s">
        <v>1073</v>
      </c>
      <c r="B682" s="1">
        <v>45221</v>
      </c>
      <c r="C682" s="2">
        <v>0.37638888888888888</v>
      </c>
      <c r="D682" t="s">
        <v>1096</v>
      </c>
      <c r="E682">
        <v>59</v>
      </c>
      <c r="F682" t="s">
        <v>812</v>
      </c>
      <c r="G682" t="s">
        <v>1096</v>
      </c>
      <c r="H682" t="s">
        <v>78</v>
      </c>
      <c r="I682">
        <v>-8.4824669999999998</v>
      </c>
      <c r="J682">
        <v>21.897777999999999</v>
      </c>
      <c r="K682" t="s">
        <v>1495</v>
      </c>
      <c r="L682" t="s">
        <v>1496</v>
      </c>
      <c r="M682" t="s">
        <v>732</v>
      </c>
      <c r="N682" t="s">
        <v>78</v>
      </c>
      <c r="O682" t="s">
        <v>1730</v>
      </c>
      <c r="P682">
        <v>18</v>
      </c>
      <c r="Q682" t="s">
        <v>22</v>
      </c>
      <c r="R682" s="2">
        <v>0.11805555555555555</v>
      </c>
      <c r="S682">
        <v>170</v>
      </c>
      <c r="T682">
        <v>87.34</v>
      </c>
      <c r="U682">
        <v>1</v>
      </c>
      <c r="V682">
        <v>0.45</v>
      </c>
      <c r="W682">
        <v>0.39300000000000002</v>
      </c>
    </row>
    <row r="683" spans="1:23" x14ac:dyDescent="0.3">
      <c r="A683" t="s">
        <v>854</v>
      </c>
      <c r="B683" s="1">
        <v>45216</v>
      </c>
      <c r="C683" s="2">
        <v>0.67361111111111116</v>
      </c>
      <c r="D683" t="s">
        <v>881</v>
      </c>
      <c r="E683">
        <v>117</v>
      </c>
      <c r="F683" t="s">
        <v>807</v>
      </c>
      <c r="G683" t="s">
        <v>881</v>
      </c>
      <c r="H683" t="s">
        <v>31</v>
      </c>
      <c r="I683">
        <v>-12.141233</v>
      </c>
      <c r="J683">
        <v>15.179043999999999</v>
      </c>
      <c r="K683" t="s">
        <v>1495</v>
      </c>
      <c r="L683" t="s">
        <v>1496</v>
      </c>
      <c r="M683" t="s">
        <v>733</v>
      </c>
      <c r="N683" t="s">
        <v>31</v>
      </c>
      <c r="O683" t="s">
        <v>1748</v>
      </c>
      <c r="P683">
        <v>45</v>
      </c>
      <c r="Q683" t="s">
        <v>14</v>
      </c>
      <c r="R683" s="2">
        <v>0.21111111111111111</v>
      </c>
      <c r="S683">
        <v>304</v>
      </c>
      <c r="T683">
        <v>65.540000000000006</v>
      </c>
      <c r="U683">
        <v>2</v>
      </c>
      <c r="V683">
        <v>0.1</v>
      </c>
      <c r="W683">
        <v>6.6000000000000003E-2</v>
      </c>
    </row>
    <row r="684" spans="1:23" x14ac:dyDescent="0.3">
      <c r="A684" t="s">
        <v>898</v>
      </c>
      <c r="B684" s="1">
        <v>45216</v>
      </c>
      <c r="C684" s="2">
        <v>0.90277777777777779</v>
      </c>
      <c r="D684" t="s">
        <v>929</v>
      </c>
      <c r="E684">
        <v>20</v>
      </c>
      <c r="F684" t="s">
        <v>812</v>
      </c>
      <c r="G684" t="s">
        <v>929</v>
      </c>
      <c r="H684" t="s">
        <v>51</v>
      </c>
      <c r="I684">
        <v>-4.2408359999999998</v>
      </c>
      <c r="J684">
        <v>26.210014000000001</v>
      </c>
      <c r="K684" t="s">
        <v>1498</v>
      </c>
      <c r="L684" t="s">
        <v>1499</v>
      </c>
      <c r="M684" t="s">
        <v>734</v>
      </c>
      <c r="N684" t="s">
        <v>51</v>
      </c>
      <c r="O684" t="s">
        <v>1734</v>
      </c>
      <c r="P684">
        <v>113</v>
      </c>
      <c r="Q684" t="s">
        <v>11</v>
      </c>
      <c r="R684" s="2">
        <v>3.4027777777777775E-2</v>
      </c>
      <c r="S684">
        <v>49</v>
      </c>
      <c r="T684">
        <v>48.91</v>
      </c>
      <c r="U684">
        <v>5</v>
      </c>
      <c r="V684">
        <v>0.45</v>
      </c>
      <c r="W684">
        <v>0.22</v>
      </c>
    </row>
    <row r="685" spans="1:23" x14ac:dyDescent="0.3">
      <c r="A685" t="s">
        <v>854</v>
      </c>
      <c r="B685" s="1">
        <v>45219</v>
      </c>
      <c r="C685" s="2">
        <v>0.10138888888888889</v>
      </c>
      <c r="D685" t="s">
        <v>888</v>
      </c>
      <c r="E685">
        <v>75</v>
      </c>
      <c r="F685" t="s">
        <v>807</v>
      </c>
      <c r="G685" t="s">
        <v>888</v>
      </c>
      <c r="H685" t="s">
        <v>10</v>
      </c>
      <c r="I685">
        <v>-7.0076900000000002</v>
      </c>
      <c r="J685">
        <v>27.367121999999998</v>
      </c>
      <c r="K685" t="s">
        <v>1500</v>
      </c>
      <c r="L685" t="s">
        <v>1508</v>
      </c>
      <c r="M685" t="s">
        <v>735</v>
      </c>
      <c r="N685" t="s">
        <v>10</v>
      </c>
      <c r="O685" t="s">
        <v>1828</v>
      </c>
      <c r="P685">
        <v>37</v>
      </c>
      <c r="Q685" t="s">
        <v>11</v>
      </c>
      <c r="R685" s="2">
        <v>0.29166666666666669</v>
      </c>
      <c r="S685">
        <v>420</v>
      </c>
      <c r="T685">
        <v>67.260000000000005</v>
      </c>
      <c r="U685">
        <v>4</v>
      </c>
      <c r="V685">
        <v>0.45</v>
      </c>
      <c r="W685">
        <v>0.30299999999999999</v>
      </c>
    </row>
    <row r="686" spans="1:23" x14ac:dyDescent="0.3">
      <c r="A686" t="s">
        <v>805</v>
      </c>
      <c r="B686" s="1">
        <v>45214</v>
      </c>
      <c r="C686" s="2">
        <v>0.71319444444444446</v>
      </c>
      <c r="D686" t="s">
        <v>828</v>
      </c>
      <c r="E686">
        <v>25</v>
      </c>
      <c r="F686" t="s">
        <v>807</v>
      </c>
      <c r="G686" t="s">
        <v>828</v>
      </c>
      <c r="H686" t="s">
        <v>24</v>
      </c>
      <c r="I686">
        <v>0.172153</v>
      </c>
      <c r="J686">
        <v>21.091376</v>
      </c>
      <c r="K686" t="s">
        <v>1500</v>
      </c>
      <c r="L686" t="s">
        <v>1496</v>
      </c>
      <c r="M686" t="s">
        <v>736</v>
      </c>
      <c r="N686" t="s">
        <v>24</v>
      </c>
      <c r="O686" t="s">
        <v>1750</v>
      </c>
      <c r="P686">
        <v>101</v>
      </c>
      <c r="Q686" t="s">
        <v>14</v>
      </c>
      <c r="R686" s="2">
        <v>0.10277777777777777</v>
      </c>
      <c r="S686">
        <v>148</v>
      </c>
      <c r="T686">
        <v>26.63</v>
      </c>
      <c r="U686">
        <v>3</v>
      </c>
      <c r="V686">
        <v>0.1</v>
      </c>
      <c r="W686">
        <v>2.7E-2</v>
      </c>
    </row>
    <row r="687" spans="1:23" x14ac:dyDescent="0.3">
      <c r="A687" t="s">
        <v>898</v>
      </c>
      <c r="B687" s="1">
        <v>45206</v>
      </c>
      <c r="C687" s="2">
        <v>0.6875</v>
      </c>
      <c r="D687" t="s">
        <v>926</v>
      </c>
      <c r="E687">
        <v>76</v>
      </c>
      <c r="F687" t="s">
        <v>812</v>
      </c>
      <c r="G687" t="s">
        <v>926</v>
      </c>
      <c r="H687" t="s">
        <v>127</v>
      </c>
      <c r="I687">
        <v>-12.100756000000001</v>
      </c>
      <c r="J687">
        <v>21.938649999999999</v>
      </c>
      <c r="K687" t="s">
        <v>1498</v>
      </c>
      <c r="L687" t="s">
        <v>1499</v>
      </c>
      <c r="M687" t="s">
        <v>737</v>
      </c>
      <c r="N687" t="s">
        <v>127</v>
      </c>
      <c r="O687" t="s">
        <v>1716</v>
      </c>
      <c r="P687">
        <v>110</v>
      </c>
      <c r="Q687" t="s">
        <v>11</v>
      </c>
      <c r="R687" s="2">
        <v>0.20069444444444445</v>
      </c>
      <c r="S687">
        <v>289</v>
      </c>
      <c r="T687">
        <v>83.67</v>
      </c>
      <c r="U687">
        <v>4</v>
      </c>
      <c r="V687">
        <v>0.45</v>
      </c>
      <c r="W687">
        <v>0.377</v>
      </c>
    </row>
    <row r="688" spans="1:23" x14ac:dyDescent="0.3">
      <c r="A688" t="s">
        <v>805</v>
      </c>
      <c r="B688" s="1">
        <v>45211</v>
      </c>
      <c r="C688" s="2">
        <v>0.27916666666666667</v>
      </c>
      <c r="D688" t="s">
        <v>838</v>
      </c>
      <c r="E688">
        <v>75</v>
      </c>
      <c r="F688" t="s">
        <v>807</v>
      </c>
      <c r="G688" t="s">
        <v>838</v>
      </c>
      <c r="H688" t="s">
        <v>89</v>
      </c>
      <c r="I688">
        <v>-8.1437910000000002</v>
      </c>
      <c r="J688">
        <v>28.946161</v>
      </c>
      <c r="K688" t="s">
        <v>1498</v>
      </c>
      <c r="L688" t="s">
        <v>1501</v>
      </c>
      <c r="M688" t="s">
        <v>738</v>
      </c>
      <c r="N688" t="s">
        <v>89</v>
      </c>
      <c r="O688" t="s">
        <v>1751</v>
      </c>
      <c r="P688">
        <v>65</v>
      </c>
      <c r="Q688" t="s">
        <v>14</v>
      </c>
      <c r="R688" s="2">
        <v>0.17083333333333334</v>
      </c>
      <c r="S688">
        <v>246</v>
      </c>
      <c r="T688">
        <v>69.17</v>
      </c>
      <c r="U688">
        <v>0</v>
      </c>
      <c r="V688">
        <v>0.1</v>
      </c>
      <c r="W688">
        <v>6.9000000000000006E-2</v>
      </c>
    </row>
    <row r="689" spans="1:23" x14ac:dyDescent="0.3">
      <c r="A689" t="s">
        <v>805</v>
      </c>
      <c r="B689" s="1">
        <v>45214</v>
      </c>
      <c r="C689" s="2">
        <v>0.71319444444444446</v>
      </c>
      <c r="D689" t="s">
        <v>828</v>
      </c>
      <c r="E689">
        <v>25</v>
      </c>
      <c r="F689" t="s">
        <v>807</v>
      </c>
      <c r="G689" t="s">
        <v>828</v>
      </c>
      <c r="H689" t="s">
        <v>24</v>
      </c>
      <c r="I689">
        <v>0.172153</v>
      </c>
      <c r="J689">
        <v>21.091376</v>
      </c>
      <c r="K689" t="s">
        <v>1500</v>
      </c>
      <c r="L689" t="s">
        <v>1496</v>
      </c>
      <c r="M689" t="s">
        <v>739</v>
      </c>
      <c r="N689" t="s">
        <v>24</v>
      </c>
      <c r="O689" t="s">
        <v>1747</v>
      </c>
      <c r="P689">
        <v>86</v>
      </c>
      <c r="Q689" t="s">
        <v>14</v>
      </c>
      <c r="R689" s="2">
        <v>0.24513888888888888</v>
      </c>
      <c r="S689">
        <v>353</v>
      </c>
      <c r="T689">
        <v>25.37</v>
      </c>
      <c r="U689">
        <v>1</v>
      </c>
      <c r="V689">
        <v>0.1</v>
      </c>
      <c r="W689">
        <v>2.5000000000000001E-2</v>
      </c>
    </row>
    <row r="690" spans="1:23" x14ac:dyDescent="0.3">
      <c r="A690" t="s">
        <v>805</v>
      </c>
      <c r="B690" s="1">
        <v>45214</v>
      </c>
      <c r="C690" s="2">
        <v>0.71319444444444446</v>
      </c>
      <c r="D690" t="s">
        <v>828</v>
      </c>
      <c r="E690">
        <v>25</v>
      </c>
      <c r="F690" t="s">
        <v>807</v>
      </c>
      <c r="G690" t="s">
        <v>828</v>
      </c>
      <c r="H690" t="s">
        <v>24</v>
      </c>
      <c r="I690">
        <v>0.172153</v>
      </c>
      <c r="J690">
        <v>21.091376</v>
      </c>
      <c r="K690" t="s">
        <v>1500</v>
      </c>
      <c r="L690" t="s">
        <v>1496</v>
      </c>
      <c r="M690" t="s">
        <v>740</v>
      </c>
      <c r="N690" t="s">
        <v>24</v>
      </c>
      <c r="O690" t="s">
        <v>1787</v>
      </c>
      <c r="P690">
        <v>99</v>
      </c>
      <c r="Q690" t="s">
        <v>14</v>
      </c>
      <c r="R690" s="2">
        <v>0.11736111111111111</v>
      </c>
      <c r="S690">
        <v>169</v>
      </c>
      <c r="T690">
        <v>76.75</v>
      </c>
      <c r="U690">
        <v>5</v>
      </c>
      <c r="V690">
        <v>0.1</v>
      </c>
      <c r="W690">
        <v>7.6999999999999999E-2</v>
      </c>
    </row>
    <row r="691" spans="1:23" x14ac:dyDescent="0.3">
      <c r="A691" t="s">
        <v>936</v>
      </c>
      <c r="B691" s="1">
        <v>45221</v>
      </c>
      <c r="C691" s="2">
        <v>0.51736111111111116</v>
      </c>
      <c r="D691" t="s">
        <v>963</v>
      </c>
      <c r="E691">
        <v>83</v>
      </c>
      <c r="F691" t="s">
        <v>812</v>
      </c>
      <c r="G691" t="s">
        <v>963</v>
      </c>
      <c r="H691" t="s">
        <v>21</v>
      </c>
      <c r="I691">
        <v>-2.9651529999999999</v>
      </c>
      <c r="J691">
        <v>29.79908</v>
      </c>
      <c r="K691" t="s">
        <v>1498</v>
      </c>
      <c r="L691" t="s">
        <v>1496</v>
      </c>
      <c r="M691" t="s">
        <v>741</v>
      </c>
      <c r="N691" t="s">
        <v>21</v>
      </c>
      <c r="O691" t="s">
        <v>1768</v>
      </c>
      <c r="P691">
        <v>72</v>
      </c>
      <c r="Q691" t="s">
        <v>14</v>
      </c>
      <c r="R691" s="2">
        <v>0.30694444444444446</v>
      </c>
      <c r="S691">
        <v>442</v>
      </c>
      <c r="T691">
        <v>59.2</v>
      </c>
      <c r="U691">
        <v>1</v>
      </c>
      <c r="V691">
        <v>0.1</v>
      </c>
      <c r="W691">
        <v>5.8999999999999997E-2</v>
      </c>
    </row>
    <row r="692" spans="1:23" x14ac:dyDescent="0.3">
      <c r="A692" t="s">
        <v>854</v>
      </c>
      <c r="B692" s="1">
        <v>45213</v>
      </c>
      <c r="C692" s="2">
        <v>0.94861111111111107</v>
      </c>
      <c r="D692" t="s">
        <v>874</v>
      </c>
      <c r="E692">
        <v>72</v>
      </c>
      <c r="F692" t="s">
        <v>810</v>
      </c>
      <c r="G692" t="s">
        <v>874</v>
      </c>
      <c r="H692" t="s">
        <v>35</v>
      </c>
      <c r="I692">
        <v>-2.7140689999999998</v>
      </c>
      <c r="J692">
        <v>22.222104000000002</v>
      </c>
      <c r="K692" t="s">
        <v>1498</v>
      </c>
      <c r="L692" t="s">
        <v>1508</v>
      </c>
      <c r="M692" t="s">
        <v>742</v>
      </c>
      <c r="N692" t="s">
        <v>35</v>
      </c>
      <c r="O692" t="s">
        <v>1792</v>
      </c>
      <c r="P692">
        <v>20</v>
      </c>
      <c r="Q692" t="s">
        <v>14</v>
      </c>
      <c r="R692" s="2">
        <v>2.1527777777777778E-2</v>
      </c>
      <c r="S692">
        <v>31</v>
      </c>
      <c r="T692">
        <v>52.85</v>
      </c>
      <c r="U692">
        <v>2</v>
      </c>
      <c r="V692">
        <v>0.1</v>
      </c>
      <c r="W692">
        <v>5.2999999999999999E-2</v>
      </c>
    </row>
    <row r="693" spans="1:23" x14ac:dyDescent="0.3">
      <c r="A693" t="s">
        <v>898</v>
      </c>
      <c r="B693" s="1">
        <v>45216</v>
      </c>
      <c r="C693" s="2">
        <v>0.90277777777777779</v>
      </c>
      <c r="D693" t="s">
        <v>929</v>
      </c>
      <c r="E693">
        <v>20</v>
      </c>
      <c r="F693" t="s">
        <v>812</v>
      </c>
      <c r="G693" t="s">
        <v>929</v>
      </c>
      <c r="H693" t="s">
        <v>51</v>
      </c>
      <c r="I693">
        <v>-4.2408359999999998</v>
      </c>
      <c r="J693">
        <v>26.210014000000001</v>
      </c>
      <c r="K693" t="s">
        <v>1498</v>
      </c>
      <c r="L693" t="s">
        <v>1499</v>
      </c>
      <c r="M693" t="s">
        <v>743</v>
      </c>
      <c r="N693" t="s">
        <v>51</v>
      </c>
      <c r="O693" t="s">
        <v>1803</v>
      </c>
      <c r="P693">
        <v>12</v>
      </c>
      <c r="Q693" t="s">
        <v>19</v>
      </c>
      <c r="R693" s="2">
        <v>4.3055555555555555E-2</v>
      </c>
      <c r="S693">
        <v>62</v>
      </c>
      <c r="T693">
        <v>36.1</v>
      </c>
      <c r="U693">
        <v>5</v>
      </c>
      <c r="V693">
        <v>0.45</v>
      </c>
      <c r="W693">
        <v>0.16200000000000001</v>
      </c>
    </row>
    <row r="694" spans="1:23" x14ac:dyDescent="0.3">
      <c r="A694" t="s">
        <v>898</v>
      </c>
      <c r="B694" s="1">
        <v>45210</v>
      </c>
      <c r="C694" s="2">
        <v>0.56805555555555554</v>
      </c>
      <c r="D694" t="s">
        <v>904</v>
      </c>
      <c r="E694">
        <v>96</v>
      </c>
      <c r="F694" t="s">
        <v>807</v>
      </c>
      <c r="G694" t="s">
        <v>904</v>
      </c>
      <c r="H694" t="s">
        <v>64</v>
      </c>
      <c r="I694">
        <v>-5.4126279999999998</v>
      </c>
      <c r="J694">
        <v>25.498235999999999</v>
      </c>
      <c r="K694" t="s">
        <v>1495</v>
      </c>
      <c r="L694" t="s">
        <v>1501</v>
      </c>
      <c r="M694" t="s">
        <v>744</v>
      </c>
      <c r="N694" t="s">
        <v>64</v>
      </c>
      <c r="O694" t="s">
        <v>1725</v>
      </c>
      <c r="P694">
        <v>92</v>
      </c>
      <c r="Q694" t="s">
        <v>19</v>
      </c>
      <c r="R694" s="2">
        <v>0.26319444444444445</v>
      </c>
      <c r="S694">
        <v>379</v>
      </c>
      <c r="T694">
        <v>70.08</v>
      </c>
      <c r="U694">
        <v>5</v>
      </c>
      <c r="V694">
        <v>0.45</v>
      </c>
      <c r="W694">
        <v>0.315</v>
      </c>
    </row>
    <row r="695" spans="1:23" x14ac:dyDescent="0.3">
      <c r="A695" t="s">
        <v>854</v>
      </c>
      <c r="B695" s="1">
        <v>45222</v>
      </c>
      <c r="C695" s="2">
        <v>0.42708333333333331</v>
      </c>
      <c r="D695" t="s">
        <v>892</v>
      </c>
      <c r="E695">
        <v>82</v>
      </c>
      <c r="F695" t="s">
        <v>807</v>
      </c>
      <c r="G695" t="s">
        <v>892</v>
      </c>
      <c r="H695" t="s">
        <v>26</v>
      </c>
      <c r="I695">
        <v>-4.4697000000000001E-2</v>
      </c>
      <c r="J695">
        <v>22.943373000000001</v>
      </c>
      <c r="K695" t="s">
        <v>1500</v>
      </c>
      <c r="L695" t="s">
        <v>1499</v>
      </c>
      <c r="M695" t="s">
        <v>745</v>
      </c>
      <c r="N695" t="s">
        <v>26</v>
      </c>
      <c r="O695" t="s">
        <v>1755</v>
      </c>
      <c r="P695">
        <v>35</v>
      </c>
      <c r="Q695" t="s">
        <v>14</v>
      </c>
      <c r="R695" s="2">
        <v>0.2076388888888889</v>
      </c>
      <c r="S695">
        <v>299</v>
      </c>
      <c r="T695">
        <v>96.32</v>
      </c>
      <c r="U695">
        <v>4</v>
      </c>
      <c r="V695">
        <v>0.1</v>
      </c>
      <c r="W695">
        <v>9.6000000000000002E-2</v>
      </c>
    </row>
    <row r="696" spans="1:23" x14ac:dyDescent="0.3">
      <c r="A696" t="s">
        <v>854</v>
      </c>
      <c r="B696" s="1">
        <v>45213</v>
      </c>
      <c r="C696" s="2">
        <v>0.25416666666666665</v>
      </c>
      <c r="D696" t="s">
        <v>857</v>
      </c>
      <c r="E696">
        <v>73</v>
      </c>
      <c r="F696" t="s">
        <v>812</v>
      </c>
      <c r="G696" t="s">
        <v>857</v>
      </c>
      <c r="H696" t="s">
        <v>13</v>
      </c>
      <c r="I696">
        <v>-5.1030600000000002</v>
      </c>
      <c r="J696">
        <v>22.849231</v>
      </c>
      <c r="K696" t="s">
        <v>1495</v>
      </c>
      <c r="L696" t="s">
        <v>1501</v>
      </c>
      <c r="M696" t="s">
        <v>746</v>
      </c>
      <c r="N696" t="s">
        <v>13</v>
      </c>
      <c r="O696" t="s">
        <v>1774</v>
      </c>
      <c r="P696">
        <v>19</v>
      </c>
      <c r="Q696" t="s">
        <v>19</v>
      </c>
      <c r="R696" s="2">
        <v>0.23958333333333334</v>
      </c>
      <c r="S696">
        <v>345</v>
      </c>
      <c r="T696">
        <v>54.37</v>
      </c>
      <c r="U696">
        <v>2</v>
      </c>
      <c r="V696">
        <v>0.45</v>
      </c>
      <c r="W696">
        <v>0.245</v>
      </c>
    </row>
    <row r="697" spans="1:23" x14ac:dyDescent="0.3">
      <c r="A697" t="s">
        <v>1014</v>
      </c>
      <c r="B697" s="1">
        <v>45225</v>
      </c>
      <c r="C697" s="2">
        <v>0.21527777777777779</v>
      </c>
      <c r="D697" t="s">
        <v>1043</v>
      </c>
      <c r="E697">
        <v>41</v>
      </c>
      <c r="F697" t="s">
        <v>812</v>
      </c>
      <c r="G697" t="s">
        <v>1043</v>
      </c>
      <c r="H697" t="s">
        <v>44</v>
      </c>
      <c r="I697">
        <v>-4.9552579999999997</v>
      </c>
      <c r="J697">
        <v>22.008103999999999</v>
      </c>
      <c r="K697" t="s">
        <v>1498</v>
      </c>
      <c r="L697" t="s">
        <v>1499</v>
      </c>
      <c r="M697" t="s">
        <v>747</v>
      </c>
      <c r="N697" t="s">
        <v>44</v>
      </c>
      <c r="O697" t="s">
        <v>1723</v>
      </c>
      <c r="P697">
        <v>94</v>
      </c>
      <c r="Q697" t="s">
        <v>22</v>
      </c>
      <c r="R697" s="2">
        <v>0.18124999999999999</v>
      </c>
      <c r="S697">
        <v>261</v>
      </c>
      <c r="T697">
        <v>70.09</v>
      </c>
      <c r="U697">
        <v>3</v>
      </c>
      <c r="V697">
        <v>0.45</v>
      </c>
      <c r="W697">
        <v>0.315</v>
      </c>
    </row>
    <row r="698" spans="1:23" x14ac:dyDescent="0.3">
      <c r="A698" t="s">
        <v>898</v>
      </c>
      <c r="B698" s="1">
        <v>45206</v>
      </c>
      <c r="C698" s="2">
        <v>0.6875</v>
      </c>
      <c r="D698" t="s">
        <v>926</v>
      </c>
      <c r="E698">
        <v>76</v>
      </c>
      <c r="F698" t="s">
        <v>812</v>
      </c>
      <c r="G698" t="s">
        <v>926</v>
      </c>
      <c r="H698" t="s">
        <v>127</v>
      </c>
      <c r="I698">
        <v>-12.100756000000001</v>
      </c>
      <c r="J698">
        <v>21.938649999999999</v>
      </c>
      <c r="K698" t="s">
        <v>1498</v>
      </c>
      <c r="L698" t="s">
        <v>1499</v>
      </c>
      <c r="M698" t="s">
        <v>748</v>
      </c>
      <c r="N698" t="s">
        <v>127</v>
      </c>
      <c r="O698" t="s">
        <v>1781</v>
      </c>
      <c r="P698">
        <v>26</v>
      </c>
      <c r="Q698" t="s">
        <v>11</v>
      </c>
      <c r="R698" s="2">
        <v>0.26250000000000001</v>
      </c>
      <c r="S698">
        <v>378</v>
      </c>
      <c r="T698">
        <v>45.21</v>
      </c>
      <c r="U698">
        <v>5</v>
      </c>
      <c r="V698">
        <v>0.45</v>
      </c>
      <c r="W698">
        <v>0.20300000000000001</v>
      </c>
    </row>
    <row r="699" spans="1:23" x14ac:dyDescent="0.3">
      <c r="A699" t="s">
        <v>854</v>
      </c>
      <c r="B699" s="1">
        <v>45213</v>
      </c>
      <c r="C699" s="2">
        <v>0.25416666666666665</v>
      </c>
      <c r="D699" t="s">
        <v>857</v>
      </c>
      <c r="E699">
        <v>73</v>
      </c>
      <c r="F699" t="s">
        <v>812</v>
      </c>
      <c r="G699" t="s">
        <v>857</v>
      </c>
      <c r="H699" t="s">
        <v>13</v>
      </c>
      <c r="I699">
        <v>-5.1030600000000002</v>
      </c>
      <c r="J699">
        <v>22.849231</v>
      </c>
      <c r="K699" t="s">
        <v>1495</v>
      </c>
      <c r="L699" t="s">
        <v>1501</v>
      </c>
      <c r="M699" t="s">
        <v>749</v>
      </c>
      <c r="N699" t="s">
        <v>13</v>
      </c>
      <c r="O699" t="s">
        <v>1777</v>
      </c>
      <c r="P699">
        <v>56</v>
      </c>
      <c r="Q699" t="s">
        <v>22</v>
      </c>
      <c r="R699" s="2">
        <v>0.25486111111111109</v>
      </c>
      <c r="S699">
        <v>367</v>
      </c>
      <c r="T699">
        <v>72.790000000000006</v>
      </c>
      <c r="U699">
        <v>1</v>
      </c>
      <c r="V699">
        <v>0.45</v>
      </c>
      <c r="W699">
        <v>0.32800000000000001</v>
      </c>
    </row>
    <row r="700" spans="1:23" x14ac:dyDescent="0.3">
      <c r="A700" t="s">
        <v>854</v>
      </c>
      <c r="B700" s="1">
        <v>45213</v>
      </c>
      <c r="C700" s="2">
        <v>0.94861111111111107</v>
      </c>
      <c r="D700" t="s">
        <v>874</v>
      </c>
      <c r="E700">
        <v>72</v>
      </c>
      <c r="F700" t="s">
        <v>810</v>
      </c>
      <c r="G700" t="s">
        <v>874</v>
      </c>
      <c r="H700" t="s">
        <v>35</v>
      </c>
      <c r="I700">
        <v>-2.7140689999999998</v>
      </c>
      <c r="J700">
        <v>22.222104000000002</v>
      </c>
      <c r="K700" t="s">
        <v>1498</v>
      </c>
      <c r="L700" t="s">
        <v>1508</v>
      </c>
      <c r="M700" t="s">
        <v>751</v>
      </c>
      <c r="N700" t="s">
        <v>35</v>
      </c>
      <c r="O700" t="s">
        <v>1766</v>
      </c>
      <c r="P700">
        <v>97</v>
      </c>
      <c r="Q700" t="s">
        <v>19</v>
      </c>
      <c r="R700" s="2">
        <v>0.12013888888888889</v>
      </c>
      <c r="S700">
        <v>173</v>
      </c>
      <c r="T700">
        <v>19.37</v>
      </c>
      <c r="U700">
        <v>5</v>
      </c>
      <c r="V700">
        <v>0.45</v>
      </c>
      <c r="W700">
        <v>8.6999999999999994E-2</v>
      </c>
    </row>
    <row r="701" spans="1:23" x14ac:dyDescent="0.3">
      <c r="A701" t="s">
        <v>805</v>
      </c>
      <c r="B701" s="1">
        <v>45201</v>
      </c>
      <c r="C701" s="2">
        <v>0.88472222222222219</v>
      </c>
      <c r="D701" t="s">
        <v>833</v>
      </c>
      <c r="E701">
        <v>54</v>
      </c>
      <c r="F701" t="s">
        <v>812</v>
      </c>
      <c r="G701" t="s">
        <v>833</v>
      </c>
      <c r="H701" t="s">
        <v>131</v>
      </c>
      <c r="I701">
        <v>4.6287159999999998</v>
      </c>
      <c r="J701">
        <v>19.407077999999998</v>
      </c>
      <c r="K701" t="s">
        <v>1498</v>
      </c>
      <c r="L701" t="s">
        <v>1496</v>
      </c>
      <c r="M701" t="s">
        <v>752</v>
      </c>
      <c r="N701" t="s">
        <v>131</v>
      </c>
      <c r="O701" t="s">
        <v>1809</v>
      </c>
      <c r="P701">
        <v>54</v>
      </c>
      <c r="Q701" t="s">
        <v>22</v>
      </c>
      <c r="R701" s="2">
        <v>0.14930555555555555</v>
      </c>
      <c r="S701">
        <v>215</v>
      </c>
      <c r="T701">
        <v>54.69</v>
      </c>
      <c r="U701">
        <v>0</v>
      </c>
      <c r="V701">
        <v>0.45</v>
      </c>
      <c r="W701">
        <v>0.246</v>
      </c>
    </row>
    <row r="702" spans="1:23" x14ac:dyDescent="0.3">
      <c r="A702" t="s">
        <v>805</v>
      </c>
      <c r="B702" s="1">
        <v>45213</v>
      </c>
      <c r="C702" s="2">
        <v>0.31111111111111112</v>
      </c>
      <c r="D702" t="s">
        <v>819</v>
      </c>
      <c r="E702">
        <v>22</v>
      </c>
      <c r="F702" t="s">
        <v>810</v>
      </c>
      <c r="G702" t="s">
        <v>819</v>
      </c>
      <c r="H702" t="s">
        <v>40</v>
      </c>
      <c r="I702">
        <v>4.8319039999999998</v>
      </c>
      <c r="J702">
        <v>20.733468999999999</v>
      </c>
      <c r="K702" t="s">
        <v>1495</v>
      </c>
      <c r="L702" t="s">
        <v>1496</v>
      </c>
      <c r="M702" t="s">
        <v>753</v>
      </c>
      <c r="N702" t="s">
        <v>40</v>
      </c>
      <c r="O702" t="s">
        <v>1761</v>
      </c>
      <c r="P702">
        <v>119</v>
      </c>
      <c r="Q702" t="s">
        <v>19</v>
      </c>
      <c r="R702" s="2">
        <v>9.2361111111111116E-2</v>
      </c>
      <c r="S702">
        <v>133</v>
      </c>
      <c r="T702">
        <v>30.27</v>
      </c>
      <c r="U702">
        <v>5</v>
      </c>
      <c r="V702">
        <v>0.45</v>
      </c>
      <c r="W702">
        <v>0.13600000000000001</v>
      </c>
    </row>
    <row r="703" spans="1:23" x14ac:dyDescent="0.3">
      <c r="A703" t="s">
        <v>854</v>
      </c>
      <c r="B703" s="1">
        <v>45221</v>
      </c>
      <c r="C703" s="2">
        <v>0.77500000000000002</v>
      </c>
      <c r="D703" t="s">
        <v>889</v>
      </c>
      <c r="E703">
        <v>24</v>
      </c>
      <c r="F703" t="s">
        <v>807</v>
      </c>
      <c r="G703" t="s">
        <v>889</v>
      </c>
      <c r="H703" t="s">
        <v>16</v>
      </c>
      <c r="I703">
        <v>-11.514188000000001</v>
      </c>
      <c r="J703">
        <v>15.971181</v>
      </c>
      <c r="K703" t="s">
        <v>1495</v>
      </c>
      <c r="L703" t="s">
        <v>1496</v>
      </c>
      <c r="M703" t="s">
        <v>754</v>
      </c>
      <c r="N703" t="s">
        <v>16</v>
      </c>
      <c r="O703" t="s">
        <v>1729</v>
      </c>
      <c r="P703">
        <v>9</v>
      </c>
      <c r="Q703" t="s">
        <v>22</v>
      </c>
      <c r="R703" s="2">
        <v>7.0833333333333331E-2</v>
      </c>
      <c r="S703">
        <v>102</v>
      </c>
      <c r="T703">
        <v>41.52</v>
      </c>
      <c r="U703">
        <v>0</v>
      </c>
      <c r="V703">
        <v>0.45</v>
      </c>
      <c r="W703">
        <v>0.187</v>
      </c>
    </row>
    <row r="704" spans="1:23" x14ac:dyDescent="0.3">
      <c r="A704" t="s">
        <v>854</v>
      </c>
      <c r="B704" s="1">
        <v>45222</v>
      </c>
      <c r="C704" s="2">
        <v>0.42708333333333331</v>
      </c>
      <c r="D704" t="s">
        <v>892</v>
      </c>
      <c r="E704">
        <v>82</v>
      </c>
      <c r="F704" t="s">
        <v>807</v>
      </c>
      <c r="G704" t="s">
        <v>892</v>
      </c>
      <c r="H704" t="s">
        <v>26</v>
      </c>
      <c r="I704">
        <v>-4.4697000000000001E-2</v>
      </c>
      <c r="J704">
        <v>22.943373000000001</v>
      </c>
      <c r="K704" t="s">
        <v>1500</v>
      </c>
      <c r="L704" t="s">
        <v>1499</v>
      </c>
      <c r="M704" t="s">
        <v>755</v>
      </c>
      <c r="N704" t="s">
        <v>26</v>
      </c>
      <c r="O704" t="s">
        <v>1820</v>
      </c>
      <c r="P704">
        <v>8</v>
      </c>
      <c r="Q704" t="s">
        <v>19</v>
      </c>
      <c r="R704" s="2">
        <v>0.11874999999999999</v>
      </c>
      <c r="S704">
        <v>171</v>
      </c>
      <c r="T704">
        <v>52.98</v>
      </c>
      <c r="U704">
        <v>0</v>
      </c>
      <c r="V704">
        <v>0.45</v>
      </c>
      <c r="W704">
        <v>0.23799999999999999</v>
      </c>
    </row>
    <row r="705" spans="1:23" x14ac:dyDescent="0.3">
      <c r="A705" t="s">
        <v>805</v>
      </c>
      <c r="B705" s="1">
        <v>45201</v>
      </c>
      <c r="C705" s="2">
        <v>0.88472222222222219</v>
      </c>
      <c r="D705" t="s">
        <v>833</v>
      </c>
      <c r="E705">
        <v>54</v>
      </c>
      <c r="F705" t="s">
        <v>812</v>
      </c>
      <c r="G705" t="s">
        <v>833</v>
      </c>
      <c r="H705" t="s">
        <v>131</v>
      </c>
      <c r="I705">
        <v>4.6287159999999998</v>
      </c>
      <c r="J705">
        <v>19.407077999999998</v>
      </c>
      <c r="K705" t="s">
        <v>1498</v>
      </c>
      <c r="L705" t="s">
        <v>1496</v>
      </c>
      <c r="M705" t="s">
        <v>756</v>
      </c>
      <c r="N705" t="s">
        <v>131</v>
      </c>
      <c r="O705" t="s">
        <v>1789</v>
      </c>
      <c r="P705">
        <v>79</v>
      </c>
      <c r="Q705" t="s">
        <v>11</v>
      </c>
      <c r="R705" s="2">
        <v>0.31527777777777777</v>
      </c>
      <c r="S705">
        <v>454</v>
      </c>
      <c r="T705">
        <v>80.34</v>
      </c>
      <c r="U705">
        <v>2</v>
      </c>
      <c r="V705">
        <v>0.45</v>
      </c>
      <c r="W705">
        <v>0.36199999999999999</v>
      </c>
    </row>
    <row r="706" spans="1:23" x14ac:dyDescent="0.3">
      <c r="A706" t="s">
        <v>854</v>
      </c>
      <c r="B706" s="1">
        <v>45222</v>
      </c>
      <c r="C706" s="2">
        <v>0.42708333333333331</v>
      </c>
      <c r="D706" t="s">
        <v>892</v>
      </c>
      <c r="E706">
        <v>82</v>
      </c>
      <c r="F706" t="s">
        <v>807</v>
      </c>
      <c r="G706" t="s">
        <v>892</v>
      </c>
      <c r="H706" t="s">
        <v>26</v>
      </c>
      <c r="I706">
        <v>-4.4697000000000001E-2</v>
      </c>
      <c r="J706">
        <v>22.943373000000001</v>
      </c>
      <c r="K706" t="s">
        <v>1500</v>
      </c>
      <c r="L706" t="s">
        <v>1499</v>
      </c>
      <c r="M706" t="s">
        <v>757</v>
      </c>
      <c r="N706" t="s">
        <v>26</v>
      </c>
      <c r="O706" t="s">
        <v>1746</v>
      </c>
      <c r="P706">
        <v>33</v>
      </c>
      <c r="Q706" t="s">
        <v>14</v>
      </c>
      <c r="R706" s="2">
        <v>0.27152777777777776</v>
      </c>
      <c r="S706">
        <v>391</v>
      </c>
      <c r="T706">
        <v>88.88</v>
      </c>
      <c r="U706">
        <v>4</v>
      </c>
      <c r="V706">
        <v>0.1</v>
      </c>
      <c r="W706">
        <v>8.8999999999999996E-2</v>
      </c>
    </row>
    <row r="707" spans="1:23" x14ac:dyDescent="0.3">
      <c r="A707" t="s">
        <v>854</v>
      </c>
      <c r="B707" s="1">
        <v>45216</v>
      </c>
      <c r="C707" s="2">
        <v>0.67361111111111116</v>
      </c>
      <c r="D707" t="s">
        <v>881</v>
      </c>
      <c r="E707">
        <v>117</v>
      </c>
      <c r="F707" t="s">
        <v>807</v>
      </c>
      <c r="G707" t="s">
        <v>881</v>
      </c>
      <c r="H707" t="s">
        <v>31</v>
      </c>
      <c r="I707">
        <v>-12.141233</v>
      </c>
      <c r="J707">
        <v>15.179043999999999</v>
      </c>
      <c r="K707" t="s">
        <v>1495</v>
      </c>
      <c r="L707" t="s">
        <v>1496</v>
      </c>
      <c r="M707" t="s">
        <v>758</v>
      </c>
      <c r="N707" t="s">
        <v>31</v>
      </c>
      <c r="O707" t="s">
        <v>1758</v>
      </c>
      <c r="P707">
        <v>15</v>
      </c>
      <c r="Q707" t="s">
        <v>19</v>
      </c>
      <c r="R707" s="2">
        <v>2.0833333333333332E-2</v>
      </c>
      <c r="S707">
        <v>30</v>
      </c>
      <c r="T707">
        <v>30.5</v>
      </c>
      <c r="U707">
        <v>1</v>
      </c>
      <c r="V707">
        <v>0.45</v>
      </c>
      <c r="W707">
        <v>0.13700000000000001</v>
      </c>
    </row>
    <row r="708" spans="1:23" x14ac:dyDescent="0.3">
      <c r="A708" t="s">
        <v>854</v>
      </c>
      <c r="B708" s="1">
        <v>45213</v>
      </c>
      <c r="C708" s="2">
        <v>0.25416666666666665</v>
      </c>
      <c r="D708" t="s">
        <v>857</v>
      </c>
      <c r="E708">
        <v>73</v>
      </c>
      <c r="F708" t="s">
        <v>812</v>
      </c>
      <c r="G708" t="s">
        <v>857</v>
      </c>
      <c r="H708" t="s">
        <v>13</v>
      </c>
      <c r="I708">
        <v>-5.1030600000000002</v>
      </c>
      <c r="J708">
        <v>22.849231</v>
      </c>
      <c r="K708" t="s">
        <v>1495</v>
      </c>
      <c r="L708" t="s">
        <v>1501</v>
      </c>
      <c r="M708" t="s">
        <v>759</v>
      </c>
      <c r="N708" t="s">
        <v>13</v>
      </c>
      <c r="O708" t="s">
        <v>1825</v>
      </c>
      <c r="P708">
        <v>5</v>
      </c>
      <c r="Q708" t="s">
        <v>11</v>
      </c>
      <c r="R708" s="2">
        <v>4.9305555555555554E-2</v>
      </c>
      <c r="S708">
        <v>71</v>
      </c>
      <c r="T708">
        <v>93.81</v>
      </c>
      <c r="U708">
        <v>3</v>
      </c>
      <c r="V708">
        <v>0.45</v>
      </c>
      <c r="W708">
        <v>0.42199999999999999</v>
      </c>
    </row>
    <row r="709" spans="1:23" x14ac:dyDescent="0.3">
      <c r="A709" t="s">
        <v>805</v>
      </c>
      <c r="B709" s="1">
        <v>45217</v>
      </c>
      <c r="C709" s="2">
        <v>0.96875</v>
      </c>
      <c r="D709" t="s">
        <v>842</v>
      </c>
      <c r="E709">
        <v>97</v>
      </c>
      <c r="F709" t="s">
        <v>810</v>
      </c>
      <c r="G709" t="s">
        <v>842</v>
      </c>
      <c r="H709" t="s">
        <v>29</v>
      </c>
      <c r="I709">
        <v>-10.059846</v>
      </c>
      <c r="J709">
        <v>14.375757999999999</v>
      </c>
      <c r="K709" t="s">
        <v>1498</v>
      </c>
      <c r="L709" t="s">
        <v>1499</v>
      </c>
      <c r="M709" t="s">
        <v>760</v>
      </c>
      <c r="N709" t="s">
        <v>29</v>
      </c>
      <c r="O709" t="s">
        <v>1801</v>
      </c>
      <c r="P709">
        <v>109</v>
      </c>
      <c r="Q709" t="s">
        <v>22</v>
      </c>
      <c r="R709" s="2">
        <v>7.2222222222222215E-2</v>
      </c>
      <c r="S709">
        <v>104</v>
      </c>
      <c r="T709">
        <v>12.37</v>
      </c>
      <c r="U709">
        <v>5</v>
      </c>
      <c r="V709">
        <v>0.45</v>
      </c>
      <c r="W709">
        <v>5.6000000000000001E-2</v>
      </c>
    </row>
    <row r="710" spans="1:23" x14ac:dyDescent="0.3">
      <c r="A710" t="s">
        <v>805</v>
      </c>
      <c r="B710" s="1">
        <v>45211</v>
      </c>
      <c r="C710" s="2">
        <v>0.27916666666666667</v>
      </c>
      <c r="D710" t="s">
        <v>838</v>
      </c>
      <c r="E710">
        <v>75</v>
      </c>
      <c r="F710" t="s">
        <v>807</v>
      </c>
      <c r="G710" t="s">
        <v>838</v>
      </c>
      <c r="H710" t="s">
        <v>89</v>
      </c>
      <c r="I710">
        <v>-8.1437910000000002</v>
      </c>
      <c r="J710">
        <v>28.946161</v>
      </c>
      <c r="K710" t="s">
        <v>1498</v>
      </c>
      <c r="L710" t="s">
        <v>1501</v>
      </c>
      <c r="M710" t="s">
        <v>761</v>
      </c>
      <c r="N710" t="s">
        <v>89</v>
      </c>
      <c r="O710" t="s">
        <v>1738</v>
      </c>
      <c r="P710">
        <v>96</v>
      </c>
      <c r="Q710" t="s">
        <v>14</v>
      </c>
      <c r="R710" s="2">
        <v>0.19444444444444445</v>
      </c>
      <c r="S710">
        <v>280</v>
      </c>
      <c r="T710">
        <v>80.36</v>
      </c>
      <c r="U710">
        <v>5</v>
      </c>
      <c r="V710">
        <v>0.1</v>
      </c>
      <c r="W710">
        <v>0.08</v>
      </c>
    </row>
    <row r="711" spans="1:23" x14ac:dyDescent="0.3">
      <c r="A711" t="s">
        <v>805</v>
      </c>
      <c r="B711" s="1">
        <v>45212</v>
      </c>
      <c r="C711" s="2">
        <v>0.14027777777777778</v>
      </c>
      <c r="D711" t="s">
        <v>826</v>
      </c>
      <c r="E711">
        <v>19</v>
      </c>
      <c r="F711" t="s">
        <v>810</v>
      </c>
      <c r="G711" t="s">
        <v>826</v>
      </c>
      <c r="H711" t="s">
        <v>37</v>
      </c>
      <c r="I711">
        <v>-9.4708620000000003</v>
      </c>
      <c r="J711">
        <v>29.234387999999999</v>
      </c>
      <c r="K711" t="s">
        <v>1500</v>
      </c>
      <c r="L711" t="s">
        <v>1501</v>
      </c>
      <c r="M711" t="s">
        <v>762</v>
      </c>
      <c r="N711" t="s">
        <v>37</v>
      </c>
      <c r="O711" t="s">
        <v>1735</v>
      </c>
      <c r="P711">
        <v>10</v>
      </c>
      <c r="Q711" t="s">
        <v>22</v>
      </c>
      <c r="R711" s="2">
        <v>0.2902777777777778</v>
      </c>
      <c r="S711">
        <v>418</v>
      </c>
      <c r="T711">
        <v>27.66</v>
      </c>
      <c r="U711">
        <v>2</v>
      </c>
      <c r="V711">
        <v>0.45</v>
      </c>
      <c r="W711">
        <v>0.124</v>
      </c>
    </row>
    <row r="712" spans="1:23" x14ac:dyDescent="0.3">
      <c r="A712" t="s">
        <v>805</v>
      </c>
      <c r="B712" s="1">
        <v>45203</v>
      </c>
      <c r="C712" s="2">
        <v>0.51180555555555551</v>
      </c>
      <c r="D712" t="s">
        <v>835</v>
      </c>
      <c r="E712">
        <v>64</v>
      </c>
      <c r="F712" t="s">
        <v>812</v>
      </c>
      <c r="G712" t="s">
        <v>835</v>
      </c>
      <c r="H712" t="s">
        <v>73</v>
      </c>
      <c r="I712">
        <v>0.23583499999999999</v>
      </c>
      <c r="J712">
        <v>24.889558999999998</v>
      </c>
      <c r="K712" t="s">
        <v>1500</v>
      </c>
      <c r="L712" t="s">
        <v>1501</v>
      </c>
      <c r="M712" t="s">
        <v>763</v>
      </c>
      <c r="N712" t="s">
        <v>73</v>
      </c>
      <c r="O712" t="s">
        <v>1807</v>
      </c>
      <c r="P712">
        <v>57</v>
      </c>
      <c r="Q712" t="s">
        <v>22</v>
      </c>
      <c r="R712" s="2">
        <v>0.26041666666666669</v>
      </c>
      <c r="S712">
        <v>375</v>
      </c>
      <c r="T712">
        <v>64.73</v>
      </c>
      <c r="U712">
        <v>1</v>
      </c>
      <c r="V712">
        <v>0.45</v>
      </c>
      <c r="W712">
        <v>0.29099999999999998</v>
      </c>
    </row>
    <row r="713" spans="1:23" x14ac:dyDescent="0.3">
      <c r="A713" t="s">
        <v>854</v>
      </c>
      <c r="B713" s="1">
        <v>45214</v>
      </c>
      <c r="C713" s="2">
        <v>0.9604166666666667</v>
      </c>
      <c r="D713" t="s">
        <v>859</v>
      </c>
      <c r="E713">
        <v>38</v>
      </c>
      <c r="F713" t="s">
        <v>807</v>
      </c>
      <c r="G713" t="s">
        <v>859</v>
      </c>
      <c r="H713" t="s">
        <v>137</v>
      </c>
      <c r="I713">
        <v>-11.710407999999999</v>
      </c>
      <c r="J713">
        <v>23.741330999999999</v>
      </c>
      <c r="K713" t="s">
        <v>1500</v>
      </c>
      <c r="L713" t="s">
        <v>1499</v>
      </c>
      <c r="M713" t="s">
        <v>764</v>
      </c>
      <c r="N713" t="s">
        <v>137</v>
      </c>
      <c r="O713" t="s">
        <v>1823</v>
      </c>
      <c r="P713">
        <v>98</v>
      </c>
      <c r="Q713" t="s">
        <v>14</v>
      </c>
      <c r="R713" s="2">
        <v>0.11666666666666667</v>
      </c>
      <c r="S713">
        <v>168</v>
      </c>
      <c r="T713">
        <v>44.14</v>
      </c>
      <c r="U713">
        <v>3</v>
      </c>
      <c r="V713">
        <v>0.1</v>
      </c>
      <c r="W713">
        <v>4.3999999999999997E-2</v>
      </c>
    </row>
    <row r="714" spans="1:23" x14ac:dyDescent="0.3">
      <c r="A714" t="s">
        <v>854</v>
      </c>
      <c r="B714" s="1">
        <v>45213</v>
      </c>
      <c r="C714" s="2">
        <v>0.25416666666666665</v>
      </c>
      <c r="D714" t="s">
        <v>857</v>
      </c>
      <c r="E714">
        <v>73</v>
      </c>
      <c r="F714" t="s">
        <v>812</v>
      </c>
      <c r="G714" t="s">
        <v>857</v>
      </c>
      <c r="H714" t="s">
        <v>13</v>
      </c>
      <c r="I714">
        <v>-5.1030600000000002</v>
      </c>
      <c r="J714">
        <v>22.849231</v>
      </c>
      <c r="K714" t="s">
        <v>1495</v>
      </c>
      <c r="L714" t="s">
        <v>1501</v>
      </c>
      <c r="M714" t="s">
        <v>765</v>
      </c>
      <c r="N714" t="s">
        <v>13</v>
      </c>
      <c r="O714" t="s">
        <v>1715</v>
      </c>
      <c r="P714">
        <v>48</v>
      </c>
      <c r="Q714" t="s">
        <v>11</v>
      </c>
      <c r="R714" s="2">
        <v>0.32847222222222222</v>
      </c>
      <c r="S714">
        <v>473</v>
      </c>
      <c r="T714">
        <v>71.52</v>
      </c>
      <c r="U714">
        <v>5</v>
      </c>
      <c r="V714">
        <v>0.45</v>
      </c>
      <c r="W714">
        <v>0.32200000000000001</v>
      </c>
    </row>
    <row r="715" spans="1:23" x14ac:dyDescent="0.3">
      <c r="A715" t="s">
        <v>805</v>
      </c>
      <c r="B715" s="1">
        <v>45203</v>
      </c>
      <c r="C715" s="2">
        <v>0.51180555555555551</v>
      </c>
      <c r="D715" t="s">
        <v>835</v>
      </c>
      <c r="E715">
        <v>64</v>
      </c>
      <c r="F715" t="s">
        <v>812</v>
      </c>
      <c r="G715" t="s">
        <v>835</v>
      </c>
      <c r="H715" t="s">
        <v>73</v>
      </c>
      <c r="I715">
        <v>0.23583499999999999</v>
      </c>
      <c r="J715">
        <v>24.889558999999998</v>
      </c>
      <c r="K715" t="s">
        <v>1500</v>
      </c>
      <c r="L715" t="s">
        <v>1501</v>
      </c>
      <c r="M715" t="s">
        <v>766</v>
      </c>
      <c r="N715" t="s">
        <v>73</v>
      </c>
      <c r="O715" t="s">
        <v>1757</v>
      </c>
      <c r="P715">
        <v>78</v>
      </c>
      <c r="Q715" t="s">
        <v>11</v>
      </c>
      <c r="R715" s="2">
        <v>0.26874999999999999</v>
      </c>
      <c r="S715">
        <v>387</v>
      </c>
      <c r="T715">
        <v>11.63</v>
      </c>
      <c r="U715">
        <v>2</v>
      </c>
      <c r="V715">
        <v>0.45</v>
      </c>
      <c r="W715">
        <v>5.1999999999999998E-2</v>
      </c>
    </row>
    <row r="716" spans="1:23" x14ac:dyDescent="0.3">
      <c r="A716" t="s">
        <v>805</v>
      </c>
      <c r="B716" s="1">
        <v>45218</v>
      </c>
      <c r="C716" s="2">
        <v>0.36875000000000002</v>
      </c>
      <c r="D716" t="s">
        <v>820</v>
      </c>
      <c r="E716">
        <v>70</v>
      </c>
      <c r="F716" t="s">
        <v>807</v>
      </c>
      <c r="G716" t="s">
        <v>820</v>
      </c>
      <c r="H716" t="s">
        <v>67</v>
      </c>
      <c r="I716">
        <v>-8.4227860000000003</v>
      </c>
      <c r="J716">
        <v>16.781293000000002</v>
      </c>
      <c r="K716" t="s">
        <v>1498</v>
      </c>
      <c r="L716" t="s">
        <v>1499</v>
      </c>
      <c r="M716" t="s">
        <v>767</v>
      </c>
      <c r="N716" t="s">
        <v>67</v>
      </c>
      <c r="O716" t="s">
        <v>1810</v>
      </c>
      <c r="P716">
        <v>81</v>
      </c>
      <c r="Q716" t="s">
        <v>22</v>
      </c>
      <c r="R716" s="2">
        <v>0.23541666666666666</v>
      </c>
      <c r="S716">
        <v>339</v>
      </c>
      <c r="T716">
        <v>53.4</v>
      </c>
      <c r="U716">
        <v>2</v>
      </c>
      <c r="V716">
        <v>0.45</v>
      </c>
      <c r="W716">
        <v>0.24</v>
      </c>
    </row>
    <row r="717" spans="1:23" x14ac:dyDescent="0.3">
      <c r="A717" t="s">
        <v>1014</v>
      </c>
      <c r="B717" s="1">
        <v>45225</v>
      </c>
      <c r="C717" s="2">
        <v>0.21527777777777779</v>
      </c>
      <c r="D717" t="s">
        <v>1043</v>
      </c>
      <c r="E717">
        <v>41</v>
      </c>
      <c r="F717" t="s">
        <v>812</v>
      </c>
      <c r="G717" t="s">
        <v>1043</v>
      </c>
      <c r="H717" t="s">
        <v>44</v>
      </c>
      <c r="I717">
        <v>-4.9552579999999997</v>
      </c>
      <c r="J717">
        <v>22.008103999999999</v>
      </c>
      <c r="K717" t="s">
        <v>1498</v>
      </c>
      <c r="L717" t="s">
        <v>1499</v>
      </c>
      <c r="M717" t="s">
        <v>768</v>
      </c>
      <c r="N717" t="s">
        <v>44</v>
      </c>
      <c r="O717" t="s">
        <v>1764</v>
      </c>
      <c r="P717">
        <v>108</v>
      </c>
      <c r="Q717" t="s">
        <v>19</v>
      </c>
      <c r="R717" s="2">
        <v>0.32430555555555557</v>
      </c>
      <c r="S717">
        <v>467</v>
      </c>
      <c r="T717">
        <v>44.84</v>
      </c>
      <c r="U717">
        <v>4</v>
      </c>
      <c r="V717">
        <v>0.45</v>
      </c>
      <c r="W717">
        <v>0.20200000000000001</v>
      </c>
    </row>
    <row r="718" spans="1:23" x14ac:dyDescent="0.3">
      <c r="A718" t="s">
        <v>805</v>
      </c>
      <c r="B718" s="1">
        <v>45212</v>
      </c>
      <c r="C718" s="2">
        <v>0.14027777777777778</v>
      </c>
      <c r="D718" t="s">
        <v>826</v>
      </c>
      <c r="E718">
        <v>19</v>
      </c>
      <c r="F718" t="s">
        <v>810</v>
      </c>
      <c r="G718" t="s">
        <v>826</v>
      </c>
      <c r="H718" t="s">
        <v>37</v>
      </c>
      <c r="I718">
        <v>-9.4708620000000003</v>
      </c>
      <c r="J718">
        <v>29.234387999999999</v>
      </c>
      <c r="K718" t="s">
        <v>1500</v>
      </c>
      <c r="L718" t="s">
        <v>1501</v>
      </c>
      <c r="M718" t="s">
        <v>769</v>
      </c>
      <c r="N718" t="s">
        <v>37</v>
      </c>
      <c r="O718" t="s">
        <v>1753</v>
      </c>
      <c r="P718">
        <v>4</v>
      </c>
      <c r="Q718" t="s">
        <v>14</v>
      </c>
      <c r="R718" s="2">
        <v>0.31180555555555556</v>
      </c>
      <c r="S718">
        <v>449</v>
      </c>
      <c r="T718">
        <v>43.95</v>
      </c>
      <c r="U718">
        <v>2</v>
      </c>
      <c r="V718">
        <v>0.1</v>
      </c>
      <c r="W718">
        <v>4.3999999999999997E-2</v>
      </c>
    </row>
    <row r="719" spans="1:23" x14ac:dyDescent="0.3">
      <c r="A719" t="s">
        <v>1073</v>
      </c>
      <c r="B719" s="1">
        <v>45221</v>
      </c>
      <c r="C719" s="2">
        <v>0.37638888888888888</v>
      </c>
      <c r="D719" t="s">
        <v>1096</v>
      </c>
      <c r="E719">
        <v>59</v>
      </c>
      <c r="F719" t="s">
        <v>812</v>
      </c>
      <c r="G719" t="s">
        <v>1096</v>
      </c>
      <c r="H719" t="s">
        <v>78</v>
      </c>
      <c r="I719">
        <v>-8.4824669999999998</v>
      </c>
      <c r="J719">
        <v>21.897777999999999</v>
      </c>
      <c r="K719" t="s">
        <v>1495</v>
      </c>
      <c r="L719" t="s">
        <v>1496</v>
      </c>
      <c r="M719" t="s">
        <v>770</v>
      </c>
      <c r="N719" t="s">
        <v>78</v>
      </c>
      <c r="O719" t="s">
        <v>1761</v>
      </c>
      <c r="P719">
        <v>119</v>
      </c>
      <c r="Q719" t="s">
        <v>14</v>
      </c>
      <c r="R719" s="2">
        <v>2.1527777777777778E-2</v>
      </c>
      <c r="S719">
        <v>31</v>
      </c>
      <c r="T719">
        <v>21.27</v>
      </c>
      <c r="U719">
        <v>5</v>
      </c>
      <c r="V719">
        <v>0.1</v>
      </c>
      <c r="W719">
        <v>2.1000000000000001E-2</v>
      </c>
    </row>
    <row r="720" spans="1:23" x14ac:dyDescent="0.3">
      <c r="A720" t="s">
        <v>805</v>
      </c>
      <c r="B720" s="1">
        <v>45211</v>
      </c>
      <c r="C720" s="2">
        <v>0.27916666666666667</v>
      </c>
      <c r="D720" t="s">
        <v>838</v>
      </c>
      <c r="E720">
        <v>75</v>
      </c>
      <c r="F720" t="s">
        <v>807</v>
      </c>
      <c r="G720" t="s">
        <v>838</v>
      </c>
      <c r="H720" t="s">
        <v>89</v>
      </c>
      <c r="I720">
        <v>-8.1437910000000002</v>
      </c>
      <c r="J720">
        <v>28.946161</v>
      </c>
      <c r="K720" t="s">
        <v>1498</v>
      </c>
      <c r="L720" t="s">
        <v>1501</v>
      </c>
      <c r="M720" t="s">
        <v>771</v>
      </c>
      <c r="N720" t="s">
        <v>89</v>
      </c>
      <c r="O720" t="s">
        <v>1770</v>
      </c>
      <c r="P720">
        <v>23</v>
      </c>
      <c r="Q720" t="s">
        <v>14</v>
      </c>
      <c r="R720" s="2">
        <v>8.3333333333333329E-2</v>
      </c>
      <c r="S720">
        <v>120</v>
      </c>
      <c r="T720">
        <v>73.12</v>
      </c>
      <c r="U720">
        <v>1</v>
      </c>
      <c r="V720">
        <v>0.1</v>
      </c>
      <c r="W720">
        <v>7.2999999999999995E-2</v>
      </c>
    </row>
    <row r="721" spans="1:23" x14ac:dyDescent="0.3">
      <c r="A721" t="s">
        <v>805</v>
      </c>
      <c r="B721" s="1">
        <v>45211</v>
      </c>
      <c r="C721" s="2">
        <v>0.27916666666666667</v>
      </c>
      <c r="D721" t="s">
        <v>838</v>
      </c>
      <c r="E721">
        <v>75</v>
      </c>
      <c r="F721" t="s">
        <v>807</v>
      </c>
      <c r="G721" t="s">
        <v>838</v>
      </c>
      <c r="H721" t="s">
        <v>89</v>
      </c>
      <c r="I721">
        <v>-8.1437910000000002</v>
      </c>
      <c r="J721">
        <v>28.946161</v>
      </c>
      <c r="K721" t="s">
        <v>1498</v>
      </c>
      <c r="L721" t="s">
        <v>1501</v>
      </c>
      <c r="M721" t="s">
        <v>772</v>
      </c>
      <c r="N721" t="s">
        <v>89</v>
      </c>
      <c r="O721" t="s">
        <v>1780</v>
      </c>
      <c r="P721">
        <v>42</v>
      </c>
      <c r="Q721" t="s">
        <v>19</v>
      </c>
      <c r="R721" s="2">
        <v>0.17499999999999999</v>
      </c>
      <c r="S721">
        <v>252</v>
      </c>
      <c r="T721">
        <v>59.46</v>
      </c>
      <c r="U721">
        <v>4</v>
      </c>
      <c r="V721">
        <v>0.45</v>
      </c>
      <c r="W721">
        <v>0.26800000000000002</v>
      </c>
    </row>
    <row r="722" spans="1:23" x14ac:dyDescent="0.3">
      <c r="A722" t="s">
        <v>936</v>
      </c>
      <c r="B722" s="1">
        <v>45221</v>
      </c>
      <c r="C722" s="2">
        <v>0.51736111111111116</v>
      </c>
      <c r="D722" t="s">
        <v>963</v>
      </c>
      <c r="E722">
        <v>83</v>
      </c>
      <c r="F722" t="s">
        <v>812</v>
      </c>
      <c r="G722" t="s">
        <v>963</v>
      </c>
      <c r="H722" t="s">
        <v>21</v>
      </c>
      <c r="I722">
        <v>-2.9651529999999999</v>
      </c>
      <c r="J722">
        <v>29.79908</v>
      </c>
      <c r="K722" t="s">
        <v>1498</v>
      </c>
      <c r="L722" t="s">
        <v>1496</v>
      </c>
      <c r="M722" t="s">
        <v>773</v>
      </c>
      <c r="N722" t="s">
        <v>21</v>
      </c>
      <c r="O722" t="s">
        <v>1762</v>
      </c>
      <c r="P722">
        <v>14</v>
      </c>
      <c r="Q722" t="s">
        <v>19</v>
      </c>
      <c r="R722" s="2">
        <v>2.5694444444444443E-2</v>
      </c>
      <c r="S722">
        <v>37</v>
      </c>
      <c r="T722">
        <v>20.399999999999999</v>
      </c>
      <c r="U722">
        <v>2</v>
      </c>
      <c r="V722">
        <v>0.45</v>
      </c>
      <c r="W722">
        <v>9.1999999999999998E-2</v>
      </c>
    </row>
    <row r="723" spans="1:23" x14ac:dyDescent="0.3">
      <c r="A723" t="s">
        <v>805</v>
      </c>
      <c r="B723" s="1">
        <v>45211</v>
      </c>
      <c r="C723" s="2">
        <v>0.27916666666666667</v>
      </c>
      <c r="D723" t="s">
        <v>838</v>
      </c>
      <c r="E723">
        <v>75</v>
      </c>
      <c r="F723" t="s">
        <v>807</v>
      </c>
      <c r="G723" t="s">
        <v>838</v>
      </c>
      <c r="H723" t="s">
        <v>89</v>
      </c>
      <c r="I723">
        <v>-8.1437910000000002</v>
      </c>
      <c r="J723">
        <v>28.946161</v>
      </c>
      <c r="K723" t="s">
        <v>1498</v>
      </c>
      <c r="L723" t="s">
        <v>1501</v>
      </c>
      <c r="M723" t="s">
        <v>774</v>
      </c>
      <c r="N723" t="s">
        <v>89</v>
      </c>
      <c r="O723" t="s">
        <v>1800</v>
      </c>
      <c r="P723">
        <v>90</v>
      </c>
      <c r="Q723" t="s">
        <v>22</v>
      </c>
      <c r="R723" s="2">
        <v>0.28611111111111109</v>
      </c>
      <c r="S723">
        <v>412</v>
      </c>
      <c r="T723">
        <v>20.62</v>
      </c>
      <c r="U723">
        <v>2</v>
      </c>
      <c r="V723">
        <v>0.45</v>
      </c>
      <c r="W723">
        <v>9.2999999999999999E-2</v>
      </c>
    </row>
    <row r="724" spans="1:23" x14ac:dyDescent="0.3">
      <c r="A724" t="s">
        <v>854</v>
      </c>
      <c r="B724" s="1">
        <v>45216</v>
      </c>
      <c r="C724" s="2">
        <v>0.67361111111111116</v>
      </c>
      <c r="D724" t="s">
        <v>881</v>
      </c>
      <c r="E724">
        <v>117</v>
      </c>
      <c r="F724" t="s">
        <v>807</v>
      </c>
      <c r="G724" t="s">
        <v>881</v>
      </c>
      <c r="H724" t="s">
        <v>31</v>
      </c>
      <c r="I724">
        <v>-12.141233</v>
      </c>
      <c r="J724">
        <v>15.179043999999999</v>
      </c>
      <c r="K724" t="s">
        <v>1495</v>
      </c>
      <c r="L724" t="s">
        <v>1496</v>
      </c>
      <c r="M724" t="s">
        <v>775</v>
      </c>
      <c r="N724" t="s">
        <v>31</v>
      </c>
      <c r="O724" t="s">
        <v>1798</v>
      </c>
      <c r="P724">
        <v>58</v>
      </c>
      <c r="Q724" t="s">
        <v>11</v>
      </c>
      <c r="R724" s="2">
        <v>0.33680555555555558</v>
      </c>
      <c r="S724">
        <v>485</v>
      </c>
      <c r="T724">
        <v>65.41</v>
      </c>
      <c r="U724">
        <v>5</v>
      </c>
      <c r="V724">
        <v>0.45</v>
      </c>
      <c r="W724">
        <v>0.29399999999999998</v>
      </c>
    </row>
    <row r="725" spans="1:23" x14ac:dyDescent="0.3">
      <c r="A725" t="s">
        <v>805</v>
      </c>
      <c r="B725" s="1">
        <v>45201</v>
      </c>
      <c r="C725" s="2">
        <v>0.88472222222222219</v>
      </c>
      <c r="D725" t="s">
        <v>833</v>
      </c>
      <c r="E725">
        <v>54</v>
      </c>
      <c r="F725" t="s">
        <v>812</v>
      </c>
      <c r="G725" t="s">
        <v>833</v>
      </c>
      <c r="H725" t="s">
        <v>131</v>
      </c>
      <c r="I725">
        <v>4.6287159999999998</v>
      </c>
      <c r="J725">
        <v>19.407077999999998</v>
      </c>
      <c r="K725" t="s">
        <v>1498</v>
      </c>
      <c r="L725" t="s">
        <v>1496</v>
      </c>
      <c r="M725" t="s">
        <v>776</v>
      </c>
      <c r="N725" t="s">
        <v>131</v>
      </c>
      <c r="O725" t="s">
        <v>1775</v>
      </c>
      <c r="P725">
        <v>49</v>
      </c>
      <c r="Q725" t="s">
        <v>19</v>
      </c>
      <c r="R725" s="2">
        <v>0.2</v>
      </c>
      <c r="S725">
        <v>288</v>
      </c>
      <c r="T725">
        <v>91.32</v>
      </c>
      <c r="U725">
        <v>4</v>
      </c>
      <c r="V725">
        <v>0.45</v>
      </c>
      <c r="W725">
        <v>0.41099999999999998</v>
      </c>
    </row>
    <row r="726" spans="1:23" x14ac:dyDescent="0.3">
      <c r="A726" t="s">
        <v>805</v>
      </c>
      <c r="B726" s="1">
        <v>45213</v>
      </c>
      <c r="C726" s="2">
        <v>0.31111111111111112</v>
      </c>
      <c r="D726" t="s">
        <v>819</v>
      </c>
      <c r="E726">
        <v>22</v>
      </c>
      <c r="F726" t="s">
        <v>810</v>
      </c>
      <c r="G726" t="s">
        <v>819</v>
      </c>
      <c r="H726" t="s">
        <v>40</v>
      </c>
      <c r="I726">
        <v>4.8319039999999998</v>
      </c>
      <c r="J726">
        <v>20.733468999999999</v>
      </c>
      <c r="K726" t="s">
        <v>1495</v>
      </c>
      <c r="L726" t="s">
        <v>1496</v>
      </c>
      <c r="M726" t="s">
        <v>777</v>
      </c>
      <c r="N726" t="s">
        <v>40</v>
      </c>
      <c r="O726" t="s">
        <v>1730</v>
      </c>
      <c r="P726">
        <v>18</v>
      </c>
      <c r="Q726" t="s">
        <v>19</v>
      </c>
      <c r="R726" s="2">
        <v>0.3215277777777778</v>
      </c>
      <c r="S726">
        <v>463</v>
      </c>
      <c r="T726">
        <v>41.66</v>
      </c>
      <c r="U726">
        <v>4</v>
      </c>
      <c r="V726">
        <v>0.45</v>
      </c>
      <c r="W726">
        <v>0.187</v>
      </c>
    </row>
    <row r="727" spans="1:23" x14ac:dyDescent="0.3">
      <c r="A727" t="s">
        <v>805</v>
      </c>
      <c r="B727" s="1">
        <v>45213</v>
      </c>
      <c r="C727" s="2">
        <v>4.2361111111111113E-2</v>
      </c>
      <c r="D727" t="s">
        <v>814</v>
      </c>
      <c r="E727">
        <v>119</v>
      </c>
      <c r="F727" t="s">
        <v>810</v>
      </c>
      <c r="G727" t="s">
        <v>814</v>
      </c>
      <c r="H727" t="s">
        <v>62</v>
      </c>
      <c r="I727">
        <v>-2.8211520000000001</v>
      </c>
      <c r="J727">
        <v>20.651419000000001</v>
      </c>
      <c r="K727" t="s">
        <v>1495</v>
      </c>
      <c r="L727" t="s">
        <v>1496</v>
      </c>
      <c r="M727" t="s">
        <v>778</v>
      </c>
      <c r="N727" t="s">
        <v>62</v>
      </c>
      <c r="O727" t="s">
        <v>1815</v>
      </c>
      <c r="P727">
        <v>82</v>
      </c>
      <c r="Q727" t="s">
        <v>14</v>
      </c>
      <c r="R727" s="2">
        <v>0.21666666666666667</v>
      </c>
      <c r="S727">
        <v>312</v>
      </c>
      <c r="T727">
        <v>40.880000000000003</v>
      </c>
      <c r="U727">
        <v>0</v>
      </c>
      <c r="V727">
        <v>0.1</v>
      </c>
      <c r="W727">
        <v>4.1000000000000002E-2</v>
      </c>
    </row>
    <row r="728" spans="1:23" x14ac:dyDescent="0.3">
      <c r="A728" t="s">
        <v>898</v>
      </c>
      <c r="B728" s="1">
        <v>45210</v>
      </c>
      <c r="C728" s="2">
        <v>0.56805555555555554</v>
      </c>
      <c r="D728" t="s">
        <v>904</v>
      </c>
      <c r="E728">
        <v>96</v>
      </c>
      <c r="F728" t="s">
        <v>807</v>
      </c>
      <c r="G728" t="s">
        <v>904</v>
      </c>
      <c r="H728" t="s">
        <v>64</v>
      </c>
      <c r="I728">
        <v>-5.4126279999999998</v>
      </c>
      <c r="J728">
        <v>25.498235999999999</v>
      </c>
      <c r="K728" t="s">
        <v>1495</v>
      </c>
      <c r="L728" t="s">
        <v>1501</v>
      </c>
      <c r="M728" t="s">
        <v>779</v>
      </c>
      <c r="N728" t="s">
        <v>64</v>
      </c>
      <c r="O728" t="s">
        <v>1733</v>
      </c>
      <c r="P728">
        <v>74</v>
      </c>
      <c r="Q728" t="s">
        <v>22</v>
      </c>
      <c r="R728" s="2">
        <v>0.24930555555555556</v>
      </c>
      <c r="S728">
        <v>359</v>
      </c>
      <c r="T728">
        <v>92.63</v>
      </c>
      <c r="U728">
        <v>0</v>
      </c>
      <c r="V728">
        <v>0.45</v>
      </c>
      <c r="W728">
        <v>0.41699999999999998</v>
      </c>
    </row>
    <row r="729" spans="1:23" x14ac:dyDescent="0.3">
      <c r="A729" t="s">
        <v>1073</v>
      </c>
      <c r="B729" s="1">
        <v>45205</v>
      </c>
      <c r="C729" s="2">
        <v>0.47152777777777777</v>
      </c>
      <c r="D729" t="s">
        <v>1088</v>
      </c>
      <c r="E729">
        <v>50</v>
      </c>
      <c r="F729" t="s">
        <v>810</v>
      </c>
      <c r="G729" t="s">
        <v>1088</v>
      </c>
      <c r="H729" t="s">
        <v>18</v>
      </c>
      <c r="I729">
        <v>2.628638</v>
      </c>
      <c r="J729">
        <v>28.420582</v>
      </c>
      <c r="K729" t="s">
        <v>1498</v>
      </c>
      <c r="L729" t="s">
        <v>1499</v>
      </c>
      <c r="M729" t="s">
        <v>780</v>
      </c>
      <c r="N729" t="s">
        <v>18</v>
      </c>
      <c r="O729" t="s">
        <v>1768</v>
      </c>
      <c r="P729">
        <v>72</v>
      </c>
      <c r="Q729" t="s">
        <v>19</v>
      </c>
      <c r="R729" s="2">
        <v>0.29652777777777778</v>
      </c>
      <c r="S729">
        <v>427</v>
      </c>
      <c r="T729">
        <v>31.44</v>
      </c>
      <c r="U729">
        <v>2</v>
      </c>
      <c r="V729">
        <v>0.45</v>
      </c>
      <c r="W729">
        <v>0.14099999999999999</v>
      </c>
    </row>
    <row r="730" spans="1:23" x14ac:dyDescent="0.3">
      <c r="A730" t="s">
        <v>805</v>
      </c>
      <c r="B730" s="1">
        <v>45217</v>
      </c>
      <c r="C730" s="2">
        <v>0.96875</v>
      </c>
      <c r="D730" t="s">
        <v>842</v>
      </c>
      <c r="E730">
        <v>97</v>
      </c>
      <c r="F730" t="s">
        <v>810</v>
      </c>
      <c r="G730" t="s">
        <v>842</v>
      </c>
      <c r="H730" t="s">
        <v>29</v>
      </c>
      <c r="I730">
        <v>-10.059846</v>
      </c>
      <c r="J730">
        <v>14.375757999999999</v>
      </c>
      <c r="K730" t="s">
        <v>1498</v>
      </c>
      <c r="L730" t="s">
        <v>1499</v>
      </c>
      <c r="M730" t="s">
        <v>781</v>
      </c>
      <c r="N730" t="s">
        <v>29</v>
      </c>
      <c r="O730" t="s">
        <v>1781</v>
      </c>
      <c r="P730">
        <v>26</v>
      </c>
      <c r="Q730" t="s">
        <v>11</v>
      </c>
      <c r="R730" s="2">
        <v>0.27152777777777776</v>
      </c>
      <c r="S730">
        <v>391</v>
      </c>
      <c r="T730">
        <v>18.28</v>
      </c>
      <c r="U730">
        <v>3</v>
      </c>
      <c r="V730">
        <v>0.45</v>
      </c>
      <c r="W730">
        <v>8.2000000000000003E-2</v>
      </c>
    </row>
    <row r="731" spans="1:23" x14ac:dyDescent="0.3">
      <c r="A731" t="s">
        <v>1161</v>
      </c>
      <c r="B731" s="1">
        <v>45207</v>
      </c>
      <c r="C731" s="2">
        <v>0.13333333333333333</v>
      </c>
      <c r="D731" t="s">
        <v>1165</v>
      </c>
      <c r="E731">
        <v>66</v>
      </c>
      <c r="F731" t="s">
        <v>810</v>
      </c>
      <c r="G731" t="s">
        <v>1165</v>
      </c>
      <c r="H731" t="s">
        <v>57</v>
      </c>
      <c r="I731">
        <v>-5.4073029999999997</v>
      </c>
      <c r="J731">
        <v>29.762294000000001</v>
      </c>
      <c r="K731" t="s">
        <v>1500</v>
      </c>
      <c r="L731" t="s">
        <v>1496</v>
      </c>
      <c r="M731" t="s">
        <v>782</v>
      </c>
      <c r="N731" t="s">
        <v>57</v>
      </c>
      <c r="O731" t="s">
        <v>1781</v>
      </c>
      <c r="P731">
        <v>26</v>
      </c>
      <c r="Q731" t="s">
        <v>19</v>
      </c>
      <c r="R731" s="2">
        <v>0.28680555555555554</v>
      </c>
      <c r="S731">
        <v>413</v>
      </c>
      <c r="T731">
        <v>10.9</v>
      </c>
      <c r="U731">
        <v>5</v>
      </c>
      <c r="V731">
        <v>0.45</v>
      </c>
      <c r="W731">
        <v>4.9000000000000002E-2</v>
      </c>
    </row>
    <row r="732" spans="1:23" x14ac:dyDescent="0.3">
      <c r="A732" t="s">
        <v>898</v>
      </c>
      <c r="B732" s="1">
        <v>45216</v>
      </c>
      <c r="C732" s="2">
        <v>0.90277777777777779</v>
      </c>
      <c r="D732" t="s">
        <v>929</v>
      </c>
      <c r="E732">
        <v>20</v>
      </c>
      <c r="F732" t="s">
        <v>812</v>
      </c>
      <c r="G732" t="s">
        <v>929</v>
      </c>
      <c r="H732" t="s">
        <v>51</v>
      </c>
      <c r="I732">
        <v>-4.2408359999999998</v>
      </c>
      <c r="J732">
        <v>26.210014000000001</v>
      </c>
      <c r="K732" t="s">
        <v>1498</v>
      </c>
      <c r="L732" t="s">
        <v>1499</v>
      </c>
      <c r="M732" t="s">
        <v>783</v>
      </c>
      <c r="N732" t="s">
        <v>51</v>
      </c>
      <c r="O732" t="s">
        <v>1746</v>
      </c>
      <c r="P732">
        <v>33</v>
      </c>
      <c r="Q732" t="s">
        <v>22</v>
      </c>
      <c r="R732" s="2">
        <v>1.2500000000000001E-2</v>
      </c>
      <c r="S732">
        <v>18</v>
      </c>
      <c r="T732">
        <v>47.18</v>
      </c>
      <c r="U732">
        <v>4</v>
      </c>
      <c r="V732">
        <v>0.45</v>
      </c>
      <c r="W732">
        <v>0.21199999999999999</v>
      </c>
    </row>
    <row r="733" spans="1:23" x14ac:dyDescent="0.3">
      <c r="A733" t="s">
        <v>854</v>
      </c>
      <c r="B733" s="1">
        <v>45213</v>
      </c>
      <c r="C733" s="2">
        <v>0.25416666666666665</v>
      </c>
      <c r="D733" t="s">
        <v>857</v>
      </c>
      <c r="E733">
        <v>73</v>
      </c>
      <c r="F733" t="s">
        <v>812</v>
      </c>
      <c r="G733" t="s">
        <v>857</v>
      </c>
      <c r="H733" t="s">
        <v>13</v>
      </c>
      <c r="I733">
        <v>-5.1030600000000002</v>
      </c>
      <c r="J733">
        <v>22.849231</v>
      </c>
      <c r="K733" t="s">
        <v>1495</v>
      </c>
      <c r="L733" t="s">
        <v>1501</v>
      </c>
      <c r="M733" t="s">
        <v>784</v>
      </c>
      <c r="N733" t="s">
        <v>13</v>
      </c>
      <c r="O733" t="s">
        <v>1718</v>
      </c>
      <c r="P733">
        <v>63</v>
      </c>
      <c r="Q733" t="s">
        <v>11</v>
      </c>
      <c r="R733" s="2">
        <v>0.12291666666666666</v>
      </c>
      <c r="S733">
        <v>177</v>
      </c>
      <c r="T733">
        <v>77.73</v>
      </c>
      <c r="U733">
        <v>3</v>
      </c>
      <c r="V733">
        <v>0.45</v>
      </c>
      <c r="W733">
        <v>0.35</v>
      </c>
    </row>
    <row r="734" spans="1:23" x14ac:dyDescent="0.3">
      <c r="A734" t="s">
        <v>898</v>
      </c>
      <c r="B734" s="1">
        <v>45216</v>
      </c>
      <c r="C734" s="2">
        <v>0.90277777777777779</v>
      </c>
      <c r="D734" t="s">
        <v>929</v>
      </c>
      <c r="E734">
        <v>20</v>
      </c>
      <c r="F734" t="s">
        <v>812</v>
      </c>
      <c r="G734" t="s">
        <v>929</v>
      </c>
      <c r="H734" t="s">
        <v>51</v>
      </c>
      <c r="I734">
        <v>-4.2408359999999998</v>
      </c>
      <c r="J734">
        <v>26.210014000000001</v>
      </c>
      <c r="K734" t="s">
        <v>1498</v>
      </c>
      <c r="L734" t="s">
        <v>1499</v>
      </c>
      <c r="M734" t="s">
        <v>785</v>
      </c>
      <c r="N734" t="s">
        <v>51</v>
      </c>
      <c r="O734" t="s">
        <v>1807</v>
      </c>
      <c r="P734">
        <v>57</v>
      </c>
      <c r="Q734" t="s">
        <v>11</v>
      </c>
      <c r="R734" s="2">
        <v>2.5000000000000001E-2</v>
      </c>
      <c r="S734">
        <v>36</v>
      </c>
      <c r="T734">
        <v>82.7</v>
      </c>
      <c r="U734">
        <v>2</v>
      </c>
      <c r="V734">
        <v>0.45</v>
      </c>
      <c r="W734">
        <v>0.372</v>
      </c>
    </row>
    <row r="735" spans="1:23" x14ac:dyDescent="0.3">
      <c r="A735" t="s">
        <v>854</v>
      </c>
      <c r="B735" s="1">
        <v>45222</v>
      </c>
      <c r="C735" s="2">
        <v>0.42708333333333331</v>
      </c>
      <c r="D735" t="s">
        <v>892</v>
      </c>
      <c r="E735">
        <v>82</v>
      </c>
      <c r="F735" t="s">
        <v>807</v>
      </c>
      <c r="G735" t="s">
        <v>892</v>
      </c>
      <c r="H735" t="s">
        <v>26</v>
      </c>
      <c r="I735">
        <v>-4.4697000000000001E-2</v>
      </c>
      <c r="J735">
        <v>22.943373000000001</v>
      </c>
      <c r="K735" t="s">
        <v>1500</v>
      </c>
      <c r="L735" t="s">
        <v>1499</v>
      </c>
      <c r="M735" t="s">
        <v>786</v>
      </c>
      <c r="N735" t="s">
        <v>26</v>
      </c>
      <c r="O735" t="s">
        <v>1740</v>
      </c>
      <c r="P735">
        <v>87</v>
      </c>
      <c r="Q735" t="s">
        <v>14</v>
      </c>
      <c r="R735" s="2">
        <v>0.33750000000000002</v>
      </c>
      <c r="S735">
        <v>486</v>
      </c>
      <c r="T735">
        <v>58.26</v>
      </c>
      <c r="U735">
        <v>0</v>
      </c>
      <c r="V735">
        <v>0.1</v>
      </c>
      <c r="W735">
        <v>5.8000000000000003E-2</v>
      </c>
    </row>
    <row r="736" spans="1:23" x14ac:dyDescent="0.3">
      <c r="A736" t="s">
        <v>854</v>
      </c>
      <c r="B736" s="1">
        <v>45213</v>
      </c>
      <c r="C736" s="2">
        <v>0.25416666666666665</v>
      </c>
      <c r="D736" t="s">
        <v>857</v>
      </c>
      <c r="E736">
        <v>73</v>
      </c>
      <c r="F736" t="s">
        <v>812</v>
      </c>
      <c r="G736" t="s">
        <v>857</v>
      </c>
      <c r="H736" t="s">
        <v>13</v>
      </c>
      <c r="I736">
        <v>-5.1030600000000002</v>
      </c>
      <c r="J736">
        <v>22.849231</v>
      </c>
      <c r="K736" t="s">
        <v>1495</v>
      </c>
      <c r="L736" t="s">
        <v>1501</v>
      </c>
      <c r="M736" t="s">
        <v>787</v>
      </c>
      <c r="N736" t="s">
        <v>13</v>
      </c>
      <c r="O736" t="s">
        <v>1828</v>
      </c>
      <c r="P736">
        <v>37</v>
      </c>
      <c r="Q736" t="s">
        <v>11</v>
      </c>
      <c r="R736" s="2">
        <v>0.14791666666666667</v>
      </c>
      <c r="S736">
        <v>213</v>
      </c>
      <c r="T736">
        <v>14.12</v>
      </c>
      <c r="U736">
        <v>1</v>
      </c>
      <c r="V736">
        <v>0.45</v>
      </c>
      <c r="W736">
        <v>6.4000000000000001E-2</v>
      </c>
    </row>
    <row r="737" spans="1:23" x14ac:dyDescent="0.3">
      <c r="A737" t="s">
        <v>854</v>
      </c>
      <c r="B737" s="1">
        <v>45222</v>
      </c>
      <c r="C737" s="2">
        <v>0.42708333333333331</v>
      </c>
      <c r="D737" t="s">
        <v>892</v>
      </c>
      <c r="E737">
        <v>82</v>
      </c>
      <c r="F737" t="s">
        <v>807</v>
      </c>
      <c r="G737" t="s">
        <v>892</v>
      </c>
      <c r="H737" t="s">
        <v>26</v>
      </c>
      <c r="I737">
        <v>-4.4697000000000001E-2</v>
      </c>
      <c r="J737">
        <v>22.943373000000001</v>
      </c>
      <c r="K737" t="s">
        <v>1500</v>
      </c>
      <c r="L737" t="s">
        <v>1499</v>
      </c>
      <c r="M737" t="s">
        <v>788</v>
      </c>
      <c r="N737" t="s">
        <v>26</v>
      </c>
      <c r="O737" t="s">
        <v>1714</v>
      </c>
      <c r="P737">
        <v>29</v>
      </c>
      <c r="Q737" t="s">
        <v>19</v>
      </c>
      <c r="R737" s="2">
        <v>0.21249999999999999</v>
      </c>
      <c r="S737">
        <v>306</v>
      </c>
      <c r="T737">
        <v>82.16</v>
      </c>
      <c r="U737">
        <v>1</v>
      </c>
      <c r="V737">
        <v>0.45</v>
      </c>
      <c r="W737">
        <v>0.37</v>
      </c>
    </row>
    <row r="738" spans="1:23" x14ac:dyDescent="0.3">
      <c r="A738" t="s">
        <v>1073</v>
      </c>
      <c r="B738" s="1">
        <v>45221</v>
      </c>
      <c r="C738" s="2">
        <v>0.37638888888888888</v>
      </c>
      <c r="D738" t="s">
        <v>1096</v>
      </c>
      <c r="E738">
        <v>59</v>
      </c>
      <c r="F738" t="s">
        <v>812</v>
      </c>
      <c r="G738" t="s">
        <v>1096</v>
      </c>
      <c r="H738" t="s">
        <v>78</v>
      </c>
      <c r="I738">
        <v>-8.4824669999999998</v>
      </c>
      <c r="J738">
        <v>21.897777999999999</v>
      </c>
      <c r="K738" t="s">
        <v>1495</v>
      </c>
      <c r="L738" t="s">
        <v>1496</v>
      </c>
      <c r="M738" t="s">
        <v>789</v>
      </c>
      <c r="N738" t="s">
        <v>78</v>
      </c>
      <c r="O738" t="s">
        <v>1781</v>
      </c>
      <c r="P738">
        <v>26</v>
      </c>
      <c r="Q738" t="s">
        <v>22</v>
      </c>
      <c r="R738" s="2">
        <v>0.26250000000000001</v>
      </c>
      <c r="S738">
        <v>378</v>
      </c>
      <c r="T738">
        <v>88.59</v>
      </c>
      <c r="U738">
        <v>4</v>
      </c>
      <c r="V738">
        <v>0.45</v>
      </c>
      <c r="W738">
        <v>0.39900000000000002</v>
      </c>
    </row>
    <row r="739" spans="1:23" x14ac:dyDescent="0.3">
      <c r="A739" t="s">
        <v>854</v>
      </c>
      <c r="B739" s="1">
        <v>45214</v>
      </c>
      <c r="C739" s="2">
        <v>0.9604166666666667</v>
      </c>
      <c r="D739" t="s">
        <v>859</v>
      </c>
      <c r="E739">
        <v>38</v>
      </c>
      <c r="F739" t="s">
        <v>807</v>
      </c>
      <c r="G739" t="s">
        <v>859</v>
      </c>
      <c r="H739" t="s">
        <v>137</v>
      </c>
      <c r="I739">
        <v>-11.710407999999999</v>
      </c>
      <c r="J739">
        <v>23.741330999999999</v>
      </c>
      <c r="K739" t="s">
        <v>1500</v>
      </c>
      <c r="L739" t="s">
        <v>1499</v>
      </c>
      <c r="M739" t="s">
        <v>790</v>
      </c>
      <c r="N739" t="s">
        <v>137</v>
      </c>
      <c r="O739" t="s">
        <v>1786</v>
      </c>
      <c r="P739">
        <v>95</v>
      </c>
      <c r="Q739" t="s">
        <v>11</v>
      </c>
      <c r="R739" s="2">
        <v>0.21736111111111112</v>
      </c>
      <c r="S739">
        <v>313</v>
      </c>
      <c r="T739">
        <v>32.49</v>
      </c>
      <c r="U739">
        <v>1</v>
      </c>
      <c r="V739">
        <v>0.45</v>
      </c>
      <c r="W739">
        <v>0.14599999999999999</v>
      </c>
    </row>
    <row r="740" spans="1:23" x14ac:dyDescent="0.3">
      <c r="A740" t="s">
        <v>1161</v>
      </c>
      <c r="B740" s="1">
        <v>45207</v>
      </c>
      <c r="C740" s="2">
        <v>0.13333333333333333</v>
      </c>
      <c r="D740" t="s">
        <v>1165</v>
      </c>
      <c r="E740">
        <v>66</v>
      </c>
      <c r="F740" t="s">
        <v>810</v>
      </c>
      <c r="G740" t="s">
        <v>1165</v>
      </c>
      <c r="H740" t="s">
        <v>57</v>
      </c>
      <c r="I740">
        <v>-5.4073029999999997</v>
      </c>
      <c r="J740">
        <v>29.762294000000001</v>
      </c>
      <c r="K740" t="s">
        <v>1500</v>
      </c>
      <c r="L740" t="s">
        <v>1496</v>
      </c>
      <c r="M740" t="s">
        <v>791</v>
      </c>
      <c r="N740" t="s">
        <v>57</v>
      </c>
      <c r="O740" t="s">
        <v>1812</v>
      </c>
      <c r="P740">
        <v>21</v>
      </c>
      <c r="Q740" t="s">
        <v>19</v>
      </c>
      <c r="R740" s="2">
        <v>0.3298611111111111</v>
      </c>
      <c r="S740">
        <v>475</v>
      </c>
      <c r="T740">
        <v>15.12</v>
      </c>
      <c r="U740">
        <v>2</v>
      </c>
      <c r="V740">
        <v>0.45</v>
      </c>
      <c r="W740">
        <v>6.8000000000000005E-2</v>
      </c>
    </row>
    <row r="741" spans="1:23" x14ac:dyDescent="0.3">
      <c r="A741" t="s">
        <v>854</v>
      </c>
      <c r="B741" s="1">
        <v>45214</v>
      </c>
      <c r="C741" s="2">
        <v>0.9604166666666667</v>
      </c>
      <c r="D741" t="s">
        <v>859</v>
      </c>
      <c r="E741">
        <v>38</v>
      </c>
      <c r="F741" t="s">
        <v>807</v>
      </c>
      <c r="G741" t="s">
        <v>859</v>
      </c>
      <c r="H741" t="s">
        <v>137</v>
      </c>
      <c r="I741">
        <v>-11.710407999999999</v>
      </c>
      <c r="J741">
        <v>23.741330999999999</v>
      </c>
      <c r="K741" t="s">
        <v>1500</v>
      </c>
      <c r="L741" t="s">
        <v>1499</v>
      </c>
      <c r="M741" t="s">
        <v>792</v>
      </c>
      <c r="N741" t="s">
        <v>137</v>
      </c>
      <c r="O741" t="s">
        <v>1777</v>
      </c>
      <c r="P741">
        <v>56</v>
      </c>
      <c r="Q741" t="s">
        <v>22</v>
      </c>
      <c r="R741" s="2">
        <v>2.8472222222222222E-2</v>
      </c>
      <c r="S741">
        <v>41</v>
      </c>
      <c r="T741">
        <v>15.1</v>
      </c>
      <c r="U741">
        <v>5</v>
      </c>
      <c r="V741">
        <v>0.45</v>
      </c>
      <c r="W741">
        <v>6.8000000000000005E-2</v>
      </c>
    </row>
    <row r="742" spans="1:23" x14ac:dyDescent="0.3">
      <c r="A742" t="s">
        <v>805</v>
      </c>
      <c r="B742" s="1">
        <v>45214</v>
      </c>
      <c r="C742" s="2">
        <v>0.71319444444444446</v>
      </c>
      <c r="D742" t="s">
        <v>828</v>
      </c>
      <c r="E742">
        <v>25</v>
      </c>
      <c r="F742" t="s">
        <v>807</v>
      </c>
      <c r="G742" t="s">
        <v>828</v>
      </c>
      <c r="H742" t="s">
        <v>24</v>
      </c>
      <c r="I742">
        <v>0.172153</v>
      </c>
      <c r="J742">
        <v>21.091376</v>
      </c>
      <c r="K742" t="s">
        <v>1500</v>
      </c>
      <c r="L742" t="s">
        <v>1496</v>
      </c>
      <c r="M742" t="s">
        <v>793</v>
      </c>
      <c r="N742" t="s">
        <v>24</v>
      </c>
      <c r="O742" t="s">
        <v>1760</v>
      </c>
      <c r="P742">
        <v>105</v>
      </c>
      <c r="Q742" t="s">
        <v>11</v>
      </c>
      <c r="R742" s="2">
        <v>0.31527777777777777</v>
      </c>
      <c r="S742">
        <v>454</v>
      </c>
      <c r="T742">
        <v>49.47</v>
      </c>
      <c r="U742">
        <v>4</v>
      </c>
      <c r="V742">
        <v>0.45</v>
      </c>
      <c r="W742">
        <v>0.223</v>
      </c>
    </row>
    <row r="743" spans="1:23" x14ac:dyDescent="0.3">
      <c r="A743" t="s">
        <v>1073</v>
      </c>
      <c r="B743" s="1">
        <v>45205</v>
      </c>
      <c r="C743" s="2">
        <v>0.47152777777777777</v>
      </c>
      <c r="D743" t="s">
        <v>1088</v>
      </c>
      <c r="E743">
        <v>50</v>
      </c>
      <c r="F743" t="s">
        <v>810</v>
      </c>
      <c r="G743" t="s">
        <v>1088</v>
      </c>
      <c r="H743" t="s">
        <v>18</v>
      </c>
      <c r="I743">
        <v>2.628638</v>
      </c>
      <c r="J743">
        <v>28.420582</v>
      </c>
      <c r="K743" t="s">
        <v>1498</v>
      </c>
      <c r="L743" t="s">
        <v>1499</v>
      </c>
      <c r="M743" t="s">
        <v>794</v>
      </c>
      <c r="N743" t="s">
        <v>18</v>
      </c>
      <c r="O743" t="s">
        <v>1742</v>
      </c>
      <c r="P743">
        <v>68</v>
      </c>
      <c r="Q743" t="s">
        <v>14</v>
      </c>
      <c r="R743" s="2">
        <v>0.19583333333333333</v>
      </c>
      <c r="S743">
        <v>282</v>
      </c>
      <c r="T743">
        <v>35.43</v>
      </c>
      <c r="U743">
        <v>1</v>
      </c>
      <c r="V743">
        <v>0.1</v>
      </c>
      <c r="W743">
        <v>3.5000000000000003E-2</v>
      </c>
    </row>
    <row r="744" spans="1:23" x14ac:dyDescent="0.3">
      <c r="A744" t="s">
        <v>805</v>
      </c>
      <c r="B744" s="1">
        <v>45214</v>
      </c>
      <c r="C744" s="2">
        <v>0.71319444444444446</v>
      </c>
      <c r="D744" t="s">
        <v>828</v>
      </c>
      <c r="E744">
        <v>25</v>
      </c>
      <c r="F744" t="s">
        <v>807</v>
      </c>
      <c r="G744" t="s">
        <v>828</v>
      </c>
      <c r="H744" t="s">
        <v>24</v>
      </c>
      <c r="I744">
        <v>0.172153</v>
      </c>
      <c r="J744">
        <v>21.091376</v>
      </c>
      <c r="K744" t="s">
        <v>1500</v>
      </c>
      <c r="L744" t="s">
        <v>1496</v>
      </c>
      <c r="M744" t="s">
        <v>795</v>
      </c>
      <c r="N744" t="s">
        <v>24</v>
      </c>
      <c r="O744" t="s">
        <v>1759</v>
      </c>
      <c r="P744">
        <v>104</v>
      </c>
      <c r="Q744" t="s">
        <v>19</v>
      </c>
      <c r="R744" s="2">
        <v>0.1701388888888889</v>
      </c>
      <c r="S744">
        <v>245</v>
      </c>
      <c r="T744">
        <v>38.270000000000003</v>
      </c>
      <c r="U744">
        <v>0</v>
      </c>
      <c r="V744">
        <v>0.45</v>
      </c>
      <c r="W744">
        <v>0.17199999999999999</v>
      </c>
    </row>
    <row r="745" spans="1:23" x14ac:dyDescent="0.3">
      <c r="A745" t="s">
        <v>1161</v>
      </c>
      <c r="B745" s="1">
        <v>45207</v>
      </c>
      <c r="C745" s="2">
        <v>0.13333333333333333</v>
      </c>
      <c r="D745" t="s">
        <v>1165</v>
      </c>
      <c r="E745">
        <v>66</v>
      </c>
      <c r="F745" t="s">
        <v>810</v>
      </c>
      <c r="G745" t="s">
        <v>1165</v>
      </c>
      <c r="H745" t="s">
        <v>57</v>
      </c>
      <c r="I745">
        <v>-5.4073029999999997</v>
      </c>
      <c r="J745">
        <v>29.762294000000001</v>
      </c>
      <c r="K745" t="s">
        <v>1500</v>
      </c>
      <c r="L745" t="s">
        <v>1496</v>
      </c>
      <c r="M745" t="s">
        <v>796</v>
      </c>
      <c r="N745" t="s">
        <v>57</v>
      </c>
      <c r="O745" t="s">
        <v>1782</v>
      </c>
      <c r="P745">
        <v>102</v>
      </c>
      <c r="Q745" t="s">
        <v>19</v>
      </c>
      <c r="R745" s="2">
        <v>0.33611111111111114</v>
      </c>
      <c r="S745">
        <v>484</v>
      </c>
      <c r="T745">
        <v>64.22</v>
      </c>
      <c r="U745">
        <v>2</v>
      </c>
      <c r="V745">
        <v>0.45</v>
      </c>
      <c r="W745">
        <v>0.28899999999999998</v>
      </c>
    </row>
    <row r="746" spans="1:23" x14ac:dyDescent="0.3">
      <c r="A746" t="s">
        <v>898</v>
      </c>
      <c r="B746" s="1">
        <v>45216</v>
      </c>
      <c r="C746" s="2">
        <v>0.90277777777777779</v>
      </c>
      <c r="D746" t="s">
        <v>929</v>
      </c>
      <c r="E746">
        <v>20</v>
      </c>
      <c r="F746" t="s">
        <v>812</v>
      </c>
      <c r="G746" t="s">
        <v>929</v>
      </c>
      <c r="H746" t="s">
        <v>51</v>
      </c>
      <c r="I746">
        <v>-4.2408359999999998</v>
      </c>
      <c r="J746">
        <v>26.210014000000001</v>
      </c>
      <c r="K746" t="s">
        <v>1498</v>
      </c>
      <c r="L746" t="s">
        <v>1499</v>
      </c>
      <c r="M746" t="s">
        <v>797</v>
      </c>
      <c r="N746" t="s">
        <v>51</v>
      </c>
      <c r="O746" t="s">
        <v>1813</v>
      </c>
      <c r="P746">
        <v>25</v>
      </c>
      <c r="Q746" t="s">
        <v>14</v>
      </c>
      <c r="R746" s="2">
        <v>4.583333333333333E-2</v>
      </c>
      <c r="S746">
        <v>66</v>
      </c>
      <c r="T746">
        <v>90.14</v>
      </c>
      <c r="U746">
        <v>5</v>
      </c>
      <c r="V746">
        <v>0.1</v>
      </c>
      <c r="W746">
        <v>0.09</v>
      </c>
    </row>
    <row r="747" spans="1:23" x14ac:dyDescent="0.3">
      <c r="A747" t="s">
        <v>805</v>
      </c>
      <c r="B747" s="1">
        <v>45217</v>
      </c>
      <c r="C747" s="2">
        <v>0.96875</v>
      </c>
      <c r="D747" t="s">
        <v>842</v>
      </c>
      <c r="E747">
        <v>97</v>
      </c>
      <c r="F747" t="s">
        <v>810</v>
      </c>
      <c r="G747" t="s">
        <v>842</v>
      </c>
      <c r="H747" t="s">
        <v>29</v>
      </c>
      <c r="I747">
        <v>-10.059846</v>
      </c>
      <c r="J747">
        <v>14.375757999999999</v>
      </c>
      <c r="K747" t="s">
        <v>1498</v>
      </c>
      <c r="L747" t="s">
        <v>1499</v>
      </c>
      <c r="M747" t="s">
        <v>798</v>
      </c>
      <c r="N747" t="s">
        <v>29</v>
      </c>
      <c r="O747" t="s">
        <v>1803</v>
      </c>
      <c r="P747">
        <v>12</v>
      </c>
      <c r="Q747" t="s">
        <v>11</v>
      </c>
      <c r="R747" s="2">
        <v>9.583333333333334E-2</v>
      </c>
      <c r="S747">
        <v>138</v>
      </c>
      <c r="T747">
        <v>99.83</v>
      </c>
      <c r="U747">
        <v>1</v>
      </c>
      <c r="V747">
        <v>0.45</v>
      </c>
      <c r="W747">
        <v>0.44900000000000001</v>
      </c>
    </row>
    <row r="748" spans="1:23" x14ac:dyDescent="0.3">
      <c r="A748" t="s">
        <v>1073</v>
      </c>
      <c r="B748" s="1">
        <v>45205</v>
      </c>
      <c r="C748" s="2">
        <v>0.47152777777777777</v>
      </c>
      <c r="D748" t="s">
        <v>1088</v>
      </c>
      <c r="E748">
        <v>50</v>
      </c>
      <c r="F748" t="s">
        <v>810</v>
      </c>
      <c r="G748" t="s">
        <v>1088</v>
      </c>
      <c r="H748" t="s">
        <v>18</v>
      </c>
      <c r="I748">
        <v>2.628638</v>
      </c>
      <c r="J748">
        <v>28.420582</v>
      </c>
      <c r="K748" t="s">
        <v>1498</v>
      </c>
      <c r="L748" t="s">
        <v>1499</v>
      </c>
      <c r="M748" t="s">
        <v>799</v>
      </c>
      <c r="N748" t="s">
        <v>18</v>
      </c>
      <c r="O748" t="s">
        <v>1822</v>
      </c>
      <c r="P748">
        <v>75</v>
      </c>
      <c r="Q748" t="s">
        <v>19</v>
      </c>
      <c r="R748" s="2">
        <v>0.25694444444444442</v>
      </c>
      <c r="S748">
        <v>370</v>
      </c>
      <c r="T748">
        <v>21.67</v>
      </c>
      <c r="U748">
        <v>0</v>
      </c>
      <c r="V748">
        <v>0.45</v>
      </c>
      <c r="W748">
        <v>9.8000000000000004E-2</v>
      </c>
    </row>
    <row r="749" spans="1:23" x14ac:dyDescent="0.3">
      <c r="A749" t="s">
        <v>805</v>
      </c>
      <c r="B749" s="1">
        <v>45201</v>
      </c>
      <c r="C749" s="2">
        <v>0.88472222222222219</v>
      </c>
      <c r="D749" t="s">
        <v>833</v>
      </c>
      <c r="E749">
        <v>54</v>
      </c>
      <c r="F749" t="s">
        <v>812</v>
      </c>
      <c r="G749" t="s">
        <v>833</v>
      </c>
      <c r="H749" t="s">
        <v>131</v>
      </c>
      <c r="I749">
        <v>4.6287159999999998</v>
      </c>
      <c r="J749">
        <v>19.407077999999998</v>
      </c>
      <c r="K749" t="s">
        <v>1498</v>
      </c>
      <c r="L749" t="s">
        <v>1496</v>
      </c>
      <c r="M749" t="s">
        <v>800</v>
      </c>
      <c r="N749" t="s">
        <v>131</v>
      </c>
      <c r="O749" t="s">
        <v>1753</v>
      </c>
      <c r="P749">
        <v>4</v>
      </c>
      <c r="Q749" t="s">
        <v>19</v>
      </c>
      <c r="R749" s="2">
        <v>1.4583333333333334E-2</v>
      </c>
      <c r="S749">
        <v>21</v>
      </c>
      <c r="T749">
        <v>45.8</v>
      </c>
      <c r="U749">
        <v>1</v>
      </c>
      <c r="V749">
        <v>0.45</v>
      </c>
      <c r="W749">
        <v>0.20599999999999999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AA3E44-3DAB-4FDA-AD4A-A90B38154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Client</vt:lpstr>
      <vt:lpstr>Logs_Reseau2</vt:lpstr>
      <vt:lpstr>Maintenance_Rx</vt:lpstr>
      <vt:lpstr>Vlookup</vt:lpstr>
      <vt:lpstr>TCD</vt:lpstr>
      <vt:lpstr>Matrice2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samuelle safi</dc:creator>
  <cp:lastModifiedBy>samuelle safi</cp:lastModifiedBy>
  <dcterms:created xsi:type="dcterms:W3CDTF">2026-03-31T15:20:39Z</dcterms:created>
  <dcterms:modified xsi:type="dcterms:W3CDTF">2026-04-06T21:04:10Z</dcterms:modified>
</cp:coreProperties>
</file>