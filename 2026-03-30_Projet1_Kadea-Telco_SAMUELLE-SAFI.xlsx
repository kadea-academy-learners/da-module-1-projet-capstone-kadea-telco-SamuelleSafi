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"/>
    </mc:Choice>
  </mc:AlternateContent>
  <xr:revisionPtr revIDLastSave="0" documentId="13_ncr:1_{2BA231BD-60C1-4F96-8372-6C838F500EE9}" xr6:coauthVersionLast="47" xr6:coauthVersionMax="47" xr10:uidLastSave="{00000000-0000-0000-0000-000000000000}"/>
  <bookViews>
    <workbookView xWindow="-108" yWindow="-108" windowWidth="23256" windowHeight="13896" firstSheet="2" activeTab="6" xr2:uid="{04FDCBEB-B261-4C24-A0F1-39B2F0490EAB}"/>
  </bookViews>
  <sheets>
    <sheet name="Client" sheetId="2" r:id="rId1"/>
    <sheet name="Logs_Reseau2" sheetId="3" r:id="rId2"/>
    <sheet name="Maintenance_Rx" sheetId="4" r:id="rId3"/>
    <sheet name="Vlookup" sheetId="5" r:id="rId4"/>
    <sheet name="TCD" sheetId="8" r:id="rId5"/>
    <sheet name="Matrice1" sheetId="6" r:id="rId6"/>
    <sheet name="Feuil1" sheetId="1" r:id="rId7"/>
  </sheets>
  <definedNames>
    <definedName name="DonnéesExternes_1" localSheetId="0" hidden="1">'Client'!$A$1:$H$749</definedName>
    <definedName name="DonnéesExternes_1" localSheetId="1" hidden="1">Logs_Reseau2!$A$1:$F$1034</definedName>
    <definedName name="DonnéesExternes_1" localSheetId="2" hidden="1">Maintenance_Rx!$A$1:$G$499</definedName>
    <definedName name="Segment_Maintenance_Rx.Technologie">#N/A</definedName>
  </definedNames>
  <calcPr calcId="191029"/>
  <pivotCaches>
    <pivotCache cacheId="11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6" l="1"/>
  <c r="W5" i="6" s="1"/>
  <c r="V7" i="6"/>
  <c r="W7" i="6" s="1"/>
  <c r="V8" i="6"/>
  <c r="W8" i="6" s="1"/>
  <c r="V10" i="6"/>
  <c r="W10" i="6" s="1"/>
  <c r="V14" i="6"/>
  <c r="W14" i="6" s="1"/>
  <c r="V20" i="6"/>
  <c r="W20" i="6" s="1"/>
  <c r="V27" i="6"/>
  <c r="W27" i="6" s="1"/>
  <c r="V29" i="6"/>
  <c r="W29" i="6" s="1"/>
  <c r="V41" i="6"/>
  <c r="W41" i="6" s="1"/>
  <c r="V49" i="6"/>
  <c r="W49" i="6" s="1"/>
  <c r="V52" i="6"/>
  <c r="W52" i="6" s="1"/>
  <c r="V55" i="6"/>
  <c r="W55" i="6" s="1"/>
  <c r="V67" i="6"/>
  <c r="W67" i="6" s="1"/>
  <c r="V71" i="6"/>
  <c r="W71" i="6" s="1"/>
  <c r="V81" i="6"/>
  <c r="W81" i="6" s="1"/>
  <c r="V83" i="6"/>
  <c r="W83" i="6" s="1"/>
  <c r="V84" i="6"/>
  <c r="W84" i="6" s="1"/>
  <c r="V87" i="6"/>
  <c r="W87" i="6" s="1"/>
  <c r="V88" i="6"/>
  <c r="W88" i="6" s="1"/>
  <c r="V90" i="6"/>
  <c r="W90" i="6" s="1"/>
  <c r="V94" i="6"/>
  <c r="W94" i="6" s="1"/>
  <c r="V95" i="6"/>
  <c r="W95" i="6" s="1"/>
  <c r="V96" i="6"/>
  <c r="W96" i="6" s="1"/>
  <c r="V97" i="6"/>
  <c r="W97" i="6" s="1"/>
  <c r="V101" i="6"/>
  <c r="W101" i="6" s="1"/>
  <c r="V102" i="6"/>
  <c r="W102" i="6" s="1"/>
  <c r="V104" i="6"/>
  <c r="W104" i="6" s="1"/>
  <c r="V105" i="6"/>
  <c r="W105" i="6" s="1"/>
  <c r="V107" i="6"/>
  <c r="W107" i="6" s="1"/>
  <c r="V110" i="6"/>
  <c r="W110" i="6" s="1"/>
  <c r="V112" i="6"/>
  <c r="W112" i="6" s="1"/>
  <c r="V118" i="6"/>
  <c r="W118" i="6" s="1"/>
  <c r="V121" i="6"/>
  <c r="W121" i="6" s="1"/>
  <c r="V123" i="6"/>
  <c r="W123" i="6" s="1"/>
  <c r="V127" i="6"/>
  <c r="W127" i="6" s="1"/>
  <c r="V129" i="6"/>
  <c r="W129" i="6" s="1"/>
  <c r="V131" i="6"/>
  <c r="W131" i="6" s="1"/>
  <c r="V136" i="6"/>
  <c r="W136" i="6" s="1"/>
  <c r="V142" i="6"/>
  <c r="W142" i="6" s="1"/>
  <c r="V143" i="6"/>
  <c r="W143" i="6" s="1"/>
  <c r="V145" i="6"/>
  <c r="W145" i="6" s="1"/>
  <c r="V149" i="6"/>
  <c r="W149" i="6" s="1"/>
  <c r="V150" i="6"/>
  <c r="W150" i="6" s="1"/>
  <c r="V151" i="6"/>
  <c r="W151" i="6" s="1"/>
  <c r="V156" i="6"/>
  <c r="W156" i="6" s="1"/>
  <c r="V168" i="6"/>
  <c r="W168" i="6" s="1"/>
  <c r="V170" i="6"/>
  <c r="W170" i="6" s="1"/>
  <c r="V171" i="6"/>
  <c r="W171" i="6" s="1"/>
  <c r="V181" i="6"/>
  <c r="W181" i="6" s="1"/>
  <c r="V187" i="6"/>
  <c r="W187" i="6" s="1"/>
  <c r="V188" i="6"/>
  <c r="W188" i="6" s="1"/>
  <c r="V198" i="6"/>
  <c r="W198" i="6" s="1"/>
  <c r="V208" i="6"/>
  <c r="W208" i="6" s="1"/>
  <c r="V209" i="6"/>
  <c r="W209" i="6" s="1"/>
  <c r="V210" i="6"/>
  <c r="W210" i="6" s="1"/>
  <c r="V213" i="6"/>
  <c r="W213" i="6" s="1"/>
  <c r="V214" i="6"/>
  <c r="W214" i="6" s="1"/>
  <c r="V216" i="6"/>
  <c r="W216" i="6" s="1"/>
  <c r="V217" i="6"/>
  <c r="W217" i="6" s="1"/>
  <c r="V220" i="6"/>
  <c r="W220" i="6" s="1"/>
  <c r="V225" i="6"/>
  <c r="W225" i="6" s="1"/>
  <c r="V230" i="6"/>
  <c r="W230" i="6" s="1"/>
  <c r="V231" i="6"/>
  <c r="W231" i="6" s="1"/>
  <c r="V232" i="6"/>
  <c r="W232" i="6" s="1"/>
  <c r="V234" i="6"/>
  <c r="W234" i="6" s="1"/>
  <c r="V243" i="6"/>
  <c r="W243" i="6" s="1"/>
  <c r="V244" i="6"/>
  <c r="W244" i="6" s="1"/>
  <c r="V245" i="6"/>
  <c r="W245" i="6" s="1"/>
  <c r="V254" i="6"/>
  <c r="W254" i="6" s="1"/>
  <c r="V265" i="6"/>
  <c r="W265" i="6" s="1"/>
  <c r="V266" i="6"/>
  <c r="W266" i="6" s="1"/>
  <c r="V267" i="6"/>
  <c r="W267" i="6" s="1"/>
  <c r="V269" i="6"/>
  <c r="W269" i="6" s="1"/>
  <c r="V282" i="6"/>
  <c r="W282" i="6" s="1"/>
  <c r="V284" i="6"/>
  <c r="W284" i="6" s="1"/>
  <c r="V285" i="6"/>
  <c r="W285" i="6" s="1"/>
  <c r="V289" i="6"/>
  <c r="W289" i="6" s="1"/>
  <c r="V293" i="6"/>
  <c r="W293" i="6" s="1"/>
  <c r="V298" i="6"/>
  <c r="W298" i="6" s="1"/>
  <c r="V300" i="6"/>
  <c r="W300" i="6" s="1"/>
  <c r="V305" i="6"/>
  <c r="W305" i="6" s="1"/>
  <c r="V306" i="6"/>
  <c r="W306" i="6" s="1"/>
  <c r="V310" i="6"/>
  <c r="W310" i="6" s="1"/>
  <c r="V313" i="6"/>
  <c r="W313" i="6" s="1"/>
  <c r="V319" i="6"/>
  <c r="W319" i="6" s="1"/>
  <c r="V322" i="6"/>
  <c r="W322" i="6" s="1"/>
  <c r="V328" i="6"/>
  <c r="W328" i="6" s="1"/>
  <c r="V329" i="6"/>
  <c r="W329" i="6" s="1"/>
  <c r="V330" i="6"/>
  <c r="W330" i="6" s="1"/>
  <c r="V331" i="6"/>
  <c r="W331" i="6" s="1"/>
  <c r="V335" i="6"/>
  <c r="W335" i="6" s="1"/>
  <c r="V337" i="6"/>
  <c r="W337" i="6" s="1"/>
  <c r="V342" i="6"/>
  <c r="W342" i="6" s="1"/>
  <c r="V344" i="6"/>
  <c r="W344" i="6" s="1"/>
  <c r="V348" i="6"/>
  <c r="W348" i="6" s="1"/>
  <c r="V353" i="6"/>
  <c r="W353" i="6" s="1"/>
  <c r="V355" i="6"/>
  <c r="W355" i="6" s="1"/>
  <c r="V356" i="6"/>
  <c r="W356" i="6" s="1"/>
  <c r="V357" i="6"/>
  <c r="W357" i="6" s="1"/>
  <c r="V358" i="6"/>
  <c r="W358" i="6" s="1"/>
  <c r="V365" i="6"/>
  <c r="W365" i="6" s="1"/>
  <c r="V373" i="6"/>
  <c r="W373" i="6" s="1"/>
  <c r="V376" i="6"/>
  <c r="W376" i="6" s="1"/>
  <c r="V379" i="6"/>
  <c r="W379" i="6" s="1"/>
  <c r="V380" i="6"/>
  <c r="W380" i="6" s="1"/>
  <c r="V384" i="6"/>
  <c r="W384" i="6" s="1"/>
  <c r="V389" i="6"/>
  <c r="W389" i="6" s="1"/>
  <c r="V393" i="6"/>
  <c r="W393" i="6" s="1"/>
  <c r="V397" i="6"/>
  <c r="W397" i="6" s="1"/>
  <c r="V403" i="6"/>
  <c r="W403" i="6" s="1"/>
  <c r="V407" i="6"/>
  <c r="W407" i="6" s="1"/>
  <c r="V419" i="6"/>
  <c r="W419" i="6" s="1"/>
  <c r="V421" i="6"/>
  <c r="W421" i="6" s="1"/>
  <c r="V427" i="6"/>
  <c r="W427" i="6" s="1"/>
  <c r="V428" i="6"/>
  <c r="W428" i="6" s="1"/>
  <c r="V432" i="6"/>
  <c r="W432" i="6" s="1"/>
  <c r="V434" i="6"/>
  <c r="W434" i="6" s="1"/>
  <c r="V436" i="6"/>
  <c r="W436" i="6" s="1"/>
  <c r="V437" i="6"/>
  <c r="W437" i="6" s="1"/>
  <c r="V438" i="6"/>
  <c r="W438" i="6" s="1"/>
  <c r="V440" i="6"/>
  <c r="W440" i="6" s="1"/>
  <c r="V455" i="6"/>
  <c r="W455" i="6" s="1"/>
  <c r="V461" i="6"/>
  <c r="W461" i="6" s="1"/>
  <c r="V462" i="6"/>
  <c r="W462" i="6" s="1"/>
  <c r="V467" i="6"/>
  <c r="W467" i="6" s="1"/>
  <c r="V482" i="6"/>
  <c r="W482" i="6" s="1"/>
  <c r="V484" i="6"/>
  <c r="W484" i="6" s="1"/>
  <c r="V485" i="6"/>
  <c r="W485" i="6" s="1"/>
  <c r="V488" i="6"/>
  <c r="W488" i="6" s="1"/>
  <c r="V490" i="6"/>
  <c r="W490" i="6" s="1"/>
  <c r="V494" i="6"/>
  <c r="W494" i="6" s="1"/>
  <c r="V501" i="6"/>
  <c r="W501" i="6" s="1"/>
  <c r="V502" i="6"/>
  <c r="W502" i="6" s="1"/>
  <c r="V507" i="6"/>
  <c r="W507" i="6" s="1"/>
  <c r="V513" i="6"/>
  <c r="W513" i="6" s="1"/>
  <c r="V514" i="6"/>
  <c r="W514" i="6" s="1"/>
  <c r="V518" i="6"/>
  <c r="W518" i="6" s="1"/>
  <c r="V525" i="6"/>
  <c r="W525" i="6" s="1"/>
  <c r="V526" i="6"/>
  <c r="W526" i="6" s="1"/>
  <c r="V531" i="6"/>
  <c r="W531" i="6" s="1"/>
  <c r="V533" i="6"/>
  <c r="W533" i="6" s="1"/>
  <c r="V536" i="6"/>
  <c r="W536" i="6" s="1"/>
  <c r="V539" i="6"/>
  <c r="W539" i="6" s="1"/>
  <c r="V544" i="6"/>
  <c r="W544" i="6" s="1"/>
  <c r="V547" i="6"/>
  <c r="W547" i="6" s="1"/>
  <c r="V548" i="6"/>
  <c r="W548" i="6" s="1"/>
  <c r="V553" i="6"/>
  <c r="W553" i="6" s="1"/>
  <c r="V556" i="6"/>
  <c r="W556" i="6" s="1"/>
  <c r="V564" i="6"/>
  <c r="W564" i="6" s="1"/>
  <c r="V573" i="6"/>
  <c r="W573" i="6" s="1"/>
  <c r="V582" i="6"/>
  <c r="W582" i="6" s="1"/>
  <c r="V585" i="6"/>
  <c r="W585" i="6" s="1"/>
  <c r="V587" i="6"/>
  <c r="W587" i="6" s="1"/>
  <c r="V589" i="6"/>
  <c r="W589" i="6" s="1"/>
  <c r="V591" i="6"/>
  <c r="W591" i="6" s="1"/>
  <c r="V594" i="6"/>
  <c r="W594" i="6" s="1"/>
  <c r="V595" i="6"/>
  <c r="W595" i="6" s="1"/>
  <c r="V597" i="6"/>
  <c r="W597" i="6" s="1"/>
  <c r="V600" i="6"/>
  <c r="W600" i="6" s="1"/>
  <c r="V601" i="6"/>
  <c r="W601" i="6" s="1"/>
  <c r="V604" i="6"/>
  <c r="W604" i="6" s="1"/>
  <c r="V605" i="6"/>
  <c r="W605" i="6" s="1"/>
  <c r="V608" i="6"/>
  <c r="W608" i="6" s="1"/>
  <c r="V619" i="6"/>
  <c r="W619" i="6" s="1"/>
  <c r="V624" i="6"/>
  <c r="W624" i="6" s="1"/>
  <c r="V625" i="6"/>
  <c r="W625" i="6" s="1"/>
  <c r="V627" i="6"/>
  <c r="W627" i="6" s="1"/>
  <c r="V633" i="6"/>
  <c r="W633" i="6" s="1"/>
  <c r="V639" i="6"/>
  <c r="W639" i="6" s="1"/>
  <c r="V640" i="6"/>
  <c r="W640" i="6" s="1"/>
  <c r="V642" i="6"/>
  <c r="W642" i="6" s="1"/>
  <c r="V646" i="6"/>
  <c r="W646" i="6" s="1"/>
  <c r="V654" i="6"/>
  <c r="W654" i="6" s="1"/>
  <c r="V657" i="6"/>
  <c r="W657" i="6" s="1"/>
  <c r="V658" i="6"/>
  <c r="W658" i="6" s="1"/>
  <c r="V659" i="6"/>
  <c r="W659" i="6" s="1"/>
  <c r="V665" i="6"/>
  <c r="W665" i="6" s="1"/>
  <c r="V671" i="6"/>
  <c r="W671" i="6" s="1"/>
  <c r="V677" i="6"/>
  <c r="W677" i="6" s="1"/>
  <c r="V679" i="6"/>
  <c r="W679" i="6" s="1"/>
  <c r="V680" i="6"/>
  <c r="W680" i="6" s="1"/>
  <c r="V683" i="6"/>
  <c r="W683" i="6" s="1"/>
  <c r="V686" i="6"/>
  <c r="W686" i="6" s="1"/>
  <c r="V688" i="6"/>
  <c r="W688" i="6" s="1"/>
  <c r="V689" i="6"/>
  <c r="W689" i="6" s="1"/>
  <c r="V690" i="6"/>
  <c r="W690" i="6" s="1"/>
  <c r="V691" i="6"/>
  <c r="W691" i="6" s="1"/>
  <c r="V692" i="6"/>
  <c r="W692" i="6" s="1"/>
  <c r="V695" i="6"/>
  <c r="W695" i="6" s="1"/>
  <c r="V706" i="6"/>
  <c r="W706" i="6" s="1"/>
  <c r="V710" i="6"/>
  <c r="W710" i="6" s="1"/>
  <c r="V713" i="6"/>
  <c r="W713" i="6" s="1"/>
  <c r="V718" i="6"/>
  <c r="W718" i="6" s="1"/>
  <c r="V719" i="6"/>
  <c r="W719" i="6" s="1"/>
  <c r="V720" i="6"/>
  <c r="W720" i="6" s="1"/>
  <c r="V727" i="6"/>
  <c r="W727" i="6" s="1"/>
  <c r="V735" i="6"/>
  <c r="W735" i="6" s="1"/>
  <c r="V743" i="6"/>
  <c r="W743" i="6" s="1"/>
  <c r="V746" i="6"/>
  <c r="W746" i="6" s="1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2" i="6"/>
  <c r="R2" i="6"/>
  <c r="R3" i="6"/>
  <c r="V3" i="6" s="1"/>
  <c r="W3" i="6" s="1"/>
  <c r="R4" i="6"/>
  <c r="V4" i="6" s="1"/>
  <c r="W4" i="6" s="1"/>
  <c r="R5" i="6"/>
  <c r="R6" i="6"/>
  <c r="R7" i="6"/>
  <c r="R8" i="6"/>
  <c r="R9" i="6"/>
  <c r="V9" i="6" s="1"/>
  <c r="W9" i="6" s="1"/>
  <c r="R10" i="6"/>
  <c r="R11" i="6"/>
  <c r="V11" i="6" s="1"/>
  <c r="W11" i="6" s="1"/>
  <c r="R12" i="6"/>
  <c r="R13" i="6"/>
  <c r="V13" i="6" s="1"/>
  <c r="W13" i="6" s="1"/>
  <c r="R14" i="6"/>
  <c r="R15" i="6"/>
  <c r="V15" i="6" s="1"/>
  <c r="W15" i="6" s="1"/>
  <c r="R16" i="6"/>
  <c r="V16" i="6" s="1"/>
  <c r="W16" i="6" s="1"/>
  <c r="R17" i="6"/>
  <c r="V17" i="6" s="1"/>
  <c r="W17" i="6" s="1"/>
  <c r="R18" i="6"/>
  <c r="V18" i="6" s="1"/>
  <c r="W18" i="6" s="1"/>
  <c r="R19" i="6"/>
  <c r="V19" i="6" s="1"/>
  <c r="W19" i="6" s="1"/>
  <c r="R20" i="6"/>
  <c r="R21" i="6"/>
  <c r="V21" i="6" s="1"/>
  <c r="W21" i="6" s="1"/>
  <c r="R22" i="6"/>
  <c r="R23" i="6"/>
  <c r="R24" i="6"/>
  <c r="V24" i="6" s="1"/>
  <c r="W24" i="6" s="1"/>
  <c r="R25" i="6"/>
  <c r="V25" i="6" s="1"/>
  <c r="W25" i="6" s="1"/>
  <c r="R26" i="6"/>
  <c r="V26" i="6" s="1"/>
  <c r="W26" i="6" s="1"/>
  <c r="R27" i="6"/>
  <c r="R28" i="6"/>
  <c r="R29" i="6"/>
  <c r="R30" i="6"/>
  <c r="R31" i="6"/>
  <c r="V31" i="6" s="1"/>
  <c r="W31" i="6" s="1"/>
  <c r="R32" i="6"/>
  <c r="V32" i="6" s="1"/>
  <c r="W32" i="6" s="1"/>
  <c r="R33" i="6"/>
  <c r="V33" i="6" s="1"/>
  <c r="W33" i="6" s="1"/>
  <c r="R34" i="6"/>
  <c r="V34" i="6" s="1"/>
  <c r="W34" i="6" s="1"/>
  <c r="R35" i="6"/>
  <c r="V35" i="6" s="1"/>
  <c r="W35" i="6" s="1"/>
  <c r="R36" i="6"/>
  <c r="V36" i="6" s="1"/>
  <c r="W36" i="6" s="1"/>
  <c r="R37" i="6"/>
  <c r="V37" i="6" s="1"/>
  <c r="W37" i="6" s="1"/>
  <c r="R38" i="6"/>
  <c r="R39" i="6"/>
  <c r="R40" i="6"/>
  <c r="V40" i="6" s="1"/>
  <c r="W40" i="6" s="1"/>
  <c r="R41" i="6"/>
  <c r="R42" i="6"/>
  <c r="V42" i="6" s="1"/>
  <c r="W42" i="6" s="1"/>
  <c r="R43" i="6"/>
  <c r="V43" i="6" s="1"/>
  <c r="W43" i="6" s="1"/>
  <c r="R44" i="6"/>
  <c r="R45" i="6"/>
  <c r="V45" i="6" s="1"/>
  <c r="W45" i="6" s="1"/>
  <c r="R46" i="6"/>
  <c r="R47" i="6"/>
  <c r="V47" i="6" s="1"/>
  <c r="W47" i="6" s="1"/>
  <c r="R48" i="6"/>
  <c r="V48" i="6" s="1"/>
  <c r="W48" i="6" s="1"/>
  <c r="R49" i="6"/>
  <c r="R50" i="6"/>
  <c r="V50" i="6" s="1"/>
  <c r="W50" i="6" s="1"/>
  <c r="R51" i="6"/>
  <c r="V51" i="6" s="1"/>
  <c r="W51" i="6" s="1"/>
  <c r="R52" i="6"/>
  <c r="R53" i="6"/>
  <c r="V53" i="6" s="1"/>
  <c r="W53" i="6" s="1"/>
  <c r="R54" i="6"/>
  <c r="R55" i="6"/>
  <c r="R56" i="6"/>
  <c r="V56" i="6" s="1"/>
  <c r="W56" i="6" s="1"/>
  <c r="R57" i="6"/>
  <c r="V57" i="6" s="1"/>
  <c r="W57" i="6" s="1"/>
  <c r="R58" i="6"/>
  <c r="V58" i="6" s="1"/>
  <c r="W58" i="6" s="1"/>
  <c r="R59" i="6"/>
  <c r="V59" i="6" s="1"/>
  <c r="W59" i="6" s="1"/>
  <c r="R60" i="6"/>
  <c r="R61" i="6"/>
  <c r="V61" i="6" s="1"/>
  <c r="W61" i="6" s="1"/>
  <c r="R62" i="6"/>
  <c r="R63" i="6"/>
  <c r="V63" i="6" s="1"/>
  <c r="W63" i="6" s="1"/>
  <c r="R64" i="6"/>
  <c r="V64" i="6" s="1"/>
  <c r="W64" i="6" s="1"/>
  <c r="R65" i="6"/>
  <c r="V65" i="6" s="1"/>
  <c r="W65" i="6" s="1"/>
  <c r="R66" i="6"/>
  <c r="V66" i="6" s="1"/>
  <c r="W66" i="6" s="1"/>
  <c r="R67" i="6"/>
  <c r="R68" i="6"/>
  <c r="V68" i="6" s="1"/>
  <c r="W68" i="6" s="1"/>
  <c r="R69" i="6"/>
  <c r="V69" i="6" s="1"/>
  <c r="W69" i="6" s="1"/>
  <c r="R70" i="6"/>
  <c r="R71" i="6"/>
  <c r="R72" i="6"/>
  <c r="V72" i="6" s="1"/>
  <c r="W72" i="6" s="1"/>
  <c r="R73" i="6"/>
  <c r="V73" i="6" s="1"/>
  <c r="W73" i="6" s="1"/>
  <c r="R74" i="6"/>
  <c r="V74" i="6" s="1"/>
  <c r="W74" i="6" s="1"/>
  <c r="R75" i="6"/>
  <c r="V75" i="6" s="1"/>
  <c r="W75" i="6" s="1"/>
  <c r="R76" i="6"/>
  <c r="R77" i="6"/>
  <c r="V77" i="6" s="1"/>
  <c r="W77" i="6" s="1"/>
  <c r="R78" i="6"/>
  <c r="R79" i="6"/>
  <c r="V79" i="6" s="1"/>
  <c r="W79" i="6" s="1"/>
  <c r="R80" i="6"/>
  <c r="V80" i="6" s="1"/>
  <c r="W80" i="6" s="1"/>
  <c r="R81" i="6"/>
  <c r="R82" i="6"/>
  <c r="V82" i="6" s="1"/>
  <c r="W82" i="6" s="1"/>
  <c r="R83" i="6"/>
  <c r="R84" i="6"/>
  <c r="R85" i="6"/>
  <c r="V85" i="6" s="1"/>
  <c r="W85" i="6" s="1"/>
  <c r="R86" i="6"/>
  <c r="R87" i="6"/>
  <c r="R88" i="6"/>
  <c r="R89" i="6"/>
  <c r="V89" i="6" s="1"/>
  <c r="W89" i="6" s="1"/>
  <c r="R90" i="6"/>
  <c r="R91" i="6"/>
  <c r="V91" i="6" s="1"/>
  <c r="W91" i="6" s="1"/>
  <c r="R92" i="6"/>
  <c r="R93" i="6"/>
  <c r="V93" i="6" s="1"/>
  <c r="W93" i="6" s="1"/>
  <c r="R94" i="6"/>
  <c r="R95" i="6"/>
  <c r="R96" i="6"/>
  <c r="R97" i="6"/>
  <c r="R98" i="6"/>
  <c r="V98" i="6" s="1"/>
  <c r="W98" i="6" s="1"/>
  <c r="R99" i="6"/>
  <c r="V99" i="6" s="1"/>
  <c r="W99" i="6" s="1"/>
  <c r="R100" i="6"/>
  <c r="V100" i="6" s="1"/>
  <c r="W100" i="6" s="1"/>
  <c r="R101" i="6"/>
  <c r="R102" i="6"/>
  <c r="R103" i="6"/>
  <c r="R104" i="6"/>
  <c r="R105" i="6"/>
  <c r="R106" i="6"/>
  <c r="V106" i="6" s="1"/>
  <c r="W106" i="6" s="1"/>
  <c r="R107" i="6"/>
  <c r="R108" i="6"/>
  <c r="R109" i="6"/>
  <c r="V109" i="6" s="1"/>
  <c r="W109" i="6" s="1"/>
  <c r="R110" i="6"/>
  <c r="R111" i="6"/>
  <c r="V111" i="6" s="1"/>
  <c r="W111" i="6" s="1"/>
  <c r="R112" i="6"/>
  <c r="R113" i="6"/>
  <c r="V113" i="6" s="1"/>
  <c r="W113" i="6" s="1"/>
  <c r="R114" i="6"/>
  <c r="V114" i="6" s="1"/>
  <c r="W114" i="6" s="1"/>
  <c r="R115" i="6"/>
  <c r="V115" i="6" s="1"/>
  <c r="W115" i="6" s="1"/>
  <c r="R116" i="6"/>
  <c r="V116" i="6" s="1"/>
  <c r="W116" i="6" s="1"/>
  <c r="R117" i="6"/>
  <c r="V117" i="6" s="1"/>
  <c r="W117" i="6" s="1"/>
  <c r="R118" i="6"/>
  <c r="R119" i="6"/>
  <c r="R120" i="6"/>
  <c r="V120" i="6" s="1"/>
  <c r="W120" i="6" s="1"/>
  <c r="R121" i="6"/>
  <c r="R122" i="6"/>
  <c r="V122" i="6" s="1"/>
  <c r="W122" i="6" s="1"/>
  <c r="R123" i="6"/>
  <c r="R124" i="6"/>
  <c r="R125" i="6"/>
  <c r="V125" i="6" s="1"/>
  <c r="W125" i="6" s="1"/>
  <c r="R126" i="6"/>
  <c r="R127" i="6"/>
  <c r="R128" i="6"/>
  <c r="V128" i="6" s="1"/>
  <c r="W128" i="6" s="1"/>
  <c r="R129" i="6"/>
  <c r="R130" i="6"/>
  <c r="V130" i="6" s="1"/>
  <c r="W130" i="6" s="1"/>
  <c r="R131" i="6"/>
  <c r="R132" i="6"/>
  <c r="V132" i="6" s="1"/>
  <c r="W132" i="6" s="1"/>
  <c r="R133" i="6"/>
  <c r="V133" i="6" s="1"/>
  <c r="W133" i="6" s="1"/>
  <c r="R134" i="6"/>
  <c r="R135" i="6"/>
  <c r="R136" i="6"/>
  <c r="R137" i="6"/>
  <c r="V137" i="6" s="1"/>
  <c r="W137" i="6" s="1"/>
  <c r="R138" i="6"/>
  <c r="V138" i="6" s="1"/>
  <c r="W138" i="6" s="1"/>
  <c r="R139" i="6"/>
  <c r="V139" i="6" s="1"/>
  <c r="W139" i="6" s="1"/>
  <c r="R140" i="6"/>
  <c r="R141" i="6"/>
  <c r="V141" i="6" s="1"/>
  <c r="W141" i="6" s="1"/>
  <c r="R142" i="6"/>
  <c r="R143" i="6"/>
  <c r="R144" i="6"/>
  <c r="V144" i="6" s="1"/>
  <c r="W144" i="6" s="1"/>
  <c r="R145" i="6"/>
  <c r="R146" i="6"/>
  <c r="V146" i="6" s="1"/>
  <c r="W146" i="6" s="1"/>
  <c r="R147" i="6"/>
  <c r="V147" i="6" s="1"/>
  <c r="W147" i="6" s="1"/>
  <c r="R148" i="6"/>
  <c r="V148" i="6" s="1"/>
  <c r="W148" i="6" s="1"/>
  <c r="R149" i="6"/>
  <c r="R150" i="6"/>
  <c r="R151" i="6"/>
  <c r="R152" i="6"/>
  <c r="V152" i="6" s="1"/>
  <c r="W152" i="6" s="1"/>
  <c r="R153" i="6"/>
  <c r="V153" i="6" s="1"/>
  <c r="W153" i="6" s="1"/>
  <c r="R154" i="6"/>
  <c r="V154" i="6" s="1"/>
  <c r="W154" i="6" s="1"/>
  <c r="R155" i="6"/>
  <c r="V155" i="6" s="1"/>
  <c r="W155" i="6" s="1"/>
  <c r="R156" i="6"/>
  <c r="R157" i="6"/>
  <c r="V157" i="6" s="1"/>
  <c r="W157" i="6" s="1"/>
  <c r="R158" i="6"/>
  <c r="R159" i="6"/>
  <c r="V159" i="6" s="1"/>
  <c r="W159" i="6" s="1"/>
  <c r="R160" i="6"/>
  <c r="V160" i="6" s="1"/>
  <c r="W160" i="6" s="1"/>
  <c r="R161" i="6"/>
  <c r="V161" i="6" s="1"/>
  <c r="W161" i="6" s="1"/>
  <c r="R162" i="6"/>
  <c r="V162" i="6" s="1"/>
  <c r="W162" i="6" s="1"/>
  <c r="R163" i="6"/>
  <c r="V163" i="6" s="1"/>
  <c r="W163" i="6" s="1"/>
  <c r="R164" i="6"/>
  <c r="V164" i="6" s="1"/>
  <c r="W164" i="6" s="1"/>
  <c r="R165" i="6"/>
  <c r="V165" i="6" s="1"/>
  <c r="W165" i="6" s="1"/>
  <c r="R166" i="6"/>
  <c r="R167" i="6"/>
  <c r="R168" i="6"/>
  <c r="R169" i="6"/>
  <c r="V169" i="6" s="1"/>
  <c r="W169" i="6" s="1"/>
  <c r="R170" i="6"/>
  <c r="R171" i="6"/>
  <c r="R172" i="6"/>
  <c r="R173" i="6"/>
  <c r="V173" i="6" s="1"/>
  <c r="W173" i="6" s="1"/>
  <c r="R174" i="6"/>
  <c r="R175" i="6"/>
  <c r="V175" i="6" s="1"/>
  <c r="W175" i="6" s="1"/>
  <c r="R176" i="6"/>
  <c r="V176" i="6" s="1"/>
  <c r="W176" i="6" s="1"/>
  <c r="R177" i="6"/>
  <c r="V177" i="6" s="1"/>
  <c r="W177" i="6" s="1"/>
  <c r="R178" i="6"/>
  <c r="V178" i="6" s="1"/>
  <c r="W178" i="6" s="1"/>
  <c r="R179" i="6"/>
  <c r="V179" i="6" s="1"/>
  <c r="W179" i="6" s="1"/>
  <c r="R180" i="6"/>
  <c r="V180" i="6" s="1"/>
  <c r="W180" i="6" s="1"/>
  <c r="R181" i="6"/>
  <c r="R182" i="6"/>
  <c r="R183" i="6"/>
  <c r="R184" i="6"/>
  <c r="V184" i="6" s="1"/>
  <c r="W184" i="6" s="1"/>
  <c r="R185" i="6"/>
  <c r="V185" i="6" s="1"/>
  <c r="W185" i="6" s="1"/>
  <c r="R186" i="6"/>
  <c r="V186" i="6" s="1"/>
  <c r="W186" i="6" s="1"/>
  <c r="R187" i="6"/>
  <c r="R188" i="6"/>
  <c r="R189" i="6"/>
  <c r="V189" i="6" s="1"/>
  <c r="W189" i="6" s="1"/>
  <c r="R190" i="6"/>
  <c r="R191" i="6"/>
  <c r="V191" i="6" s="1"/>
  <c r="W191" i="6" s="1"/>
  <c r="R192" i="6"/>
  <c r="V192" i="6" s="1"/>
  <c r="W192" i="6" s="1"/>
  <c r="R193" i="6"/>
  <c r="V193" i="6" s="1"/>
  <c r="W193" i="6" s="1"/>
  <c r="R194" i="6"/>
  <c r="V194" i="6" s="1"/>
  <c r="W194" i="6" s="1"/>
  <c r="R195" i="6"/>
  <c r="V195" i="6" s="1"/>
  <c r="W195" i="6" s="1"/>
  <c r="R196" i="6"/>
  <c r="V196" i="6" s="1"/>
  <c r="W196" i="6" s="1"/>
  <c r="R197" i="6"/>
  <c r="V197" i="6" s="1"/>
  <c r="W197" i="6" s="1"/>
  <c r="R198" i="6"/>
  <c r="R199" i="6"/>
  <c r="R200" i="6"/>
  <c r="V200" i="6" s="1"/>
  <c r="W200" i="6" s="1"/>
  <c r="R201" i="6"/>
  <c r="V201" i="6" s="1"/>
  <c r="W201" i="6" s="1"/>
  <c r="R202" i="6"/>
  <c r="V202" i="6" s="1"/>
  <c r="W202" i="6" s="1"/>
  <c r="R203" i="6"/>
  <c r="V203" i="6" s="1"/>
  <c r="W203" i="6" s="1"/>
  <c r="R204" i="6"/>
  <c r="R205" i="6"/>
  <c r="V205" i="6" s="1"/>
  <c r="W205" i="6" s="1"/>
  <c r="R206" i="6"/>
  <c r="R207" i="6"/>
  <c r="V207" i="6" s="1"/>
  <c r="W207" i="6" s="1"/>
  <c r="R208" i="6"/>
  <c r="R209" i="6"/>
  <c r="R210" i="6"/>
  <c r="R211" i="6"/>
  <c r="V211" i="6" s="1"/>
  <c r="W211" i="6" s="1"/>
  <c r="R212" i="6"/>
  <c r="V212" i="6" s="1"/>
  <c r="W212" i="6" s="1"/>
  <c r="R213" i="6"/>
  <c r="R214" i="6"/>
  <c r="R215" i="6"/>
  <c r="R216" i="6"/>
  <c r="R217" i="6"/>
  <c r="R218" i="6"/>
  <c r="V218" i="6" s="1"/>
  <c r="W218" i="6" s="1"/>
  <c r="R219" i="6"/>
  <c r="V219" i="6" s="1"/>
  <c r="W219" i="6" s="1"/>
  <c r="R220" i="6"/>
  <c r="R221" i="6"/>
  <c r="V221" i="6" s="1"/>
  <c r="W221" i="6" s="1"/>
  <c r="R222" i="6"/>
  <c r="R223" i="6"/>
  <c r="V223" i="6" s="1"/>
  <c r="W223" i="6" s="1"/>
  <c r="R224" i="6"/>
  <c r="V224" i="6" s="1"/>
  <c r="W224" i="6" s="1"/>
  <c r="R225" i="6"/>
  <c r="R226" i="6"/>
  <c r="V226" i="6" s="1"/>
  <c r="W226" i="6" s="1"/>
  <c r="R227" i="6"/>
  <c r="V227" i="6" s="1"/>
  <c r="W227" i="6" s="1"/>
  <c r="R228" i="6"/>
  <c r="V228" i="6" s="1"/>
  <c r="W228" i="6" s="1"/>
  <c r="R229" i="6"/>
  <c r="V229" i="6" s="1"/>
  <c r="W229" i="6" s="1"/>
  <c r="R230" i="6"/>
  <c r="R231" i="6"/>
  <c r="R232" i="6"/>
  <c r="R233" i="6"/>
  <c r="V233" i="6" s="1"/>
  <c r="W233" i="6" s="1"/>
  <c r="R234" i="6"/>
  <c r="R235" i="6"/>
  <c r="V235" i="6" s="1"/>
  <c r="W235" i="6" s="1"/>
  <c r="R236" i="6"/>
  <c r="R237" i="6"/>
  <c r="V237" i="6" s="1"/>
  <c r="W237" i="6" s="1"/>
  <c r="R238" i="6"/>
  <c r="R239" i="6"/>
  <c r="V239" i="6" s="1"/>
  <c r="W239" i="6" s="1"/>
  <c r="R240" i="6"/>
  <c r="V240" i="6" s="1"/>
  <c r="W240" i="6" s="1"/>
  <c r="R241" i="6"/>
  <c r="V241" i="6" s="1"/>
  <c r="W241" i="6" s="1"/>
  <c r="R242" i="6"/>
  <c r="V242" i="6" s="1"/>
  <c r="W242" i="6" s="1"/>
  <c r="R243" i="6"/>
  <c r="R244" i="6"/>
  <c r="R245" i="6"/>
  <c r="R246" i="6"/>
  <c r="R247" i="6"/>
  <c r="R248" i="6"/>
  <c r="V248" i="6" s="1"/>
  <c r="W248" i="6" s="1"/>
  <c r="R249" i="6"/>
  <c r="V249" i="6" s="1"/>
  <c r="W249" i="6" s="1"/>
  <c r="R250" i="6"/>
  <c r="V250" i="6" s="1"/>
  <c r="W250" i="6" s="1"/>
  <c r="R251" i="6"/>
  <c r="V251" i="6" s="1"/>
  <c r="W251" i="6" s="1"/>
  <c r="R252" i="6"/>
  <c r="R253" i="6"/>
  <c r="V253" i="6" s="1"/>
  <c r="W253" i="6" s="1"/>
  <c r="R254" i="6"/>
  <c r="R255" i="6"/>
  <c r="V255" i="6" s="1"/>
  <c r="W255" i="6" s="1"/>
  <c r="R256" i="6"/>
  <c r="V256" i="6" s="1"/>
  <c r="W256" i="6" s="1"/>
  <c r="R257" i="6"/>
  <c r="V257" i="6" s="1"/>
  <c r="W257" i="6" s="1"/>
  <c r="R258" i="6"/>
  <c r="V258" i="6" s="1"/>
  <c r="W258" i="6" s="1"/>
  <c r="R259" i="6"/>
  <c r="V259" i="6" s="1"/>
  <c r="W259" i="6" s="1"/>
  <c r="R260" i="6"/>
  <c r="V260" i="6" s="1"/>
  <c r="W260" i="6" s="1"/>
  <c r="R261" i="6"/>
  <c r="V261" i="6" s="1"/>
  <c r="W261" i="6" s="1"/>
  <c r="R262" i="6"/>
  <c r="R263" i="6"/>
  <c r="R264" i="6"/>
  <c r="V264" i="6" s="1"/>
  <c r="W264" i="6" s="1"/>
  <c r="R265" i="6"/>
  <c r="R266" i="6"/>
  <c r="R267" i="6"/>
  <c r="R268" i="6"/>
  <c r="R269" i="6"/>
  <c r="R270" i="6"/>
  <c r="R271" i="6"/>
  <c r="V271" i="6" s="1"/>
  <c r="W271" i="6" s="1"/>
  <c r="R272" i="6"/>
  <c r="V272" i="6" s="1"/>
  <c r="W272" i="6" s="1"/>
  <c r="R273" i="6"/>
  <c r="V273" i="6" s="1"/>
  <c r="W273" i="6" s="1"/>
  <c r="R274" i="6"/>
  <c r="V274" i="6" s="1"/>
  <c r="W274" i="6" s="1"/>
  <c r="R275" i="6"/>
  <c r="V275" i="6" s="1"/>
  <c r="W275" i="6" s="1"/>
  <c r="R276" i="6"/>
  <c r="V276" i="6" s="1"/>
  <c r="W276" i="6" s="1"/>
  <c r="R277" i="6"/>
  <c r="V277" i="6" s="1"/>
  <c r="W277" i="6" s="1"/>
  <c r="R278" i="6"/>
  <c r="R279" i="6"/>
  <c r="R280" i="6"/>
  <c r="V280" i="6" s="1"/>
  <c r="W280" i="6" s="1"/>
  <c r="R281" i="6"/>
  <c r="V281" i="6" s="1"/>
  <c r="W281" i="6" s="1"/>
  <c r="R282" i="6"/>
  <c r="R283" i="6"/>
  <c r="V283" i="6" s="1"/>
  <c r="W283" i="6" s="1"/>
  <c r="R284" i="6"/>
  <c r="R285" i="6"/>
  <c r="R286" i="6"/>
  <c r="R287" i="6"/>
  <c r="V287" i="6" s="1"/>
  <c r="W287" i="6" s="1"/>
  <c r="R288" i="6"/>
  <c r="V288" i="6" s="1"/>
  <c r="W288" i="6" s="1"/>
  <c r="R289" i="6"/>
  <c r="R290" i="6"/>
  <c r="V290" i="6" s="1"/>
  <c r="W290" i="6" s="1"/>
  <c r="R291" i="6"/>
  <c r="V291" i="6" s="1"/>
  <c r="W291" i="6" s="1"/>
  <c r="R292" i="6"/>
  <c r="V292" i="6" s="1"/>
  <c r="W292" i="6" s="1"/>
  <c r="R293" i="6"/>
  <c r="R294" i="6"/>
  <c r="R295" i="6"/>
  <c r="R296" i="6"/>
  <c r="V296" i="6" s="1"/>
  <c r="W296" i="6" s="1"/>
  <c r="R297" i="6"/>
  <c r="V297" i="6" s="1"/>
  <c r="W297" i="6" s="1"/>
  <c r="R298" i="6"/>
  <c r="R299" i="6"/>
  <c r="V299" i="6" s="1"/>
  <c r="W299" i="6" s="1"/>
  <c r="R300" i="6"/>
  <c r="R301" i="6"/>
  <c r="V301" i="6" s="1"/>
  <c r="W301" i="6" s="1"/>
  <c r="R302" i="6"/>
  <c r="R303" i="6"/>
  <c r="V303" i="6" s="1"/>
  <c r="W303" i="6" s="1"/>
  <c r="R304" i="6"/>
  <c r="V304" i="6" s="1"/>
  <c r="W304" i="6" s="1"/>
  <c r="R305" i="6"/>
  <c r="R306" i="6"/>
  <c r="R307" i="6"/>
  <c r="V307" i="6" s="1"/>
  <c r="W307" i="6" s="1"/>
  <c r="R308" i="6"/>
  <c r="V308" i="6" s="1"/>
  <c r="W308" i="6" s="1"/>
  <c r="R309" i="6"/>
  <c r="V309" i="6" s="1"/>
  <c r="W309" i="6" s="1"/>
  <c r="R310" i="6"/>
  <c r="R311" i="6"/>
  <c r="R312" i="6"/>
  <c r="V312" i="6" s="1"/>
  <c r="W312" i="6" s="1"/>
  <c r="R313" i="6"/>
  <c r="R314" i="6"/>
  <c r="V314" i="6" s="1"/>
  <c r="W314" i="6" s="1"/>
  <c r="R315" i="6"/>
  <c r="V315" i="6" s="1"/>
  <c r="W315" i="6" s="1"/>
  <c r="R316" i="6"/>
  <c r="R317" i="6"/>
  <c r="V317" i="6" s="1"/>
  <c r="W317" i="6" s="1"/>
  <c r="R318" i="6"/>
  <c r="R319" i="6"/>
  <c r="R320" i="6"/>
  <c r="V320" i="6" s="1"/>
  <c r="W320" i="6" s="1"/>
  <c r="R321" i="6"/>
  <c r="V321" i="6" s="1"/>
  <c r="W321" i="6" s="1"/>
  <c r="R322" i="6"/>
  <c r="R323" i="6"/>
  <c r="V323" i="6" s="1"/>
  <c r="W323" i="6" s="1"/>
  <c r="R324" i="6"/>
  <c r="V324" i="6" s="1"/>
  <c r="W324" i="6" s="1"/>
  <c r="R325" i="6"/>
  <c r="V325" i="6" s="1"/>
  <c r="W325" i="6" s="1"/>
  <c r="R326" i="6"/>
  <c r="R327" i="6"/>
  <c r="R328" i="6"/>
  <c r="R329" i="6"/>
  <c r="R330" i="6"/>
  <c r="R331" i="6"/>
  <c r="R332" i="6"/>
  <c r="R333" i="6"/>
  <c r="V333" i="6" s="1"/>
  <c r="W333" i="6" s="1"/>
  <c r="R334" i="6"/>
  <c r="R335" i="6"/>
  <c r="R336" i="6"/>
  <c r="V336" i="6" s="1"/>
  <c r="W336" i="6" s="1"/>
  <c r="R337" i="6"/>
  <c r="R338" i="6"/>
  <c r="V338" i="6" s="1"/>
  <c r="W338" i="6" s="1"/>
  <c r="R339" i="6"/>
  <c r="V339" i="6" s="1"/>
  <c r="W339" i="6" s="1"/>
  <c r="R340" i="6"/>
  <c r="V340" i="6" s="1"/>
  <c r="W340" i="6" s="1"/>
  <c r="R341" i="6"/>
  <c r="V341" i="6" s="1"/>
  <c r="W341" i="6" s="1"/>
  <c r="R342" i="6"/>
  <c r="R343" i="6"/>
  <c r="R344" i="6"/>
  <c r="R345" i="6"/>
  <c r="V345" i="6" s="1"/>
  <c r="W345" i="6" s="1"/>
  <c r="R346" i="6"/>
  <c r="V346" i="6" s="1"/>
  <c r="W346" i="6" s="1"/>
  <c r="R347" i="6"/>
  <c r="V347" i="6" s="1"/>
  <c r="W347" i="6" s="1"/>
  <c r="R348" i="6"/>
  <c r="R349" i="6"/>
  <c r="V349" i="6" s="1"/>
  <c r="W349" i="6" s="1"/>
  <c r="R350" i="6"/>
  <c r="R351" i="6"/>
  <c r="V351" i="6" s="1"/>
  <c r="W351" i="6" s="1"/>
  <c r="R352" i="6"/>
  <c r="V352" i="6" s="1"/>
  <c r="W352" i="6" s="1"/>
  <c r="R353" i="6"/>
  <c r="R354" i="6"/>
  <c r="V354" i="6" s="1"/>
  <c r="W354" i="6" s="1"/>
  <c r="R355" i="6"/>
  <c r="R356" i="6"/>
  <c r="R357" i="6"/>
  <c r="R358" i="6"/>
  <c r="R359" i="6"/>
  <c r="R360" i="6"/>
  <c r="V360" i="6" s="1"/>
  <c r="W360" i="6" s="1"/>
  <c r="R361" i="6"/>
  <c r="V361" i="6" s="1"/>
  <c r="W361" i="6" s="1"/>
  <c r="R362" i="6"/>
  <c r="V362" i="6" s="1"/>
  <c r="W362" i="6" s="1"/>
  <c r="R363" i="6"/>
  <c r="V363" i="6" s="1"/>
  <c r="W363" i="6" s="1"/>
  <c r="R364" i="6"/>
  <c r="R365" i="6"/>
  <c r="R366" i="6"/>
  <c r="R367" i="6"/>
  <c r="V367" i="6" s="1"/>
  <c r="W367" i="6" s="1"/>
  <c r="R368" i="6"/>
  <c r="V368" i="6" s="1"/>
  <c r="W368" i="6" s="1"/>
  <c r="R369" i="6"/>
  <c r="V369" i="6" s="1"/>
  <c r="W369" i="6" s="1"/>
  <c r="R370" i="6"/>
  <c r="V370" i="6" s="1"/>
  <c r="W370" i="6" s="1"/>
  <c r="R371" i="6"/>
  <c r="V371" i="6" s="1"/>
  <c r="W371" i="6" s="1"/>
  <c r="R372" i="6"/>
  <c r="V372" i="6" s="1"/>
  <c r="W372" i="6" s="1"/>
  <c r="R373" i="6"/>
  <c r="R374" i="6"/>
  <c r="R375" i="6"/>
  <c r="R376" i="6"/>
  <c r="R377" i="6"/>
  <c r="V377" i="6" s="1"/>
  <c r="W377" i="6" s="1"/>
  <c r="R378" i="6"/>
  <c r="V378" i="6" s="1"/>
  <c r="W378" i="6" s="1"/>
  <c r="R379" i="6"/>
  <c r="R380" i="6"/>
  <c r="R381" i="6"/>
  <c r="V381" i="6" s="1"/>
  <c r="W381" i="6" s="1"/>
  <c r="R382" i="6"/>
  <c r="R383" i="6"/>
  <c r="V383" i="6" s="1"/>
  <c r="W383" i="6" s="1"/>
  <c r="R384" i="6"/>
  <c r="R385" i="6"/>
  <c r="V385" i="6" s="1"/>
  <c r="W385" i="6" s="1"/>
  <c r="R386" i="6"/>
  <c r="V386" i="6" s="1"/>
  <c r="W386" i="6" s="1"/>
  <c r="R387" i="6"/>
  <c r="V387" i="6" s="1"/>
  <c r="W387" i="6" s="1"/>
  <c r="R388" i="6"/>
  <c r="V388" i="6" s="1"/>
  <c r="W388" i="6" s="1"/>
  <c r="R389" i="6"/>
  <c r="R390" i="6"/>
  <c r="R391" i="6"/>
  <c r="R392" i="6"/>
  <c r="V392" i="6" s="1"/>
  <c r="W392" i="6" s="1"/>
  <c r="R393" i="6"/>
  <c r="R394" i="6"/>
  <c r="V394" i="6" s="1"/>
  <c r="W394" i="6" s="1"/>
  <c r="R395" i="6"/>
  <c r="V395" i="6" s="1"/>
  <c r="W395" i="6" s="1"/>
  <c r="R396" i="6"/>
  <c r="R397" i="6"/>
  <c r="R398" i="6"/>
  <c r="R399" i="6"/>
  <c r="V399" i="6" s="1"/>
  <c r="W399" i="6" s="1"/>
  <c r="R400" i="6"/>
  <c r="V400" i="6" s="1"/>
  <c r="W400" i="6" s="1"/>
  <c r="R401" i="6"/>
  <c r="V401" i="6" s="1"/>
  <c r="W401" i="6" s="1"/>
  <c r="R402" i="6"/>
  <c r="V402" i="6" s="1"/>
  <c r="W402" i="6" s="1"/>
  <c r="R403" i="6"/>
  <c r="R404" i="6"/>
  <c r="V404" i="6" s="1"/>
  <c r="W404" i="6" s="1"/>
  <c r="R405" i="6"/>
  <c r="V405" i="6" s="1"/>
  <c r="W405" i="6" s="1"/>
  <c r="R406" i="6"/>
  <c r="R407" i="6"/>
  <c r="R408" i="6"/>
  <c r="V408" i="6" s="1"/>
  <c r="W408" i="6" s="1"/>
  <c r="R409" i="6"/>
  <c r="V409" i="6" s="1"/>
  <c r="W409" i="6" s="1"/>
  <c r="R410" i="6"/>
  <c r="V410" i="6" s="1"/>
  <c r="W410" i="6" s="1"/>
  <c r="R411" i="6"/>
  <c r="V411" i="6" s="1"/>
  <c r="W411" i="6" s="1"/>
  <c r="R412" i="6"/>
  <c r="R413" i="6"/>
  <c r="V413" i="6" s="1"/>
  <c r="W413" i="6" s="1"/>
  <c r="R414" i="6"/>
  <c r="R415" i="6"/>
  <c r="V415" i="6" s="1"/>
  <c r="W415" i="6" s="1"/>
  <c r="R416" i="6"/>
  <c r="V416" i="6" s="1"/>
  <c r="W416" i="6" s="1"/>
  <c r="R417" i="6"/>
  <c r="V417" i="6" s="1"/>
  <c r="W417" i="6" s="1"/>
  <c r="R418" i="6"/>
  <c r="V418" i="6" s="1"/>
  <c r="W418" i="6" s="1"/>
  <c r="R419" i="6"/>
  <c r="R420" i="6"/>
  <c r="V420" i="6" s="1"/>
  <c r="W420" i="6" s="1"/>
  <c r="R421" i="6"/>
  <c r="R422" i="6"/>
  <c r="R423" i="6"/>
  <c r="R424" i="6"/>
  <c r="V424" i="6" s="1"/>
  <c r="W424" i="6" s="1"/>
  <c r="R425" i="6"/>
  <c r="V425" i="6" s="1"/>
  <c r="W425" i="6" s="1"/>
  <c r="R426" i="6"/>
  <c r="V426" i="6" s="1"/>
  <c r="W426" i="6" s="1"/>
  <c r="R427" i="6"/>
  <c r="R428" i="6"/>
  <c r="R429" i="6"/>
  <c r="V429" i="6" s="1"/>
  <c r="W429" i="6" s="1"/>
  <c r="R430" i="6"/>
  <c r="R431" i="6"/>
  <c r="V431" i="6" s="1"/>
  <c r="W431" i="6" s="1"/>
  <c r="R432" i="6"/>
  <c r="R433" i="6"/>
  <c r="V433" i="6" s="1"/>
  <c r="W433" i="6" s="1"/>
  <c r="R434" i="6"/>
  <c r="R435" i="6"/>
  <c r="V435" i="6" s="1"/>
  <c r="W435" i="6" s="1"/>
  <c r="R436" i="6"/>
  <c r="R437" i="6"/>
  <c r="R438" i="6"/>
  <c r="R439" i="6"/>
  <c r="R440" i="6"/>
  <c r="R441" i="6"/>
  <c r="V441" i="6" s="1"/>
  <c r="W441" i="6" s="1"/>
  <c r="R442" i="6"/>
  <c r="V442" i="6" s="1"/>
  <c r="W442" i="6" s="1"/>
  <c r="R443" i="6"/>
  <c r="V443" i="6" s="1"/>
  <c r="W443" i="6" s="1"/>
  <c r="R444" i="6"/>
  <c r="R445" i="6"/>
  <c r="V445" i="6" s="1"/>
  <c r="W445" i="6" s="1"/>
  <c r="R446" i="6"/>
  <c r="R447" i="6"/>
  <c r="V447" i="6" s="1"/>
  <c r="W447" i="6" s="1"/>
  <c r="R448" i="6"/>
  <c r="V448" i="6" s="1"/>
  <c r="W448" i="6" s="1"/>
  <c r="R449" i="6"/>
  <c r="V449" i="6" s="1"/>
  <c r="W449" i="6" s="1"/>
  <c r="R450" i="6"/>
  <c r="V450" i="6" s="1"/>
  <c r="W450" i="6" s="1"/>
  <c r="R451" i="6"/>
  <c r="V451" i="6" s="1"/>
  <c r="W451" i="6" s="1"/>
  <c r="R452" i="6"/>
  <c r="V452" i="6" s="1"/>
  <c r="W452" i="6" s="1"/>
  <c r="R453" i="6"/>
  <c r="V453" i="6" s="1"/>
  <c r="W453" i="6" s="1"/>
  <c r="R454" i="6"/>
  <c r="R455" i="6"/>
  <c r="R456" i="6"/>
  <c r="V456" i="6" s="1"/>
  <c r="W456" i="6" s="1"/>
  <c r="R457" i="6"/>
  <c r="V457" i="6" s="1"/>
  <c r="W457" i="6" s="1"/>
  <c r="R458" i="6"/>
  <c r="V458" i="6" s="1"/>
  <c r="W458" i="6" s="1"/>
  <c r="R459" i="6"/>
  <c r="V459" i="6" s="1"/>
  <c r="W459" i="6" s="1"/>
  <c r="R460" i="6"/>
  <c r="R461" i="6"/>
  <c r="R462" i="6"/>
  <c r="R463" i="6"/>
  <c r="V463" i="6" s="1"/>
  <c r="W463" i="6" s="1"/>
  <c r="R464" i="6"/>
  <c r="V464" i="6" s="1"/>
  <c r="W464" i="6" s="1"/>
  <c r="R465" i="6"/>
  <c r="V465" i="6" s="1"/>
  <c r="W465" i="6" s="1"/>
  <c r="R466" i="6"/>
  <c r="V466" i="6" s="1"/>
  <c r="W466" i="6" s="1"/>
  <c r="R467" i="6"/>
  <c r="R468" i="6"/>
  <c r="V468" i="6" s="1"/>
  <c r="W468" i="6" s="1"/>
  <c r="R469" i="6"/>
  <c r="V469" i="6" s="1"/>
  <c r="W469" i="6" s="1"/>
  <c r="R470" i="6"/>
  <c r="R471" i="6"/>
  <c r="R472" i="6"/>
  <c r="V472" i="6" s="1"/>
  <c r="W472" i="6" s="1"/>
  <c r="R473" i="6"/>
  <c r="V473" i="6" s="1"/>
  <c r="W473" i="6" s="1"/>
  <c r="R474" i="6"/>
  <c r="V474" i="6" s="1"/>
  <c r="W474" i="6" s="1"/>
  <c r="R475" i="6"/>
  <c r="V475" i="6" s="1"/>
  <c r="W475" i="6" s="1"/>
  <c r="R476" i="6"/>
  <c r="R477" i="6"/>
  <c r="V477" i="6" s="1"/>
  <c r="W477" i="6" s="1"/>
  <c r="R478" i="6"/>
  <c r="R479" i="6"/>
  <c r="V479" i="6" s="1"/>
  <c r="W479" i="6" s="1"/>
  <c r="R480" i="6"/>
  <c r="V480" i="6" s="1"/>
  <c r="W480" i="6" s="1"/>
  <c r="R481" i="6"/>
  <c r="R482" i="6"/>
  <c r="R483" i="6"/>
  <c r="V483" i="6" s="1"/>
  <c r="W483" i="6" s="1"/>
  <c r="R484" i="6"/>
  <c r="R485" i="6"/>
  <c r="R486" i="6"/>
  <c r="R487" i="6"/>
  <c r="R488" i="6"/>
  <c r="R489" i="6"/>
  <c r="V489" i="6" s="1"/>
  <c r="W489" i="6" s="1"/>
  <c r="R490" i="6"/>
  <c r="R491" i="6"/>
  <c r="V491" i="6" s="1"/>
  <c r="W491" i="6" s="1"/>
  <c r="R492" i="6"/>
  <c r="R493" i="6"/>
  <c r="V493" i="6" s="1"/>
  <c r="W493" i="6" s="1"/>
  <c r="R494" i="6"/>
  <c r="R495" i="6"/>
  <c r="V495" i="6" s="1"/>
  <c r="W495" i="6" s="1"/>
  <c r="R496" i="6"/>
  <c r="V496" i="6" s="1"/>
  <c r="W496" i="6" s="1"/>
  <c r="R497" i="6"/>
  <c r="R498" i="6"/>
  <c r="V498" i="6" s="1"/>
  <c r="W498" i="6" s="1"/>
  <c r="R499" i="6"/>
  <c r="V499" i="6" s="1"/>
  <c r="W499" i="6" s="1"/>
  <c r="R500" i="6"/>
  <c r="V500" i="6" s="1"/>
  <c r="W500" i="6" s="1"/>
  <c r="R501" i="6"/>
  <c r="R502" i="6"/>
  <c r="R503" i="6"/>
  <c r="R504" i="6"/>
  <c r="V504" i="6" s="1"/>
  <c r="W504" i="6" s="1"/>
  <c r="R505" i="6"/>
  <c r="V505" i="6" s="1"/>
  <c r="W505" i="6" s="1"/>
  <c r="R506" i="6"/>
  <c r="V506" i="6" s="1"/>
  <c r="W506" i="6" s="1"/>
  <c r="R507" i="6"/>
  <c r="R508" i="6"/>
  <c r="R509" i="6"/>
  <c r="V509" i="6" s="1"/>
  <c r="W509" i="6" s="1"/>
  <c r="R510" i="6"/>
  <c r="R511" i="6"/>
  <c r="V511" i="6" s="1"/>
  <c r="W511" i="6" s="1"/>
  <c r="R512" i="6"/>
  <c r="V512" i="6" s="1"/>
  <c r="W512" i="6" s="1"/>
  <c r="R513" i="6"/>
  <c r="R514" i="6"/>
  <c r="R515" i="6"/>
  <c r="V515" i="6" s="1"/>
  <c r="W515" i="6" s="1"/>
  <c r="R516" i="6"/>
  <c r="V516" i="6" s="1"/>
  <c r="W516" i="6" s="1"/>
  <c r="R517" i="6"/>
  <c r="V517" i="6" s="1"/>
  <c r="W517" i="6" s="1"/>
  <c r="R518" i="6"/>
  <c r="R519" i="6"/>
  <c r="R520" i="6"/>
  <c r="V520" i="6" s="1"/>
  <c r="W520" i="6" s="1"/>
  <c r="R521" i="6"/>
  <c r="V521" i="6" s="1"/>
  <c r="W521" i="6" s="1"/>
  <c r="R522" i="6"/>
  <c r="V522" i="6" s="1"/>
  <c r="W522" i="6" s="1"/>
  <c r="R523" i="6"/>
  <c r="V523" i="6" s="1"/>
  <c r="W523" i="6" s="1"/>
  <c r="R524" i="6"/>
  <c r="R525" i="6"/>
  <c r="R526" i="6"/>
  <c r="R527" i="6"/>
  <c r="V527" i="6" s="1"/>
  <c r="W527" i="6" s="1"/>
  <c r="R528" i="6"/>
  <c r="V528" i="6" s="1"/>
  <c r="W528" i="6" s="1"/>
  <c r="R529" i="6"/>
  <c r="R530" i="6"/>
  <c r="V530" i="6" s="1"/>
  <c r="W530" i="6" s="1"/>
  <c r="R531" i="6"/>
  <c r="R532" i="6"/>
  <c r="V532" i="6" s="1"/>
  <c r="W532" i="6" s="1"/>
  <c r="R533" i="6"/>
  <c r="R534" i="6"/>
  <c r="R535" i="6"/>
  <c r="R536" i="6"/>
  <c r="R537" i="6"/>
  <c r="V537" i="6" s="1"/>
  <c r="W537" i="6" s="1"/>
  <c r="R538" i="6"/>
  <c r="V538" i="6" s="1"/>
  <c r="W538" i="6" s="1"/>
  <c r="R539" i="6"/>
  <c r="R540" i="6"/>
  <c r="R541" i="6"/>
  <c r="V541" i="6" s="1"/>
  <c r="W541" i="6" s="1"/>
  <c r="R542" i="6"/>
  <c r="R543" i="6"/>
  <c r="V543" i="6" s="1"/>
  <c r="W543" i="6" s="1"/>
  <c r="R544" i="6"/>
  <c r="R545" i="6"/>
  <c r="R546" i="6"/>
  <c r="V546" i="6" s="1"/>
  <c r="W546" i="6" s="1"/>
  <c r="R547" i="6"/>
  <c r="R548" i="6"/>
  <c r="R549" i="6"/>
  <c r="V549" i="6" s="1"/>
  <c r="W549" i="6" s="1"/>
  <c r="R550" i="6"/>
  <c r="R551" i="6"/>
  <c r="R552" i="6"/>
  <c r="V552" i="6" s="1"/>
  <c r="W552" i="6" s="1"/>
  <c r="R553" i="6"/>
  <c r="R554" i="6"/>
  <c r="V554" i="6" s="1"/>
  <c r="W554" i="6" s="1"/>
  <c r="R555" i="6"/>
  <c r="V555" i="6" s="1"/>
  <c r="W555" i="6" s="1"/>
  <c r="R556" i="6"/>
  <c r="R557" i="6"/>
  <c r="V557" i="6" s="1"/>
  <c r="W557" i="6" s="1"/>
  <c r="R558" i="6"/>
  <c r="R559" i="6"/>
  <c r="V559" i="6" s="1"/>
  <c r="W559" i="6" s="1"/>
  <c r="R560" i="6"/>
  <c r="V560" i="6" s="1"/>
  <c r="W560" i="6" s="1"/>
  <c r="R561" i="6"/>
  <c r="R562" i="6"/>
  <c r="V562" i="6" s="1"/>
  <c r="W562" i="6" s="1"/>
  <c r="R563" i="6"/>
  <c r="V563" i="6" s="1"/>
  <c r="W563" i="6" s="1"/>
  <c r="R564" i="6"/>
  <c r="R565" i="6"/>
  <c r="V565" i="6" s="1"/>
  <c r="W565" i="6" s="1"/>
  <c r="R566" i="6"/>
  <c r="R567" i="6"/>
  <c r="R568" i="6"/>
  <c r="V568" i="6" s="1"/>
  <c r="W568" i="6" s="1"/>
  <c r="R569" i="6"/>
  <c r="V569" i="6" s="1"/>
  <c r="W569" i="6" s="1"/>
  <c r="R570" i="6"/>
  <c r="V570" i="6" s="1"/>
  <c r="W570" i="6" s="1"/>
  <c r="R571" i="6"/>
  <c r="V571" i="6" s="1"/>
  <c r="W571" i="6" s="1"/>
  <c r="R572" i="6"/>
  <c r="R573" i="6"/>
  <c r="R574" i="6"/>
  <c r="R575" i="6"/>
  <c r="V575" i="6" s="1"/>
  <c r="W575" i="6" s="1"/>
  <c r="R576" i="6"/>
  <c r="V576" i="6" s="1"/>
  <c r="W576" i="6" s="1"/>
  <c r="R577" i="6"/>
  <c r="R578" i="6"/>
  <c r="V578" i="6" s="1"/>
  <c r="W578" i="6" s="1"/>
  <c r="R579" i="6"/>
  <c r="V579" i="6" s="1"/>
  <c r="W579" i="6" s="1"/>
  <c r="R580" i="6"/>
  <c r="V580" i="6" s="1"/>
  <c r="W580" i="6" s="1"/>
  <c r="R581" i="6"/>
  <c r="V581" i="6" s="1"/>
  <c r="W581" i="6" s="1"/>
  <c r="R582" i="6"/>
  <c r="R583" i="6"/>
  <c r="R584" i="6"/>
  <c r="V584" i="6" s="1"/>
  <c r="W584" i="6" s="1"/>
  <c r="R585" i="6"/>
  <c r="R586" i="6"/>
  <c r="V586" i="6" s="1"/>
  <c r="W586" i="6" s="1"/>
  <c r="R587" i="6"/>
  <c r="R588" i="6"/>
  <c r="R589" i="6"/>
  <c r="R590" i="6"/>
  <c r="R591" i="6"/>
  <c r="R592" i="6"/>
  <c r="V592" i="6" s="1"/>
  <c r="W592" i="6" s="1"/>
  <c r="R593" i="6"/>
  <c r="R594" i="6"/>
  <c r="R595" i="6"/>
  <c r="R596" i="6"/>
  <c r="V596" i="6" s="1"/>
  <c r="W596" i="6" s="1"/>
  <c r="R597" i="6"/>
  <c r="R598" i="6"/>
  <c r="R599" i="6"/>
  <c r="R600" i="6"/>
  <c r="R601" i="6"/>
  <c r="R602" i="6"/>
  <c r="V602" i="6" s="1"/>
  <c r="W602" i="6" s="1"/>
  <c r="R603" i="6"/>
  <c r="V603" i="6" s="1"/>
  <c r="W603" i="6" s="1"/>
  <c r="R604" i="6"/>
  <c r="R605" i="6"/>
  <c r="R606" i="6"/>
  <c r="R607" i="6"/>
  <c r="V607" i="6" s="1"/>
  <c r="W607" i="6" s="1"/>
  <c r="R608" i="6"/>
  <c r="R609" i="6"/>
  <c r="R610" i="6"/>
  <c r="V610" i="6" s="1"/>
  <c r="W610" i="6" s="1"/>
  <c r="R611" i="6"/>
  <c r="V611" i="6" s="1"/>
  <c r="W611" i="6" s="1"/>
  <c r="R612" i="6"/>
  <c r="V612" i="6" s="1"/>
  <c r="W612" i="6" s="1"/>
  <c r="R613" i="6"/>
  <c r="V613" i="6" s="1"/>
  <c r="W613" i="6" s="1"/>
  <c r="R614" i="6"/>
  <c r="R615" i="6"/>
  <c r="R616" i="6"/>
  <c r="V616" i="6" s="1"/>
  <c r="W616" i="6" s="1"/>
  <c r="R617" i="6"/>
  <c r="V617" i="6" s="1"/>
  <c r="W617" i="6" s="1"/>
  <c r="R618" i="6"/>
  <c r="V618" i="6" s="1"/>
  <c r="W618" i="6" s="1"/>
  <c r="R619" i="6"/>
  <c r="R620" i="6"/>
  <c r="R621" i="6"/>
  <c r="V621" i="6" s="1"/>
  <c r="W621" i="6" s="1"/>
  <c r="R622" i="6"/>
  <c r="R623" i="6"/>
  <c r="V623" i="6" s="1"/>
  <c r="W623" i="6" s="1"/>
  <c r="R624" i="6"/>
  <c r="R625" i="6"/>
  <c r="R626" i="6"/>
  <c r="V626" i="6" s="1"/>
  <c r="W626" i="6" s="1"/>
  <c r="R627" i="6"/>
  <c r="R628" i="6"/>
  <c r="V628" i="6" s="1"/>
  <c r="W628" i="6" s="1"/>
  <c r="R629" i="6"/>
  <c r="V629" i="6" s="1"/>
  <c r="W629" i="6" s="1"/>
  <c r="R630" i="6"/>
  <c r="R631" i="6"/>
  <c r="R632" i="6"/>
  <c r="V632" i="6" s="1"/>
  <c r="W632" i="6" s="1"/>
  <c r="R633" i="6"/>
  <c r="R634" i="6"/>
  <c r="V634" i="6" s="1"/>
  <c r="W634" i="6" s="1"/>
  <c r="R635" i="6"/>
  <c r="V635" i="6" s="1"/>
  <c r="W635" i="6" s="1"/>
  <c r="R636" i="6"/>
  <c r="R637" i="6"/>
  <c r="V637" i="6" s="1"/>
  <c r="W637" i="6" s="1"/>
  <c r="R638" i="6"/>
  <c r="R639" i="6"/>
  <c r="R640" i="6"/>
  <c r="R641" i="6"/>
  <c r="R642" i="6"/>
  <c r="R643" i="6"/>
  <c r="V643" i="6" s="1"/>
  <c r="W643" i="6" s="1"/>
  <c r="R644" i="6"/>
  <c r="V644" i="6" s="1"/>
  <c r="W644" i="6" s="1"/>
  <c r="R645" i="6"/>
  <c r="V645" i="6" s="1"/>
  <c r="W645" i="6" s="1"/>
  <c r="R646" i="6"/>
  <c r="R647" i="6"/>
  <c r="R648" i="6"/>
  <c r="V648" i="6" s="1"/>
  <c r="W648" i="6" s="1"/>
  <c r="R649" i="6"/>
  <c r="V649" i="6" s="1"/>
  <c r="W649" i="6" s="1"/>
  <c r="R650" i="6"/>
  <c r="V650" i="6" s="1"/>
  <c r="W650" i="6" s="1"/>
  <c r="R651" i="6"/>
  <c r="V651" i="6" s="1"/>
  <c r="W651" i="6" s="1"/>
  <c r="R652" i="6"/>
  <c r="R653" i="6"/>
  <c r="V653" i="6" s="1"/>
  <c r="W653" i="6" s="1"/>
  <c r="R654" i="6"/>
  <c r="R655" i="6"/>
  <c r="V655" i="6" s="1"/>
  <c r="W655" i="6" s="1"/>
  <c r="R656" i="6"/>
  <c r="V656" i="6" s="1"/>
  <c r="W656" i="6" s="1"/>
  <c r="R657" i="6"/>
  <c r="R658" i="6"/>
  <c r="R659" i="6"/>
  <c r="R660" i="6"/>
  <c r="V660" i="6" s="1"/>
  <c r="W660" i="6" s="1"/>
  <c r="R661" i="6"/>
  <c r="V661" i="6" s="1"/>
  <c r="W661" i="6" s="1"/>
  <c r="R662" i="6"/>
  <c r="R663" i="6"/>
  <c r="R664" i="6"/>
  <c r="V664" i="6" s="1"/>
  <c r="W664" i="6" s="1"/>
  <c r="R665" i="6"/>
  <c r="R666" i="6"/>
  <c r="V666" i="6" s="1"/>
  <c r="W666" i="6" s="1"/>
  <c r="R667" i="6"/>
  <c r="V667" i="6" s="1"/>
  <c r="W667" i="6" s="1"/>
  <c r="R668" i="6"/>
  <c r="R669" i="6"/>
  <c r="V669" i="6" s="1"/>
  <c r="W669" i="6" s="1"/>
  <c r="R670" i="6"/>
  <c r="R671" i="6"/>
  <c r="R672" i="6"/>
  <c r="V672" i="6" s="1"/>
  <c r="W672" i="6" s="1"/>
  <c r="R673" i="6"/>
  <c r="R674" i="6"/>
  <c r="V674" i="6" s="1"/>
  <c r="W674" i="6" s="1"/>
  <c r="R675" i="6"/>
  <c r="V675" i="6" s="1"/>
  <c r="W675" i="6" s="1"/>
  <c r="R676" i="6"/>
  <c r="V676" i="6" s="1"/>
  <c r="W676" i="6" s="1"/>
  <c r="R677" i="6"/>
  <c r="R678" i="6"/>
  <c r="R679" i="6"/>
  <c r="R680" i="6"/>
  <c r="R681" i="6"/>
  <c r="R682" i="6"/>
  <c r="V682" i="6" s="1"/>
  <c r="W682" i="6" s="1"/>
  <c r="R683" i="6"/>
  <c r="R684" i="6"/>
  <c r="R685" i="6"/>
  <c r="V685" i="6" s="1"/>
  <c r="W685" i="6" s="1"/>
  <c r="R686" i="6"/>
  <c r="R687" i="6"/>
  <c r="V687" i="6" s="1"/>
  <c r="W687" i="6" s="1"/>
  <c r="R688" i="6"/>
  <c r="R689" i="6"/>
  <c r="R690" i="6"/>
  <c r="R691" i="6"/>
  <c r="R692" i="6"/>
  <c r="R693" i="6"/>
  <c r="V693" i="6" s="1"/>
  <c r="W693" i="6" s="1"/>
  <c r="R694" i="6"/>
  <c r="R695" i="6"/>
  <c r="R696" i="6"/>
  <c r="V696" i="6" s="1"/>
  <c r="W696" i="6" s="1"/>
  <c r="R697" i="6"/>
  <c r="R698" i="6"/>
  <c r="V698" i="6" s="1"/>
  <c r="W698" i="6" s="1"/>
  <c r="R699" i="6"/>
  <c r="V699" i="6" s="1"/>
  <c r="W699" i="6" s="1"/>
  <c r="R700" i="6"/>
  <c r="R701" i="6"/>
  <c r="V701" i="6" s="1"/>
  <c r="W701" i="6" s="1"/>
  <c r="R702" i="6"/>
  <c r="R703" i="6"/>
  <c r="V703" i="6" s="1"/>
  <c r="W703" i="6" s="1"/>
  <c r="R704" i="6"/>
  <c r="V704" i="6" s="1"/>
  <c r="W704" i="6" s="1"/>
  <c r="R705" i="6"/>
  <c r="R706" i="6"/>
  <c r="R707" i="6"/>
  <c r="V707" i="6" s="1"/>
  <c r="W707" i="6" s="1"/>
  <c r="R708" i="6"/>
  <c r="V708" i="6" s="1"/>
  <c r="W708" i="6" s="1"/>
  <c r="R709" i="6"/>
  <c r="V709" i="6" s="1"/>
  <c r="W709" i="6" s="1"/>
  <c r="R710" i="6"/>
  <c r="R711" i="6"/>
  <c r="R712" i="6"/>
  <c r="V712" i="6" s="1"/>
  <c r="W712" i="6" s="1"/>
  <c r="R713" i="6"/>
  <c r="R714" i="6"/>
  <c r="V714" i="6" s="1"/>
  <c r="W714" i="6" s="1"/>
  <c r="R715" i="6"/>
  <c r="V715" i="6" s="1"/>
  <c r="W715" i="6" s="1"/>
  <c r="R716" i="6"/>
  <c r="R717" i="6"/>
  <c r="V717" i="6" s="1"/>
  <c r="W717" i="6" s="1"/>
  <c r="R718" i="6"/>
  <c r="R719" i="6"/>
  <c r="R720" i="6"/>
  <c r="R721" i="6"/>
  <c r="R722" i="6"/>
  <c r="V722" i="6" s="1"/>
  <c r="W722" i="6" s="1"/>
  <c r="R723" i="6"/>
  <c r="V723" i="6" s="1"/>
  <c r="W723" i="6" s="1"/>
  <c r="R724" i="6"/>
  <c r="V724" i="6" s="1"/>
  <c r="W724" i="6" s="1"/>
  <c r="R725" i="6"/>
  <c r="V725" i="6" s="1"/>
  <c r="W725" i="6" s="1"/>
  <c r="R726" i="6"/>
  <c r="R727" i="6"/>
  <c r="R728" i="6"/>
  <c r="V728" i="6" s="1"/>
  <c r="W728" i="6" s="1"/>
  <c r="R729" i="6"/>
  <c r="R730" i="6"/>
  <c r="V730" i="6" s="1"/>
  <c r="W730" i="6" s="1"/>
  <c r="R731" i="6"/>
  <c r="V731" i="6" s="1"/>
  <c r="W731" i="6" s="1"/>
  <c r="R732" i="6"/>
  <c r="R733" i="6"/>
  <c r="V733" i="6" s="1"/>
  <c r="W733" i="6" s="1"/>
  <c r="R734" i="6"/>
  <c r="R735" i="6"/>
  <c r="R736" i="6"/>
  <c r="V736" i="6" s="1"/>
  <c r="W736" i="6" s="1"/>
  <c r="R737" i="6"/>
  <c r="R738" i="6"/>
  <c r="V738" i="6" s="1"/>
  <c r="W738" i="6" s="1"/>
  <c r="R739" i="6"/>
  <c r="V739" i="6" s="1"/>
  <c r="W739" i="6" s="1"/>
  <c r="R740" i="6"/>
  <c r="V740" i="6" s="1"/>
  <c r="W740" i="6" s="1"/>
  <c r="R741" i="6"/>
  <c r="V741" i="6" s="1"/>
  <c r="W741" i="6" s="1"/>
  <c r="R742" i="6"/>
  <c r="R743" i="6"/>
  <c r="R744" i="6"/>
  <c r="V744" i="6" s="1"/>
  <c r="W744" i="6" s="1"/>
  <c r="R745" i="6"/>
  <c r="V745" i="6" s="1"/>
  <c r="W745" i="6" s="1"/>
  <c r="R746" i="6"/>
  <c r="R747" i="6"/>
  <c r="V747" i="6" s="1"/>
  <c r="W747" i="6" s="1"/>
  <c r="R748" i="6"/>
  <c r="R749" i="6"/>
  <c r="V749" i="6" s="1"/>
  <c r="W749" i="6" s="1"/>
  <c r="V711" i="6" l="1"/>
  <c r="W711" i="6" s="1"/>
  <c r="V663" i="6"/>
  <c r="W663" i="6" s="1"/>
  <c r="V647" i="6"/>
  <c r="W647" i="6" s="1"/>
  <c r="V631" i="6"/>
  <c r="W631" i="6" s="1"/>
  <c r="V615" i="6"/>
  <c r="W615" i="6" s="1"/>
  <c r="V599" i="6"/>
  <c r="W599" i="6" s="1"/>
  <c r="V583" i="6"/>
  <c r="W583" i="6" s="1"/>
  <c r="V567" i="6"/>
  <c r="W567" i="6" s="1"/>
  <c r="V551" i="6"/>
  <c r="W551" i="6" s="1"/>
  <c r="V535" i="6"/>
  <c r="W535" i="6" s="1"/>
  <c r="V519" i="6"/>
  <c r="W519" i="6" s="1"/>
  <c r="V503" i="6"/>
  <c r="W503" i="6" s="1"/>
  <c r="V487" i="6"/>
  <c r="W487" i="6" s="1"/>
  <c r="V471" i="6"/>
  <c r="W471" i="6" s="1"/>
  <c r="V439" i="6"/>
  <c r="W439" i="6" s="1"/>
  <c r="V423" i="6"/>
  <c r="W423" i="6" s="1"/>
  <c r="V391" i="6"/>
  <c r="W391" i="6" s="1"/>
  <c r="V375" i="6"/>
  <c r="W375" i="6" s="1"/>
  <c r="V359" i="6"/>
  <c r="W359" i="6" s="1"/>
  <c r="V343" i="6"/>
  <c r="W343" i="6" s="1"/>
  <c r="V327" i="6"/>
  <c r="W327" i="6" s="1"/>
  <c r="V311" i="6"/>
  <c r="W311" i="6" s="1"/>
  <c r="V295" i="6"/>
  <c r="W295" i="6" s="1"/>
  <c r="V279" i="6"/>
  <c r="W279" i="6" s="1"/>
  <c r="V263" i="6"/>
  <c r="W263" i="6" s="1"/>
  <c r="V247" i="6"/>
  <c r="W247" i="6" s="1"/>
  <c r="V215" i="6"/>
  <c r="W215" i="6" s="1"/>
  <c r="V199" i="6"/>
  <c r="W199" i="6" s="1"/>
  <c r="V183" i="6"/>
  <c r="W183" i="6" s="1"/>
  <c r="V167" i="6"/>
  <c r="W167" i="6" s="1"/>
  <c r="V135" i="6"/>
  <c r="W135" i="6" s="1"/>
  <c r="V119" i="6"/>
  <c r="W119" i="6" s="1"/>
  <c r="V103" i="6"/>
  <c r="W103" i="6" s="1"/>
  <c r="V39" i="6"/>
  <c r="W39" i="6" s="1"/>
  <c r="V23" i="6"/>
  <c r="W23" i="6" s="1"/>
  <c r="V742" i="6"/>
  <c r="W742" i="6" s="1"/>
  <c r="V726" i="6"/>
  <c r="W726" i="6" s="1"/>
  <c r="V694" i="6"/>
  <c r="W694" i="6" s="1"/>
  <c r="V678" i="6"/>
  <c r="W678" i="6" s="1"/>
  <c r="V662" i="6"/>
  <c r="W662" i="6" s="1"/>
  <c r="V630" i="6"/>
  <c r="W630" i="6" s="1"/>
  <c r="V614" i="6"/>
  <c r="W614" i="6" s="1"/>
  <c r="V598" i="6"/>
  <c r="W598" i="6" s="1"/>
  <c r="V566" i="6"/>
  <c r="W566" i="6" s="1"/>
  <c r="V550" i="6"/>
  <c r="W550" i="6" s="1"/>
  <c r="V534" i="6"/>
  <c r="W534" i="6" s="1"/>
  <c r="V486" i="6"/>
  <c r="W486" i="6" s="1"/>
  <c r="V470" i="6"/>
  <c r="W470" i="6" s="1"/>
  <c r="V454" i="6"/>
  <c r="W454" i="6" s="1"/>
  <c r="V422" i="6"/>
  <c r="W422" i="6" s="1"/>
  <c r="V406" i="6"/>
  <c r="W406" i="6" s="1"/>
  <c r="V390" i="6"/>
  <c r="W390" i="6" s="1"/>
  <c r="V374" i="6"/>
  <c r="W374" i="6" s="1"/>
  <c r="V326" i="6"/>
  <c r="W326" i="6" s="1"/>
  <c r="V294" i="6"/>
  <c r="W294" i="6" s="1"/>
  <c r="V278" i="6"/>
  <c r="W278" i="6" s="1"/>
  <c r="V262" i="6"/>
  <c r="W262" i="6" s="1"/>
  <c r="V246" i="6"/>
  <c r="W246" i="6" s="1"/>
  <c r="V182" i="6"/>
  <c r="W182" i="6" s="1"/>
  <c r="V166" i="6"/>
  <c r="W166" i="6" s="1"/>
  <c r="V134" i="6"/>
  <c r="W134" i="6" s="1"/>
  <c r="V86" i="6"/>
  <c r="W86" i="6" s="1"/>
  <c r="V70" i="6"/>
  <c r="W70" i="6" s="1"/>
  <c r="V54" i="6"/>
  <c r="W54" i="6" s="1"/>
  <c r="V38" i="6"/>
  <c r="W38" i="6" s="1"/>
  <c r="V22" i="6"/>
  <c r="W22" i="6" s="1"/>
  <c r="V6" i="6"/>
  <c r="W6" i="6" s="1"/>
  <c r="V748" i="6"/>
  <c r="W748" i="6" s="1"/>
  <c r="V732" i="6"/>
  <c r="W732" i="6" s="1"/>
  <c r="V716" i="6"/>
  <c r="W716" i="6" s="1"/>
  <c r="V700" i="6"/>
  <c r="W700" i="6" s="1"/>
  <c r="V684" i="6"/>
  <c r="W684" i="6" s="1"/>
  <c r="V668" i="6"/>
  <c r="W668" i="6" s="1"/>
  <c r="V652" i="6"/>
  <c r="W652" i="6" s="1"/>
  <c r="V636" i="6"/>
  <c r="W636" i="6" s="1"/>
  <c r="V620" i="6"/>
  <c r="W620" i="6" s="1"/>
  <c r="V588" i="6"/>
  <c r="W588" i="6" s="1"/>
  <c r="V572" i="6"/>
  <c r="W572" i="6" s="1"/>
  <c r="V540" i="6"/>
  <c r="W540" i="6" s="1"/>
  <c r="V524" i="6"/>
  <c r="W524" i="6" s="1"/>
  <c r="V508" i="6"/>
  <c r="W508" i="6" s="1"/>
  <c r="V492" i="6"/>
  <c r="W492" i="6" s="1"/>
  <c r="V476" i="6"/>
  <c r="W476" i="6" s="1"/>
  <c r="V460" i="6"/>
  <c r="W460" i="6" s="1"/>
  <c r="V444" i="6"/>
  <c r="W444" i="6" s="1"/>
  <c r="V412" i="6"/>
  <c r="W412" i="6" s="1"/>
  <c r="V396" i="6"/>
  <c r="W396" i="6" s="1"/>
  <c r="V364" i="6"/>
  <c r="W364" i="6" s="1"/>
  <c r="V332" i="6"/>
  <c r="W332" i="6" s="1"/>
  <c r="V316" i="6"/>
  <c r="W316" i="6" s="1"/>
  <c r="V268" i="6"/>
  <c r="W268" i="6" s="1"/>
  <c r="V252" i="6"/>
  <c r="W252" i="6" s="1"/>
  <c r="V236" i="6"/>
  <c r="W236" i="6" s="1"/>
  <c r="V204" i="6"/>
  <c r="W204" i="6" s="1"/>
  <c r="V172" i="6"/>
  <c r="W172" i="6" s="1"/>
  <c r="V140" i="6"/>
  <c r="W140" i="6" s="1"/>
  <c r="V124" i="6"/>
  <c r="W124" i="6" s="1"/>
  <c r="V108" i="6"/>
  <c r="W108" i="6" s="1"/>
  <c r="V92" i="6"/>
  <c r="W92" i="6" s="1"/>
  <c r="V76" i="6"/>
  <c r="W76" i="6" s="1"/>
  <c r="V60" i="6"/>
  <c r="W60" i="6" s="1"/>
  <c r="V44" i="6"/>
  <c r="W44" i="6" s="1"/>
  <c r="V28" i="6"/>
  <c r="W28" i="6" s="1"/>
  <c r="V12" i="6"/>
  <c r="W12" i="6" s="1"/>
  <c r="V729" i="6"/>
  <c r="W729" i="6" s="1"/>
  <c r="V697" i="6"/>
  <c r="W697" i="6" s="1"/>
  <c r="V681" i="6"/>
  <c r="W681" i="6" s="1"/>
  <c r="V2" i="6"/>
  <c r="W2" i="6" s="1"/>
  <c r="V593" i="6"/>
  <c r="W593" i="6" s="1"/>
  <c r="V529" i="6"/>
  <c r="W529" i="6" s="1"/>
  <c r="V737" i="6"/>
  <c r="W737" i="6" s="1"/>
  <c r="V577" i="6"/>
  <c r="W577" i="6" s="1"/>
  <c r="V734" i="6"/>
  <c r="W734" i="6" s="1"/>
  <c r="V702" i="6"/>
  <c r="W702" i="6" s="1"/>
  <c r="V670" i="6"/>
  <c r="W670" i="6" s="1"/>
  <c r="V638" i="6"/>
  <c r="W638" i="6" s="1"/>
  <c r="V622" i="6"/>
  <c r="W622" i="6" s="1"/>
  <c r="V606" i="6"/>
  <c r="W606" i="6" s="1"/>
  <c r="V590" i="6"/>
  <c r="W590" i="6" s="1"/>
  <c r="V574" i="6"/>
  <c r="W574" i="6" s="1"/>
  <c r="V558" i="6"/>
  <c r="W558" i="6" s="1"/>
  <c r="V542" i="6"/>
  <c r="W542" i="6" s="1"/>
  <c r="V510" i="6"/>
  <c r="W510" i="6" s="1"/>
  <c r="V478" i="6"/>
  <c r="W478" i="6" s="1"/>
  <c r="V446" i="6"/>
  <c r="W446" i="6" s="1"/>
  <c r="V430" i="6"/>
  <c r="W430" i="6" s="1"/>
  <c r="V414" i="6"/>
  <c r="W414" i="6" s="1"/>
  <c r="V398" i="6"/>
  <c r="W398" i="6" s="1"/>
  <c r="V382" i="6"/>
  <c r="W382" i="6" s="1"/>
  <c r="V366" i="6"/>
  <c r="W366" i="6" s="1"/>
  <c r="V350" i="6"/>
  <c r="W350" i="6" s="1"/>
  <c r="V334" i="6"/>
  <c r="W334" i="6" s="1"/>
  <c r="V318" i="6"/>
  <c r="W318" i="6" s="1"/>
  <c r="V302" i="6"/>
  <c r="W302" i="6" s="1"/>
  <c r="V286" i="6"/>
  <c r="W286" i="6" s="1"/>
  <c r="V270" i="6"/>
  <c r="W270" i="6" s="1"/>
  <c r="V238" i="6"/>
  <c r="W238" i="6" s="1"/>
  <c r="V222" i="6"/>
  <c r="W222" i="6" s="1"/>
  <c r="V206" i="6"/>
  <c r="W206" i="6" s="1"/>
  <c r="V190" i="6"/>
  <c r="W190" i="6" s="1"/>
  <c r="V174" i="6"/>
  <c r="W174" i="6" s="1"/>
  <c r="V158" i="6"/>
  <c r="W158" i="6" s="1"/>
  <c r="V126" i="6"/>
  <c r="W126" i="6" s="1"/>
  <c r="V78" i="6"/>
  <c r="W78" i="6" s="1"/>
  <c r="V62" i="6"/>
  <c r="W62" i="6" s="1"/>
  <c r="V46" i="6"/>
  <c r="W46" i="6" s="1"/>
  <c r="V30" i="6"/>
  <c r="W30" i="6" s="1"/>
  <c r="V673" i="6"/>
  <c r="W673" i="6" s="1"/>
  <c r="V705" i="6"/>
  <c r="W705" i="6" s="1"/>
  <c r="V545" i="6"/>
  <c r="W545" i="6" s="1"/>
  <c r="V721" i="6"/>
  <c r="W721" i="6" s="1"/>
  <c r="V561" i="6"/>
  <c r="W561" i="6" s="1"/>
  <c r="V641" i="6"/>
  <c r="W641" i="6" s="1"/>
  <c r="V481" i="6"/>
  <c r="W481" i="6" s="1"/>
  <c r="V497" i="6"/>
  <c r="W497" i="6" s="1"/>
  <c r="V609" i="6"/>
  <c r="W609" i="6" s="1"/>
  <c r="W750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66E902-FD8D-48CB-B119-4775CF9CC2FC}" keepAlive="1" name="Requête - Client" description="Connexion à la requête « Client » dans le classeur." type="5" refreshedVersion="8" background="1" saveData="1">
    <dbPr connection="Provider=Microsoft.Mashup.OleDb.1;Data Source=$Workbook$;Location=Client;Extended Properties=&quot;&quot;" command="SELECT * FROM [Client]"/>
  </connection>
  <connection id="2" xr16:uid="{0366394B-438C-4CD0-A4C1-6801C49F61D8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E8841E16-CB7D-4A0E-83A1-AD829DC067F2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4" xr16:uid="{F9E43427-32FB-445E-AC00-693B605CD8DE}" keepAlive="1" name="Requête - Exemple de fichier (3)" description="Connexion à la requête « Exemple de fichier (3) » dans le classeur." type="5" refreshedVersion="0" background="1">
    <dbPr connection="Provider=Microsoft.Mashup.OleDb.1;Data Source=$Workbook$;Location=&quot;Exemple de fichier (3)&quot;;Extended Properties=&quot;&quot;" command="SELECT * FROM [Exemple de fichier (3)]"/>
  </connection>
  <connection id="5" xr16:uid="{0044456A-95B8-4258-A1CF-B19CE748E5AD}" keepAlive="1" name="Requête - Fusionner1" description="Connexion à la requête « Fusionner1 » dans le classeur." type="5" refreshedVersion="0" background="1">
    <dbPr connection="Provider=Microsoft.Mashup.OleDb.1;Data Source=$Workbook$;Location=Fusionner1;Extended Properties=&quot;&quot;" command="SELECT * FROM [Fusionner1]"/>
  </connection>
  <connection id="6" xr16:uid="{75457ECE-2E27-4AF6-A6D1-A93B25E6C7D4}" keepAlive="1" name="Requête - Fusionner2" description="Connexion à la requête « Fusionner2 » dans le classeur." type="5" refreshedVersion="8" background="1" saveData="1">
    <dbPr connection="Provider=Microsoft.Mashup.OleDb.1;Data Source=$Workbook$;Location=Fusionner2;Extended Properties=&quot;&quot;" command="SELECT * FROM [Fusionner2]"/>
  </connection>
  <connection id="7" xr16:uid="{17E423A9-3FAA-4515-9FF9-D599813FE3D1}" keepAlive="1" name="Requête - Logs_Reseau2" description="Connexion à la requête « Logs_Reseau2 » dans le classeur." type="5" refreshedVersion="8" background="1" saveData="1">
    <dbPr connection="Provider=Microsoft.Mashup.OleDb.1;Data Source=$Workbook$;Location=Logs_Reseau2;Extended Properties=&quot;&quot;" command="SELECT * FROM [Logs_Reseau2]"/>
  </connection>
  <connection id="8" xr16:uid="{AA543179-9DBF-49E2-AC94-90B0CBA35DD0}" keepAlive="1" name="Requête - Maintenance_Rx" description="Connexion à la requête « Maintenance_Rx » dans le classeur." type="5" refreshedVersion="8" background="1" saveData="1">
    <dbPr connection="Provider=Microsoft.Mashup.OleDb.1;Data Source=$Workbook$;Location=Maintenance_Rx;Extended Properties=&quot;&quot;" command="SELECT * FROM [Maintenance_Rx]"/>
  </connection>
  <connection id="9" xr16:uid="{D42B0753-5D32-455C-A8D2-B1072333C240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10" xr16:uid="{05E35296-2E63-46A3-A9D6-1A9CB24CA2FF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11" xr16:uid="{EC5DCBE8-BA7D-493D-87B5-B68E3DEA05DD}" keepAlive="1" name="Requête - Paramètre3" description="Connexion à la requête « Paramètre3 » dans le classeur." type="5" refreshedVersion="0" background="1">
    <dbPr connection="Provider=Microsoft.Mashup.OleDb.1;Data Source=$Workbook$;Location=Paramètre3;Extended Properties=&quot;&quot;" command="SELECT * FROM [Paramètre3]"/>
  </connection>
  <connection id="12" xr16:uid="{2BCBDCF5-6E74-4277-BB5B-BD2B83223AA4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13" xr16:uid="{07F85CD0-462E-41AE-9F27-B84DDE262BB7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14" xr16:uid="{0247C73C-9852-4C9B-B483-143F85A5894B}" keepAlive="1" name="Requête - Transformer le fichier (3)" description="Connexion à la requête « Transformer le fichier (3) » dans le classeur." type="5" refreshedVersion="0" background="1">
    <dbPr connection="Provider=Microsoft.Mashup.OleDb.1;Data Source=$Workbook$;Location=&quot;Transformer le fichier (3)&quot;;Extended Properties=&quot;&quot;" command="SELECT * FROM [Transformer le fichier (3)]"/>
  </connection>
  <connection id="15" xr16:uid="{FF75E488-A7B3-4478-98D1-05A3430E670C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6" xr16:uid="{19069720-1F6B-41C2-B3B3-3944D4FA9A12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  <connection id="17" xr16:uid="{48E64300-6523-4772-9768-C0C98B731CE4}" keepAlive="1" name="Requête - Transformer l'exemple de fichier (3)" description="Connexion à la requête « Transformer l'exemple de fichier (3) » dans le classeur." type="5" refreshedVersion="0" background="1">
    <dbPr connection="Provider=Microsoft.Mashup.OleDb.1;Data Source=$Workbook$;Location=&quot;Transformer l'exemple de fichier (3)&quot;;Extended Properties=&quot;&quot;" command="SELECT * FROM [Transformer l'exemple de fichier (3)]"/>
  </connection>
</connections>
</file>

<file path=xl/sharedStrings.xml><?xml version="1.0" encoding="utf-8"?>
<sst xmlns="http://schemas.openxmlformats.org/spreadsheetml/2006/main" count="19795" uniqueCount="1708">
  <si>
    <t>Source.Name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</si>
  <si>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</si>
  <si>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</si>
  <si>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</si>
  <si>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</si>
  <si>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</si>
  <si>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</si>
  <si>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</si>
  <si>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Clients_Churn_Part_01.xlsx</t>
  </si>
  <si>
    <t>CLI-01147</t>
  </si>
  <si>
    <t>Ituri</t>
  </si>
  <si>
    <t>Premium 5G 150Go</t>
  </si>
  <si>
    <t>CLI-00894</t>
  </si>
  <si>
    <t>Tshuapa</t>
  </si>
  <si>
    <t>Pro Monde</t>
  </si>
  <si>
    <t>CLI-00865</t>
  </si>
  <si>
    <t>Mongala</t>
  </si>
  <si>
    <t>CLI-01325</t>
  </si>
  <si>
    <t>Haut-Lomami</t>
  </si>
  <si>
    <t>Bloqué 5Go</t>
  </si>
  <si>
    <t>CLI-01855</t>
  </si>
  <si>
    <t>Sud-Kivu</t>
  </si>
  <si>
    <t>Illimité 50Go</t>
  </si>
  <si>
    <t>CLI-00076</t>
  </si>
  <si>
    <t>Haut-Katanga</t>
  </si>
  <si>
    <t>CLI-00414</t>
  </si>
  <si>
    <t>Bas-Uele</t>
  </si>
  <si>
    <t>CLI-00327</t>
  </si>
  <si>
    <t>CLI-00559</t>
  </si>
  <si>
    <t>Kasai</t>
  </si>
  <si>
    <t>CLI-00280</t>
  </si>
  <si>
    <t>Sud-Ubangi</t>
  </si>
  <si>
    <t>CLI-00060</t>
  </si>
  <si>
    <t>Kasai-Central</t>
  </si>
  <si>
    <t>CLI-00530</t>
  </si>
  <si>
    <t>Sankuru</t>
  </si>
  <si>
    <t>CLI-01618</t>
  </si>
  <si>
    <t>Tanganyika</t>
  </si>
  <si>
    <t>CLI-01646</t>
  </si>
  <si>
    <t>CLI-00569</t>
  </si>
  <si>
    <t>Kwango</t>
  </si>
  <si>
    <t>CLI-01349</t>
  </si>
  <si>
    <t>CLI-01128</t>
  </si>
  <si>
    <t>CLI-00361</t>
  </si>
  <si>
    <t>Mai-Ndombe</t>
  </si>
  <si>
    <t>CLI-01320</t>
  </si>
  <si>
    <t>CLI-01746</t>
  </si>
  <si>
    <t>CLI-00087</t>
  </si>
  <si>
    <t>CLI-01974</t>
  </si>
  <si>
    <t>CLI-01480</t>
  </si>
  <si>
    <t>CLI-00996</t>
  </si>
  <si>
    <t>Kwilu</t>
  </si>
  <si>
    <t>CLI-01603</t>
  </si>
  <si>
    <t>CLI-00041</t>
  </si>
  <si>
    <t>CLI-00114</t>
  </si>
  <si>
    <t>CLI-01761</t>
  </si>
  <si>
    <t>CLI-01837</t>
  </si>
  <si>
    <t>Kasai-Oriental</t>
  </si>
  <si>
    <t>CLI-00172</t>
  </si>
  <si>
    <t>CLI-00643</t>
  </si>
  <si>
    <t>Equateur</t>
  </si>
  <si>
    <t>CLI-01233</t>
  </si>
  <si>
    <t>Kongo-Central</t>
  </si>
  <si>
    <t>CLI-00611</t>
  </si>
  <si>
    <t>Kinshasa</t>
  </si>
  <si>
    <t>CLI-01776</t>
  </si>
  <si>
    <t>CLI-00131</t>
  </si>
  <si>
    <t>Lomami</t>
  </si>
  <si>
    <t>CLI-01845</t>
  </si>
  <si>
    <t>CLI-01957</t>
  </si>
  <si>
    <t>CLI-00834</t>
  </si>
  <si>
    <t>CLI-01972</t>
  </si>
  <si>
    <t>CLI-00745</t>
  </si>
  <si>
    <t>Tshopo</t>
  </si>
  <si>
    <t>CLI-01376</t>
  </si>
  <si>
    <t>CLI-01347</t>
  </si>
  <si>
    <t>CLI-01814</t>
  </si>
  <si>
    <t>CLI-00185</t>
  </si>
  <si>
    <t>Maniema</t>
  </si>
  <si>
    <t>CLI-00813</t>
  </si>
  <si>
    <t>CLI-01932</t>
  </si>
  <si>
    <t>CLI-01720</t>
  </si>
  <si>
    <t>CLI-01484</t>
  </si>
  <si>
    <t>CLI-01726</t>
  </si>
  <si>
    <t>CLI-00288</t>
  </si>
  <si>
    <t>Clients_Churn_Part_02.xlsx</t>
  </si>
  <si>
    <t>CLI-00484</t>
  </si>
  <si>
    <t>CLI-00230</t>
  </si>
  <si>
    <t>CLI-01170</t>
  </si>
  <si>
    <t>Nord-Ubangi</t>
  </si>
  <si>
    <t>CLI-01505</t>
  </si>
  <si>
    <t>CLI-01025</t>
  </si>
  <si>
    <t>CLI-01911</t>
  </si>
  <si>
    <t>CLI-00248</t>
  </si>
  <si>
    <t>CLI-01069</t>
  </si>
  <si>
    <t>CLI-01361</t>
  </si>
  <si>
    <t>CLI-01698</t>
  </si>
  <si>
    <t>CLI-01189</t>
  </si>
  <si>
    <t>CLI-01588</t>
  </si>
  <si>
    <t>CLI-01908</t>
  </si>
  <si>
    <t>CLI-01076</t>
  </si>
  <si>
    <t>CLI-00516</t>
  </si>
  <si>
    <t>CLI-01017</t>
  </si>
  <si>
    <t>CLI-01812</t>
  </si>
  <si>
    <t>CLI-01964</t>
  </si>
  <si>
    <t>CLI-00488</t>
  </si>
  <si>
    <t>CLI-01229</t>
  </si>
  <si>
    <t>CLI-00251</t>
  </si>
  <si>
    <t>CLI-01584</t>
  </si>
  <si>
    <t>CLI-01653</t>
  </si>
  <si>
    <t>CLI-00642</t>
  </si>
  <si>
    <t>CLI-00675</t>
  </si>
  <si>
    <t>CLI-01705</t>
  </si>
  <si>
    <t>CLI-01197</t>
  </si>
  <si>
    <t>CLI-01510</t>
  </si>
  <si>
    <t>CLI-00799</t>
  </si>
  <si>
    <t>CLI-01651</t>
  </si>
  <si>
    <t>CLI-01533</t>
  </si>
  <si>
    <t>CLI-01524</t>
  </si>
  <si>
    <t>CLI-01950</t>
  </si>
  <si>
    <t>CLI-01916</t>
  </si>
  <si>
    <t>CLI-00867</t>
  </si>
  <si>
    <t>CLI-00447</t>
  </si>
  <si>
    <t>CLI-00296</t>
  </si>
  <si>
    <t>CLI-00219</t>
  </si>
  <si>
    <t>CLI-00359</t>
  </si>
  <si>
    <t>CLI-00439</t>
  </si>
  <si>
    <t>Haut-Uele</t>
  </si>
  <si>
    <t>CLI-00563</t>
  </si>
  <si>
    <t>CLI-00901</t>
  </si>
  <si>
    <t>CLI-00837</t>
  </si>
  <si>
    <t>Nord-Kivu</t>
  </si>
  <si>
    <t>CLI-00521</t>
  </si>
  <si>
    <t>CLI-01768</t>
  </si>
  <si>
    <t>CLI-01208</t>
  </si>
  <si>
    <t>CLI-00115</t>
  </si>
  <si>
    <t>CLI-01005</t>
  </si>
  <si>
    <t>Lualaba</t>
  </si>
  <si>
    <t>CLI-01093</t>
  </si>
  <si>
    <t>CLI-00768</t>
  </si>
  <si>
    <t>Clients_Churn_Part_03.xlsx</t>
  </si>
  <si>
    <t>CLI-01433</t>
  </si>
  <si>
    <t>CLI-00232</t>
  </si>
  <si>
    <t>CLI-00649</t>
  </si>
  <si>
    <t>CLI-01118</t>
  </si>
  <si>
    <t>CLI-00868</t>
  </si>
  <si>
    <t>CLI-00973</t>
  </si>
  <si>
    <t>CLI-01399</t>
  </si>
  <si>
    <t>CLI-00505</t>
  </si>
  <si>
    <t>CLI-01986</t>
  </si>
  <si>
    <t>CLI-01802</t>
  </si>
  <si>
    <t>CLI-01607</t>
  </si>
  <si>
    <t>CLI-00297</t>
  </si>
  <si>
    <t>CLI-00744</t>
  </si>
  <si>
    <t>CLI-00974</t>
  </si>
  <si>
    <t>CLI-01466</t>
  </si>
  <si>
    <t>CLI-00754</t>
  </si>
  <si>
    <t>CLI-01683</t>
  </si>
  <si>
    <t>CLI-00632</t>
  </si>
  <si>
    <t>CLI-00044</t>
  </si>
  <si>
    <t>CLI-01322</t>
  </si>
  <si>
    <t>CLI-01854</t>
  </si>
  <si>
    <t>CLI-01241</t>
  </si>
  <si>
    <t>CLI-00072</t>
  </si>
  <si>
    <t>CLI-01724</t>
  </si>
  <si>
    <t>CLI-01515</t>
  </si>
  <si>
    <t>CLI-01357</t>
  </si>
  <si>
    <t>CLI-01637</t>
  </si>
  <si>
    <t>CLI-00112</t>
  </si>
  <si>
    <t>CLI-01415</t>
  </si>
  <si>
    <t>CLI-01616</t>
  </si>
  <si>
    <t>CLI-01960</t>
  </si>
  <si>
    <t>CLI-00491</t>
  </si>
  <si>
    <t>CLI-00519</t>
  </si>
  <si>
    <t>CLI-00788</t>
  </si>
  <si>
    <t>CLI-00634</t>
  </si>
  <si>
    <t>CLI-01309</t>
  </si>
  <si>
    <t>CLI-01435</t>
  </si>
  <si>
    <t>CLI-01888</t>
  </si>
  <si>
    <t>CLI-01850</t>
  </si>
  <si>
    <t>CLI-01664</t>
  </si>
  <si>
    <t>CLI-01404</t>
  </si>
  <si>
    <t>CLI-00250</t>
  </si>
  <si>
    <t>CLI-01096</t>
  </si>
  <si>
    <t>CLI-01967</t>
  </si>
  <si>
    <t>CLI-00485</t>
  </si>
  <si>
    <t>CLI-01757</t>
  </si>
  <si>
    <t>CLI-00907</t>
  </si>
  <si>
    <t>CLI-00796</t>
  </si>
  <si>
    <t>CLI-00017</t>
  </si>
  <si>
    <t>Clients_Churn_Part_04.xlsx</t>
  </si>
  <si>
    <t>CLI-00805</t>
  </si>
  <si>
    <t>CLI-00524</t>
  </si>
  <si>
    <t>CLI-00617</t>
  </si>
  <si>
    <t>CLI-01933</t>
  </si>
  <si>
    <t>CLI-01685</t>
  </si>
  <si>
    <t>CLI-01550</t>
  </si>
  <si>
    <t>CLI-00483</t>
  </si>
  <si>
    <t>CLI-00610</t>
  </si>
  <si>
    <t>CLI-00431</t>
  </si>
  <si>
    <t>CLI-01973</t>
  </si>
  <si>
    <t>CLI-01824</t>
  </si>
  <si>
    <t>CLI-00329</t>
  </si>
  <si>
    <t>CLI-00899</t>
  </si>
  <si>
    <t>CLI-01294</t>
  </si>
  <si>
    <t>CLI-00650</t>
  </si>
  <si>
    <t>CLI-01891</t>
  </si>
  <si>
    <t>CLI-01860</t>
  </si>
  <si>
    <t>CLI-01571</t>
  </si>
  <si>
    <t>CLI-01982</t>
  </si>
  <si>
    <t>CLI-00833</t>
  </si>
  <si>
    <t>CLI-01617</t>
  </si>
  <si>
    <t>CLI-00070</t>
  </si>
  <si>
    <t>CLI-00562</t>
  </si>
  <si>
    <t>CLI-01775</t>
  </si>
  <si>
    <t>CLI-00165</t>
  </si>
  <si>
    <t>CLI-01686</t>
  </si>
  <si>
    <t>CLI-01597</t>
  </si>
  <si>
    <t>CLI-01007</t>
  </si>
  <si>
    <t>CLI-00965</t>
  </si>
  <si>
    <t>CLI-01923</t>
  </si>
  <si>
    <t>CLI-00846</t>
  </si>
  <si>
    <t>CLI-01723</t>
  </si>
  <si>
    <t>CLI-00682</t>
  </si>
  <si>
    <t>CLI-01470</t>
  </si>
  <si>
    <t>CLI-00866</t>
  </si>
  <si>
    <t>CLI-01796</t>
  </si>
  <si>
    <t>CLI-01680</t>
  </si>
  <si>
    <t>CLI-00206</t>
  </si>
  <si>
    <t>CLI-01689</t>
  </si>
  <si>
    <t>CLI-01839</t>
  </si>
  <si>
    <t>CLI-01431</t>
  </si>
  <si>
    <t>CLI-00535</t>
  </si>
  <si>
    <t>CLI-01037</t>
  </si>
  <si>
    <t>CLI-00136</t>
  </si>
  <si>
    <t>CLI-00721</t>
  </si>
  <si>
    <t>CLI-00862</t>
  </si>
  <si>
    <t>CLI-01234</t>
  </si>
  <si>
    <t>CLI-01494</t>
  </si>
  <si>
    <t>CLI-01666</t>
  </si>
  <si>
    <t>CLI-01122</t>
  </si>
  <si>
    <t>Clients_Churn_Part_05.xlsx</t>
  </si>
  <si>
    <t>CLI-01511</t>
  </si>
  <si>
    <t>CLI-00670</t>
  </si>
  <si>
    <t>CLI-00929</t>
  </si>
  <si>
    <t>CLI-01424</t>
  </si>
  <si>
    <t>CLI-00057</t>
  </si>
  <si>
    <t>CLI-01561</t>
  </si>
  <si>
    <t>CLI-00107</t>
  </si>
  <si>
    <t>CLI-01314</t>
  </si>
  <si>
    <t>CLI-01793</t>
  </si>
  <si>
    <t>CLI-00377</t>
  </si>
  <si>
    <t>CLI-01291</t>
  </si>
  <si>
    <t>CLI-00909</t>
  </si>
  <si>
    <t>CLI-01621</t>
  </si>
  <si>
    <t>CLI-01313</t>
  </si>
  <si>
    <t>CLI-00279</t>
  </si>
  <si>
    <t>CLI-00007</t>
  </si>
  <si>
    <t>CLI-00821</t>
  </si>
  <si>
    <t>CLI-00410</t>
  </si>
  <si>
    <t>CLI-01287</t>
  </si>
  <si>
    <t>CLI-00626</t>
  </si>
  <si>
    <t>CLI-01970</t>
  </si>
  <si>
    <t>CLI-01180</t>
  </si>
  <si>
    <t>CLI-00169</t>
  </si>
  <si>
    <t>CLI-00227</t>
  </si>
  <si>
    <t>CLI-00324</t>
  </si>
  <si>
    <t>CLI-00512</t>
  </si>
  <si>
    <t>CLI-01058</t>
  </si>
  <si>
    <t>CLI-01462</t>
  </si>
  <si>
    <t>CLI-01573</t>
  </si>
  <si>
    <t>CLI-01702</t>
  </si>
  <si>
    <t>CLI-01330</t>
  </si>
  <si>
    <t>CLI-01563</t>
  </si>
  <si>
    <t>CLI-00267</t>
  </si>
  <si>
    <t>CLI-01735</t>
  </si>
  <si>
    <t>CLI-01217</t>
  </si>
  <si>
    <t>CLI-01405</t>
  </si>
  <si>
    <t>CLI-00841</t>
  </si>
  <si>
    <t>CLI-01624</t>
  </si>
  <si>
    <t>CLI-00655</t>
  </si>
  <si>
    <t>CLI-00925</t>
  </si>
  <si>
    <t>CLI-00980</t>
  </si>
  <si>
    <t>CLI-01506</t>
  </si>
  <si>
    <t>CLI-00274</t>
  </si>
  <si>
    <t>CLI-00534</t>
  </si>
  <si>
    <t>CLI-00356</t>
  </si>
  <si>
    <t>CLI-01408</t>
  </si>
  <si>
    <t>CLI-01215</t>
  </si>
  <si>
    <t>CLI-01694</t>
  </si>
  <si>
    <t>CLI-00671</t>
  </si>
  <si>
    <t>CLI-01638</t>
  </si>
  <si>
    <t>Clients_Churn_Part_06.xlsx</t>
  </si>
  <si>
    <t>CLI-00578</t>
  </si>
  <si>
    <t>CLI-00407</t>
  </si>
  <si>
    <t>CLI-00173</t>
  </si>
  <si>
    <t>CLI-00849</t>
  </si>
  <si>
    <t>CLI-00753</t>
  </si>
  <si>
    <t>CLI-00373</t>
  </si>
  <si>
    <t>CLI-00806</t>
  </si>
  <si>
    <t>CLI-00773</t>
  </si>
  <si>
    <t>CLI-01169</t>
  </si>
  <si>
    <t>CLI-00460</t>
  </si>
  <si>
    <t>CLI-00043</t>
  </si>
  <si>
    <t>CLI-00048</t>
  </si>
  <si>
    <t>CLI-01144</t>
  </si>
  <si>
    <t>CLI-01326</t>
  </si>
  <si>
    <t>CLI-01254</t>
  </si>
  <si>
    <t>CLI-01284</t>
  </si>
  <si>
    <t>CLI-00469</t>
  </si>
  <si>
    <t>CLI-00183</t>
  </si>
  <si>
    <t>CLI-00948</t>
  </si>
  <si>
    <t>CLI-01749</t>
  </si>
  <si>
    <t>CLI-00537</t>
  </si>
  <si>
    <t>CLI-01437</t>
  </si>
  <si>
    <t>CLI-00346</t>
  </si>
  <si>
    <t>CLI-00102</t>
  </si>
  <si>
    <t>CLI-00822</t>
  </si>
  <si>
    <t>CLI-01266</t>
  </si>
  <si>
    <t>CLI-00879</t>
  </si>
  <si>
    <t>CLI-01230</t>
  </si>
  <si>
    <t>CLI-00533</t>
  </si>
  <si>
    <t>CLI-00306</t>
  </si>
  <si>
    <t>CLI-01732</t>
  </si>
  <si>
    <t>CLI-01885</t>
  </si>
  <si>
    <t>CLI-00349</t>
  </si>
  <si>
    <t>CLI-01162</t>
  </si>
  <si>
    <t>CLI-00241</t>
  </si>
  <si>
    <t>CLI-00029</t>
  </si>
  <si>
    <t>CLI-01472</t>
  </si>
  <si>
    <t>CLI-01077</t>
  </si>
  <si>
    <t>CLI-00892</t>
  </si>
  <si>
    <t>CLI-01929</t>
  </si>
  <si>
    <t>CLI-00930</t>
  </si>
  <si>
    <t>CLI-01695</t>
  </si>
  <si>
    <t>CLI-01380</t>
  </si>
  <si>
    <t>CLI-01013</t>
  </si>
  <si>
    <t>CLI-00243</t>
  </si>
  <si>
    <t>CLI-01740</t>
  </si>
  <si>
    <t>CLI-01773</t>
  </si>
  <si>
    <t>CLI-00417</t>
  </si>
  <si>
    <t>CLI-00391</t>
  </si>
  <si>
    <t>Clients_Churn_Part_07.xlsx</t>
  </si>
  <si>
    <t>CLI-01835</t>
  </si>
  <si>
    <t>CLI-01602</t>
  </si>
  <si>
    <t>CLI-00546</t>
  </si>
  <si>
    <t>CLI-00590</t>
  </si>
  <si>
    <t>CLI-01529</t>
  </si>
  <si>
    <t>CLI-01706</t>
  </si>
  <si>
    <t>CLI-00783</t>
  </si>
  <si>
    <t>CLI-01906</t>
  </si>
  <si>
    <t>CLI-00884</t>
  </si>
  <si>
    <t>CLI-00424</t>
  </si>
  <si>
    <t>CLI-01931</t>
  </si>
  <si>
    <t>CLI-00442</t>
  </si>
  <si>
    <t>CLI-01688</t>
  </si>
  <si>
    <t>CLI-00580</t>
  </si>
  <si>
    <t>CLI-01489</t>
  </si>
  <si>
    <t>CLI-01387</t>
  </si>
  <si>
    <t>CLI-00388</t>
  </si>
  <si>
    <t>CLI-00857</t>
  </si>
  <si>
    <t>CLI-00370</t>
  </si>
  <si>
    <t>CLI-01938</t>
  </si>
  <si>
    <t>CLI-01623</t>
  </si>
  <si>
    <t>CLI-00299</t>
  </si>
  <si>
    <t>CLI-00059</t>
  </si>
  <si>
    <t>CLI-00595</t>
  </si>
  <si>
    <t>CLI-01729</t>
  </si>
  <si>
    <t>CLI-01844</t>
  </si>
  <si>
    <t>CLI-01877</t>
  </si>
  <si>
    <t>CLI-00924</t>
  </si>
  <si>
    <t>CLI-00509</t>
  </si>
  <si>
    <t>CLI-00758</t>
  </si>
  <si>
    <t>CLI-01194</t>
  </si>
  <si>
    <t>CLI-01402</t>
  </si>
  <si>
    <t>CLI-01736</t>
  </si>
  <si>
    <t>CLI-00939</t>
  </si>
  <si>
    <t>CLI-00176</t>
  </si>
  <si>
    <t>CLI-00022</t>
  </si>
  <si>
    <t>CLI-00961</t>
  </si>
  <si>
    <t>CLI-00273</t>
  </si>
  <si>
    <t>CLI-00663</t>
  </si>
  <si>
    <t>CLI-01420</t>
  </si>
  <si>
    <t>CLI-00815</t>
  </si>
  <si>
    <t>CLI-01407</t>
  </si>
  <si>
    <t>CLI-00435</t>
  </si>
  <si>
    <t>CLI-01461</t>
  </si>
  <si>
    <t>CLI-00786</t>
  </si>
  <si>
    <t>CLI-01451</t>
  </si>
  <si>
    <t>CLI-01917</t>
  </si>
  <si>
    <t>CLI-01508</t>
  </si>
  <si>
    <t>CLI-01224</t>
  </si>
  <si>
    <t>CLI-00525</t>
  </si>
  <si>
    <t>Clients_Churn_Part_08.xlsx</t>
  </si>
  <si>
    <t>CLI-00150</t>
  </si>
  <si>
    <t>CLI-00196</t>
  </si>
  <si>
    <t>CLI-01141</t>
  </si>
  <si>
    <t>CLI-00121</t>
  </si>
  <si>
    <t>CLI-01794</t>
  </si>
  <si>
    <t>CLI-01818</t>
  </si>
  <si>
    <t>CLI-00481</t>
  </si>
  <si>
    <t>CLI-01822</t>
  </si>
  <si>
    <t>CLI-00726</t>
  </si>
  <si>
    <t>CLI-01242</t>
  </si>
  <si>
    <t>CLI-01374</t>
  </si>
  <si>
    <t>CLI-01226</t>
  </si>
  <si>
    <t>CLI-01454</t>
  </si>
  <si>
    <t>CLI-01920</t>
  </si>
  <si>
    <t>CLI-00094</t>
  </si>
  <si>
    <t>CLI-00011</t>
  </si>
  <si>
    <t>CLI-00520</t>
  </si>
  <si>
    <t>CLI-01034</t>
  </si>
  <si>
    <t>CLI-01270</t>
  </si>
  <si>
    <t>CLI-00781</t>
  </si>
  <si>
    <t>CLI-00620</t>
  </si>
  <si>
    <t>CLI-00809</t>
  </si>
  <si>
    <t>CLI-01375</t>
  </si>
  <si>
    <t>CLI-00760</t>
  </si>
  <si>
    <t>CLI-00271</t>
  </si>
  <si>
    <t>CLI-01146</t>
  </si>
  <si>
    <t>CLI-00085</t>
  </si>
  <si>
    <t>CLI-01940</t>
  </si>
  <si>
    <t>CLI-00368</t>
  </si>
  <si>
    <t>CLI-01880</t>
  </si>
  <si>
    <t>CLI-00348</t>
  </si>
  <si>
    <t>CLI-01032</t>
  </si>
  <si>
    <t>CLI-01010</t>
  </si>
  <si>
    <t>CLI-00695</t>
  </si>
  <si>
    <t>CLI-00959</t>
  </si>
  <si>
    <t>CLI-01626</t>
  </si>
  <si>
    <t>CLI-00184</t>
  </si>
  <si>
    <t>CLI-01836</t>
  </si>
  <si>
    <t>CLI-01455</t>
  </si>
  <si>
    <t>CLI-01087</t>
  </si>
  <si>
    <t>CLI-00887</t>
  </si>
  <si>
    <t>CLI-00291</t>
  </si>
  <si>
    <t>CLI-01788</t>
  </si>
  <si>
    <t>CLI-00240</t>
  </si>
  <si>
    <t>CLI-01927</t>
  </si>
  <si>
    <t>CLI-00091</t>
  </si>
  <si>
    <t>CLI-00262</t>
  </si>
  <si>
    <t>CLI-01023</t>
  </si>
  <si>
    <t>CLI-00576</t>
  </si>
  <si>
    <t>CLI-01532</t>
  </si>
  <si>
    <t>Clients_Churn_Part_09.xlsx</t>
  </si>
  <si>
    <t>CLI-00739</t>
  </si>
  <si>
    <t>CLI-00881</t>
  </si>
  <si>
    <t>CLI-01687</t>
  </si>
  <si>
    <t>CLI-00540</t>
  </si>
  <si>
    <t>CLI-01256</t>
  </si>
  <si>
    <t>CLI-01560</t>
  </si>
  <si>
    <t>CLI-00541</t>
  </si>
  <si>
    <t>CLI-01059</t>
  </si>
  <si>
    <t>CLI-01606</t>
  </si>
  <si>
    <t>CLI-00893</t>
  </si>
  <si>
    <t>CLI-00338</t>
  </si>
  <si>
    <t>CLI-00647</t>
  </si>
  <si>
    <t>CLI-01821</t>
  </si>
  <si>
    <t>CLI-01823</t>
  </si>
  <si>
    <t>CLI-01565</t>
  </si>
  <si>
    <t>CLI-00310</t>
  </si>
  <si>
    <t>CLI-01139</t>
  </si>
  <si>
    <t>CLI-01959</t>
  </si>
  <si>
    <t>CLI-01304</t>
  </si>
  <si>
    <t>CLI-00902</t>
  </si>
  <si>
    <t>CLI-00109</t>
  </si>
  <si>
    <t>CLI-00387</t>
  </si>
  <si>
    <t>CLI-00305</t>
  </si>
  <si>
    <t>CLI-01873</t>
  </si>
  <si>
    <t>CLI-00471</t>
  </si>
  <si>
    <t>CLI-00376</t>
  </si>
  <si>
    <t>CLI-00074</t>
  </si>
  <si>
    <t>CLI-00964</t>
  </si>
  <si>
    <t>CLI-01721</t>
  </si>
  <si>
    <t>CLI-00335</t>
  </si>
  <si>
    <t>CLI-01446</t>
  </si>
  <si>
    <t>CLI-00957</t>
  </si>
  <si>
    <t>CLI-01999</t>
  </si>
  <si>
    <t>CLI-00238</t>
  </si>
  <si>
    <t>CLI-01014</t>
  </si>
  <si>
    <t>CLI-00084</t>
  </si>
  <si>
    <t>CLI-00905</t>
  </si>
  <si>
    <t>CLI-00731</t>
  </si>
  <si>
    <t>CLI-01453</t>
  </si>
  <si>
    <t>CLI-01149</t>
  </si>
  <si>
    <t>CLI-00994</t>
  </si>
  <si>
    <t>CLI-00938</t>
  </si>
  <si>
    <t>CLI-01988</t>
  </si>
  <si>
    <t>CLI-00231</t>
  </si>
  <si>
    <t>CLI-01475</t>
  </si>
  <si>
    <t>CLI-00304</t>
  </si>
  <si>
    <t>CLI-00254</t>
  </si>
  <si>
    <t>CLI-00716</t>
  </si>
  <si>
    <t>CLI-00192</t>
  </si>
  <si>
    <t>CLI-00418</t>
  </si>
  <si>
    <t>Clients_Churn_Part_10.xlsx</t>
  </si>
  <si>
    <t>CLI-00582</t>
  </si>
  <si>
    <t>CLI-01682</t>
  </si>
  <si>
    <t>CLI-00345</t>
  </si>
  <si>
    <t>CLI-01536</t>
  </si>
  <si>
    <t>CLI-01042</t>
  </si>
  <si>
    <t>CLI-01992</t>
  </si>
  <si>
    <t>CLI-01154</t>
  </si>
  <si>
    <t>CLI-01359</t>
  </si>
  <si>
    <t>CLI-01200</t>
  </si>
  <si>
    <t>CLI-01658</t>
  </si>
  <si>
    <t>CLI-01196</t>
  </si>
  <si>
    <t>CLI-00009</t>
  </si>
  <si>
    <t>CLI-01078</t>
  </si>
  <si>
    <t>CLI-01741</t>
  </si>
  <si>
    <t>CLI-01549</t>
  </si>
  <si>
    <t>CLI-00853</t>
  </si>
  <si>
    <t>CLI-00158</t>
  </si>
  <si>
    <t>CLI-01893</t>
  </si>
  <si>
    <t>CLI-01021</t>
  </si>
  <si>
    <t>CLI-01846</t>
  </si>
  <si>
    <t>CLI-00194</t>
  </si>
  <si>
    <t>CLI-00674</t>
  </si>
  <si>
    <t>CLI-00054</t>
  </si>
  <si>
    <t>CLI-00583</t>
  </si>
  <si>
    <t>CLI-01396</t>
  </si>
  <si>
    <t>CLI-01394</t>
  </si>
  <si>
    <t>CLI-01858</t>
  </si>
  <si>
    <t>CLI-00808</t>
  </si>
  <si>
    <t>CLI-00766</t>
  </si>
  <si>
    <t>CLI-01210</t>
  </si>
  <si>
    <t>CLI-00218</t>
  </si>
  <si>
    <t>CLI-01662</t>
  </si>
  <si>
    <t>CLI-00315</t>
  </si>
  <si>
    <t>CLI-01990</t>
  </si>
  <si>
    <t>CLI-00167</t>
  </si>
  <si>
    <t>CLI-00943</t>
  </si>
  <si>
    <t>CLI-01450</t>
  </si>
  <si>
    <t>CLI-01351</t>
  </si>
  <si>
    <t>CLI-00983</t>
  </si>
  <si>
    <t>CLI-01709</t>
  </si>
  <si>
    <t>CLI-01782</t>
  </si>
  <si>
    <t>CLI-00552</t>
  </si>
  <si>
    <t>CLI-01766</t>
  </si>
  <si>
    <t>CLI-01348</t>
  </si>
  <si>
    <t>CLI-00012</t>
  </si>
  <si>
    <t>CLI-01926</t>
  </si>
  <si>
    <t>CLI-00090</t>
  </si>
  <si>
    <t>CLI-01344</t>
  </si>
  <si>
    <t>CLI-01275</t>
  </si>
  <si>
    <t>CLI-00928</t>
  </si>
  <si>
    <t>Clients_Churn_Part_11.xlsx</t>
  </si>
  <si>
    <t>CLI-00666</t>
  </si>
  <si>
    <t>CLI-01499</t>
  </si>
  <si>
    <t>CLI-01166</t>
  </si>
  <si>
    <t>CLI-00265</t>
  </si>
  <si>
    <t>CLI-00433</t>
  </si>
  <si>
    <t>CLI-00100</t>
  </si>
  <si>
    <t>CLI-01319</t>
  </si>
  <si>
    <t>CLI-01598</t>
  </si>
  <si>
    <t>CLI-00662</t>
  </si>
  <si>
    <t>CLI-01979</t>
  </si>
  <si>
    <t>CLI-00145</t>
  </si>
  <si>
    <t>CLI-01121</t>
  </si>
  <si>
    <t>CLI-01804</t>
  </si>
  <si>
    <t>CLI-00782</t>
  </si>
  <si>
    <t>CLI-00190</t>
  </si>
  <si>
    <t>CLI-00817</t>
  </si>
  <si>
    <t>CLI-00523</t>
  </si>
  <si>
    <t>CLI-00365</t>
  </si>
  <si>
    <t>CLI-00492</t>
  </si>
  <si>
    <t>CLI-01485</t>
  </si>
  <si>
    <t>CLI-01719</t>
  </si>
  <si>
    <t>CLI-01739</t>
  </si>
  <si>
    <t>CLI-00427</t>
  </si>
  <si>
    <t>CLI-00334</t>
  </si>
  <si>
    <t>CLI-01852</t>
  </si>
  <si>
    <t>CLI-00825</t>
  </si>
  <si>
    <t>CLI-00584</t>
  </si>
  <si>
    <t>CLI-01668</t>
  </si>
  <si>
    <t>CLI-01340</t>
  </si>
  <si>
    <t>CLI-00316</t>
  </si>
  <si>
    <t>CLI-00247</t>
  </si>
  <si>
    <t>CLI-00612</t>
  </si>
  <si>
    <t>CLI-01006</t>
  </si>
  <si>
    <t>CLI-00886</t>
  </si>
  <si>
    <t>CLI-00636</t>
  </si>
  <si>
    <t>CLI-01403</t>
  </si>
  <si>
    <t>CLI-01236</t>
  </si>
  <si>
    <t>CLI-00269</t>
  </si>
  <si>
    <t>CLI-00736</t>
  </si>
  <si>
    <t>CLI-01363</t>
  </si>
  <si>
    <t>CLI-00197</t>
  </si>
  <si>
    <t>CLI-01981</t>
  </si>
  <si>
    <t>CLI-01050</t>
  </si>
  <si>
    <t>CLI-01783</t>
  </si>
  <si>
    <t>CLI-01003</t>
  </si>
  <si>
    <t>CLI-00913</t>
  </si>
  <si>
    <t>CLI-00795</t>
  </si>
  <si>
    <t>CLI-00976</t>
  </si>
  <si>
    <t>CLI-00550</t>
  </si>
  <si>
    <t>CLI-01544</t>
  </si>
  <si>
    <t>Clients_Churn_Part_12.xlsx</t>
  </si>
  <si>
    <t>CLI-01722</t>
  </si>
  <si>
    <t>CLI-01654</t>
  </si>
  <si>
    <t>CLI-01847</t>
  </si>
  <si>
    <t>CLI-01816</t>
  </si>
  <si>
    <t>CLI-00755</t>
  </si>
  <si>
    <t>CLI-01258</t>
  </si>
  <si>
    <t>CLI-00382</t>
  </si>
  <si>
    <t>CLI-00890</t>
  </si>
  <si>
    <t>CLI-01292</t>
  </si>
  <si>
    <t>CLI-00873</t>
  </si>
  <si>
    <t>CLI-00191</t>
  </si>
  <si>
    <t>CLI-00083</t>
  </si>
  <si>
    <t>CLI-01052</t>
  </si>
  <si>
    <t>CLI-00700</t>
  </si>
  <si>
    <t>CLI-00950</t>
  </si>
  <si>
    <t>CLI-01386</t>
  </si>
  <si>
    <t>CLI-01704</t>
  </si>
  <si>
    <t>CLI-01327</t>
  </si>
  <si>
    <t>CLI-01406</t>
  </si>
  <si>
    <t>CLI-00318</t>
  </si>
  <si>
    <t>CLI-01015</t>
  </si>
  <si>
    <t>CLI-01080</t>
  </si>
  <si>
    <t>CLI-01290</t>
  </si>
  <si>
    <t>CLI-01473</t>
  </si>
  <si>
    <t>CLI-01075</t>
  </si>
  <si>
    <t>CLI-01971</t>
  </si>
  <si>
    <t>CLI-00596</t>
  </si>
  <si>
    <t>CLI-01871</t>
  </si>
  <si>
    <t>CLI-00896</t>
  </si>
  <si>
    <t>CLI-00163</t>
  </si>
  <si>
    <t>CLI-00979</t>
  </si>
  <si>
    <t>CLI-00616</t>
  </si>
  <si>
    <t>CLI-01578</t>
  </si>
  <si>
    <t>CLI-01604</t>
  </si>
  <si>
    <t>CLI-01669</t>
  </si>
  <si>
    <t>CLI-01419</t>
  </si>
  <si>
    <t>CLI-00510</t>
  </si>
  <si>
    <t>CLI-01072</t>
  </si>
  <si>
    <t>CLI-00876</t>
  </si>
  <si>
    <t>CLI-00606</t>
  </si>
  <si>
    <t>CLI-01165</t>
  </si>
  <si>
    <t>CLI-00098</t>
  </si>
  <si>
    <t>CLI-01129</t>
  </si>
  <si>
    <t>CLI-00157</t>
  </si>
  <si>
    <t>CLI-00093</t>
  </si>
  <si>
    <t>CLI-01438</t>
  </si>
  <si>
    <t>CLI-00221</t>
  </si>
  <si>
    <t>CLI-01046</t>
  </si>
  <si>
    <t>CLI-00871</t>
  </si>
  <si>
    <t>CLI-01820</t>
  </si>
  <si>
    <t>Clients_Churn_Part_13.xlsx</t>
  </si>
  <si>
    <t>CLI-01530</t>
  </si>
  <si>
    <t>CLI-00952</t>
  </si>
  <si>
    <t>CLI-01354</t>
  </si>
  <si>
    <t>CLI-01410</t>
  </si>
  <si>
    <t>CLI-01868</t>
  </si>
  <si>
    <t>CLI-00728</t>
  </si>
  <si>
    <t>CLI-00522</t>
  </si>
  <si>
    <t>CLI-01542</t>
  </si>
  <si>
    <t>CLI-00168</t>
  </si>
  <si>
    <t>CLI-01619</t>
  </si>
  <si>
    <t>CLI-00034</t>
  </si>
  <si>
    <t>CLI-00234</t>
  </si>
  <si>
    <t>CLI-01355</t>
  </si>
  <si>
    <t>CLI-01731</t>
  </si>
  <si>
    <t>CLI-01622</t>
  </si>
  <si>
    <t>CLI-00374</t>
  </si>
  <si>
    <t>CLI-01861</t>
  </si>
  <si>
    <t>CLI-01432</t>
  </si>
  <si>
    <t>CLI-00171</t>
  </si>
  <si>
    <t>CLI-01535</t>
  </si>
  <si>
    <t>CLI-01843</t>
  </si>
  <si>
    <t>CLI-01780</t>
  </si>
  <si>
    <t>CLI-01203</t>
  </si>
  <si>
    <t>CLI-00932</t>
  </si>
  <si>
    <t>CLI-01373</t>
  </si>
  <si>
    <t>CLI-00922</t>
  </si>
  <si>
    <t>CLI-01278</t>
  </si>
  <si>
    <t>CLI-00543</t>
  </si>
  <si>
    <t>CLI-01728</t>
  </si>
  <si>
    <t>CLI-00384</t>
  </si>
  <si>
    <t>CLI-01496</t>
  </si>
  <si>
    <t>CLI-00380</t>
  </si>
  <si>
    <t>CLI-00161</t>
  </si>
  <si>
    <t>CLI-01238</t>
  </si>
  <si>
    <t>CLI-00532</t>
  </si>
  <si>
    <t>CLI-01520</t>
  </si>
  <si>
    <t>CLI-00889</t>
  </si>
  <si>
    <t>CLI-01095</t>
  </si>
  <si>
    <t>CLI-00037</t>
  </si>
  <si>
    <t>CLI-01759</t>
  </si>
  <si>
    <t>CLI-01629</t>
  </si>
  <si>
    <t>CLI-00239</t>
  </si>
  <si>
    <t>CLI-00028</t>
  </si>
  <si>
    <t>CLI-00352</t>
  </si>
  <si>
    <t>CLI-01503</t>
  </si>
  <si>
    <t>CLI-00978</t>
  </si>
  <si>
    <t>CLI-01876</t>
  </si>
  <si>
    <t>CLI-00830</t>
  </si>
  <si>
    <t>CLI-01507</t>
  </si>
  <si>
    <t>CLI-01969</t>
  </si>
  <si>
    <t>Clients_Churn_Part_14.xlsx</t>
  </si>
  <si>
    <t>CLI-00997</t>
  </si>
  <si>
    <t>CLI-00621</t>
  </si>
  <si>
    <t>CLI-01267</t>
  </si>
  <si>
    <t>CLI-01264</t>
  </si>
  <si>
    <t>CLI-01600</t>
  </si>
  <si>
    <t>CLI-01360</t>
  </si>
  <si>
    <t>CLI-01630</t>
  </si>
  <si>
    <t>CLI-00180</t>
  </si>
  <si>
    <t>CLI-00257</t>
  </si>
  <si>
    <t>CLI-00277</t>
  </si>
  <si>
    <t>CLI-01714</t>
  </si>
  <si>
    <t>CLI-01701</t>
  </si>
  <si>
    <t>CLI-01949</t>
  </si>
  <si>
    <t>CLI-00033</t>
  </si>
  <si>
    <t>CLI-00386</t>
  </si>
  <si>
    <t>CLI-00055</t>
  </si>
  <si>
    <t>CLI-00429</t>
  </si>
  <si>
    <t>CLI-00986</t>
  </si>
  <si>
    <t>CLI-01329</t>
  </si>
  <si>
    <t>CLI-00298</t>
  </si>
  <si>
    <t>CLI-00496</t>
  </si>
  <si>
    <t>CLI-01591</t>
  </si>
  <si>
    <t>CLI-01283</t>
  </si>
  <si>
    <t>CLI-01104</t>
  </si>
  <si>
    <t>CLI-01339</t>
  </si>
  <si>
    <t>CLI-00177</t>
  </si>
  <si>
    <t>CLI-01848</t>
  </si>
  <si>
    <t>CLI-01436</t>
  </si>
  <si>
    <t>CLI-01555</t>
  </si>
  <si>
    <t>CLI-00971</t>
  </si>
  <si>
    <t>CLI-01998</t>
  </si>
  <si>
    <t>CLI-00045</t>
  </si>
  <si>
    <t>CLI-01543</t>
  </si>
  <si>
    <t>CLI-00341</t>
  </si>
  <si>
    <t>CLI-00313</t>
  </si>
  <si>
    <t>CLI-00912</t>
  </si>
  <si>
    <t>CLI-01595</t>
  </si>
  <si>
    <t>CLI-00966</t>
  </si>
  <si>
    <t>CLI-01975</t>
  </si>
  <si>
    <t>CLI-00921</t>
  </si>
  <si>
    <t>CLI-01199</t>
  </si>
  <si>
    <t>CLI-00497</t>
  </si>
  <si>
    <t>CLI-00413</t>
  </si>
  <si>
    <t>CLI-00604</t>
  </si>
  <si>
    <t>CLI-01167</t>
  </si>
  <si>
    <t>CLI-00803</t>
  </si>
  <si>
    <t>CLI-00105</t>
  </si>
  <si>
    <t>CLI-00684</t>
  </si>
  <si>
    <t>CLI-01851</t>
  </si>
  <si>
    <t>CLI-00211</t>
  </si>
  <si>
    <t>Clients_Churn_Part_15.xlsx</t>
  </si>
  <si>
    <t>CLI-01442</t>
  </si>
  <si>
    <t>CLI-00885</t>
  </si>
  <si>
    <t>CLI-00852</t>
  </si>
  <si>
    <t>CLI-01016</t>
  </si>
  <si>
    <t>CLI-01186</t>
  </si>
  <si>
    <t>CLI-01221</t>
  </si>
  <si>
    <t>CLI-01136</t>
  </si>
  <si>
    <t>CLI-01797</t>
  </si>
  <si>
    <t>CLI-01995</t>
  </si>
  <si>
    <t>CLI-00999</t>
  </si>
  <si>
    <t>CLI-00819</t>
  </si>
  <si>
    <t>CLI-01977</t>
  </si>
  <si>
    <t>CLI-01765</t>
  </si>
  <si>
    <t>CLI-01211</t>
  </si>
  <si>
    <t>CLI-01253</t>
  </si>
  <si>
    <t>CLI-01000</t>
  </si>
  <si>
    <t>CLI-00475</t>
  </si>
  <si>
    <t>CLI-00125</t>
  </si>
  <si>
    <t>CLI-01082</t>
  </si>
  <si>
    <t>CLI-00039</t>
  </si>
  <si>
    <t>CLI-01832</t>
  </si>
  <si>
    <t>CLI-01181</t>
  </si>
  <si>
    <t>CLI-01589</t>
  </si>
  <si>
    <t>CLI-01134</t>
  </si>
  <si>
    <t>CLI-01966</t>
  </si>
  <si>
    <t>CLI-00549</t>
  </si>
  <si>
    <t>CLI-00855</t>
  </si>
  <si>
    <t>CLI-00970</t>
  </si>
  <si>
    <t>CLI-01890</t>
  </si>
  <si>
    <t>CLI-01566</t>
  </si>
  <si>
    <t>CLI-00711</t>
  </si>
  <si>
    <t>CLI-00919</t>
  </si>
  <si>
    <t>CLI-01568</t>
  </si>
  <si>
    <t>CLI-01479</t>
  </si>
  <si>
    <t>CLI-00331</t>
  </si>
  <si>
    <t>CLI-01697</t>
  </si>
  <si>
    <t>CLI-00394</t>
  </si>
  <si>
    <t>CLI-00962</t>
  </si>
  <si>
    <t>CLI-00705</t>
  </si>
  <si>
    <t>CLI-00898</t>
  </si>
  <si>
    <t>CLI-00476</t>
  </si>
  <si>
    <t>CLI-01040</t>
  </si>
  <si>
    <t>CLI-00450</t>
  </si>
  <si>
    <t>CLI-01204</t>
  </si>
  <si>
    <t>CLI-01830</t>
  </si>
  <si>
    <t>CLI-01488</t>
  </si>
  <si>
    <t>CLI-00960</t>
  </si>
  <si>
    <t>CLI-01463</t>
  </si>
  <si>
    <t>CLI-00601</t>
  </si>
  <si>
    <t>CLI-00800</t>
  </si>
  <si>
    <t>Date_Heure_Panne</t>
  </si>
  <si>
    <t>Cell_ID</t>
  </si>
  <si>
    <t>Duree_Panne_Min</t>
  </si>
  <si>
    <t>Statut_Resolution</t>
  </si>
  <si>
    <t>Logs_Reseau_Part_01.xlsx</t>
  </si>
  <si>
    <t>ANT-0465</t>
  </si>
  <si>
    <t>Résolu</t>
  </si>
  <si>
    <t>ANT-0004</t>
  </si>
  <si>
    <t>ANT-0977</t>
  </si>
  <si>
    <t>Non Résolu</t>
  </si>
  <si>
    <t>ANT-0740</t>
  </si>
  <si>
    <t>En Cours</t>
  </si>
  <si>
    <t>ANT-0897</t>
  </si>
  <si>
    <t>ANT-0737</t>
  </si>
  <si>
    <t>ANT-0270</t>
  </si>
  <si>
    <t>ANT-0996</t>
  </si>
  <si>
    <t>ANT-0513</t>
  </si>
  <si>
    <t>ANT-0781</t>
  </si>
  <si>
    <t>ANT-0183</t>
  </si>
  <si>
    <t>ANT-0520</t>
  </si>
  <si>
    <t>ANT-0935</t>
  </si>
  <si>
    <t>ANT-0109</t>
  </si>
  <si>
    <t>ANT-0892</t>
  </si>
  <si>
    <t>ANT-0641</t>
  </si>
  <si>
    <t>ANT-0306</t>
  </si>
  <si>
    <t>ANT-0862</t>
  </si>
  <si>
    <t>ANT-0655</t>
  </si>
  <si>
    <t>ANT-0624</t>
  </si>
  <si>
    <t>ANT-0204</t>
  </si>
  <si>
    <t>ANT-0157</t>
  </si>
  <si>
    <t>ANT-0383</t>
  </si>
  <si>
    <t>ANT-0166</t>
  </si>
  <si>
    <t>ANT-0553</t>
  </si>
  <si>
    <t>ANT-0798</t>
  </si>
  <si>
    <t>ANT-0945</t>
  </si>
  <si>
    <t>ANT-0544</t>
  </si>
  <si>
    <t>ANT-0941</t>
  </si>
  <si>
    <t>ANT-0001</t>
  </si>
  <si>
    <t>ANT-0614</t>
  </si>
  <si>
    <t>ANT-0332</t>
  </si>
  <si>
    <t>ANT-0501</t>
  </si>
  <si>
    <t>ANT-0020</t>
  </si>
  <si>
    <t>ANT-0115</t>
  </si>
  <si>
    <t>ANT-0952</t>
  </si>
  <si>
    <t>ANT-0372</t>
  </si>
  <si>
    <t>ANT-0900</t>
  </si>
  <si>
    <t>ANT-0852</t>
  </si>
  <si>
    <t>ANT-0315</t>
  </si>
  <si>
    <t>ANT-0246</t>
  </si>
  <si>
    <t>ANT-0060</t>
  </si>
  <si>
    <t>ANT-0247</t>
  </si>
  <si>
    <t>ANT-0581</t>
  </si>
  <si>
    <t>ANT-0970</t>
  </si>
  <si>
    <t>Logs_Reseau_Part_02.xlsx</t>
  </si>
  <si>
    <t>ANT-0650</t>
  </si>
  <si>
    <t>ANT-0874</t>
  </si>
  <si>
    <t>ANT-0271</t>
  </si>
  <si>
    <t>ANT-0518</t>
  </si>
  <si>
    <t>ANT-0258</t>
  </si>
  <si>
    <t>ANT-0928</t>
  </si>
  <si>
    <t>ANT-0930</t>
  </si>
  <si>
    <t>ANT-0867</t>
  </si>
  <si>
    <t>ANT-0053</t>
  </si>
  <si>
    <t>ANT-0095</t>
  </si>
  <si>
    <t>ANT-0434</t>
  </si>
  <si>
    <t>ANT-0850</t>
  </si>
  <si>
    <t>ANT-0284</t>
  </si>
  <si>
    <t>ANT-0046</t>
  </si>
  <si>
    <t>ANT-0342</t>
  </si>
  <si>
    <t>ANT-0790</t>
  </si>
  <si>
    <t>ANT-0134</t>
  </si>
  <si>
    <t>ANT-0653</t>
  </si>
  <si>
    <t>ANT-0269</t>
  </si>
  <si>
    <t>ANT-0760</t>
  </si>
  <si>
    <t>ANT-0453</t>
  </si>
  <si>
    <t>ANT-0565</t>
  </si>
  <si>
    <t>ANT-0723</t>
  </si>
  <si>
    <t>ANT-0438</t>
  </si>
  <si>
    <t>ANT-0575</t>
  </si>
  <si>
    <t>ANT-0010</t>
  </si>
  <si>
    <t>ANT-0078</t>
  </si>
  <si>
    <t>ANT-0968</t>
  </si>
  <si>
    <t>ANT-0905</t>
  </si>
  <si>
    <t>ANT-0708</t>
  </si>
  <si>
    <t>ANT-0926</t>
  </si>
  <si>
    <t>ANT-0153</t>
  </si>
  <si>
    <t>ANT-0559</t>
  </si>
  <si>
    <t>ANT-0037</t>
  </si>
  <si>
    <t>ANT-0855</t>
  </si>
  <si>
    <t>ANT-0379</t>
  </si>
  <si>
    <t>ANT-0597</t>
  </si>
  <si>
    <t>ANT-0566</t>
  </si>
  <si>
    <t>ANT-0152</t>
  </si>
  <si>
    <t>ANT-0441</t>
  </si>
  <si>
    <t>ANT-0131</t>
  </si>
  <si>
    <t>ANT-0043</t>
  </si>
  <si>
    <t>ANT-0316</t>
  </si>
  <si>
    <t>Logs_Reseau_Part_03.xlsx</t>
  </si>
  <si>
    <t>ANT-0573</t>
  </si>
  <si>
    <t>ANT-0610</t>
  </si>
  <si>
    <t>ANT-0325</t>
  </si>
  <si>
    <t>ANT-0973</t>
  </si>
  <si>
    <t>ANT-0774</t>
  </si>
  <si>
    <t>ANT-0913</t>
  </si>
  <si>
    <t>ANT-0454</t>
  </si>
  <si>
    <t>ANT-0628</t>
  </si>
  <si>
    <t>ANT-0835</t>
  </si>
  <si>
    <t>ANT-0914</t>
  </si>
  <si>
    <t>ANT-0517</t>
  </si>
  <si>
    <t>ANT-0437</t>
  </si>
  <si>
    <t>ANT-0851</t>
  </si>
  <si>
    <t>ANT-0929</t>
  </si>
  <si>
    <t>ANT-0562</t>
  </si>
  <si>
    <t>ANT-0457</t>
  </si>
  <si>
    <t>ANT-0919</t>
  </si>
  <si>
    <t>ANT-0163</t>
  </si>
  <si>
    <t>ANT-0762</t>
  </si>
  <si>
    <t>ANT-0883</t>
  </si>
  <si>
    <t>ANT-0487</t>
  </si>
  <si>
    <t>ANT-0461</t>
  </si>
  <si>
    <t>ANT-0266</t>
  </si>
  <si>
    <t>ANT-0770</t>
  </si>
  <si>
    <t>ANT-0254</t>
  </si>
  <si>
    <t>ANT-0861</t>
  </si>
  <si>
    <t>ANT-0785</t>
  </si>
  <si>
    <t>ANT-0797</t>
  </si>
  <si>
    <t>ANT-0534</t>
  </si>
  <si>
    <t>ANT-0497</t>
  </si>
  <si>
    <t>ANT-0642</t>
  </si>
  <si>
    <t>ANT-0245</t>
  </si>
  <si>
    <t>ANT-0282</t>
  </si>
  <si>
    <t>ANT-0451</t>
  </si>
  <si>
    <t>ANT-0080</t>
  </si>
  <si>
    <t>ANT-0731</t>
  </si>
  <si>
    <t>ANT-0293</t>
  </si>
  <si>
    <t>Logs_Reseau_Part_04.xlsx</t>
  </si>
  <si>
    <t>ANT-0287</t>
  </si>
  <si>
    <t>ANT-0902</t>
  </si>
  <si>
    <t>ANT-0611</t>
  </si>
  <si>
    <t>ANT-0719</t>
  </si>
  <si>
    <t>ANT-0283</t>
  </si>
  <si>
    <t>ANT-0570</t>
  </si>
  <si>
    <t>ANT-0011</t>
  </si>
  <si>
    <t>ANT-0530</t>
  </si>
  <si>
    <t>ANT-0971</t>
  </si>
  <si>
    <t>ANT-0196</t>
  </si>
  <si>
    <t>ANT-0088</t>
  </si>
  <si>
    <t>ANT-0248</t>
  </si>
  <si>
    <t>ANT-0738</t>
  </si>
  <si>
    <t>ANT-0417</t>
  </si>
  <si>
    <t>ANT-0569</t>
  </si>
  <si>
    <t>ANT-0777</t>
  </si>
  <si>
    <t>ANT-0488</t>
  </si>
  <si>
    <t>ANT-0662</t>
  </si>
  <si>
    <t>ANT-0729</t>
  </si>
  <si>
    <t>ANT-0503</t>
  </si>
  <si>
    <t>ANT-0459</t>
  </si>
  <si>
    <t>ANT-0812</t>
  </si>
  <si>
    <t>ANT-0018</t>
  </si>
  <si>
    <t>ANT-0096</t>
  </si>
  <si>
    <t>ANT-0302</t>
  </si>
  <si>
    <t>ANT-0227</t>
  </si>
  <si>
    <t>ANT-0415</t>
  </si>
  <si>
    <t>ANT-0709</t>
  </si>
  <si>
    <t>ANT-0250</t>
  </si>
  <si>
    <t>ANT-0314</t>
  </si>
  <si>
    <t>ANT-0680</t>
  </si>
  <si>
    <t>ANT-0596</t>
  </si>
  <si>
    <t>ANT-0378</t>
  </si>
  <si>
    <t>ANT-0485</t>
  </si>
  <si>
    <t>ANT-0567</t>
  </si>
  <si>
    <t>ANT-0353</t>
  </si>
  <si>
    <t>ANT-0436</t>
  </si>
  <si>
    <t>ANT-0764</t>
  </si>
  <si>
    <t>ANT-0564</t>
  </si>
  <si>
    <t>ANT-0339</t>
  </si>
  <si>
    <t>Logs_Reseau_Part_05.xlsx</t>
  </si>
  <si>
    <t>ANT-0259</t>
  </si>
  <si>
    <t>ANT-0119</t>
  </si>
  <si>
    <t>ANT-0994</t>
  </si>
  <si>
    <t>ANT-0792</t>
  </si>
  <si>
    <t>ANT-0414</t>
  </si>
  <si>
    <t>ANT-0886</t>
  </si>
  <si>
    <t>ANT-0527</t>
  </si>
  <si>
    <t>ANT-0845</t>
  </si>
  <si>
    <t>ANT-0002</t>
  </si>
  <si>
    <t>ANT-0674</t>
  </si>
  <si>
    <t>ANT-0891</t>
  </si>
  <si>
    <t>ANT-0556</t>
  </si>
  <si>
    <t>ANT-0474</t>
  </si>
  <si>
    <t>ANT-0424</t>
  </si>
  <si>
    <t>ANT-0056</t>
  </si>
  <si>
    <t>ANT-0193</t>
  </si>
  <si>
    <t>ANT-0531</t>
  </si>
  <si>
    <t>ANT-0371</t>
  </si>
  <si>
    <t>ANT-0638</t>
  </si>
  <si>
    <t>ANT-0775</t>
  </si>
  <si>
    <t>ANT-0511</t>
  </si>
  <si>
    <t>ANT-0779</t>
  </si>
  <si>
    <t>ANT-0209</t>
  </si>
  <si>
    <t>ANT-0274</t>
  </si>
  <si>
    <t>ANT-0563</t>
  </si>
  <si>
    <t>ANT-0135</t>
  </si>
  <si>
    <t>ANT-0950</t>
  </si>
  <si>
    <t>ANT-0295</t>
  </si>
  <si>
    <t>ANT-0449</t>
  </si>
  <si>
    <t>ANT-0716</t>
  </si>
  <si>
    <t>ANT-0125</t>
  </si>
  <si>
    <t>ANT-0030</t>
  </si>
  <si>
    <t>ANT-0997</t>
  </si>
  <si>
    <t>ANT-0646</t>
  </si>
  <si>
    <t>ANT-0819</t>
  </si>
  <si>
    <t>ANT-0727</t>
  </si>
  <si>
    <t>Logs_Reseau_Part_06.xlsx</t>
  </si>
  <si>
    <t>ANT-0739</t>
  </si>
  <si>
    <t>ANT-0786</t>
  </si>
  <si>
    <t>ANT-0698</t>
  </si>
  <si>
    <t>ANT-0859</t>
  </si>
  <si>
    <t>ANT-0141</t>
  </si>
  <si>
    <t>ANT-0644</t>
  </si>
  <si>
    <t>ANT-0100</t>
  </si>
  <si>
    <t>ANT-0643</t>
  </si>
  <si>
    <t>ANT-0041</t>
  </si>
  <si>
    <t>ANT-0317</t>
  </si>
  <si>
    <t>ANT-0808</t>
  </si>
  <si>
    <t>ANT-0452</t>
  </si>
  <si>
    <t>ANT-0035</t>
  </si>
  <si>
    <t>ANT-0594</t>
  </si>
  <si>
    <t>ANT-0374</t>
  </si>
  <si>
    <t>ANT-0750</t>
  </si>
  <si>
    <t>ANT-0093</t>
  </si>
  <si>
    <t>ANT-0932</t>
  </si>
  <si>
    <t>ANT-0303</t>
  </si>
  <si>
    <t>ANT-0335</t>
  </si>
  <si>
    <t>ANT-0766</t>
  </si>
  <si>
    <t>ANT-0426</t>
  </si>
  <si>
    <t>ANT-0180</t>
  </si>
  <si>
    <t>ANT-0206</t>
  </si>
  <si>
    <t>ANT-0136</t>
  </si>
  <si>
    <t>ANT-0806</t>
  </si>
  <si>
    <t>ANT-0898</t>
  </si>
  <si>
    <t>ANT-0995</t>
  </si>
  <si>
    <t>ANT-0375</t>
  </si>
  <si>
    <t>ANT-0514</t>
  </si>
  <si>
    <t>ANT-0936</t>
  </si>
  <si>
    <t>ANT-0280</t>
  </si>
  <si>
    <t>ANT-0169</t>
  </si>
  <si>
    <t>ANT-0264</t>
  </si>
  <si>
    <t>ANT-0967</t>
  </si>
  <si>
    <t>ANT-0494</t>
  </si>
  <si>
    <t>ANT-0991</t>
  </si>
  <si>
    <t>ANT-0826</t>
  </si>
  <si>
    <t>Logs_Reseau_Part_07.xlsx</t>
  </si>
  <si>
    <t>ANT-0111</t>
  </si>
  <si>
    <t>ANT-0730</t>
  </si>
  <si>
    <t>ANT-0455</t>
  </si>
  <si>
    <t>ANT-0076</t>
  </si>
  <si>
    <t>ANT-0921</t>
  </si>
  <si>
    <t>ANT-0083</t>
  </si>
  <si>
    <t>ANT-0330</t>
  </si>
  <si>
    <t>ANT-0623</t>
  </si>
  <si>
    <t>ANT-0068</t>
  </si>
  <si>
    <t>ANT-0130</t>
  </si>
  <si>
    <t>ANT-0640</t>
  </si>
  <si>
    <t>ANT-0649</t>
  </si>
  <si>
    <t>ANT-0600</t>
  </si>
  <si>
    <t>ANT-0333</t>
  </si>
  <si>
    <t>ANT-0391</t>
  </si>
  <si>
    <t>ANT-0612</t>
  </si>
  <si>
    <t>ANT-0620</t>
  </si>
  <si>
    <t>ANT-0813</t>
  </si>
  <si>
    <t>ANT-0118</t>
  </si>
  <si>
    <t>Logs_Reseau_Part_08.xlsx</t>
  </si>
  <si>
    <t>ANT-0656</t>
  </si>
  <si>
    <t>ANT-0428</t>
  </si>
  <si>
    <t>ANT-0022</t>
  </si>
  <si>
    <t>ANT-0990</t>
  </si>
  <si>
    <t>ANT-0176</t>
  </si>
  <si>
    <t>ANT-0821</t>
  </si>
  <si>
    <t>ANT-0633</t>
  </si>
  <si>
    <t>ANT-0472</t>
  </si>
  <si>
    <t>ANT-0707</t>
  </si>
  <si>
    <t>ANT-0942</t>
  </si>
  <si>
    <t>ANT-0091</t>
  </si>
  <si>
    <t>ANT-0448</t>
  </si>
  <si>
    <t>ANT-0865</t>
  </si>
  <si>
    <t>ANT-0447</t>
  </si>
  <si>
    <t>ANT-0604</t>
  </si>
  <si>
    <t>ANT-0411</t>
  </si>
  <si>
    <t>ANT-0537</t>
  </si>
  <si>
    <t>ANT-0081</t>
  </si>
  <si>
    <t>ANT-0406</t>
  </si>
  <si>
    <t>ANT-0318</t>
  </si>
  <si>
    <t>ANT-0348</t>
  </si>
  <si>
    <t>ANT-0173</t>
  </si>
  <si>
    <t>ANT-0079</t>
  </si>
  <si>
    <t>ANT-0523</t>
  </si>
  <si>
    <t>Logs_Reseau_Part_09.xlsx</t>
  </si>
  <si>
    <t>ANT-0989</t>
  </si>
  <si>
    <t>ANT-0829</t>
  </si>
  <si>
    <t>ANT-0804</t>
  </si>
  <si>
    <t>ANT-0481</t>
  </si>
  <si>
    <t>ANT-0856</t>
  </si>
  <si>
    <t>ANT-0199</t>
  </si>
  <si>
    <t>ANT-0377</t>
  </si>
  <si>
    <t>ANT-0695</t>
  </si>
  <si>
    <t>ANT-0585</t>
  </si>
  <si>
    <t>ANT-0473</t>
  </si>
  <si>
    <t>ANT-0788</t>
  </si>
  <si>
    <t>ANT-0289</t>
  </si>
  <si>
    <t>ANT-0392</t>
  </si>
  <si>
    <t>ANT-0515</t>
  </si>
  <si>
    <t>ANT-0541</t>
  </si>
  <si>
    <t>ANT-0429</t>
  </si>
  <si>
    <t>ANT-0837</t>
  </si>
  <si>
    <t>ANT-0205</t>
  </si>
  <si>
    <t>ANT-0142</t>
  </si>
  <si>
    <t>ANT-0894</t>
  </si>
  <si>
    <t>ANT-0257</t>
  </si>
  <si>
    <t>ANT-0054</t>
  </si>
  <si>
    <t>ANT-0657</t>
  </si>
  <si>
    <t>ANT-0493</t>
  </si>
  <si>
    <t>ANT-0896</t>
  </si>
  <si>
    <t>ANT-0381</t>
  </si>
  <si>
    <t>ANT-0568</t>
  </si>
  <si>
    <t>ANT-0957</t>
  </si>
  <si>
    <t>ANT-0106</t>
  </si>
  <si>
    <t>ANT-0529</t>
  </si>
  <si>
    <t>ANT-0872</t>
  </si>
  <si>
    <t>ANT-0128</t>
  </si>
  <si>
    <t>ANT-0292</t>
  </si>
  <si>
    <t>ANT-0086</t>
  </si>
  <si>
    <t>Logs_Reseau_Part_10.xlsx</t>
  </si>
  <si>
    <t>ANT-0360</t>
  </si>
  <si>
    <t>ANT-0458</t>
  </si>
  <si>
    <t>ANT-0044</t>
  </si>
  <si>
    <t>ant-0745</t>
  </si>
  <si>
    <t>ANT-0934</t>
  </si>
  <si>
    <t>ANT-0362</t>
  </si>
  <si>
    <t>ANT-0630</t>
  </si>
  <si>
    <t>ANT-0446</t>
  </si>
  <si>
    <t>ANT-0811</t>
  </si>
  <si>
    <t>ANT-0059</t>
  </si>
  <si>
    <t>ANT-0077</t>
  </si>
  <si>
    <t>ANT-0688</t>
  </si>
  <si>
    <t>ANT-0416</t>
  </si>
  <si>
    <t>ANT-0373</t>
  </si>
  <si>
    <t>ANT-0526</t>
  </si>
  <si>
    <t>ANT-0768</t>
  </si>
  <si>
    <t>ANT-0696</t>
  </si>
  <si>
    <t>ANT-0164</t>
  </si>
  <si>
    <t>ANT-0976</t>
  </si>
  <si>
    <t>ANT-0032</t>
  </si>
  <si>
    <t>ANT-0147</t>
  </si>
  <si>
    <t>ANT-0870</t>
  </si>
  <si>
    <t>ANT-0801</t>
  </si>
  <si>
    <t>ANT-0036</t>
  </si>
  <si>
    <t>ANT-0069</t>
  </si>
  <si>
    <t>ANT-0242</t>
  </si>
  <si>
    <t>ANT-0661</t>
  </si>
  <si>
    <t>Logs_Reseau_Part_11.xlsx</t>
  </si>
  <si>
    <t>ANT-0126</t>
  </si>
  <si>
    <t>ANT-0145</t>
  </si>
  <si>
    <t>ANT-0052</t>
  </si>
  <si>
    <t>ANT-0298</t>
  </si>
  <si>
    <t>ANT-0969</t>
  </si>
  <si>
    <t>ANT-0394</t>
  </si>
  <si>
    <t>ANT-0885</t>
  </si>
  <si>
    <t>ANT-0631</t>
  </si>
  <si>
    <t>ANT-0255</t>
  </si>
  <si>
    <t>ANT-0986</t>
  </si>
  <si>
    <t>ANT-0887</t>
  </si>
  <si>
    <t>ANT-0924</t>
  </si>
  <si>
    <t>ANT-0834</t>
  </si>
  <si>
    <t>ANT-0336</t>
  </si>
  <si>
    <t>ANT-0592</t>
  </si>
  <si>
    <t>ANT-0321</t>
  </si>
  <si>
    <t>ANT-0195</t>
  </si>
  <si>
    <t>ANT-0782</t>
  </si>
  <si>
    <t>ANT-0528</t>
  </si>
  <si>
    <t>ANT-0479</t>
  </si>
  <si>
    <t>ANT-0901</t>
  </si>
  <si>
    <t>ANT-0510</t>
  </si>
  <si>
    <t>ANT-0024</t>
  </si>
  <si>
    <t>ANT-0403</t>
  </si>
  <si>
    <t>ant-0518</t>
  </si>
  <si>
    <t>ANT-0469</t>
  </si>
  <si>
    <t>ANT-0221</t>
  </si>
  <si>
    <t>ANT-0598</t>
  </si>
  <si>
    <t>Logs_Reseau_Part_12.xlsx</t>
  </si>
  <si>
    <t>ANT-0686</t>
  </si>
  <si>
    <t>ANT-0927</t>
  </si>
  <si>
    <t>ANT-0232</t>
  </si>
  <si>
    <t>ANT-0654</t>
  </si>
  <si>
    <t>ANT-0239</t>
  </si>
  <si>
    <t>ANT-0103</t>
  </si>
  <si>
    <t>ANT-0735</t>
  </si>
  <si>
    <t>ANT-0484</t>
  </si>
  <si>
    <t>ANT-0006</t>
  </si>
  <si>
    <t>ANT-0988</t>
  </si>
  <si>
    <t>ANT-0162</t>
  </si>
  <si>
    <t>ANT-0669</t>
  </si>
  <si>
    <t>ANT-0958</t>
  </si>
  <si>
    <t>ANT-0489</t>
  </si>
  <si>
    <t>ANT-0667</t>
  </si>
  <si>
    <t>ANT-0329</t>
  </si>
  <si>
    <t>ANT-0061</t>
  </si>
  <si>
    <t>ANT-0092</t>
  </si>
  <si>
    <t>ANT-0668</t>
  </si>
  <si>
    <t>ANT-0588</t>
  </si>
  <si>
    <t>ANT-0238</t>
  </si>
  <si>
    <t>ANT-0548</t>
  </si>
  <si>
    <t>ANT-0757</t>
  </si>
  <si>
    <t>Logs_Reseau_Part_13.xlsx</t>
  </si>
  <si>
    <t>ANT-0670</t>
  </si>
  <si>
    <t>ANT-0881</t>
  </si>
  <si>
    <t>ANT-0357</t>
  </si>
  <si>
    <t>ANT-0122</t>
  </si>
  <si>
    <t>ANT-0551</t>
  </si>
  <si>
    <t>ANT-0746</t>
  </si>
  <si>
    <t>ANT-0229</t>
  </si>
  <si>
    <t>ANT-0475</t>
  </si>
  <si>
    <t>ANT-0690</t>
  </si>
  <si>
    <t>ANT-0558</t>
  </si>
  <si>
    <t>ANT-0435</t>
  </si>
  <si>
    <t>ANT-0545</t>
  </si>
  <si>
    <t>ANT-0389</t>
  </si>
  <si>
    <t>ANT-0844</t>
  </si>
  <si>
    <t>ANT-0236</t>
  </si>
  <si>
    <t>ANT-0355</t>
  </si>
  <si>
    <t>ANT-0159</t>
  </si>
  <si>
    <t>ANT-0194</t>
  </si>
  <si>
    <t>ANT-0960</t>
  </si>
  <si>
    <t>ANT-0743</t>
  </si>
  <si>
    <t>ANT-0784</t>
  </si>
  <si>
    <t>ANT-0116</t>
  </si>
  <si>
    <t>ANT-0033</t>
  </si>
  <si>
    <t>ANT-0677</t>
  </si>
  <si>
    <t>ANT-0430</t>
  </si>
  <si>
    <t>Logs_Reseau_Part_14.xlsx</t>
  </si>
  <si>
    <t>ANT-0007</t>
  </si>
  <si>
    <t>ANT-0422</t>
  </si>
  <si>
    <t>ANT-0013</t>
  </si>
  <si>
    <t>ANT-0543</t>
  </si>
  <si>
    <t>ANT-0549</t>
  </si>
  <si>
    <t>ANT-0294</t>
  </si>
  <si>
    <t>ANT-0833</t>
  </si>
  <si>
    <t>ANT-0715</t>
  </si>
  <si>
    <t>ANT-0691</t>
  </si>
  <si>
    <t>ANT-0963</t>
  </si>
  <si>
    <t>ANT-0184</t>
  </si>
  <si>
    <t>ANT-0110</t>
  </si>
  <si>
    <t>ANT-0099</t>
  </si>
  <si>
    <t>ANT-0197</t>
  </si>
  <si>
    <t>ANT-0635</t>
  </si>
  <si>
    <t>ANT-0540</t>
  </si>
  <si>
    <t>ANT-0363</t>
  </si>
  <si>
    <t>ANT-0815</t>
  </si>
  <si>
    <t>ANT-0407</t>
  </si>
  <si>
    <t>ANT-0983</t>
  </si>
  <si>
    <t>ANT-0471</t>
  </si>
  <si>
    <t>ANT-0579</t>
  </si>
  <si>
    <t>ANT-0714</t>
  </si>
  <si>
    <t>ANT-0308</t>
  </si>
  <si>
    <t>ANT-0701</t>
  </si>
  <si>
    <t>ANT-0848</t>
  </si>
  <si>
    <t>ANT-0869</t>
  </si>
  <si>
    <t>Logs_Reseau_Part_15.xlsx</t>
  </si>
  <si>
    <t>ANT-0334</t>
  </si>
  <si>
    <t>ANT-0386</t>
  </si>
  <si>
    <t>ANT-0288</t>
  </si>
  <si>
    <t>ANT-0805</t>
  </si>
  <si>
    <t>ANT-0117</t>
  </si>
  <si>
    <t>ANT-0955</t>
  </si>
  <si>
    <t>ANT-0578</t>
  </si>
  <si>
    <t>ANT-0607</t>
  </si>
  <si>
    <t>ANT-0185</t>
  </si>
  <si>
    <t>ANT-0699</t>
  </si>
  <si>
    <t>ANT-0787</t>
  </si>
  <si>
    <t>ANT-0028</t>
  </si>
  <si>
    <t>ANT-0745</t>
  </si>
  <si>
    <t>ANT-0966</t>
  </si>
  <si>
    <t>ANT-0726</t>
  </si>
  <si>
    <t>ANT-0215</t>
  </si>
  <si>
    <t>ANT-0299</t>
  </si>
  <si>
    <t>ANT-0710</t>
  </si>
  <si>
    <t>ANT-0071</t>
  </si>
  <si>
    <t>ANT-0839</t>
  </si>
  <si>
    <t>ANT-0419</t>
  </si>
  <si>
    <t>ANT-0512</t>
  </si>
  <si>
    <t>ANT-0143</t>
  </si>
  <si>
    <t>ANT-0311</t>
  </si>
  <si>
    <t>Logs_Reseau_Part_16.xlsx</t>
  </si>
  <si>
    <t>ANT-0231</t>
  </si>
  <si>
    <t>ANT-0296</t>
  </si>
  <si>
    <t>ANT-0800</t>
  </si>
  <si>
    <t>ANT-0580</t>
  </si>
  <si>
    <t>ANT-0761</t>
  </si>
  <si>
    <t>ANT-0508</t>
  </si>
  <si>
    <t>ANT-0524</t>
  </si>
  <si>
    <t>ANT-0587</t>
  </si>
  <si>
    <t>ANT-0275</t>
  </si>
  <si>
    <t>ANT-0794</t>
  </si>
  <si>
    <t>ANT-0557</t>
  </si>
  <si>
    <t>ANT-0376</t>
  </si>
  <si>
    <t>ANT-0843</t>
  </si>
  <si>
    <t>ANT-0560</t>
  </si>
  <si>
    <t>ANT-0224</t>
  </si>
  <si>
    <t>ANT-0105</t>
  </si>
  <si>
    <t>ANT-0754</t>
  </si>
  <si>
    <t>ANT-0305</t>
  </si>
  <si>
    <t>ANT-0034</t>
  </si>
  <si>
    <t>ANT-0090</t>
  </si>
  <si>
    <t>ANT-0450</t>
  </si>
  <si>
    <t>Logs_Reseau_Part_17.xlsx</t>
  </si>
  <si>
    <t>ANT-0964</t>
  </si>
  <si>
    <t>ANT-0868</t>
  </si>
  <si>
    <t>ANT-0675</t>
  </si>
  <si>
    <t>ANT-0309</t>
  </si>
  <si>
    <t>ANT-0211</t>
  </si>
  <si>
    <t>ANT-0622</t>
  </si>
  <si>
    <t>ANT-0522</t>
  </si>
  <si>
    <t>ANT-0402</t>
  </si>
  <si>
    <t>ANT-0803</t>
  </si>
  <si>
    <t>ANT-0920</t>
  </si>
  <si>
    <t>ANT-0978</t>
  </si>
  <si>
    <t>ANT-0507</t>
  </si>
  <si>
    <t>ANT-0396</t>
  </si>
  <si>
    <t>ANT-0609</t>
  </si>
  <si>
    <t>ANT-0073</t>
  </si>
  <si>
    <t>ANT-0911</t>
  </si>
  <si>
    <t>ANT-0370</t>
  </si>
  <si>
    <t>ANT-0397</t>
  </si>
  <si>
    <t>ANT-0882</t>
  </si>
  <si>
    <t>Logs_Reseau_Part_18.xlsx</t>
  </si>
  <si>
    <t>ANT-0244</t>
  </si>
  <si>
    <t>ANT-0504</t>
  </si>
  <si>
    <t>ANT-0985</t>
  </si>
  <si>
    <t>ANT-0062</t>
  </si>
  <si>
    <t>ANT-0146</t>
  </si>
  <si>
    <t>ANT-0045</t>
  </si>
  <si>
    <t>ANT-0944</t>
  </si>
  <si>
    <t>ANT-0866</t>
  </si>
  <si>
    <t>ANT-0533</t>
  </si>
  <si>
    <t>ANT-0423</t>
  </si>
  <si>
    <t>ANT-0718</t>
  </si>
  <si>
    <t>ANT-0918</t>
  </si>
  <si>
    <t>ANT-0382</t>
  </si>
  <si>
    <t>ANT-0470</t>
  </si>
  <si>
    <t>ANT-0998</t>
  </si>
  <si>
    <t>ANT-0087</t>
  </si>
  <si>
    <t>ANT-0595</t>
  </si>
  <si>
    <t>ANT-0137</t>
  </si>
  <si>
    <t>ANT-0840</t>
  </si>
  <si>
    <t>ANT-0404</t>
  </si>
  <si>
    <t>ANT-0582</t>
  </si>
  <si>
    <t>ANT-0064</t>
  </si>
  <si>
    <t>ANT-0679</t>
  </si>
  <si>
    <t>ANT-0243</t>
  </si>
  <si>
    <t>ANT-0268</t>
  </si>
  <si>
    <t>Logs_Reseau_Part_19.xlsx</t>
  </si>
  <si>
    <t>ANT-0326</t>
  </si>
  <si>
    <t>ANT-0756</t>
  </si>
  <si>
    <t>ANT-0368</t>
  </si>
  <si>
    <t>ANT-0606</t>
  </si>
  <si>
    <t>ANT-0029</t>
  </si>
  <si>
    <t>ANT-0721</t>
  </si>
  <si>
    <t>ANT-0361</t>
  </si>
  <si>
    <t>ANT-0577</t>
  </si>
  <si>
    <t>ANT-0972</t>
  </si>
  <si>
    <t>ANT-0830</t>
  </si>
  <si>
    <t>ANT-0903</t>
  </si>
  <si>
    <t>ANT-0505</t>
  </si>
  <si>
    <t>ANT-0039</t>
  </si>
  <si>
    <t>ANT-0058</t>
  </si>
  <si>
    <t>ANT-0617</t>
  </si>
  <si>
    <t>ANT-0225</t>
  </si>
  <si>
    <t>ANT-0021</t>
  </si>
  <si>
    <t>ANT-0490</t>
  </si>
  <si>
    <t>Logs_Reseau_Part_20.xlsx</t>
  </si>
  <si>
    <t>ANT-0276</t>
  </si>
  <si>
    <t>ANT-0771</t>
  </si>
  <si>
    <t>ANT-0684</t>
  </si>
  <si>
    <t>ANT-0685</t>
  </si>
  <si>
    <t>ANT-0828</t>
  </si>
  <si>
    <t>ANT-0555</t>
  </si>
  <si>
    <t>ANT-0233</t>
  </si>
  <si>
    <t>ANT-0063</t>
  </si>
  <si>
    <t>ANT-0536</t>
  </si>
  <si>
    <t>ANT-0704</t>
  </si>
  <si>
    <t>ANT-0888</t>
  </si>
  <si>
    <t>ANT-0959</t>
  </si>
  <si>
    <t>ANT-0307</t>
  </si>
  <si>
    <t>ANT-0405</t>
  </si>
  <si>
    <t>ANT-0925</t>
  </si>
  <si>
    <t>ANT-0875</t>
  </si>
  <si>
    <t>ANT-0732</t>
  </si>
  <si>
    <t>ANT-0923</t>
  </si>
  <si>
    <t>ANT-0820</t>
  </si>
  <si>
    <t>ANT-0586</t>
  </si>
  <si>
    <t>Logs_Reseau_Part_21.xlsx</t>
  </si>
  <si>
    <t>ANT-0639</t>
  </si>
  <si>
    <t>ANT-0599</t>
  </si>
  <si>
    <t>ANT-0008</t>
  </si>
  <si>
    <t>ANT-0864</t>
  </si>
  <si>
    <t>ANT-0860</t>
  </si>
  <si>
    <t>ANT-0384</t>
  </si>
  <si>
    <t>ANT-0663</t>
  </si>
  <si>
    <t>ANT-0290</t>
  </si>
  <si>
    <t>ANT-0066</t>
  </si>
  <si>
    <t>ANT-0345</t>
  </si>
  <si>
    <t>ANT-0672</t>
  </si>
  <si>
    <t>ANT-0154</t>
  </si>
  <si>
    <t>ANT-0825</t>
  </si>
  <si>
    <t>Logs_Reseau_Part_22.xlsx</t>
  </si>
  <si>
    <t>ANT-0050</t>
  </si>
  <si>
    <t>ANT-0427</t>
  </si>
  <si>
    <t>ANT-0390</t>
  </si>
  <si>
    <t>ANT-0127</t>
  </si>
  <si>
    <t>ANT-0561</t>
  </si>
  <si>
    <t>ANT-0486</t>
  </si>
  <si>
    <t>ant-0719</t>
  </si>
  <si>
    <t>ANT-0712</t>
  </si>
  <si>
    <t>ANT-0703</t>
  </si>
  <si>
    <t>ANT-0431</t>
  </si>
  <si>
    <t>ANT-0678</t>
  </si>
  <si>
    <t>ANT-0104</t>
  </si>
  <si>
    <t>ANT-0277</t>
  </si>
  <si>
    <t>ANT-0621</t>
  </si>
  <si>
    <t>ANT-0108</t>
  </si>
  <si>
    <t>ANT-0121</t>
  </si>
  <si>
    <t>Logs_Reseau_Part_23.xlsx</t>
  </si>
  <si>
    <t>ANT-0019</t>
  </si>
  <si>
    <t>ANT-0571</t>
  </si>
  <si>
    <t>ANT-0846</t>
  </si>
  <si>
    <t>ANT-0094</t>
  </si>
  <si>
    <t>ANT-0619</t>
  </si>
  <si>
    <t>ANT-0987</t>
  </si>
  <si>
    <t>ANT-0634</t>
  </si>
  <si>
    <t>ANT-0312</t>
  </si>
  <si>
    <t>ANT-0912</t>
  </si>
  <si>
    <t>ANT-0521</t>
  </si>
  <si>
    <t>ANT-0576</t>
  </si>
  <si>
    <t>ANT-0212</t>
  </si>
  <si>
    <t>ANT-0671</t>
  </si>
  <si>
    <t>ANT-0468</t>
  </si>
  <si>
    <t>ANT-0974</t>
  </si>
  <si>
    <t>ANT-0350</t>
  </si>
  <si>
    <t>ANT-0466</t>
  </si>
  <si>
    <t>ANT-0340</t>
  </si>
  <si>
    <t>ANT-0574</t>
  </si>
  <si>
    <t>ANT-0615</t>
  </si>
  <si>
    <t>Logs_Reseau_Part_24.xlsx</t>
  </si>
  <si>
    <t>ANT-0753</t>
  </si>
  <si>
    <t>ANT-0123</t>
  </si>
  <si>
    <t>ANT-0387</t>
  </si>
  <si>
    <t>ANT-0042</t>
  </si>
  <si>
    <t>ANT-0439</t>
  </si>
  <si>
    <t>ANT-0165</t>
  </si>
  <si>
    <t>ANT-0262</t>
  </si>
  <si>
    <t>ANT-0478</t>
  </si>
  <si>
    <t>ANT-0158</t>
  </si>
  <si>
    <t>ANT-0951</t>
  </si>
  <si>
    <t>ANT-0331</t>
  </si>
  <si>
    <t>ANT-0793</t>
  </si>
  <si>
    <t>ant-0309</t>
  </si>
  <si>
    <t>ANT-0809</t>
  </si>
  <si>
    <t>ANT-0367</t>
  </si>
  <si>
    <t>ANT-0075</t>
  </si>
  <si>
    <t>ANT-0725</t>
  </si>
  <si>
    <t>ANT-0539</t>
  </si>
  <si>
    <t>ANT-0226</t>
  </si>
  <si>
    <t>ANT-0980</t>
  </si>
  <si>
    <t>ANT-0189</t>
  </si>
  <si>
    <t>ANT-0070</t>
  </si>
  <si>
    <t>Logs_Reseau_Part_25.xlsx</t>
  </si>
  <si>
    <t>ANT-0186</t>
  </si>
  <si>
    <t>ANT-0873</t>
  </si>
  <si>
    <t>ANT-0101</t>
  </si>
  <si>
    <t>ANT-0203</t>
  </si>
  <si>
    <t>ANT-0744</t>
  </si>
  <si>
    <t>ANT-0499</t>
  </si>
  <si>
    <t>ANT-0975</t>
  </si>
  <si>
    <t>ANT-0366</t>
  </si>
  <si>
    <t>ANT-0132</t>
  </si>
  <si>
    <t>ANT-0241</t>
  </si>
  <si>
    <t>Date_Heure_Panne - Copier</t>
  </si>
  <si>
    <t>ID_Antenne</t>
  </si>
  <si>
    <t>Province_RDC</t>
  </si>
  <si>
    <t>Latitude</t>
  </si>
  <si>
    <t>Longitude</t>
  </si>
  <si>
    <t>Technologie</t>
  </si>
  <si>
    <t>Equipementier</t>
  </si>
  <si>
    <t>Registre_Maintenance_Part_01.xlsx</t>
  </si>
  <si>
    <t>5G</t>
  </si>
  <si>
    <t>Ericsson</t>
  </si>
  <si>
    <t>ANT-0084</t>
  </si>
  <si>
    <t>4G</t>
  </si>
  <si>
    <t>Huawei</t>
  </si>
  <si>
    <t>3G</t>
  </si>
  <si>
    <t>ZTE</t>
  </si>
  <si>
    <t>ANT-0880</t>
  </si>
  <si>
    <t>ANT-0847</t>
  </si>
  <si>
    <t>ANT-0144</t>
  </si>
  <si>
    <t>ANT-0552</t>
  </si>
  <si>
    <t>ANT-0202</t>
  </si>
  <si>
    <t>ANT-0752</t>
  </si>
  <si>
    <t>Nokia</t>
  </si>
  <si>
    <t>ANT-0908</t>
  </si>
  <si>
    <t>ANT-0647</t>
  </si>
  <si>
    <t>ANT-0593</t>
  </si>
  <si>
    <t>ANT-0605</t>
  </si>
  <si>
    <t>ANT-0218</t>
  </si>
  <si>
    <t>ANT-0038</t>
  </si>
  <si>
    <t>ANT-0267</t>
  </si>
  <si>
    <t>ANT-0916</t>
  </si>
  <si>
    <t>ANT-0993</t>
  </si>
  <si>
    <t>ANT-0791</t>
  </si>
  <si>
    <t>ANT-0751</t>
  </si>
  <si>
    <t>ANT-0878</t>
  </si>
  <si>
    <t>Registre_Maintenance_Part_02.xlsx</t>
  </si>
  <si>
    <t>ANT-0138</t>
  </si>
  <si>
    <t>ANT-0476</t>
  </si>
  <si>
    <t>ANT-0629</t>
  </si>
  <si>
    <t>ANT-0170</t>
  </si>
  <si>
    <t>ANT-0776</t>
  </si>
  <si>
    <t>ANT-0676</t>
  </si>
  <si>
    <t>ANT-0150</t>
  </si>
  <si>
    <t>ANT-0496</t>
  </si>
  <si>
    <t>ANT-0780</t>
  </si>
  <si>
    <t>ANT-0500</t>
  </si>
  <si>
    <t>ANT-0065</t>
  </si>
  <si>
    <t>ANT-0240</t>
  </si>
  <si>
    <t>ANT-0398</t>
  </si>
  <si>
    <t>ANT-0048</t>
  </si>
  <si>
    <t>Registre_Maintenance_Part_03.xlsx</t>
  </si>
  <si>
    <t>ANT-0665</t>
  </si>
  <si>
    <t>ANT-0281</t>
  </si>
  <si>
    <t>ANT-0584</t>
  </si>
  <si>
    <t>ANT-0179</t>
  </si>
  <si>
    <t>ANT-0962</t>
  </si>
  <si>
    <t>ANT-0388</t>
  </si>
  <si>
    <t>ANT-0602</t>
  </si>
  <si>
    <t>ANT-0884</t>
  </si>
  <si>
    <t>ANT-0354</t>
  </si>
  <si>
    <t>ANT-0948</t>
  </si>
  <si>
    <t>ANT-0933</t>
  </si>
  <si>
    <t>ANT-0659</t>
  </si>
  <si>
    <t>ANT-0217</t>
  </si>
  <si>
    <t>ANT-0192</t>
  </si>
  <si>
    <t>Registre_Maintenance_Part_04.xlsx</t>
  </si>
  <si>
    <t>ANT-0939</t>
  </si>
  <si>
    <t>ANT-0858</t>
  </si>
  <si>
    <t>ANT-0425</t>
  </si>
  <si>
    <t>ANT-0831</t>
  </si>
  <si>
    <t>ANT-0692</t>
  </si>
  <si>
    <t>ANT-0491</t>
  </si>
  <si>
    <t>ANT-0216</t>
  </si>
  <si>
    <t>ANT-0421</t>
  </si>
  <si>
    <t>ANT-0023</t>
  </si>
  <si>
    <t>ANT-0645</t>
  </si>
  <si>
    <t>ANT-0525</t>
  </si>
  <si>
    <t>ANT-0151</t>
  </si>
  <si>
    <t>ANT-0171</t>
  </si>
  <si>
    <t>ANT-0265</t>
  </si>
  <si>
    <t>ANT-0876</t>
  </si>
  <si>
    <t>ANT-0871</t>
  </si>
  <si>
    <t>ANT-0982</t>
  </si>
  <si>
    <t>ANT-0291</t>
  </si>
  <si>
    <t>Registre_Maintenance_Part_05.xlsx</t>
  </si>
  <si>
    <t xml:space="preserve">ANT-0222 </t>
  </si>
  <si>
    <t>ANT-0460</t>
  </si>
  <si>
    <t>ANT-1000</t>
  </si>
  <si>
    <t>ANT-0483</t>
  </si>
  <si>
    <t>ANT-0175</t>
  </si>
  <si>
    <t>ANT-0616</t>
  </si>
  <si>
    <t>ANT-0187</t>
  </si>
  <si>
    <t>ANT-0956</t>
  </si>
  <si>
    <t>ANT-0172</t>
  </si>
  <si>
    <t>ANT-0742</t>
  </si>
  <si>
    <t>ANT-0351</t>
  </si>
  <si>
    <t>ANT-0832</t>
  </si>
  <si>
    <t>ANT-0395</t>
  </si>
  <si>
    <t>ANT-0112</t>
  </si>
  <si>
    <t>ANT-0017</t>
  </si>
  <si>
    <t>ANT-0208</t>
  </si>
  <si>
    <t>ANT-0182</t>
  </si>
  <si>
    <t>ANT-0040</t>
  </si>
  <si>
    <t>ANT-0516</t>
  </si>
  <si>
    <t>ANT-0796</t>
  </si>
  <si>
    <t>ANT-0789</t>
  </si>
  <si>
    <t>Registre_Maintenance_Part_06.xlsx</t>
  </si>
  <si>
    <t>ANT-0618</t>
  </si>
  <si>
    <t>ANT-0899</t>
  </si>
  <si>
    <t>ANT-0442</t>
  </si>
  <si>
    <t>ANT-0535</t>
  </si>
  <si>
    <t>ANT-0380</t>
  </si>
  <si>
    <t>ANT-0938</t>
  </si>
  <si>
    <t>ANT-0440</t>
  </si>
  <si>
    <t>ANT-0235</t>
  </si>
  <si>
    <t>ANT-0359</t>
  </si>
  <si>
    <t>ANT-0954</t>
  </si>
  <si>
    <t>ANT-0590</t>
  </si>
  <si>
    <t>ANT-0261</t>
  </si>
  <si>
    <t>ANT-0802</t>
  </si>
  <si>
    <t>ANT-0613</t>
  </si>
  <si>
    <t xml:space="preserve">ANT-0739 </t>
  </si>
  <si>
    <t>ANT-0385</t>
  </si>
  <si>
    <t>ANT-0705</t>
  </si>
  <si>
    <t>ANT-0324</t>
  </si>
  <si>
    <t>ANT-0849</t>
  </si>
  <si>
    <t>Registre_Maintenance_Part_07.xlsx</t>
  </si>
  <si>
    <t>ANT-0260</t>
  </si>
  <si>
    <t>ANT-0627</t>
  </si>
  <si>
    <t>ANT-0495</t>
  </si>
  <si>
    <t>ANT-0741</t>
  </si>
  <si>
    <t>ANT-0697</t>
  </si>
  <si>
    <t>ANT-0408</t>
  </si>
  <si>
    <t>ANT-0841</t>
  </si>
  <si>
    <t>ANT-0220</t>
  </si>
  <si>
    <t>ANT-0347</t>
  </si>
  <si>
    <t>ANT-0937</t>
  </si>
  <si>
    <t>ANT-0822</t>
  </si>
  <si>
    <t>ANT-0399</t>
  </si>
  <si>
    <t>ANT-0652</t>
  </si>
  <si>
    <t>ANT-0149</t>
  </si>
  <si>
    <t>ANT-0758</t>
  </si>
  <si>
    <t>Registre_Maintenance_Part_08.xlsx</t>
  </si>
  <si>
    <t>ANT-0889</t>
  </si>
  <si>
    <t>ANT-0228</t>
  </si>
  <si>
    <t>ANT-0682</t>
  </si>
  <si>
    <t>ANT-0082</t>
  </si>
  <si>
    <t>ANT-0895</t>
  </si>
  <si>
    <t>ANT-0207</t>
  </si>
  <si>
    <t>ANT-0907</t>
  </si>
  <si>
    <t>ANT-0200</t>
  </si>
  <si>
    <t>ANT-0947</t>
  </si>
  <si>
    <t>ANT-0915</t>
  </si>
  <si>
    <t>ANT-0174</t>
  </si>
  <si>
    <t>ANT-0369</t>
  </si>
  <si>
    <t>ANT-0940</t>
  </si>
  <si>
    <t>ANT-0893</t>
  </si>
  <si>
    <t xml:space="preserve">ANT-0089 </t>
  </si>
  <si>
    <t>ANT-0410</t>
  </si>
  <si>
    <t>ANT-0981</t>
  </si>
  <si>
    <t>ANT-0810</t>
  </si>
  <si>
    <t>ANT-0601</t>
  </si>
  <si>
    <t>ANT-0016</t>
  </si>
  <si>
    <t>ANT-0946</t>
  </si>
  <si>
    <t>ANT-0681</t>
  </si>
  <si>
    <t>Registre_Maintenance_Part_09.xlsx</t>
  </si>
  <si>
    <t>ANT-0356</t>
  </si>
  <si>
    <t>ANT-0589</t>
  </si>
  <si>
    <t>ANT-0005</t>
  </si>
  <si>
    <t>ANT-0636</t>
  </si>
  <si>
    <t>ANT-0519</t>
  </si>
  <si>
    <t>ANT-0702</t>
  </si>
  <si>
    <t>ANT-0603</t>
  </si>
  <si>
    <t>ANT-0755</t>
  </si>
  <si>
    <t>ANT-0349</t>
  </si>
  <si>
    <t>ANT-0120</t>
  </si>
  <si>
    <t>ANT-0827</t>
  </si>
  <si>
    <t>ANT-0706</t>
  </si>
  <si>
    <t>ANT-0625</t>
  </si>
  <si>
    <t>ANT-0409</t>
  </si>
  <si>
    <t>ANT-0917</t>
  </si>
  <si>
    <t>Registre_Maintenance_Part_10.xlsx</t>
  </si>
  <si>
    <t>ANT-0984</t>
  </si>
  <si>
    <t>ANT-0890</t>
  </si>
  <si>
    <t>ANT-0322</t>
  </si>
  <si>
    <t>ANT-0188</t>
  </si>
  <si>
    <t>ANT-0272</t>
  </si>
  <si>
    <t>ANT-0736</t>
  </si>
  <si>
    <t>ANT-0769</t>
  </si>
  <si>
    <t>ANT-0256</t>
  </si>
  <si>
    <t>ANT-0365</t>
  </si>
  <si>
    <t>ANT-0824</t>
  </si>
  <si>
    <t>ANT-0863</t>
  </si>
  <si>
    <t>ANT-0910</t>
  </si>
  <si>
    <t>ANT-0323</t>
  </si>
  <si>
    <t>ANT-0648</t>
  </si>
  <si>
    <t>ANT-0694</t>
  </si>
  <si>
    <t>ANT-0482</t>
  </si>
  <si>
    <t>ANT-0178</t>
  </si>
  <si>
    <t>ANT-0352</t>
  </si>
  <si>
    <t>ANT-0904</t>
  </si>
  <si>
    <t>Maintenance_Rx.ID_Antenne</t>
  </si>
  <si>
    <t>Maintenance_Rx.Province_RDC</t>
  </si>
  <si>
    <t>Maintenance_Rx.Latitude</t>
  </si>
  <si>
    <t>Maintenance_Rx.Longitude</t>
  </si>
  <si>
    <t>Maintenance_Rx.Technologie</t>
  </si>
  <si>
    <t>Maintenance_Rx.Equipementier</t>
  </si>
  <si>
    <t>Client.ID_Client</t>
  </si>
  <si>
    <t>Client.Province_Client</t>
  </si>
  <si>
    <t>Client.Type_Forfait</t>
  </si>
  <si>
    <t>Client.Duree_Cumulee_Panne_Min</t>
  </si>
  <si>
    <t>Client.Facture_Mensuelle</t>
  </si>
  <si>
    <t>Client.Plaintes_Service_Client</t>
  </si>
  <si>
    <t>Total général</t>
  </si>
  <si>
    <t>Nombre de Client.ID_Client</t>
  </si>
  <si>
    <t>Total Nombre de Client.ID_Client</t>
  </si>
  <si>
    <t>Total Somme de Duree_Cumulee_Panne_Min</t>
  </si>
  <si>
    <t>Somme de Duree_Cumulee_Panne_Min</t>
  </si>
  <si>
    <t>Valeurs</t>
  </si>
  <si>
    <t>Client.Anciennete_Mois2</t>
  </si>
  <si>
    <t>Remise</t>
  </si>
  <si>
    <t>Pertes_R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</si>
</sst>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21" fontId="0" fillId="0" borderId="0" xfId="0" applyNumberFormat="1"/>
    <xf numFmtId="21" fontId="0" fillId="2" borderId="0" xfId="0" applyNumberFormat="1" applyFill="1"/>
    <xf numFmtId="0" fontId="0" fillId="2" borderId="0" xfId="0" applyNumberFormat="1" applyFill="1"/>
    <xf numFmtId="0" fontId="0" fillId="2" borderId="0" xfId="0" applyFill="1"/>
    <xf numFmtId="9" fontId="0" fillId="0" borderId="0" xfId="0" applyNumberFormat="1"/>
  </cellXfs>
  <cellStyles count="1">
    <cellStyle name="Normal" xfId="0" builtinId="0"/>
  </cellStyles>
  <dxfs count="13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14</xdr:row>
      <xdr:rowOff>1</xdr:rowOff>
    </xdr:from>
    <xdr:to>
      <xdr:col>1</xdr:col>
      <xdr:colOff>0</xdr:colOff>
      <xdr:row>20</xdr:row>
      <xdr:rowOff>129541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aintenance_Rx.Technologie">
              <a:extLst>
                <a:ext uri="{FF2B5EF4-FFF2-40B4-BE49-F238E27FC236}">
                  <a16:creationId xmlns:a16="http://schemas.microsoft.com/office/drawing/2014/main" id="{34125AF1-86FA-D88D-79EE-F8E47AF409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intenance_Rx.Technologi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640" y="2560321"/>
              <a:ext cx="1828800" cy="1226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bruiker" refreshedDate="46112.755438541666" createdVersion="8" refreshedVersion="8" minRefreshableVersion="3" recordCount="748" xr:uid="{54EE315A-F3DA-4B26-842C-2B1F61D50D35}">
  <cacheSource type="worksheet">
    <worksheetSource ref="A1:W750" sheet="Matrice1"/>
  </cacheSource>
  <cacheFields count="20">
    <cacheField name="Source.Name" numFmtId="0">
      <sharedItems/>
    </cacheField>
    <cacheField name="Date_Heure_Panne" numFmtId="14">
      <sharedItems containsSemiMixedTypes="0" containsNonDate="0" containsDate="1" containsString="0" minDate="2023-10-02T00:00:00" maxDate="2023-10-27T00:00:00"/>
    </cacheField>
    <cacheField name="Date_Heure_Panne - Copier" numFmtId="164">
      <sharedItems containsSemiMixedTypes="0" containsNonDate="0" containsDate="1" containsString="0" minDate="1899-12-30T01:01:00" maxDate="1899-12-30T23:15:00"/>
    </cacheField>
    <cacheField name="Cell_ID" numFmtId="0">
      <sharedItems/>
    </cacheField>
    <cacheField name="Duree_Panne_Min" numFmtId="0">
      <sharedItems containsSemiMixedTypes="0" containsString="0" containsNumber="1" containsInteger="1" minValue="15" maxValue="119"/>
    </cacheField>
    <cacheField name="Statut_Resolution" numFmtId="0">
      <sharedItems/>
    </cacheField>
    <cacheField name="Maintenance_Rx.ID_Antenne" numFmtId="0">
      <sharedItems/>
    </cacheField>
    <cacheField name="Maintenance_Rx.Province_RDC" numFmtId="0">
      <sharedItems count="26">
        <s v="Tanganyika"/>
        <s v="Ituri"/>
        <s v="Kongo-Central"/>
        <s v="Tshuapa"/>
        <s v="Kasai-Central"/>
        <s v="Mongala"/>
        <s v="Kinshasa"/>
        <s v="Haut-Lomami"/>
        <s v="Kwango"/>
        <s v="Sud-Kivu"/>
        <s v="Lomami"/>
        <s v="Haut-Katanga"/>
        <s v="Bas-Uele"/>
        <s v="Kasai"/>
        <s v="Kwilu"/>
        <s v="Sud-Ubangi"/>
        <s v="Maniema"/>
        <s v="Sankuru"/>
        <s v="Equateur"/>
        <s v="Mai-Ndombe"/>
        <s v="Nord-Kivu"/>
        <s v="Tshopo"/>
        <s v="Kasai-Oriental"/>
        <s v="Nord-Ubangi"/>
        <s v="Lualaba"/>
        <s v="Haut-Uele"/>
      </sharedItems>
    </cacheField>
    <cacheField name="Maintenance_Rx.Latitude" numFmtId="0">
      <sharedItems containsSemiMixedTypes="0" containsString="0" containsNumber="1" minValue="-12.141233" maxValue="4.8319039999999998"/>
    </cacheField>
    <cacheField name="Maintenance_Rx.Longitude" numFmtId="0">
      <sharedItems containsSemiMixedTypes="0" containsString="0" containsNumber="1" minValue="14.375757999999999" maxValue="29.79908"/>
    </cacheField>
    <cacheField name="Maintenance_Rx.Technologie" numFmtId="0">
      <sharedItems count="3">
        <s v="3G"/>
        <s v="5G"/>
        <s v="4G"/>
      </sharedItems>
    </cacheField>
    <cacheField name="Maintenance_Rx.Equipementier" numFmtId="0">
      <sharedItems/>
    </cacheField>
    <cacheField name="Client.ID_Client" numFmtId="0">
      <sharedItems/>
    </cacheField>
    <cacheField name="Client.Province_Client" numFmtId="0">
      <sharedItems/>
    </cacheField>
    <cacheField name="Client.Anciennete_Mois" numFmtId="0">
      <sharedItems containsSemiMixedTypes="0" containsString="0" containsNumber="1" containsInteger="1" minValue="1" maxValue="120"/>
    </cacheField>
    <cacheField name="Client.Type_Forfait" numFmtId="0">
      <sharedItems/>
    </cacheField>
    <cacheField name="Duree_Cumulee_Panne_Min" numFmtId="21">
      <sharedItems containsSemiMixedTypes="0" containsNonDate="0" containsDate="1" containsString="0" minDate="1899-12-30T00:01:00" maxDate="1899-12-30T08:19:00" count="388">
        <d v="1899-12-30T02:56:00"/>
        <d v="1899-12-30T05:06:00"/>
        <d v="1899-12-30T06:47:00"/>
        <d v="1899-12-30T03:39:00"/>
        <d v="1899-12-30T02:04:00"/>
        <d v="1899-12-30T07:00:00"/>
        <d v="1899-12-30T01:16:00"/>
        <d v="1899-12-30T01:52:00"/>
        <d v="1899-12-30T02:22:00"/>
        <d v="1899-12-30T06:32:00"/>
        <d v="1899-12-30T04:08:00"/>
        <d v="1899-12-30T01:26:00"/>
        <d v="1899-12-30T01:00:00"/>
        <d v="1899-12-30T05:11:00"/>
        <d v="1899-12-30T06:31:00"/>
        <d v="1899-12-30T01:55:00"/>
        <d v="1899-12-30T00:01:00"/>
        <d v="1899-12-30T00:04:00"/>
        <d v="1899-12-30T04:22:00"/>
        <d v="1899-12-30T01:08:00"/>
        <d v="1899-12-30T06:15:00"/>
        <d v="1899-12-30T03:33:00"/>
        <d v="1899-12-30T00:11:00"/>
        <d v="1899-12-30T07:26:00"/>
        <d v="1899-12-30T03:34:00"/>
        <d v="1899-12-30T01:45:00"/>
        <d v="1899-12-30T00:43:00"/>
        <d v="1899-12-30T02:17:00"/>
        <d v="1899-12-30T00:09:00"/>
        <d v="1899-12-30T03:27:00"/>
        <d v="1899-12-30T01:56:00"/>
        <d v="1899-12-30T02:45:00"/>
        <d v="1899-12-30T02:41:00"/>
        <d v="1899-12-30T04:34:00"/>
        <d v="1899-12-30T05:56:00"/>
        <d v="1899-12-30T04:50:00"/>
        <d v="1899-12-30T01:42:00"/>
        <d v="1899-12-30T07:41:00"/>
        <d v="1899-12-30T00:21:00"/>
        <d v="1899-12-30T06:09:00"/>
        <d v="1899-12-30T05:50:00"/>
        <d v="1899-12-30T08:07:00"/>
        <d v="1899-12-30T03:14:00"/>
        <d v="1899-12-30T01:51:00"/>
        <d v="1899-12-30T04:33:00"/>
        <d v="1899-12-30T07:32:00"/>
        <d v="1899-12-30T05:28:00"/>
        <d v="1899-12-30T04:04:00"/>
        <d v="1899-12-30T01:15:00"/>
        <d v="1899-12-30T05:55:00"/>
        <d v="1899-12-30T06:04:00"/>
        <d v="1899-12-30T05:33:00"/>
        <d v="1899-12-30T06:37:00"/>
        <d v="1899-12-30T07:40:00"/>
        <d v="1899-12-30T00:31:00"/>
        <d v="1899-12-30T07:33:00"/>
        <d v="1899-12-30T03:52:00"/>
        <d v="1899-12-30T01:47:00"/>
        <d v="1899-12-30T03:56:00"/>
        <d v="1899-12-30T05:32:00"/>
        <d v="1899-12-30T06:58:00"/>
        <d v="1899-12-30T07:01:00"/>
        <d v="1899-12-30T00:27:00"/>
        <d v="1899-12-30T02:52:00"/>
        <d v="1899-12-30T03:51:00"/>
        <d v="1899-12-30T03:25:00"/>
        <d v="1899-12-30T02:23:00"/>
        <d v="1899-12-30T06:55:00"/>
        <d v="1899-12-30T01:38:00"/>
        <d v="1899-12-30T00:06:00"/>
        <d v="1899-12-30T05:04:00"/>
        <d v="1899-12-30T03:47:00"/>
        <d v="1899-12-30T03:50:00"/>
        <d v="1899-12-30T01:48:00"/>
        <d v="1899-12-30T03:30:00"/>
        <d v="1899-12-30T04:30:00"/>
        <d v="1899-12-30T03:07:00"/>
        <d v="1899-12-30T04:36:00"/>
        <d v="1899-12-30T04:52:00"/>
        <d v="1899-12-30T04:51:00"/>
        <d v="1899-12-30T06:56:00"/>
        <d v="1899-12-30T04:28:00"/>
        <d v="1899-12-30T02:40:00"/>
        <d v="1899-12-30T07:51:00"/>
        <d v="1899-12-30T06:43:00"/>
        <d v="1899-12-30T04:43:00"/>
        <d v="1899-12-30T05:17:00"/>
        <d v="1899-12-30T00:51:00"/>
        <d v="1899-12-30T05:00:00"/>
        <d v="1899-12-30T05:34:00"/>
        <d v="1899-12-30T06:34:00"/>
        <d v="1899-12-30T00:52:00"/>
        <d v="1899-12-30T06:29:00"/>
        <d v="1899-12-30T03:49:00"/>
        <d v="1899-12-30T07:42:00"/>
        <d v="1899-12-30T05:03:00"/>
        <d v="1899-12-30T01:54:00"/>
        <d v="1899-12-30T00:20:00"/>
        <d v="1899-12-30T02:53:00"/>
        <d v="1899-12-30T06:10:00"/>
        <d v="1899-12-30T02:54:00"/>
        <d v="1899-12-30T00:34:00"/>
        <d v="1899-12-30T03:12:00"/>
        <d v="1899-12-30T01:31:00"/>
        <d v="1899-12-30T03:42:00"/>
        <d v="1899-12-30T08:16:00"/>
        <d v="1899-12-30T05:38:00"/>
        <d v="1899-12-30T07:31:00"/>
        <d v="1899-12-30T07:09:00"/>
        <d v="1899-12-30T02:28:00"/>
        <d v="1899-12-30T02:35:00"/>
        <d v="1899-12-30T07:16:00"/>
        <d v="1899-12-30T02:18:00"/>
        <d v="1899-12-30T02:05:00"/>
        <d v="1899-12-30T02:09:00"/>
        <d v="1899-12-30T03:46:00"/>
        <d v="1899-12-30T04:20:00"/>
        <d v="1899-12-30T00:14:00"/>
        <d v="1899-12-30T01:35:00"/>
        <d v="1899-12-30T06:28:00"/>
        <d v="1899-12-30T02:16:00"/>
        <d v="1899-12-30T03:57:00"/>
        <d v="1899-12-30T03:11:00"/>
        <d v="1899-12-30T02:01:00"/>
        <d v="1899-12-30T03:10:00"/>
        <d v="1899-12-30T01:20:00"/>
        <d v="1899-12-30T05:48:00"/>
        <d v="1899-12-30T00:33:00"/>
        <d v="1899-12-30T00:55:00"/>
        <d v="1899-12-30T07:43:00"/>
        <d v="1899-12-30T03:35:00"/>
        <d v="1899-12-30T08:02:00"/>
        <d v="1899-12-30T04:15:00"/>
        <d v="1899-12-30T07:24:00"/>
        <d v="1899-12-30T08:09:00"/>
        <d v="1899-12-30T00:03:00"/>
        <d v="1899-12-30T08:06:00"/>
        <d v="1899-12-30T04:23:00"/>
        <d v="1899-12-30T08:08:00"/>
        <d v="1899-12-30T06:21:00"/>
        <d v="1899-12-30T06:38:00"/>
        <d v="1899-12-30T05:45:00"/>
        <d v="1899-12-30T03:53:00"/>
        <d v="1899-12-30T03:36:00"/>
        <d v="1899-12-30T07:03:00"/>
        <d v="1899-12-30T07:47:00"/>
        <d v="1899-12-30T04:53:00"/>
        <d v="1899-12-30T04:56:00"/>
        <d v="1899-12-30T05:57:00"/>
        <d v="1899-12-30T04:45:00"/>
        <d v="1899-12-30T02:34:00"/>
        <d v="1899-12-30T01:27:00"/>
        <d v="1899-12-30T04:59:00"/>
        <d v="1899-12-30T05:47:00"/>
        <d v="1899-12-30T04:02:00"/>
        <d v="1899-12-30T04:10:00"/>
        <d v="1899-12-30T05:52:00"/>
        <d v="1899-12-30T07:30:00"/>
        <d v="1899-12-30T08:13:00"/>
        <d v="1899-12-30T07:19:00"/>
        <d v="1899-12-30T05:27:00"/>
        <d v="1899-12-30T05:58:00"/>
        <d v="1899-12-30T07:34:00"/>
        <d v="1899-12-30T02:02:00"/>
        <d v="1899-12-30T05:05:00"/>
        <d v="1899-12-30T01:59:00"/>
        <d v="1899-12-30T00:05:00"/>
        <d v="1899-12-30T07:23:00"/>
        <d v="1899-12-30T05:40:00"/>
        <d v="1899-12-30T05:54:00"/>
        <d v="1899-12-30T01:29:00"/>
        <d v="1899-12-30T00:40:00"/>
        <d v="1899-12-30T02:32:00"/>
        <d v="1899-12-30T03:16:00"/>
        <d v="1899-12-30T05:26:00"/>
        <d v="1899-12-30T06:11:00"/>
        <d v="1899-12-30T00:22:00"/>
        <d v="1899-12-30T07:53:00"/>
        <d v="1899-12-30T01:25:00"/>
        <d v="1899-12-30T08:03:00"/>
        <d v="1899-12-30T07:56:00"/>
        <d v="1899-12-30T01:34:00"/>
        <d v="1899-12-30T00:13:00"/>
        <d v="1899-12-30T05:29:00"/>
        <d v="1899-12-30T01:41:00"/>
        <d v="1899-12-30T06:25:00"/>
        <d v="1899-12-30T02:06:00"/>
        <d v="1899-12-30T07:22:00"/>
        <d v="1899-12-30T04:06:00"/>
        <d v="1899-12-30T04:01:00"/>
        <d v="1899-12-30T06:27:00"/>
        <d v="1899-12-30T06:45:00"/>
        <d v="1899-12-30T03:44:00"/>
        <d v="1899-12-30T00:54:00"/>
        <d v="1899-12-30T01:33:00"/>
        <d v="1899-12-30T07:10:00"/>
        <d v="1899-12-30T03:26:00"/>
        <d v="1899-12-30T04:13:00"/>
        <d v="1899-12-30T07:55:00"/>
        <d v="1899-12-30T00:35:00"/>
        <d v="1899-12-30T07:27:00"/>
        <d v="1899-12-30T04:12:00"/>
        <d v="1899-12-30T04:07:00"/>
        <d v="1899-12-30T04:44:00"/>
        <d v="1899-12-30T05:19:00"/>
        <d v="1899-12-30T00:15:00"/>
        <d v="1899-12-30T05:44:00"/>
        <d v="1899-12-30T04:58:00"/>
        <d v="1899-12-30T03:38:00"/>
        <d v="1899-12-30T02:07:00"/>
        <d v="1899-12-30T05:12:00"/>
        <d v="1899-12-30T06:40:00"/>
        <d v="1899-12-30T03:28:00"/>
        <d v="1899-12-30T04:24:00"/>
        <d v="1899-12-30T03:02:00"/>
        <d v="1899-12-30T00:07:00"/>
        <d v="1899-12-30T03:54:00"/>
        <d v="1899-12-30T03:08:00"/>
        <d v="1899-12-30T05:25:00"/>
        <d v="1899-12-30T03:00:00"/>
        <d v="1899-12-30T06:08:00"/>
        <d v="1899-12-30T05:30:00"/>
        <d v="1899-12-30T03:48:00"/>
        <d v="1899-12-30T00:18:00"/>
        <d v="1899-12-30T03:19:00"/>
        <d v="1899-12-30T02:12:00"/>
        <d v="1899-12-30T01:43:00"/>
        <d v="1899-12-30T08:00:00"/>
        <d v="1899-12-30T05:36:00"/>
        <d v="1899-12-30T07:15:00"/>
        <d v="1899-12-30T08:11:00"/>
        <d v="1899-12-30T02:03:00"/>
        <d v="1899-12-30T07:05:00"/>
        <d v="1899-12-30T06:44:00"/>
        <d v="1899-12-30T06:02:00"/>
        <d v="1899-12-30T03:37:00"/>
        <d v="1899-12-30T05:59:00"/>
        <d v="1899-12-30T04:57:00"/>
        <d v="1899-12-30T04:00:00"/>
        <d v="1899-12-30T01:11:00"/>
        <d v="1899-12-30T06:20:00"/>
        <d v="1899-12-30T04:35:00"/>
        <d v="1899-12-30T06:42:00"/>
        <d v="1899-12-30T06:05:00"/>
        <d v="1899-12-30T08:04:00"/>
        <d v="1899-12-30T01:49:00"/>
        <d v="1899-12-30T05:20:00"/>
        <d v="1899-12-30T02:55:00"/>
        <d v="1899-12-30T08:18:00"/>
        <d v="1899-12-30T02:29:00"/>
        <d v="1899-12-30T08:05:00"/>
        <d v="1899-12-30T03:23:00"/>
        <d v="1899-12-30T05:23:00"/>
        <d v="1899-12-30T02:00:00"/>
        <d v="1899-12-30T07:54:00"/>
        <d v="1899-12-30T05:43:00"/>
        <d v="1899-12-30T00:26:00"/>
        <d v="1899-12-30T02:33:00"/>
        <d v="1899-12-30T00:42:00"/>
        <d v="1899-12-30T07:45:00"/>
        <d v="1899-12-30T04:38:00"/>
        <d v="1899-12-30T02:42:00"/>
        <d v="1899-12-30T04:42:00"/>
        <d v="1899-12-30T01:01:00"/>
        <d v="1899-12-30T03:45:00"/>
        <d v="1899-12-30T01:03:00"/>
        <d v="1899-12-30T05:39:00"/>
        <d v="1899-12-30T00:39:00"/>
        <d v="1899-12-30T06:23:00"/>
        <d v="1899-12-30T00:41:00"/>
        <d v="1899-12-30T05:16:00"/>
        <d v="1899-12-30T05:24:00"/>
        <d v="1899-12-30T02:48:00"/>
        <d v="1899-12-30T07:52:00"/>
        <d v="1899-12-30T00:32:00"/>
        <d v="1899-12-30T05:21:00"/>
        <d v="1899-12-30T05:10:00"/>
        <d v="1899-12-30T03:13:00"/>
        <d v="1899-12-30T08:14:00"/>
        <d v="1899-12-30T04:18:00"/>
        <d v="1899-12-30T03:17:00"/>
        <d v="1899-12-30T01:04:00"/>
        <d v="1899-12-30T01:39:00"/>
        <d v="1899-12-30T05:35:00"/>
        <d v="1899-12-30T03:59:00"/>
        <d v="1899-12-30T00:23:00"/>
        <d v="1899-12-30T07:08:00"/>
        <d v="1899-12-30T01:12:00"/>
        <d v="1899-12-30T02:20:00"/>
        <d v="1899-12-30T06:30:00"/>
        <d v="1899-12-30T01:58:00"/>
        <d v="1899-12-30T06:57:00"/>
        <d v="1899-12-30T02:21:00"/>
        <d v="1899-12-30T00:49:00"/>
        <d v="1899-12-30T05:37:00"/>
        <d v="1899-12-30T06:18:00"/>
        <d v="1899-12-30T03:01:00"/>
        <d v="1899-12-30T07:13:00"/>
        <d v="1899-12-30T00:48:00"/>
        <d v="1899-12-30T06:24:00"/>
        <d v="1899-12-30T04:17:00"/>
        <d v="1899-12-30T00:37:00"/>
        <d v="1899-12-30T02:51:00"/>
        <d v="1899-12-30T02:11:00"/>
        <d v="1899-12-30T01:28:00"/>
        <d v="1899-12-30T00:28:00"/>
        <d v="1899-12-30T00:17:00"/>
        <d v="1899-12-30T00:57:00"/>
        <d v="1899-12-30T01:21:00"/>
        <d v="1899-12-30T02:31:00"/>
        <d v="1899-12-30T07:25:00"/>
        <d v="1899-12-30T00:58:00"/>
        <d v="1899-12-30T01:36:00"/>
        <d v="1899-12-30T00:45:00"/>
        <d v="1899-12-30T00:38:00"/>
        <d v="1899-12-30T02:08:00"/>
        <d v="1899-12-30T05:07:00"/>
        <d v="1899-12-30T02:46:00"/>
        <d v="1899-12-30T00:30:00"/>
        <d v="1899-12-30T03:29:00"/>
        <d v="1899-12-30T01:30:00"/>
        <d v="1899-12-30T03:18:00"/>
        <d v="1899-12-30T02:30:00"/>
        <d v="1899-12-30T05:42:00"/>
        <d v="1899-12-30T07:37:00"/>
        <d v="1899-12-30T00:47:00"/>
        <d v="1899-12-30T07:38:00"/>
        <d v="1899-12-30T01:24:00"/>
        <d v="1899-12-30T02:58:00"/>
        <d v="1899-12-30T04:03:00"/>
        <d v="1899-12-30T06:41:00"/>
        <d v="1899-12-30T07:17:00"/>
        <d v="1899-12-30T00:16:00"/>
        <d v="1899-12-30T08:19:00"/>
        <d v="1899-12-30T02:57:00"/>
        <d v="1899-12-30T05:14:00"/>
        <d v="1899-12-30T04:39:00"/>
        <d v="1899-12-30T00:02:00"/>
        <d v="1899-12-30T04:27:00"/>
        <d v="1899-12-30T06:19:00"/>
        <d v="1899-12-30T02:10:00"/>
        <d v="1899-12-30T01:02:00"/>
        <d v="1899-12-30T04:25:00"/>
        <d v="1899-12-30T01:18:00"/>
        <d v="1899-12-30T01:50:00"/>
        <d v="1899-12-30T03:06:00"/>
        <d v="1899-12-30T02:47:00"/>
        <d v="1899-12-30T01:10:00"/>
        <d v="1899-12-30T06:12:00"/>
        <d v="1899-12-30T08:01:00"/>
        <d v="1899-12-30T07:28:00"/>
        <d v="1899-12-30T00:56:00"/>
        <d v="1899-12-30T00:08:00"/>
        <d v="1899-12-30T03:55:00"/>
        <d v="1899-12-30T04:31:00"/>
        <d v="1899-12-30T02:15:00"/>
        <d v="1899-12-30T04:41:00"/>
        <d v="1899-12-30T03:40:00"/>
        <d v="1899-12-30T01:17:00"/>
        <d v="1899-12-30T02:50:00"/>
        <d v="1899-12-30T02:19:00"/>
        <d v="1899-12-30T03:09:00"/>
        <d v="1899-12-30T00:50:00"/>
        <d v="1899-12-30T00:25:00"/>
        <d v="1899-12-30T03:15:00"/>
        <d v="1899-12-30T06:14:00"/>
        <d v="1899-12-30T01:05:00"/>
        <d v="1899-12-30T04:49:00"/>
        <d v="1899-12-30T07:29:00"/>
        <d v="1899-12-30T06:26:00"/>
        <d v="1899-12-30T07:12:00"/>
        <d v="1899-12-30T03:21:00"/>
        <d v="1899-12-30T06:53:00"/>
        <d v="1899-12-30T07:04:00"/>
        <d v="1899-12-30T05:53:00"/>
        <d v="1899-12-30T02:49:00"/>
        <d v="1899-12-30T04:21:00"/>
        <d v="1899-12-30T06:07:00"/>
        <d v="1899-12-30T02:13:00"/>
        <d v="1899-12-30T01:44:00"/>
        <d v="1899-12-30T04:40:00"/>
        <d v="1899-12-30T06:52:00"/>
        <d v="1899-12-30T04:48:00"/>
        <d v="1899-12-30T07:07:00"/>
        <d v="1899-12-30T00:36:00"/>
        <d v="1899-12-30T05:13:00"/>
        <d v="1899-12-30T04:05:00"/>
        <d v="1899-12-30T01:06:00"/>
      </sharedItems>
    </cacheField>
    <cacheField name="Client.Duree_Cumulee_Panne_Min" numFmtId="0">
      <sharedItems containsSemiMixedTypes="0" containsString="0" containsNumber="1" containsInteger="1" minValue="1" maxValue="499" count="388">
        <n v="176"/>
        <n v="306"/>
        <n v="407"/>
        <n v="219"/>
        <n v="124"/>
        <n v="420"/>
        <n v="76"/>
        <n v="112"/>
        <n v="142"/>
        <n v="392"/>
        <n v="248"/>
        <n v="86"/>
        <n v="60"/>
        <n v="311"/>
        <n v="391"/>
        <n v="115"/>
        <n v="1"/>
        <n v="4"/>
        <n v="262"/>
        <n v="68"/>
        <n v="375"/>
        <n v="213"/>
        <n v="11"/>
        <n v="446"/>
        <n v="214"/>
        <n v="105"/>
        <n v="43"/>
        <n v="137"/>
        <n v="9"/>
        <n v="207"/>
        <n v="116"/>
        <n v="165"/>
        <n v="161"/>
        <n v="274"/>
        <n v="356"/>
        <n v="290"/>
        <n v="102"/>
        <n v="461"/>
        <n v="21"/>
        <n v="369"/>
        <n v="350"/>
        <n v="487"/>
        <n v="194"/>
        <n v="111"/>
        <n v="273"/>
        <n v="452"/>
        <n v="328"/>
        <n v="244"/>
        <n v="75"/>
        <n v="355"/>
        <n v="364"/>
        <n v="333"/>
        <n v="397"/>
        <n v="460"/>
        <n v="31"/>
        <n v="453"/>
        <n v="232"/>
        <n v="107"/>
        <n v="236"/>
        <n v="332"/>
        <n v="418"/>
        <n v="421"/>
        <n v="27"/>
        <n v="172"/>
        <n v="231"/>
        <n v="205"/>
        <n v="143"/>
        <n v="415"/>
        <n v="98"/>
        <n v="6"/>
        <n v="304"/>
        <n v="227"/>
        <n v="230"/>
        <n v="108"/>
        <n v="210"/>
        <n v="270"/>
        <n v="187"/>
        <n v="276"/>
        <n v="292"/>
        <n v="291"/>
        <n v="416"/>
        <n v="268"/>
        <n v="160"/>
        <n v="471"/>
        <n v="403"/>
        <n v="283"/>
        <n v="317"/>
        <n v="51"/>
        <n v="300"/>
        <n v="334"/>
        <n v="394"/>
        <n v="52"/>
        <n v="389"/>
        <n v="229"/>
        <n v="462"/>
        <n v="303"/>
        <n v="114"/>
        <n v="20"/>
        <n v="173"/>
        <n v="370"/>
        <n v="174"/>
        <n v="34"/>
        <n v="192"/>
        <n v="91"/>
        <n v="222"/>
        <n v="496"/>
        <n v="338"/>
        <n v="451"/>
        <n v="429"/>
        <n v="148"/>
        <n v="155"/>
        <n v="436"/>
        <n v="138"/>
        <n v="125"/>
        <n v="129"/>
        <n v="226"/>
        <n v="260"/>
        <n v="14"/>
        <n v="95"/>
        <n v="388"/>
        <n v="136"/>
        <n v="237"/>
        <n v="191"/>
        <n v="121"/>
        <n v="190"/>
        <n v="80"/>
        <n v="348"/>
        <n v="33"/>
        <n v="55"/>
        <n v="463"/>
        <n v="215"/>
        <n v="482"/>
        <n v="255"/>
        <n v="444"/>
        <n v="489"/>
        <n v="3"/>
        <n v="486"/>
        <n v="263"/>
        <n v="488"/>
        <n v="381"/>
        <n v="398"/>
        <n v="345"/>
        <n v="233"/>
        <n v="216"/>
        <n v="423"/>
        <n v="467"/>
        <n v="293"/>
        <n v="296"/>
        <n v="357"/>
        <n v="285"/>
        <n v="154"/>
        <n v="87"/>
        <n v="299"/>
        <n v="347"/>
        <n v="242"/>
        <n v="250"/>
        <n v="352"/>
        <n v="450"/>
        <n v="493"/>
        <n v="439"/>
        <n v="327"/>
        <n v="358"/>
        <n v="454"/>
        <n v="122"/>
        <n v="305"/>
        <n v="119"/>
        <n v="5"/>
        <n v="443"/>
        <n v="340"/>
        <n v="354"/>
        <n v="89"/>
        <n v="40"/>
        <n v="152"/>
        <n v="196"/>
        <n v="326"/>
        <n v="371"/>
        <n v="22"/>
        <n v="473"/>
        <n v="85"/>
        <n v="483"/>
        <n v="476"/>
        <n v="94"/>
        <n v="13"/>
        <n v="329"/>
        <n v="101"/>
        <n v="385"/>
        <n v="126"/>
        <n v="442"/>
        <n v="246"/>
        <n v="241"/>
        <n v="387"/>
        <n v="405"/>
        <n v="224"/>
        <n v="54"/>
        <n v="93"/>
        <n v="430"/>
        <n v="206"/>
        <n v="253"/>
        <n v="475"/>
        <n v="35"/>
        <n v="447"/>
        <n v="252"/>
        <n v="247"/>
        <n v="284"/>
        <n v="319"/>
        <n v="15"/>
        <n v="344"/>
        <n v="298"/>
        <n v="218"/>
        <n v="127"/>
        <n v="312"/>
        <n v="400"/>
        <n v="208"/>
        <n v="264"/>
        <n v="182"/>
        <n v="7"/>
        <n v="234"/>
        <n v="188"/>
        <n v="325"/>
        <n v="180"/>
        <n v="368"/>
        <n v="330"/>
        <n v="228"/>
        <n v="18"/>
        <n v="199"/>
        <n v="132"/>
        <n v="103"/>
        <n v="480"/>
        <n v="336"/>
        <n v="435"/>
        <n v="491"/>
        <n v="123"/>
        <n v="425"/>
        <n v="404"/>
        <n v="362"/>
        <n v="217"/>
        <n v="359"/>
        <n v="297"/>
        <n v="240"/>
        <n v="71"/>
        <n v="380"/>
        <n v="275"/>
        <n v="402"/>
        <n v="365"/>
        <n v="484"/>
        <n v="109"/>
        <n v="320"/>
        <n v="175"/>
        <n v="498"/>
        <n v="149"/>
        <n v="485"/>
        <n v="203"/>
        <n v="323"/>
        <n v="120"/>
        <n v="474"/>
        <n v="343"/>
        <n v="26"/>
        <n v="153"/>
        <n v="42"/>
        <n v="465"/>
        <n v="278"/>
        <n v="162"/>
        <n v="282"/>
        <n v="61"/>
        <n v="225"/>
        <n v="63"/>
        <n v="339"/>
        <n v="39"/>
        <n v="383"/>
        <n v="41"/>
        <n v="316"/>
        <n v="324"/>
        <n v="168"/>
        <n v="472"/>
        <n v="32"/>
        <n v="321"/>
        <n v="310"/>
        <n v="193"/>
        <n v="494"/>
        <n v="258"/>
        <n v="197"/>
        <n v="64"/>
        <n v="99"/>
        <n v="335"/>
        <n v="239"/>
        <n v="23"/>
        <n v="428"/>
        <n v="72"/>
        <n v="140"/>
        <n v="390"/>
        <n v="118"/>
        <n v="417"/>
        <n v="141"/>
        <n v="49"/>
        <n v="337"/>
        <n v="378"/>
        <n v="181"/>
        <n v="433"/>
        <n v="48"/>
        <n v="384"/>
        <n v="257"/>
        <n v="37"/>
        <n v="171"/>
        <n v="131"/>
        <n v="88"/>
        <n v="28"/>
        <n v="17"/>
        <n v="57"/>
        <n v="81"/>
        <n v="151"/>
        <n v="445"/>
        <n v="58"/>
        <n v="96"/>
        <n v="45"/>
        <n v="38"/>
        <n v="128"/>
        <n v="307"/>
        <n v="166"/>
        <n v="30"/>
        <n v="209"/>
        <n v="90"/>
        <n v="198"/>
        <n v="150"/>
        <n v="342"/>
        <n v="457"/>
        <n v="47"/>
        <n v="458"/>
        <n v="84"/>
        <n v="178"/>
        <n v="243"/>
        <n v="401"/>
        <n v="437"/>
        <n v="16"/>
        <n v="499"/>
        <n v="177"/>
        <n v="314"/>
        <n v="279"/>
        <n v="2"/>
        <n v="267"/>
        <n v="379"/>
        <n v="130"/>
        <n v="62"/>
        <n v="265"/>
        <n v="78"/>
        <n v="110"/>
        <n v="186"/>
        <n v="167"/>
        <n v="70"/>
        <n v="372"/>
        <n v="481"/>
        <n v="448"/>
        <n v="56"/>
        <n v="8"/>
        <n v="235"/>
        <n v="271"/>
        <n v="135"/>
        <n v="281"/>
        <n v="220"/>
        <n v="77"/>
        <n v="170"/>
        <n v="139"/>
        <n v="189"/>
        <n v="50"/>
        <n v="25"/>
        <n v="195"/>
        <n v="374"/>
        <n v="65"/>
        <n v="289"/>
        <n v="449"/>
        <n v="386"/>
        <n v="432"/>
        <n v="201"/>
        <n v="413"/>
        <n v="424"/>
        <n v="353"/>
        <n v="169"/>
        <n v="261"/>
        <n v="367"/>
        <n v="133"/>
        <n v="104"/>
        <n v="280"/>
        <n v="412"/>
        <n v="288"/>
        <n v="427"/>
        <n v="36"/>
        <n v="313"/>
        <n v="245"/>
        <n v="66"/>
      </sharedItems>
    </cacheField>
    <cacheField name="Client.Facture_Mensuelle" numFmtId="0">
      <sharedItems containsSemiMixedTypes="0" containsString="0" containsNumber="1" minValue="10" maxValue="99.93"/>
    </cacheField>
    <cacheField name="Client.Plaintes_Service_Client" numFmtId="0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 pivotCacheId="309066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8"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1618"/>
    <s v="Tanganyika"/>
    <n v="115"/>
    <s v="Bloqué 5Go"/>
    <x v="0"/>
    <x v="0"/>
    <n v="33.28"/>
    <n v="4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0232"/>
    <s v="Tanganyika"/>
    <n v="69"/>
    <s v="Bloqué 5Go"/>
    <x v="1"/>
    <x v="1"/>
    <n v="13.97"/>
    <n v="1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1802"/>
    <s v="Tanganyika"/>
    <n v="55"/>
    <s v="Bloqué 5Go"/>
    <x v="2"/>
    <x v="2"/>
    <n v="23.11"/>
    <n v="0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1607"/>
    <s v="Tanganyika"/>
    <n v="83"/>
    <s v="Pro Monde"/>
    <x v="3"/>
    <x v="3"/>
    <n v="52.26"/>
    <n v="1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0017"/>
    <s v="Tanganyika"/>
    <n v="29"/>
    <s v="Illimité 50Go"/>
    <x v="4"/>
    <x v="4"/>
    <n v="43.83"/>
    <n v="5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0617"/>
    <s v="Tanganyika"/>
    <n v="83"/>
    <s v="Pro Monde"/>
    <x v="5"/>
    <x v="5"/>
    <n v="94.9"/>
    <n v="1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0899"/>
    <s v="Tanganyika"/>
    <n v="48"/>
    <s v="Pro Monde"/>
    <x v="6"/>
    <x v="6"/>
    <n v="39.35"/>
    <n v="2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0007"/>
    <s v="Tanganyika"/>
    <n v="110"/>
    <s v="Bloqué 5Go"/>
    <x v="7"/>
    <x v="7"/>
    <n v="98.95"/>
    <n v="5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0626"/>
    <s v="Tanganyika"/>
    <n v="2"/>
    <s v="Pro Monde"/>
    <x v="8"/>
    <x v="8"/>
    <n v="37.799999999999997"/>
    <n v="0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1702"/>
    <s v="Tanganyika"/>
    <n v="63"/>
    <s v="Bloqué 5Go"/>
    <x v="9"/>
    <x v="9"/>
    <n v="93.11"/>
    <n v="3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0241"/>
    <s v="Tanganyika"/>
    <n v="50"/>
    <s v="Bloqué 5Go"/>
    <x v="10"/>
    <x v="10"/>
    <n v="69.42"/>
    <n v="0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1706"/>
    <s v="Tanganyika"/>
    <n v="55"/>
    <s v="Premium 5G 150Go"/>
    <x v="11"/>
    <x v="11"/>
    <n v="17.440000000000001"/>
    <n v="2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1387"/>
    <s v="Tanganyika"/>
    <n v="85"/>
    <s v="Pro Monde"/>
    <x v="12"/>
    <x v="12"/>
    <n v="26.3"/>
    <n v="2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1374"/>
    <s v="Tanganyika"/>
    <n v="36"/>
    <s v="Bloqué 5Go"/>
    <x v="13"/>
    <x v="13"/>
    <n v="13.19"/>
    <n v="4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0781"/>
    <s v="Tanganyika"/>
    <n v="16"/>
    <s v="Premium 5G 150Go"/>
    <x v="14"/>
    <x v="14"/>
    <n v="90.12"/>
    <n v="5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1375"/>
    <s v="Tanganyika"/>
    <n v="94"/>
    <s v="Illimité 50Go"/>
    <x v="15"/>
    <x v="15"/>
    <n v="19.12"/>
    <n v="0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1687"/>
    <s v="Tanganyika"/>
    <n v="39"/>
    <s v="Premium 5G 150Go"/>
    <x v="16"/>
    <x v="16"/>
    <n v="66.94"/>
    <n v="5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1606"/>
    <s v="Tanganyika"/>
    <n v="92"/>
    <s v="Bloqué 5Go"/>
    <x v="17"/>
    <x v="17"/>
    <n v="22.03"/>
    <n v="3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1821"/>
    <s v="Tanganyika"/>
    <n v="115"/>
    <s v="Pro Monde"/>
    <x v="18"/>
    <x v="18"/>
    <n v="66.34"/>
    <n v="3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0994"/>
    <s v="Tanganyika"/>
    <n v="71"/>
    <s v="Illimité 50Go"/>
    <x v="19"/>
    <x v="19"/>
    <n v="53.11"/>
    <n v="2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1682"/>
    <s v="Tanganyika"/>
    <n v="77"/>
    <s v="Illimité 50Go"/>
    <x v="20"/>
    <x v="20"/>
    <n v="24.03"/>
    <n v="1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1210"/>
    <s v="Tanganyika"/>
    <n v="1"/>
    <s v="Illimité 50Go"/>
    <x v="21"/>
    <x v="21"/>
    <n v="52.16"/>
    <n v="3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0265"/>
    <s v="Tanganyika"/>
    <n v="9"/>
    <s v="Bloqué 5Go"/>
    <x v="22"/>
    <x v="22"/>
    <n v="72.36"/>
    <n v="2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0427"/>
    <s v="Tanganyika"/>
    <n v="18"/>
    <s v="Bloqué 5Go"/>
    <x v="23"/>
    <x v="23"/>
    <n v="97.3"/>
    <n v="5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147"/>
    <s v="Ituri"/>
    <n v="29"/>
    <s v="Premium 5G 150Go"/>
    <x v="24"/>
    <x v="24"/>
    <n v="74.7"/>
    <n v="3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0041"/>
    <s v="Ituri"/>
    <n v="103"/>
    <s v="Pro Monde"/>
    <x v="25"/>
    <x v="25"/>
    <n v="61.52"/>
    <n v="3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0813"/>
    <s v="Ituri"/>
    <n v="16"/>
    <s v="Bloqué 5Go"/>
    <x v="26"/>
    <x v="26"/>
    <n v="56.48"/>
    <n v="0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0251"/>
    <s v="Ituri"/>
    <n v="44"/>
    <s v="Pro Monde"/>
    <x v="27"/>
    <x v="27"/>
    <n v="32.58"/>
    <n v="0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0867"/>
    <s v="Ituri"/>
    <n v="74"/>
    <s v="Illimité 50Go"/>
    <x v="28"/>
    <x v="28"/>
    <n v="99.89"/>
    <n v="0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0524"/>
    <s v="Ituri"/>
    <n v="113"/>
    <s v="Premium 5G 150Go"/>
    <x v="29"/>
    <x v="29"/>
    <n v="21.55"/>
    <n v="0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860"/>
    <s v="Ituri"/>
    <n v="92"/>
    <s v="Premium 5G 150Go"/>
    <x v="30"/>
    <x v="30"/>
    <n v="23.83"/>
    <n v="3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561"/>
    <s v="Ituri"/>
    <n v="10"/>
    <s v="Bloqué 5Go"/>
    <x v="31"/>
    <x v="31"/>
    <n v="38.619999999999997"/>
    <n v="2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291"/>
    <s v="Ituri"/>
    <n v="60"/>
    <s v="Illimité 50Go"/>
    <x v="32"/>
    <x v="32"/>
    <n v="62.65"/>
    <n v="0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217"/>
    <s v="Ituri"/>
    <n v="85"/>
    <s v="Premium 5G 150Go"/>
    <x v="33"/>
    <x v="33"/>
    <n v="35.03"/>
    <n v="1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215"/>
    <s v="Ituri"/>
    <n v="3"/>
    <s v="Illimité 50Go"/>
    <x v="34"/>
    <x v="34"/>
    <n v="91.6"/>
    <n v="3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0578"/>
    <s v="Ituri"/>
    <n v="96"/>
    <s v="Illimité 50Go"/>
    <x v="35"/>
    <x v="35"/>
    <n v="29"/>
    <n v="3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0753"/>
    <s v="Ituri"/>
    <n v="40"/>
    <s v="Premium 5G 150Go"/>
    <x v="36"/>
    <x v="36"/>
    <n v="96.59"/>
    <n v="5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0048"/>
    <s v="Ituri"/>
    <n v="16"/>
    <s v="Bloqué 5Go"/>
    <x v="37"/>
    <x v="37"/>
    <n v="38.369999999999997"/>
    <n v="4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0417"/>
    <s v="Ituri"/>
    <n v="87"/>
    <s v="Bloqué 5Go"/>
    <x v="38"/>
    <x v="38"/>
    <n v="81.459999999999994"/>
    <n v="3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729"/>
    <s v="Ituri"/>
    <n v="59"/>
    <s v="Pro Monde"/>
    <x v="39"/>
    <x v="39"/>
    <n v="26.64"/>
    <n v="4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242"/>
    <s v="Ituri"/>
    <n v="29"/>
    <s v="Premium 5G 150Go"/>
    <x v="40"/>
    <x v="40"/>
    <n v="84.32"/>
    <n v="3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0348"/>
    <s v="Ituri"/>
    <n v="68"/>
    <s v="Bloqué 5Go"/>
    <x v="41"/>
    <x v="41"/>
    <n v="69.099999999999994"/>
    <n v="5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0959"/>
    <s v="Ituri"/>
    <n v="111"/>
    <s v="Bloqué 5Go"/>
    <x v="42"/>
    <x v="42"/>
    <n v="48.55"/>
    <n v="2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0262"/>
    <s v="Ituri"/>
    <n v="24"/>
    <s v="Illimité 50Go"/>
    <x v="9"/>
    <x v="9"/>
    <n v="27.06"/>
    <n v="1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560"/>
    <s v="Ituri"/>
    <n v="47"/>
    <s v="Bloqué 5Go"/>
    <x v="43"/>
    <x v="43"/>
    <n v="95.18"/>
    <n v="0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446"/>
    <s v="Ituri"/>
    <n v="33"/>
    <s v="Bloqué 5Go"/>
    <x v="44"/>
    <x v="44"/>
    <n v="49.8"/>
    <n v="0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0731"/>
    <s v="Ituri"/>
    <n v="86"/>
    <s v="Premium 5G 150Go"/>
    <x v="45"/>
    <x v="45"/>
    <n v="75.680000000000007"/>
    <n v="0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0304"/>
    <s v="Ituri"/>
    <n v="47"/>
    <s v="Pro Monde"/>
    <x v="46"/>
    <x v="46"/>
    <n v="61.27"/>
    <n v="3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0418"/>
    <s v="Ituri"/>
    <n v="96"/>
    <s v="Premium 5G 150Go"/>
    <x v="44"/>
    <x v="44"/>
    <n v="37.909999999999997"/>
    <n v="2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741"/>
    <s v="Ituri"/>
    <n v="45"/>
    <s v="Premium 5G 150Go"/>
    <x v="47"/>
    <x v="47"/>
    <n v="55.17"/>
    <n v="2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846"/>
    <s v="Ituri"/>
    <n v="85"/>
    <s v="Pro Monde"/>
    <x v="48"/>
    <x v="48"/>
    <n v="98.01"/>
    <n v="1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275"/>
    <s v="Ituri"/>
    <n v="55"/>
    <s v="Bloqué 5Go"/>
    <x v="49"/>
    <x v="49"/>
    <n v="59.65"/>
    <n v="0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719"/>
    <s v="Ituri"/>
    <n v="84"/>
    <s v="Bloqué 5Go"/>
    <x v="50"/>
    <x v="50"/>
    <n v="87.79"/>
    <n v="3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1233"/>
    <s v="Kongo-Central"/>
    <n v="101"/>
    <s v="Pro Monde"/>
    <x v="51"/>
    <x v="51"/>
    <n v="74.319999999999993"/>
    <n v="1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1376"/>
    <s v="Kongo-Central"/>
    <n v="65"/>
    <s v="Premium 5G 150Go"/>
    <x v="52"/>
    <x v="52"/>
    <n v="22.6"/>
    <n v="5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1025"/>
    <s v="Kongo-Central"/>
    <n v="86"/>
    <s v="Bloqué 5Go"/>
    <x v="53"/>
    <x v="53"/>
    <n v="22.81"/>
    <n v="4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1584"/>
    <s v="Kongo-Central"/>
    <n v="70"/>
    <s v="Bloqué 5Go"/>
    <x v="54"/>
    <x v="54"/>
    <n v="71.2"/>
    <n v="4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1916"/>
    <s v="Kongo-Central"/>
    <n v="4"/>
    <s v="Bloqué 5Go"/>
    <x v="55"/>
    <x v="55"/>
    <n v="75.260000000000005"/>
    <n v="5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1399"/>
    <s v="Kongo-Central"/>
    <n v="114"/>
    <s v="Premium 5G 150Go"/>
    <x v="56"/>
    <x v="56"/>
    <n v="42.2"/>
    <n v="2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0833"/>
    <s v="Kongo-Central"/>
    <n v="35"/>
    <s v="Illimité 50Go"/>
    <x v="57"/>
    <x v="57"/>
    <n v="66.69"/>
    <n v="4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0846"/>
    <s v="Kongo-Central"/>
    <n v="115"/>
    <s v="Bloqué 5Go"/>
    <x v="58"/>
    <x v="58"/>
    <n v="50.64"/>
    <n v="1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1970"/>
    <s v="Kongo-Central"/>
    <n v="33"/>
    <s v="Bloqué 5Go"/>
    <x v="59"/>
    <x v="59"/>
    <n v="76.41"/>
    <n v="1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0525"/>
    <s v="Kongo-Central"/>
    <n v="89"/>
    <s v="Illimité 50Go"/>
    <x v="60"/>
    <x v="60"/>
    <n v="86.63"/>
    <n v="4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0074"/>
    <s v="Kongo-Central"/>
    <n v="78"/>
    <s v="Premium 5G 150Go"/>
    <x v="12"/>
    <x v="12"/>
    <n v="33.159999999999997"/>
    <n v="5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0084"/>
    <s v="Kongo-Central"/>
    <n v="15"/>
    <s v="Premium 5G 150Go"/>
    <x v="48"/>
    <x v="48"/>
    <n v="45.59"/>
    <n v="0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0716"/>
    <s v="Kongo-Central"/>
    <n v="104"/>
    <s v="Pro Monde"/>
    <x v="61"/>
    <x v="61"/>
    <n v="26.24"/>
    <n v="3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1359"/>
    <s v="Kongo-Central"/>
    <n v="86"/>
    <s v="Premium 5G 150Go"/>
    <x v="62"/>
    <x v="62"/>
    <n v="84.94"/>
    <n v="4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0012"/>
    <s v="Kongo-Central"/>
    <n v="105"/>
    <s v="Illimité 50Go"/>
    <x v="63"/>
    <x v="63"/>
    <n v="15.88"/>
    <n v="5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1739"/>
    <s v="Kongo-Central"/>
    <n v="119"/>
    <s v="Illimité 50Go"/>
    <x v="64"/>
    <x v="64"/>
    <n v="20.22"/>
    <n v="2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0894"/>
    <s v="Tshuapa"/>
    <n v="63"/>
    <s v="Pro Monde"/>
    <x v="65"/>
    <x v="65"/>
    <n v="89.19"/>
    <n v="0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1349"/>
    <s v="Tshuapa"/>
    <n v="89"/>
    <s v="Premium 5G 150Go"/>
    <x v="66"/>
    <x v="66"/>
    <n v="48.05"/>
    <n v="4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1957"/>
    <s v="Tshuapa"/>
    <n v="14"/>
    <s v="Bloqué 5Go"/>
    <x v="67"/>
    <x v="67"/>
    <n v="36.93"/>
    <n v="5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1357"/>
    <s v="Tshuapa"/>
    <n v="47"/>
    <s v="Bloqué 5Go"/>
    <x v="68"/>
    <x v="68"/>
    <n v="16.16"/>
    <n v="5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1415"/>
    <s v="Tshuapa"/>
    <n v="6"/>
    <s v="Bloqué 5Go"/>
    <x v="69"/>
    <x v="69"/>
    <n v="72.27"/>
    <n v="4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1616"/>
    <s v="Tshuapa"/>
    <n v="114"/>
    <s v="Bloqué 5Go"/>
    <x v="70"/>
    <x v="70"/>
    <n v="52.07"/>
    <n v="1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0907"/>
    <s v="Tshuapa"/>
    <n v="4"/>
    <s v="Bloqué 5Go"/>
    <x v="71"/>
    <x v="71"/>
    <n v="83.32"/>
    <n v="2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0721"/>
    <s v="Tshuapa"/>
    <n v="108"/>
    <s v="Premium 5G 150Go"/>
    <x v="72"/>
    <x v="72"/>
    <n v="16.3"/>
    <n v="5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1313"/>
    <s v="Tshuapa"/>
    <n v="96"/>
    <s v="Illimité 50Go"/>
    <x v="73"/>
    <x v="73"/>
    <n v="30.92"/>
    <n v="1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1462"/>
    <s v="Tshuapa"/>
    <n v="96"/>
    <s v="Illimité 50Go"/>
    <x v="74"/>
    <x v="74"/>
    <n v="28.39"/>
    <n v="3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0726"/>
    <s v="Tshuapa"/>
    <n v="103"/>
    <s v="Pro Monde"/>
    <x v="75"/>
    <x v="75"/>
    <n v="67.87"/>
    <n v="3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1146"/>
    <s v="Tshuapa"/>
    <n v="76"/>
    <s v="Premium 5G 150Go"/>
    <x v="76"/>
    <x v="76"/>
    <n v="56.29"/>
    <n v="1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1927"/>
    <s v="Tshuapa"/>
    <n v="97"/>
    <s v="Pro Monde"/>
    <x v="77"/>
    <x v="77"/>
    <n v="88.35"/>
    <n v="0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1256"/>
    <s v="Tshuapa"/>
    <n v="35"/>
    <s v="Pro Monde"/>
    <x v="78"/>
    <x v="78"/>
    <n v="39.21"/>
    <n v="1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1858"/>
    <s v="Tshuapa"/>
    <n v="103"/>
    <s v="Illimité 50Go"/>
    <x v="79"/>
    <x v="79"/>
    <n v="60.34"/>
    <n v="5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0766"/>
    <s v="Tshuapa"/>
    <n v="101"/>
    <s v="Bloqué 5Go"/>
    <x v="80"/>
    <x v="80"/>
    <n v="83.49"/>
    <n v="2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1852"/>
    <s v="Tshuapa"/>
    <n v="73"/>
    <s v="Pro Monde"/>
    <x v="81"/>
    <x v="81"/>
    <n v="56.86"/>
    <n v="5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0060"/>
    <s v="Kasai-Central"/>
    <n v="72"/>
    <s v="Pro Monde"/>
    <x v="82"/>
    <x v="82"/>
    <n v="90.13"/>
    <n v="2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1746"/>
    <s v="Kasai-Central"/>
    <n v="86"/>
    <s v="Premium 5G 150Go"/>
    <x v="83"/>
    <x v="83"/>
    <n v="33.380000000000003"/>
    <n v="4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0172"/>
    <s v="Kasai-Central"/>
    <n v="15"/>
    <s v="Pro Monde"/>
    <x v="84"/>
    <x v="84"/>
    <n v="77.12"/>
    <n v="1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0675"/>
    <s v="Kasai-Central"/>
    <n v="114"/>
    <s v="Premium 5G 150Go"/>
    <x v="85"/>
    <x v="85"/>
    <n v="29.15"/>
    <n v="3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0744"/>
    <s v="Kasai-Central"/>
    <n v="84"/>
    <s v="Bloqué 5Go"/>
    <x v="86"/>
    <x v="86"/>
    <n v="36.200000000000003"/>
    <n v="3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1466"/>
    <s v="Kasai-Central"/>
    <n v="110"/>
    <s v="Premium 5G 150Go"/>
    <x v="87"/>
    <x v="87"/>
    <n v="56.59"/>
    <n v="5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1515"/>
    <s v="Kasai-Central"/>
    <n v="64"/>
    <s v="Pro Monde"/>
    <x v="88"/>
    <x v="88"/>
    <n v="28.11"/>
    <n v="2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1757"/>
    <s v="Kasai-Central"/>
    <n v="104"/>
    <s v="Pro Monde"/>
    <x v="86"/>
    <x v="86"/>
    <n v="79.150000000000006"/>
    <n v="1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0431"/>
    <s v="Kasai-Central"/>
    <n v="60"/>
    <s v="Pro Monde"/>
    <x v="89"/>
    <x v="89"/>
    <n v="71.72"/>
    <n v="3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1973"/>
    <s v="Kasai-Central"/>
    <n v="23"/>
    <s v="Pro Monde"/>
    <x v="18"/>
    <x v="18"/>
    <n v="46.3"/>
    <n v="1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1775"/>
    <s v="Kasai-Central"/>
    <n v="118"/>
    <s v="Bloqué 5Go"/>
    <x v="88"/>
    <x v="88"/>
    <n v="98.22"/>
    <n v="4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1689"/>
    <s v="Kasai-Central"/>
    <n v="55"/>
    <s v="Premium 5G 150Go"/>
    <x v="90"/>
    <x v="90"/>
    <n v="26.8"/>
    <n v="4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0267"/>
    <s v="Kasai-Central"/>
    <n v="11"/>
    <s v="Bloqué 5Go"/>
    <x v="91"/>
    <x v="91"/>
    <n v="76.53"/>
    <n v="5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1472"/>
    <s v="Kasai-Central"/>
    <n v="55"/>
    <s v="Pro Monde"/>
    <x v="92"/>
    <x v="92"/>
    <n v="67.430000000000007"/>
    <n v="3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0892"/>
    <s v="Kasai-Central"/>
    <n v="32"/>
    <s v="Pro Monde"/>
    <x v="17"/>
    <x v="17"/>
    <n v="39"/>
    <n v="0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0273"/>
    <s v="Kasai-Central"/>
    <n v="19"/>
    <s v="Illimité 50Go"/>
    <x v="89"/>
    <x v="89"/>
    <n v="96.91"/>
    <n v="1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1920"/>
    <s v="Kasai-Central"/>
    <n v="49"/>
    <s v="Pro Monde"/>
    <x v="93"/>
    <x v="93"/>
    <n v="53.94"/>
    <n v="5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0809"/>
    <s v="Kasai-Central"/>
    <n v="68"/>
    <s v="Pro Monde"/>
    <x v="94"/>
    <x v="94"/>
    <n v="41.91"/>
    <n v="1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0541"/>
    <s v="Kasai-Central"/>
    <n v="36"/>
    <s v="Bloqué 5Go"/>
    <x v="95"/>
    <x v="95"/>
    <n v="89.56"/>
    <n v="1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1959"/>
    <s v="Kasai-Central"/>
    <n v="7"/>
    <s v="Pro Monde"/>
    <x v="81"/>
    <x v="81"/>
    <n v="33.04"/>
    <n v="5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1721"/>
    <s v="Kasai-Central"/>
    <n v="56"/>
    <s v="Bloqué 5Go"/>
    <x v="96"/>
    <x v="96"/>
    <n v="64.39"/>
    <n v="1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0238"/>
    <s v="Kasai-Central"/>
    <n v="43"/>
    <s v="Bloqué 5Go"/>
    <x v="97"/>
    <x v="97"/>
    <n v="66.680000000000007"/>
    <n v="5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0865"/>
    <s v="Mongala"/>
    <n v="34"/>
    <s v="Pro Monde"/>
    <x v="55"/>
    <x v="55"/>
    <n v="56.84"/>
    <n v="0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0754"/>
    <s v="Mongala"/>
    <n v="42"/>
    <s v="Illimité 50Go"/>
    <x v="98"/>
    <x v="98"/>
    <n v="69.19"/>
    <n v="4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1571"/>
    <s v="Mongala"/>
    <n v="64"/>
    <s v="Pro Monde"/>
    <x v="99"/>
    <x v="99"/>
    <n v="95.74"/>
    <n v="1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1723"/>
    <s v="Mongala"/>
    <n v="26"/>
    <s v="Bloqué 5Go"/>
    <x v="100"/>
    <x v="100"/>
    <n v="90.53"/>
    <n v="3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0324"/>
    <s v="Mongala"/>
    <n v="18"/>
    <s v="Illimité 50Go"/>
    <x v="101"/>
    <x v="101"/>
    <n v="43.71"/>
    <n v="1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1835"/>
    <s v="Mongala"/>
    <n v="76"/>
    <s v="Bloqué 5Go"/>
    <x v="102"/>
    <x v="102"/>
    <n v="68.53"/>
    <n v="0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1688"/>
    <s v="Mongala"/>
    <n v="102"/>
    <s v="Bloqué 5Go"/>
    <x v="103"/>
    <x v="103"/>
    <n v="34.64"/>
    <n v="2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1623"/>
    <s v="Mongala"/>
    <n v="51"/>
    <s v="Premium 5G 150Go"/>
    <x v="104"/>
    <x v="104"/>
    <n v="18.95"/>
    <n v="4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0299"/>
    <s v="Mongala"/>
    <n v="2"/>
    <s v="Pro Monde"/>
    <x v="105"/>
    <x v="105"/>
    <n v="15.71"/>
    <n v="3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1141"/>
    <s v="Mongala"/>
    <n v="117"/>
    <s v="Illimité 50Go"/>
    <x v="106"/>
    <x v="106"/>
    <n v="29.18"/>
    <n v="5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0011"/>
    <s v="Mongala"/>
    <n v="49"/>
    <s v="Illimité 50Go"/>
    <x v="11"/>
    <x v="11"/>
    <n v="65.400000000000006"/>
    <n v="2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1270"/>
    <s v="Mongala"/>
    <n v="119"/>
    <s v="Pro Monde"/>
    <x v="107"/>
    <x v="107"/>
    <n v="10.46"/>
    <n v="5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0620"/>
    <s v="Mongala"/>
    <n v="23"/>
    <s v="Premium 5G 150Go"/>
    <x v="81"/>
    <x v="81"/>
    <n v="26.75"/>
    <n v="3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0085"/>
    <s v="Mongala"/>
    <n v="106"/>
    <s v="Pro Monde"/>
    <x v="108"/>
    <x v="108"/>
    <n v="23.83"/>
    <n v="1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1532"/>
    <s v="Mongala"/>
    <n v="95"/>
    <s v="Premium 5G 150Go"/>
    <x v="109"/>
    <x v="109"/>
    <n v="76.95"/>
    <n v="5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0902"/>
    <s v="Mongala"/>
    <n v="96"/>
    <s v="Illimité 50Go"/>
    <x v="110"/>
    <x v="110"/>
    <n v="69.16"/>
    <n v="4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0109"/>
    <s v="Mongala"/>
    <n v="42"/>
    <s v="Bloqué 5Go"/>
    <x v="111"/>
    <x v="111"/>
    <n v="88.12"/>
    <n v="0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0938"/>
    <s v="Mongala"/>
    <n v="99"/>
    <s v="Pro Monde"/>
    <x v="112"/>
    <x v="112"/>
    <n v="54.64"/>
    <n v="5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1536"/>
    <s v="Mongala"/>
    <n v="87"/>
    <s v="Premium 5G 150Go"/>
    <x v="34"/>
    <x v="34"/>
    <n v="12.89"/>
    <n v="0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0583"/>
    <s v="Mongala"/>
    <n v="104"/>
    <s v="Pro Monde"/>
    <x v="113"/>
    <x v="113"/>
    <n v="29.7"/>
    <n v="2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0666"/>
    <s v="Mongala"/>
    <n v="120"/>
    <s v="Bloqué 5Go"/>
    <x v="62"/>
    <x v="62"/>
    <n v="24.46"/>
    <n v="3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1979"/>
    <s v="Mongala"/>
    <n v="10"/>
    <s v="Pro Monde"/>
    <x v="114"/>
    <x v="114"/>
    <n v="70.12"/>
    <n v="0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0611"/>
    <s v="Kinshasa"/>
    <n v="79"/>
    <s v="Premium 5G 150Go"/>
    <x v="115"/>
    <x v="115"/>
    <n v="94.38"/>
    <n v="3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0516"/>
    <s v="Kinshasa"/>
    <n v="80"/>
    <s v="Bloqué 5Go"/>
    <x v="116"/>
    <x v="116"/>
    <n v="65.87"/>
    <n v="3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0799"/>
    <s v="Kinshasa"/>
    <n v="83"/>
    <s v="Illimité 50Go"/>
    <x v="117"/>
    <x v="117"/>
    <n v="58.07"/>
    <n v="3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0974"/>
    <s v="Kinshasa"/>
    <n v="7"/>
    <s v="Premium 5G 150Go"/>
    <x v="86"/>
    <x v="86"/>
    <n v="97.32"/>
    <n v="1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0796"/>
    <s v="Kinshasa"/>
    <n v="95"/>
    <s v="Pro Monde"/>
    <x v="118"/>
    <x v="118"/>
    <n v="82.65"/>
    <n v="2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1169"/>
    <s v="Kinshasa"/>
    <n v="114"/>
    <s v="Bloqué 5Go"/>
    <x v="119"/>
    <x v="119"/>
    <n v="40.29"/>
    <n v="5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1929"/>
    <s v="Kinshasa"/>
    <n v="32"/>
    <s v="Illimité 50Go"/>
    <x v="54"/>
    <x v="54"/>
    <n v="67.040000000000006"/>
    <n v="1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0930"/>
    <s v="Kinshasa"/>
    <n v="62"/>
    <s v="Illimité 50Go"/>
    <x v="120"/>
    <x v="120"/>
    <n v="88.61"/>
    <n v="2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1508"/>
    <s v="Kinshasa"/>
    <n v="40"/>
    <s v="Premium 5G 150Go"/>
    <x v="121"/>
    <x v="121"/>
    <n v="24.51"/>
    <n v="1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0184"/>
    <s v="Kinshasa"/>
    <n v="71"/>
    <s v="Premium 5G 150Go"/>
    <x v="122"/>
    <x v="122"/>
    <n v="83.04"/>
    <n v="4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0957"/>
    <s v="Kinshasa"/>
    <n v="63"/>
    <s v="Pro Monde"/>
    <x v="123"/>
    <x v="123"/>
    <n v="39.18"/>
    <n v="2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1154"/>
    <s v="Kinshasa"/>
    <n v="115"/>
    <s v="Pro Monde"/>
    <x v="124"/>
    <x v="124"/>
    <n v="10.98"/>
    <n v="0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0853"/>
    <s v="Kinshasa"/>
    <n v="14"/>
    <s v="Illimité 50Go"/>
    <x v="70"/>
    <x v="70"/>
    <n v="48.13"/>
    <n v="2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1893"/>
    <s v="Kinshasa"/>
    <n v="118"/>
    <s v="Pro Monde"/>
    <x v="125"/>
    <x v="125"/>
    <n v="97.58"/>
    <n v="3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325"/>
    <s v="Haut-Lomami"/>
    <n v="44"/>
    <s v="Bloqué 5Go"/>
    <x v="126"/>
    <x v="126"/>
    <n v="58.67"/>
    <n v="0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646"/>
    <s v="Haut-Lomami"/>
    <n v="20"/>
    <s v="Illimité 50Go"/>
    <x v="17"/>
    <x v="17"/>
    <n v="84.9"/>
    <n v="3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197"/>
    <s v="Haut-Lomami"/>
    <n v="95"/>
    <s v="Bloqué 5Go"/>
    <x v="127"/>
    <x v="127"/>
    <n v="35.32"/>
    <n v="0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768"/>
    <s v="Haut-Lomami"/>
    <n v="72"/>
    <s v="Pro Monde"/>
    <x v="51"/>
    <x v="51"/>
    <n v="34.57"/>
    <n v="2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637"/>
    <s v="Haut-Lomami"/>
    <n v="67"/>
    <s v="Pro Monde"/>
    <x v="128"/>
    <x v="128"/>
    <n v="27.04"/>
    <n v="1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309"/>
    <s v="Haut-Lomami"/>
    <n v="69"/>
    <s v="Pro Monde"/>
    <x v="129"/>
    <x v="129"/>
    <n v="19.440000000000001"/>
    <n v="0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096"/>
    <s v="Haut-Lomami"/>
    <n v="11"/>
    <s v="Bloqué 5Go"/>
    <x v="130"/>
    <x v="130"/>
    <n v="51.99"/>
    <n v="1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839"/>
    <s v="Haut-Lomami"/>
    <n v="114"/>
    <s v="Premium 5G 150Go"/>
    <x v="131"/>
    <x v="131"/>
    <n v="16.25"/>
    <n v="3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0377"/>
    <s v="Haut-Lomami"/>
    <n v="96"/>
    <s v="Premium 5G 150Go"/>
    <x v="89"/>
    <x v="89"/>
    <n v="64.77"/>
    <n v="0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330"/>
    <s v="Haut-Lomami"/>
    <n v="60"/>
    <s v="Bloqué 5Go"/>
    <x v="1"/>
    <x v="1"/>
    <n v="63.83"/>
    <n v="2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563"/>
    <s v="Haut-Lomami"/>
    <n v="9"/>
    <s v="Pro Monde"/>
    <x v="132"/>
    <x v="132"/>
    <n v="95.13"/>
    <n v="1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0849"/>
    <s v="Haut-Lomami"/>
    <n v="63"/>
    <s v="Illimité 50Go"/>
    <x v="118"/>
    <x v="118"/>
    <n v="56.81"/>
    <n v="0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749"/>
    <s v="Haut-Lomami"/>
    <n v="33"/>
    <s v="Premium 5G 150Go"/>
    <x v="133"/>
    <x v="133"/>
    <n v="10.28"/>
    <n v="5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380"/>
    <s v="Haut-Lomami"/>
    <n v="118"/>
    <s v="Illimité 50Go"/>
    <x v="134"/>
    <x v="134"/>
    <n v="76.22"/>
    <n v="2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013"/>
    <s v="Haut-Lomami"/>
    <n v="105"/>
    <s v="Illimité 50Go"/>
    <x v="135"/>
    <x v="135"/>
    <n v="71.010000000000005"/>
    <n v="1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602"/>
    <s v="Haut-Lomami"/>
    <n v="69"/>
    <s v="Premium 5G 150Go"/>
    <x v="136"/>
    <x v="136"/>
    <n v="34.770000000000003"/>
    <n v="0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0388"/>
    <s v="Haut-Lomami"/>
    <n v="78"/>
    <s v="Premium 5G 150Go"/>
    <x v="137"/>
    <x v="137"/>
    <n v="53.58"/>
    <n v="5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0857"/>
    <s v="Haut-Lomami"/>
    <n v="76"/>
    <s v="Illimité 50Go"/>
    <x v="59"/>
    <x v="59"/>
    <n v="68.010000000000005"/>
    <n v="4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0370"/>
    <s v="Haut-Lomami"/>
    <n v="29"/>
    <s v="Bloqué 5Go"/>
    <x v="98"/>
    <x v="98"/>
    <n v="49.03"/>
    <n v="3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0022"/>
    <s v="Haut-Lomami"/>
    <n v="77"/>
    <s v="Premium 5G 150Go"/>
    <x v="138"/>
    <x v="138"/>
    <n v="21.17"/>
    <n v="0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0663"/>
    <s v="Haut-Lomami"/>
    <n v="96"/>
    <s v="Illimité 50Go"/>
    <x v="139"/>
    <x v="139"/>
    <n v="90.78"/>
    <n v="2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917"/>
    <s v="Haut-Lomami"/>
    <n v="41"/>
    <s v="Bloqué 5Go"/>
    <x v="140"/>
    <x v="140"/>
    <n v="28.56"/>
    <n v="2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0520"/>
    <s v="Haut-Lomami"/>
    <n v="14"/>
    <s v="Pro Monde"/>
    <x v="141"/>
    <x v="141"/>
    <n v="39.57"/>
    <n v="3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823"/>
    <s v="Haut-Lomami"/>
    <n v="7"/>
    <s v="Bloqué 5Go"/>
    <x v="142"/>
    <x v="142"/>
    <n v="10.94"/>
    <n v="0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598"/>
    <s v="Haut-Lomami"/>
    <n v="46"/>
    <s v="Pro Monde"/>
    <x v="143"/>
    <x v="143"/>
    <n v="63.74"/>
    <n v="4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0569"/>
    <s v="Kwango"/>
    <n v="110"/>
    <s v="Pro Monde"/>
    <x v="144"/>
    <x v="144"/>
    <n v="37.35"/>
    <n v="4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1814"/>
    <s v="Kwango"/>
    <n v="22"/>
    <s v="Illimité 50Go"/>
    <x v="107"/>
    <x v="107"/>
    <n v="76.38"/>
    <n v="3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1950"/>
    <s v="Kwango"/>
    <n v="91"/>
    <s v="Premium 5G 150Go"/>
    <x v="145"/>
    <x v="145"/>
    <n v="84.74"/>
    <n v="1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1435"/>
    <s v="Kwango"/>
    <n v="58"/>
    <s v="Bloqué 5Go"/>
    <x v="146"/>
    <x v="146"/>
    <n v="88.85"/>
    <n v="5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1933"/>
    <s v="Kwango"/>
    <n v="97"/>
    <s v="Premium 5G 150Go"/>
    <x v="147"/>
    <x v="147"/>
    <n v="10.87"/>
    <n v="4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1431"/>
    <s v="Kwango"/>
    <n v="49"/>
    <s v="Premium 5G 150Go"/>
    <x v="148"/>
    <x v="148"/>
    <n v="96.67"/>
    <n v="3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1234"/>
    <s v="Kwango"/>
    <n v="33"/>
    <s v="Premium 5G 150Go"/>
    <x v="149"/>
    <x v="149"/>
    <n v="56.67"/>
    <n v="2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1573"/>
    <s v="Kwango"/>
    <n v="60"/>
    <s v="Illimité 50Go"/>
    <x v="150"/>
    <x v="150"/>
    <n v="13.41"/>
    <n v="5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0925"/>
    <s v="Kwango"/>
    <n v="61"/>
    <s v="Illimité 50Go"/>
    <x v="151"/>
    <x v="151"/>
    <n v="68.319999999999993"/>
    <n v="2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1144"/>
    <s v="Kwango"/>
    <n v="50"/>
    <s v="Illimité 50Go"/>
    <x v="23"/>
    <x v="23"/>
    <n v="31.56"/>
    <n v="5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1885"/>
    <s v="Kwango"/>
    <n v="90"/>
    <s v="Pro Monde"/>
    <x v="152"/>
    <x v="152"/>
    <n v="71.760000000000005"/>
    <n v="1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0590"/>
    <s v="Kwango"/>
    <n v="109"/>
    <s v="Illimité 50Go"/>
    <x v="153"/>
    <x v="153"/>
    <n v="43.06"/>
    <n v="4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0442"/>
    <s v="Kwango"/>
    <n v="120"/>
    <s v="Illimité 50Go"/>
    <x v="154"/>
    <x v="154"/>
    <n v="61.54"/>
    <n v="1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1402"/>
    <s v="Kwango"/>
    <n v="64"/>
    <s v="Bloqué 5Go"/>
    <x v="155"/>
    <x v="155"/>
    <n v="56.7"/>
    <n v="0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0939"/>
    <s v="Kwango"/>
    <n v="59"/>
    <s v="Premium 5G 150Go"/>
    <x v="156"/>
    <x v="156"/>
    <n v="74.239999999999995"/>
    <n v="0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0481"/>
    <s v="Kwango"/>
    <n v="19"/>
    <s v="Illimité 50Go"/>
    <x v="157"/>
    <x v="157"/>
    <n v="37.43"/>
    <n v="2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0094"/>
    <s v="Kwango"/>
    <n v="29"/>
    <s v="Pro Monde"/>
    <x v="158"/>
    <x v="158"/>
    <n v="42.02"/>
    <n v="1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1087"/>
    <s v="Kwango"/>
    <n v="13"/>
    <s v="Pro Monde"/>
    <x v="98"/>
    <x v="98"/>
    <n v="85.54"/>
    <n v="3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1023"/>
    <s v="Kwango"/>
    <n v="45"/>
    <s v="Bloqué 5Go"/>
    <x v="159"/>
    <x v="159"/>
    <n v="13.62"/>
    <n v="4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1014"/>
    <s v="Kwango"/>
    <n v="39"/>
    <s v="Illimité 50Go"/>
    <x v="160"/>
    <x v="160"/>
    <n v="87.24"/>
    <n v="4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0983"/>
    <s v="Kwango"/>
    <n v="50"/>
    <s v="Illimité 50Go"/>
    <x v="148"/>
    <x v="148"/>
    <n v="17"/>
    <n v="3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1348"/>
    <s v="Kwango"/>
    <n v="62"/>
    <s v="Illimité 50Go"/>
    <x v="39"/>
    <x v="39"/>
    <n v="58.74"/>
    <n v="1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1855"/>
    <s v="Sud-Kivu"/>
    <n v="101"/>
    <s v="Illimité 50Go"/>
    <x v="161"/>
    <x v="161"/>
    <n v="29.24"/>
    <n v="3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1776"/>
    <s v="Sud-Kivu"/>
    <n v="79"/>
    <s v="Bloqué 5Go"/>
    <x v="148"/>
    <x v="148"/>
    <n v="69.900000000000006"/>
    <n v="5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1845"/>
    <s v="Sud-Kivu"/>
    <n v="110"/>
    <s v="Illimité 50Go"/>
    <x v="162"/>
    <x v="162"/>
    <n v="31.05"/>
    <n v="1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0230"/>
    <s v="Sud-Kivu"/>
    <n v="59"/>
    <s v="Illimité 50Go"/>
    <x v="102"/>
    <x v="102"/>
    <n v="86.17"/>
    <n v="1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1361"/>
    <s v="Sud-Kivu"/>
    <n v="94"/>
    <s v="Illimité 50Go"/>
    <x v="163"/>
    <x v="163"/>
    <n v="95.74"/>
    <n v="5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1189"/>
    <s v="Sud-Kivu"/>
    <n v="12"/>
    <s v="Pro Monde"/>
    <x v="164"/>
    <x v="164"/>
    <n v="59.96"/>
    <n v="3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1524"/>
    <s v="Sud-Kivu"/>
    <n v="22"/>
    <s v="Illimité 50Go"/>
    <x v="165"/>
    <x v="165"/>
    <n v="72.86"/>
    <n v="3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0973"/>
    <s v="Sud-Kivu"/>
    <n v="72"/>
    <s v="Premium 5G 150Go"/>
    <x v="166"/>
    <x v="166"/>
    <n v="68.650000000000006"/>
    <n v="0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1294"/>
    <s v="Sud-Kivu"/>
    <n v="68"/>
    <s v="Premium 5G 150Go"/>
    <x v="167"/>
    <x v="167"/>
    <n v="12.09"/>
    <n v="3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0655"/>
    <s v="Sud-Kivu"/>
    <n v="18"/>
    <s v="Bloqué 5Go"/>
    <x v="79"/>
    <x v="79"/>
    <n v="97.98"/>
    <n v="1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0243"/>
    <s v="Sud-Kivu"/>
    <n v="47"/>
    <s v="Illimité 50Go"/>
    <x v="168"/>
    <x v="168"/>
    <n v="31.02"/>
    <n v="5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1407"/>
    <s v="Sud-Kivu"/>
    <n v="103"/>
    <s v="Premium 5G 150Go"/>
    <x v="169"/>
    <x v="169"/>
    <n v="26.19"/>
    <n v="4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0760"/>
    <s v="Sud-Kivu"/>
    <n v="113"/>
    <s v="Premium 5G 150Go"/>
    <x v="170"/>
    <x v="170"/>
    <n v="54.28"/>
    <n v="0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0054"/>
    <s v="Sud-Kivu"/>
    <n v="34"/>
    <s v="Bloqué 5Go"/>
    <x v="171"/>
    <x v="171"/>
    <n v="65.709999999999994"/>
    <n v="5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1351"/>
    <s v="Sud-Kivu"/>
    <n v="19"/>
    <s v="Premium 5G 150Go"/>
    <x v="75"/>
    <x v="75"/>
    <n v="19.760000000000002"/>
    <n v="3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1766"/>
    <s v="Sud-Kivu"/>
    <n v="101"/>
    <s v="Pro Monde"/>
    <x v="74"/>
    <x v="74"/>
    <n v="35.4"/>
    <n v="1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0492"/>
    <s v="Sud-Kivu"/>
    <n v="113"/>
    <s v="Pro Monde"/>
    <x v="172"/>
    <x v="172"/>
    <n v="51.28"/>
    <n v="4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0131"/>
    <s v="Lomami"/>
    <n v="101"/>
    <s v="Pro Monde"/>
    <x v="0"/>
    <x v="0"/>
    <n v="86"/>
    <n v="3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0505"/>
    <s v="Lomami"/>
    <n v="59"/>
    <s v="Bloqué 5Go"/>
    <x v="173"/>
    <x v="173"/>
    <n v="62.53"/>
    <n v="0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0044"/>
    <s v="Lomami"/>
    <n v="53"/>
    <s v="Illimité 50Go"/>
    <x v="141"/>
    <x v="141"/>
    <n v="83.73"/>
    <n v="0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1850"/>
    <s v="Lomami"/>
    <n v="1"/>
    <s v="Pro Monde"/>
    <x v="174"/>
    <x v="174"/>
    <n v="54.63"/>
    <n v="3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0485"/>
    <s v="Lomami"/>
    <n v="74"/>
    <s v="Pro Monde"/>
    <x v="175"/>
    <x v="175"/>
    <n v="53.27"/>
    <n v="3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1470"/>
    <s v="Lomami"/>
    <n v="111"/>
    <s v="Premium 5G 150Go"/>
    <x v="26"/>
    <x v="26"/>
    <n v="19.39"/>
    <n v="3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0227"/>
    <s v="Lomami"/>
    <n v="118"/>
    <s v="Pro Monde"/>
    <x v="176"/>
    <x v="176"/>
    <n v="15.39"/>
    <n v="1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1638"/>
    <s v="Lomami"/>
    <n v="23"/>
    <s v="Pro Monde"/>
    <x v="177"/>
    <x v="177"/>
    <n v="71.86"/>
    <n v="3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1437"/>
    <s v="Lomami"/>
    <n v="117"/>
    <s v="Bloqué 5Go"/>
    <x v="178"/>
    <x v="178"/>
    <n v="46.16"/>
    <n v="3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0509"/>
    <s v="Lomami"/>
    <n v="38"/>
    <s v="Premium 5G 150Go"/>
    <x v="12"/>
    <x v="12"/>
    <n v="58.28"/>
    <n v="4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0150"/>
    <s v="Lomami"/>
    <n v="12"/>
    <s v="Pro Monde"/>
    <x v="113"/>
    <x v="113"/>
    <n v="36.93"/>
    <n v="0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1822"/>
    <s v="Lomami"/>
    <n v="112"/>
    <s v="Illimité 50Go"/>
    <x v="179"/>
    <x v="179"/>
    <n v="93.98"/>
    <n v="0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1034"/>
    <s v="Lomami"/>
    <n v="101"/>
    <s v="Premium 5G 150Go"/>
    <x v="180"/>
    <x v="180"/>
    <n v="41.85"/>
    <n v="4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0887"/>
    <s v="Lomami"/>
    <n v="115"/>
    <s v="Illimité 50Go"/>
    <x v="145"/>
    <x v="145"/>
    <n v="24.57"/>
    <n v="3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0881"/>
    <s v="Lomami"/>
    <n v="7"/>
    <s v="Illimité 50Go"/>
    <x v="181"/>
    <x v="181"/>
    <n v="68.38"/>
    <n v="3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0964"/>
    <s v="Lomami"/>
    <n v="13"/>
    <s v="Pro Monde"/>
    <x v="151"/>
    <x v="151"/>
    <n v="66.36"/>
    <n v="0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0345"/>
    <s v="Lomami"/>
    <n v="24"/>
    <s v="Bloqué 5Go"/>
    <x v="182"/>
    <x v="182"/>
    <n v="89.3"/>
    <n v="2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076"/>
    <s v="Haut-Katanga"/>
    <n v="46"/>
    <s v="Premium 5G 150Go"/>
    <x v="85"/>
    <x v="85"/>
    <n v="56.05"/>
    <n v="1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327"/>
    <s v="Haut-Katanga"/>
    <n v="6"/>
    <s v="Illimité 50Go"/>
    <x v="110"/>
    <x v="110"/>
    <n v="40.659999999999997"/>
    <n v="1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603"/>
    <s v="Haut-Katanga"/>
    <n v="57"/>
    <s v="Illimité 50Go"/>
    <x v="183"/>
    <x v="183"/>
    <n v="50.39"/>
    <n v="5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347"/>
    <s v="Haut-Katanga"/>
    <n v="14"/>
    <s v="Pro Monde"/>
    <x v="184"/>
    <x v="184"/>
    <n v="43.99"/>
    <n v="1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017"/>
    <s v="Haut-Katanga"/>
    <n v="53"/>
    <s v="Pro Monde"/>
    <x v="185"/>
    <x v="185"/>
    <n v="68.78"/>
    <n v="3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488"/>
    <s v="Haut-Katanga"/>
    <n v="116"/>
    <s v="Pro Monde"/>
    <x v="136"/>
    <x v="136"/>
    <n v="92.96"/>
    <n v="5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901"/>
    <s v="Haut-Katanga"/>
    <n v="83"/>
    <s v="Bloqué 5Go"/>
    <x v="186"/>
    <x v="186"/>
    <n v="67.17"/>
    <n v="1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433"/>
    <s v="Haut-Katanga"/>
    <n v="87"/>
    <s v="Pro Monde"/>
    <x v="187"/>
    <x v="187"/>
    <n v="22.39"/>
    <n v="3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967"/>
    <s v="Haut-Katanga"/>
    <n v="113"/>
    <s v="Premium 5G 150Go"/>
    <x v="188"/>
    <x v="188"/>
    <n v="29.18"/>
    <n v="2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610"/>
    <s v="Haut-Katanga"/>
    <n v="67"/>
    <s v="Premium 5G 150Go"/>
    <x v="189"/>
    <x v="189"/>
    <n v="47.72"/>
    <n v="0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597"/>
    <s v="Haut-Katanga"/>
    <n v="84"/>
    <s v="Premium 5G 150Go"/>
    <x v="190"/>
    <x v="190"/>
    <n v="58.1"/>
    <n v="3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682"/>
    <s v="Haut-Katanga"/>
    <n v="58"/>
    <s v="Bloqué 5Go"/>
    <x v="191"/>
    <x v="191"/>
    <n v="18.39"/>
    <n v="0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535"/>
    <s v="Haut-Katanga"/>
    <n v="74"/>
    <s v="Premium 5G 150Go"/>
    <x v="21"/>
    <x v="21"/>
    <n v="35.54"/>
    <n v="3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136"/>
    <s v="Haut-Katanga"/>
    <n v="120"/>
    <s v="Illimité 50Go"/>
    <x v="192"/>
    <x v="192"/>
    <n v="69.36"/>
    <n v="0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424"/>
    <s v="Haut-Katanga"/>
    <n v="60"/>
    <s v="Illimité 50Go"/>
    <x v="193"/>
    <x v="193"/>
    <n v="67.180000000000007"/>
    <n v="3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773"/>
    <s v="Haut-Katanga"/>
    <n v="10"/>
    <s v="Bloqué 5Go"/>
    <x v="194"/>
    <x v="194"/>
    <n v="78.12"/>
    <n v="4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529"/>
    <s v="Haut-Katanga"/>
    <n v="50"/>
    <s v="Pro Monde"/>
    <x v="195"/>
    <x v="195"/>
    <n v="20.8"/>
    <n v="2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059"/>
    <s v="Haut-Katanga"/>
    <n v="69"/>
    <s v="Pro Monde"/>
    <x v="6"/>
    <x v="6"/>
    <n v="91.8"/>
    <n v="5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844"/>
    <s v="Haut-Katanga"/>
    <n v="41"/>
    <s v="Pro Monde"/>
    <x v="196"/>
    <x v="196"/>
    <n v="83.16"/>
    <n v="2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695"/>
    <s v="Haut-Katanga"/>
    <n v="74"/>
    <s v="Illimité 50Go"/>
    <x v="197"/>
    <x v="197"/>
    <n v="36.94"/>
    <n v="5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893"/>
    <s v="Haut-Katanga"/>
    <n v="54"/>
    <s v="Bloqué 5Go"/>
    <x v="157"/>
    <x v="157"/>
    <n v="90.85"/>
    <n v="1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338"/>
    <s v="Haut-Katanga"/>
    <n v="32"/>
    <s v="Illimité 50Go"/>
    <x v="198"/>
    <x v="198"/>
    <n v="36.54"/>
    <n v="3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190"/>
    <s v="Haut-Katanga"/>
    <n v="34"/>
    <s v="Bloqué 5Go"/>
    <x v="199"/>
    <x v="199"/>
    <n v="76.86"/>
    <n v="1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0414"/>
    <s v="Bas-Uele"/>
    <n v="99"/>
    <s v="Premium 5G 150Go"/>
    <x v="200"/>
    <x v="200"/>
    <n v="38.1"/>
    <n v="3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1128"/>
    <s v="Bas-Uele"/>
    <n v="112"/>
    <s v="Premium 5G 150Go"/>
    <x v="53"/>
    <x v="53"/>
    <n v="55.47"/>
    <n v="4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1480"/>
    <s v="Bas-Uele"/>
    <n v="7"/>
    <s v="Premium 5G 150Go"/>
    <x v="196"/>
    <x v="196"/>
    <n v="78.09"/>
    <n v="3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0114"/>
    <s v="Bas-Uele"/>
    <n v="59"/>
    <s v="Illimité 50Go"/>
    <x v="162"/>
    <x v="162"/>
    <n v="10.47"/>
    <n v="5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1076"/>
    <s v="Bas-Uele"/>
    <n v="86"/>
    <s v="Pro Monde"/>
    <x v="201"/>
    <x v="201"/>
    <n v="96.5"/>
    <n v="5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1510"/>
    <s v="Bas-Uele"/>
    <n v="36"/>
    <s v="Bloqué 5Go"/>
    <x v="202"/>
    <x v="202"/>
    <n v="24.53"/>
    <n v="2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0447"/>
    <s v="Bas-Uele"/>
    <n v="81"/>
    <s v="Premium 5G 150Go"/>
    <x v="27"/>
    <x v="27"/>
    <n v="89.05"/>
    <n v="0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0521"/>
    <s v="Bas-Uele"/>
    <n v="83"/>
    <s v="Premium 5G 150Go"/>
    <x v="203"/>
    <x v="203"/>
    <n v="73.7"/>
    <n v="0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0868"/>
    <s v="Bas-Uele"/>
    <n v="88"/>
    <s v="Illimité 50Go"/>
    <x v="204"/>
    <x v="204"/>
    <n v="56.18"/>
    <n v="0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1986"/>
    <s v="Bas-Uele"/>
    <n v="1"/>
    <s v="Bloqué 5Go"/>
    <x v="121"/>
    <x v="121"/>
    <n v="58.7"/>
    <n v="4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1241"/>
    <s v="Bas-Uele"/>
    <n v="88"/>
    <s v="Premium 5G 150Go"/>
    <x v="56"/>
    <x v="56"/>
    <n v="40.94"/>
    <n v="2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0206"/>
    <s v="Bas-Uele"/>
    <n v="40"/>
    <s v="Illimité 50Go"/>
    <x v="3"/>
    <x v="3"/>
    <n v="53.98"/>
    <n v="2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1037"/>
    <s v="Bas-Uele"/>
    <n v="21"/>
    <s v="Illimité 50Go"/>
    <x v="57"/>
    <x v="57"/>
    <n v="30.97"/>
    <n v="4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1735"/>
    <s v="Bas-Uele"/>
    <n v="71"/>
    <s v="Bloqué 5Go"/>
    <x v="50"/>
    <x v="50"/>
    <n v="39.58"/>
    <n v="1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1732"/>
    <s v="Bas-Uele"/>
    <n v="48"/>
    <s v="Illimité 50Go"/>
    <x v="205"/>
    <x v="205"/>
    <n v="50.67"/>
    <n v="1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0029"/>
    <s v="Bas-Uele"/>
    <n v="119"/>
    <s v="Pro Monde"/>
    <x v="206"/>
    <x v="206"/>
    <n v="10.28"/>
    <n v="0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1740"/>
    <s v="Bas-Uele"/>
    <n v="81"/>
    <s v="Pro Monde"/>
    <x v="207"/>
    <x v="207"/>
    <n v="53.61"/>
    <n v="2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0546"/>
    <s v="Bas-Uele"/>
    <n v="25"/>
    <s v="Pro Monde"/>
    <x v="208"/>
    <x v="208"/>
    <n v="68.790000000000006"/>
    <n v="0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1059"/>
    <s v="Bas-Uele"/>
    <n v="45"/>
    <s v="Illimité 50Go"/>
    <x v="34"/>
    <x v="34"/>
    <n v="33.76"/>
    <n v="0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0254"/>
    <s v="Bas-Uele"/>
    <n v="95"/>
    <s v="Pro Monde"/>
    <x v="209"/>
    <x v="209"/>
    <n v="94.9"/>
    <n v="4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1662"/>
    <s v="Bas-Uele"/>
    <n v="120"/>
    <s v="Premium 5G 150Go"/>
    <x v="14"/>
    <x v="14"/>
    <n v="67.77"/>
    <n v="4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0559"/>
    <s v="Kasai"/>
    <n v="99"/>
    <s v="Bloqué 5Go"/>
    <x v="39"/>
    <x v="39"/>
    <n v="67.209999999999994"/>
    <n v="3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1320"/>
    <s v="Kasai"/>
    <n v="78"/>
    <s v="Bloqué 5Go"/>
    <x v="210"/>
    <x v="210"/>
    <n v="85.74"/>
    <n v="2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0087"/>
    <s v="Kasai"/>
    <n v="14"/>
    <s v="Premium 5G 150Go"/>
    <x v="48"/>
    <x v="48"/>
    <n v="55.67"/>
    <n v="3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0834"/>
    <s v="Kasai"/>
    <n v="106"/>
    <s v="Bloqué 5Go"/>
    <x v="211"/>
    <x v="211"/>
    <n v="70.02"/>
    <n v="4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1972"/>
    <s v="Kasai"/>
    <n v="72"/>
    <s v="Bloqué 5Go"/>
    <x v="59"/>
    <x v="59"/>
    <n v="83.36"/>
    <n v="4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1705"/>
    <s v="Kasai"/>
    <n v="57"/>
    <s v="Bloqué 5Go"/>
    <x v="212"/>
    <x v="212"/>
    <n v="85.66"/>
    <n v="5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0072"/>
    <s v="Kasai"/>
    <n v="67"/>
    <s v="Illimité 50Go"/>
    <x v="213"/>
    <x v="213"/>
    <n v="97.89"/>
    <n v="1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0519"/>
    <s v="Kasai"/>
    <n v="7"/>
    <s v="Premium 5G 150Go"/>
    <x v="95"/>
    <x v="95"/>
    <n v="60.95"/>
    <n v="0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1494"/>
    <s v="Kasai"/>
    <n v="71"/>
    <s v="Premium 5G 150Go"/>
    <x v="205"/>
    <x v="205"/>
    <n v="25.46"/>
    <n v="5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0057"/>
    <s v="Kasai"/>
    <n v="4"/>
    <s v="Bloqué 5Go"/>
    <x v="214"/>
    <x v="214"/>
    <n v="89.56"/>
    <n v="4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1314"/>
    <s v="Kasai"/>
    <n v="89"/>
    <s v="Illimité 50Go"/>
    <x v="215"/>
    <x v="215"/>
    <n v="53.39"/>
    <n v="3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0279"/>
    <s v="Kasai"/>
    <n v="52"/>
    <s v="Pro Monde"/>
    <x v="216"/>
    <x v="216"/>
    <n v="62.87"/>
    <n v="0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0169"/>
    <s v="Kasai"/>
    <n v="91"/>
    <s v="Bloqué 5Go"/>
    <x v="217"/>
    <x v="217"/>
    <n v="65.78"/>
    <n v="4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0671"/>
    <s v="Kasai"/>
    <n v="13"/>
    <s v="Pro Monde"/>
    <x v="153"/>
    <x v="153"/>
    <n v="32.35"/>
    <n v="2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0537"/>
    <s v="Kasai"/>
    <n v="99"/>
    <s v="Pro Monde"/>
    <x v="218"/>
    <x v="218"/>
    <n v="88.35"/>
    <n v="4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0121"/>
    <s v="Kasai"/>
    <n v="43"/>
    <s v="Premium 5G 150Go"/>
    <x v="136"/>
    <x v="136"/>
    <n v="76.42"/>
    <n v="1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1880"/>
    <s v="Kasai"/>
    <n v="13"/>
    <s v="Bloqué 5Go"/>
    <x v="219"/>
    <x v="219"/>
    <n v="24.01"/>
    <n v="0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1139"/>
    <s v="Kasai"/>
    <n v="1"/>
    <s v="Premium 5G 150Go"/>
    <x v="220"/>
    <x v="220"/>
    <n v="35.17"/>
    <n v="1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0315"/>
    <s v="Kasai"/>
    <n v="20"/>
    <s v="Pro Monde"/>
    <x v="194"/>
    <x v="194"/>
    <n v="84.45"/>
    <n v="0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1344"/>
    <s v="Kasai"/>
    <n v="74"/>
    <s v="Illimité 50Go"/>
    <x v="221"/>
    <x v="221"/>
    <n v="37.82"/>
    <n v="5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0433"/>
    <s v="Kasai"/>
    <n v="36"/>
    <s v="Illimité 50Go"/>
    <x v="41"/>
    <x v="41"/>
    <n v="45.02"/>
    <n v="2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996"/>
    <s v="Kwilu"/>
    <n v="119"/>
    <s v="Illimité 50Go"/>
    <x v="222"/>
    <x v="222"/>
    <n v="94.72"/>
    <n v="3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932"/>
    <s v="Kwilu"/>
    <n v="112"/>
    <s v="Pro Monde"/>
    <x v="223"/>
    <x v="223"/>
    <n v="27.33"/>
    <n v="5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726"/>
    <s v="Kwilu"/>
    <n v="47"/>
    <s v="Bloqué 5Go"/>
    <x v="224"/>
    <x v="224"/>
    <n v="23.19"/>
    <n v="2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484"/>
    <s v="Kwilu"/>
    <n v="82"/>
    <s v="Bloqué 5Go"/>
    <x v="225"/>
    <x v="225"/>
    <n v="50.14"/>
    <n v="5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069"/>
    <s v="Kwilu"/>
    <n v="111"/>
    <s v="Premium 5G 150Go"/>
    <x v="226"/>
    <x v="226"/>
    <n v="32.06"/>
    <n v="0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651"/>
    <s v="Kwilu"/>
    <n v="12"/>
    <s v="Premium 5G 150Go"/>
    <x v="212"/>
    <x v="212"/>
    <n v="16.29"/>
    <n v="4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632"/>
    <s v="Kwilu"/>
    <n v="109"/>
    <s v="Pro Monde"/>
    <x v="227"/>
    <x v="227"/>
    <n v="31.36"/>
    <n v="0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685"/>
    <s v="Kwilu"/>
    <n v="66"/>
    <s v="Illimité 50Go"/>
    <x v="190"/>
    <x v="190"/>
    <n v="82.94"/>
    <n v="3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410"/>
    <s v="Kwilu"/>
    <n v="51"/>
    <s v="Pro Monde"/>
    <x v="228"/>
    <x v="228"/>
    <n v="65.47"/>
    <n v="1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624"/>
    <s v="Kwilu"/>
    <n v="57"/>
    <s v="Illimité 50Go"/>
    <x v="229"/>
    <x v="229"/>
    <n v="56.88"/>
    <n v="4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506"/>
    <s v="Kwilu"/>
    <n v="36"/>
    <s v="Bloqué 5Go"/>
    <x v="230"/>
    <x v="230"/>
    <n v="12.13"/>
    <n v="4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758"/>
    <s v="Kwilu"/>
    <n v="108"/>
    <s v="Illimité 50Go"/>
    <x v="231"/>
    <x v="231"/>
    <n v="83.1"/>
    <n v="1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736"/>
    <s v="Kwilu"/>
    <n v="88"/>
    <s v="Illimité 50Go"/>
    <x v="150"/>
    <x v="150"/>
    <n v="62.62"/>
    <n v="5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420"/>
    <s v="Kwilu"/>
    <n v="86"/>
    <s v="Pro Monde"/>
    <x v="102"/>
    <x v="102"/>
    <n v="26.26"/>
    <n v="1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291"/>
    <s v="Kwilu"/>
    <n v="7"/>
    <s v="Pro Monde"/>
    <x v="153"/>
    <x v="153"/>
    <n v="41.84"/>
    <n v="2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240"/>
    <s v="Kwilu"/>
    <n v="41"/>
    <s v="Bloqué 5Go"/>
    <x v="232"/>
    <x v="232"/>
    <n v="42.33"/>
    <n v="3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739"/>
    <s v="Kwilu"/>
    <n v="83"/>
    <s v="Premium 5G 150Go"/>
    <x v="25"/>
    <x v="25"/>
    <n v="20.46"/>
    <n v="1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647"/>
    <s v="Kwilu"/>
    <n v="41"/>
    <s v="Illimité 50Go"/>
    <x v="233"/>
    <x v="233"/>
    <n v="98.67"/>
    <n v="5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873"/>
    <s v="Kwilu"/>
    <n v="61"/>
    <s v="Pro Monde"/>
    <x v="234"/>
    <x v="234"/>
    <n v="75.03"/>
    <n v="0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992"/>
    <s v="Kwilu"/>
    <n v="20"/>
    <s v="Illimité 50Go"/>
    <x v="235"/>
    <x v="235"/>
    <n v="55.3"/>
    <n v="4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200"/>
    <s v="Kwilu"/>
    <n v="88"/>
    <s v="Premium 5G 150Go"/>
    <x v="236"/>
    <x v="236"/>
    <n v="71.19"/>
    <n v="3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009"/>
    <s v="Kwilu"/>
    <n v="105"/>
    <s v="Pro Monde"/>
    <x v="237"/>
    <x v="237"/>
    <n v="84.66"/>
    <n v="2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218"/>
    <s v="Kwilu"/>
    <n v="111"/>
    <s v="Bloqué 5Go"/>
    <x v="6"/>
    <x v="6"/>
    <n v="38.19"/>
    <n v="5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990"/>
    <s v="Kwilu"/>
    <n v="100"/>
    <s v="Illimité 50Go"/>
    <x v="238"/>
    <x v="238"/>
    <n v="24.83"/>
    <n v="4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943"/>
    <s v="Kwilu"/>
    <n v="19"/>
    <s v="Bloqué 5Go"/>
    <x v="239"/>
    <x v="239"/>
    <n v="68.2"/>
    <n v="0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552"/>
    <s v="Kwilu"/>
    <n v="102"/>
    <s v="Illimité 50Go"/>
    <x v="238"/>
    <x v="238"/>
    <n v="12.52"/>
    <n v="2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0280"/>
    <s v="Sud-Ubangi"/>
    <n v="113"/>
    <s v="Illimité 50Go"/>
    <x v="240"/>
    <x v="240"/>
    <n v="12.11"/>
    <n v="0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974"/>
    <s v="Sud-Ubangi"/>
    <n v="91"/>
    <s v="Pro Monde"/>
    <x v="161"/>
    <x v="161"/>
    <n v="21.14"/>
    <n v="5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720"/>
    <s v="Sud-Ubangi"/>
    <n v="27"/>
    <s v="Bloqué 5Go"/>
    <x v="241"/>
    <x v="241"/>
    <n v="80.069999999999993"/>
    <n v="1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208"/>
    <s v="Sud-Ubangi"/>
    <n v="11"/>
    <s v="Bloqué 5Go"/>
    <x v="242"/>
    <x v="242"/>
    <n v="69.599999999999994"/>
    <n v="5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0297"/>
    <s v="Sud-Ubangi"/>
    <n v="87"/>
    <s v="Pro Monde"/>
    <x v="157"/>
    <x v="157"/>
    <n v="64.3"/>
    <n v="2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960"/>
    <s v="Sud-Ubangi"/>
    <n v="93"/>
    <s v="Bloqué 5Go"/>
    <x v="243"/>
    <x v="243"/>
    <n v="72.319999999999993"/>
    <n v="1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0805"/>
    <s v="Sud-Ubangi"/>
    <n v="97"/>
    <s v="Bloqué 5Go"/>
    <x v="244"/>
    <x v="244"/>
    <n v="61.98"/>
    <n v="1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891"/>
    <s v="Sud-Ubangi"/>
    <n v="62"/>
    <s v="Premium 5G 150Go"/>
    <x v="30"/>
    <x v="30"/>
    <n v="92.99"/>
    <n v="5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0070"/>
    <s v="Sud-Ubangi"/>
    <n v="52"/>
    <s v="Illimité 50Go"/>
    <x v="165"/>
    <x v="165"/>
    <n v="64.709999999999994"/>
    <n v="4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0862"/>
    <s v="Sud-Ubangi"/>
    <n v="48"/>
    <s v="Bloqué 5Go"/>
    <x v="111"/>
    <x v="111"/>
    <n v="15.17"/>
    <n v="0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0929"/>
    <s v="Sud-Ubangi"/>
    <n v="6"/>
    <s v="Pro Monde"/>
    <x v="245"/>
    <x v="245"/>
    <n v="39.880000000000003"/>
    <n v="4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793"/>
    <s v="Sud-Ubangi"/>
    <n v="87"/>
    <s v="Pro Monde"/>
    <x v="65"/>
    <x v="65"/>
    <n v="40.159999999999997"/>
    <n v="5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0173"/>
    <s v="Sud-Ubangi"/>
    <n v="50"/>
    <s v="Pro Monde"/>
    <x v="73"/>
    <x v="73"/>
    <n v="43.81"/>
    <n v="5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284"/>
    <s v="Sud-Ubangi"/>
    <n v="21"/>
    <s v="Pro Monde"/>
    <x v="246"/>
    <x v="246"/>
    <n v="64.97"/>
    <n v="1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0306"/>
    <s v="Sud-Ubangi"/>
    <n v="89"/>
    <s v="Bloqué 5Go"/>
    <x v="247"/>
    <x v="247"/>
    <n v="32.369999999999997"/>
    <n v="1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931"/>
    <s v="Sud-Ubangi"/>
    <n v="87"/>
    <s v="Illimité 50Go"/>
    <x v="248"/>
    <x v="248"/>
    <n v="61.57"/>
    <n v="0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0368"/>
    <s v="Sud-Ubangi"/>
    <n v="63"/>
    <s v="Bloqué 5Go"/>
    <x v="137"/>
    <x v="137"/>
    <n v="53.87"/>
    <n v="4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836"/>
    <s v="Sud-Ubangi"/>
    <n v="35"/>
    <s v="Pro Monde"/>
    <x v="105"/>
    <x v="105"/>
    <n v="19.78"/>
    <n v="5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0310"/>
    <s v="Sud-Ubangi"/>
    <n v="6"/>
    <s v="Premium 5G 150Go"/>
    <x v="234"/>
    <x v="234"/>
    <n v="75.739999999999995"/>
    <n v="4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999"/>
    <s v="Sud-Ubangi"/>
    <n v="47"/>
    <s v="Pro Monde"/>
    <x v="249"/>
    <x v="249"/>
    <n v="28.35"/>
    <n v="1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709"/>
    <s v="Sud-Ubangi"/>
    <n v="58"/>
    <s v="Premium 5G 150Go"/>
    <x v="250"/>
    <x v="250"/>
    <n v="64.290000000000006"/>
    <n v="4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926"/>
    <s v="Sud-Ubangi"/>
    <n v="9"/>
    <s v="Illimité 50Go"/>
    <x v="71"/>
    <x v="71"/>
    <n v="63.74"/>
    <n v="3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0662"/>
    <s v="Sud-Ubangi"/>
    <n v="12"/>
    <s v="Illimité 50Go"/>
    <x v="112"/>
    <x v="112"/>
    <n v="17"/>
    <n v="2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485"/>
    <s v="Sud-Ubangi"/>
    <n v="57"/>
    <s v="Bloqué 5Go"/>
    <x v="200"/>
    <x v="200"/>
    <n v="23.27"/>
    <n v="3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0185"/>
    <s v="Maniema"/>
    <n v="81"/>
    <s v="Pro Monde"/>
    <x v="150"/>
    <x v="150"/>
    <n v="19.47"/>
    <n v="3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0563"/>
    <s v="Maniema"/>
    <n v="72"/>
    <s v="Illimité 50Go"/>
    <x v="87"/>
    <x v="87"/>
    <n v="95.09"/>
    <n v="0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0650"/>
    <s v="Maniema"/>
    <n v="89"/>
    <s v="Pro Monde"/>
    <x v="251"/>
    <x v="251"/>
    <n v="80.680000000000007"/>
    <n v="5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0965"/>
    <s v="Maniema"/>
    <n v="27"/>
    <s v="Premium 5G 150Go"/>
    <x v="39"/>
    <x v="39"/>
    <n v="19.78"/>
    <n v="1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1408"/>
    <s v="Maniema"/>
    <n v="108"/>
    <s v="Premium 5G 150Go"/>
    <x v="252"/>
    <x v="252"/>
    <n v="58.54"/>
    <n v="2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0349"/>
    <s v="Maniema"/>
    <n v="8"/>
    <s v="Bloqué 5Go"/>
    <x v="253"/>
    <x v="253"/>
    <n v="88.29"/>
    <n v="5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0783"/>
    <s v="Maniema"/>
    <n v="41"/>
    <s v="Pro Monde"/>
    <x v="254"/>
    <x v="254"/>
    <n v="54.03"/>
    <n v="4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0580"/>
    <s v="Maniema"/>
    <n v="17"/>
    <s v="Illimité 50Go"/>
    <x v="179"/>
    <x v="179"/>
    <n v="77.08"/>
    <n v="0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0176"/>
    <s v="Maniema"/>
    <n v="19"/>
    <s v="Bloqué 5Go"/>
    <x v="164"/>
    <x v="164"/>
    <n v="81.11"/>
    <n v="1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1461"/>
    <s v="Maniema"/>
    <n v="90"/>
    <s v="Illimité 50Go"/>
    <x v="255"/>
    <x v="255"/>
    <n v="82.05"/>
    <n v="1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1010"/>
    <s v="Maniema"/>
    <n v="90"/>
    <s v="Bloqué 5Go"/>
    <x v="143"/>
    <x v="143"/>
    <n v="45.58"/>
    <n v="0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0576"/>
    <s v="Maniema"/>
    <n v="104"/>
    <s v="Pro Monde"/>
    <x v="12"/>
    <x v="12"/>
    <n v="45.51"/>
    <n v="1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1475"/>
    <s v="Maniema"/>
    <n v="43"/>
    <s v="Illimité 50Go"/>
    <x v="256"/>
    <x v="256"/>
    <n v="25.85"/>
    <n v="1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1782"/>
    <s v="Maniema"/>
    <n v="93"/>
    <s v="Pro Monde"/>
    <x v="257"/>
    <x v="257"/>
    <n v="86.19"/>
    <n v="0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1804"/>
    <s v="Maniema"/>
    <n v="99"/>
    <s v="Pro Monde"/>
    <x v="258"/>
    <x v="258"/>
    <n v="98.77"/>
    <n v="3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0523"/>
    <s v="Maniema"/>
    <n v="33"/>
    <s v="Pro Monde"/>
    <x v="29"/>
    <x v="29"/>
    <n v="38.49"/>
    <n v="4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0530"/>
    <s v="Sankuru"/>
    <n v="35"/>
    <s v="Pro Monde"/>
    <x v="259"/>
    <x v="259"/>
    <n v="58.59"/>
    <n v="5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761"/>
    <s v="Sankuru"/>
    <n v="108"/>
    <s v="Illimité 50Go"/>
    <x v="260"/>
    <x v="260"/>
    <n v="40.51"/>
    <n v="3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505"/>
    <s v="Sankuru"/>
    <n v="58"/>
    <s v="Bloqué 5Go"/>
    <x v="144"/>
    <x v="144"/>
    <n v="80.459999999999994"/>
    <n v="0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698"/>
    <s v="Sankuru"/>
    <n v="42"/>
    <s v="Illimité 50Go"/>
    <x v="185"/>
    <x v="185"/>
    <n v="96.52"/>
    <n v="1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588"/>
    <s v="Sankuru"/>
    <n v="103"/>
    <s v="Bloqué 5Go"/>
    <x v="88"/>
    <x v="88"/>
    <n v="13.76"/>
    <n v="4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908"/>
    <s v="Sankuru"/>
    <n v="80"/>
    <s v="Premium 5G 150Go"/>
    <x v="123"/>
    <x v="123"/>
    <n v="83.14"/>
    <n v="5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653"/>
    <s v="Sankuru"/>
    <n v="6"/>
    <s v="Premium 5G 150Go"/>
    <x v="261"/>
    <x v="261"/>
    <n v="99.93"/>
    <n v="0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0642"/>
    <s v="Sankuru"/>
    <n v="86"/>
    <s v="Pro Monde"/>
    <x v="121"/>
    <x v="121"/>
    <n v="85.82"/>
    <n v="5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0219"/>
    <s v="Sankuru"/>
    <n v="99"/>
    <s v="Illimité 50Go"/>
    <x v="158"/>
    <x v="158"/>
    <n v="55.43"/>
    <n v="2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686"/>
    <s v="Sankuru"/>
    <n v="75"/>
    <s v="Bloqué 5Go"/>
    <x v="262"/>
    <x v="262"/>
    <n v="45.16"/>
    <n v="5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511"/>
    <s v="Sankuru"/>
    <n v="27"/>
    <s v="Premium 5G 150Go"/>
    <x v="263"/>
    <x v="263"/>
    <n v="97.51"/>
    <n v="5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058"/>
    <s v="Sankuru"/>
    <n v="86"/>
    <s v="Premium 5G 150Go"/>
    <x v="43"/>
    <x v="43"/>
    <n v="23.65"/>
    <n v="0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254"/>
    <s v="Sankuru"/>
    <n v="73"/>
    <s v="Illimité 50Go"/>
    <x v="264"/>
    <x v="264"/>
    <n v="45.86"/>
    <n v="0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0822"/>
    <s v="Sankuru"/>
    <n v="45"/>
    <s v="Illimité 50Go"/>
    <x v="26"/>
    <x v="26"/>
    <n v="12.31"/>
    <n v="0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0879"/>
    <s v="Sankuru"/>
    <n v="91"/>
    <s v="Illimité 50Go"/>
    <x v="265"/>
    <x v="265"/>
    <n v="57.76"/>
    <n v="5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194"/>
    <s v="Sankuru"/>
    <n v="29"/>
    <s v="Pro Monde"/>
    <x v="251"/>
    <x v="251"/>
    <n v="53.97"/>
    <n v="5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224"/>
    <s v="Sankuru"/>
    <n v="65"/>
    <s v="Bloqué 5Go"/>
    <x v="187"/>
    <x v="187"/>
    <n v="60.62"/>
    <n v="5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149"/>
    <s v="Sankuru"/>
    <n v="88"/>
    <s v="Bloqué 5Go"/>
    <x v="254"/>
    <x v="254"/>
    <n v="23.35"/>
    <n v="5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196"/>
    <s v="Sankuru"/>
    <n v="80"/>
    <s v="Pro Monde"/>
    <x v="266"/>
    <x v="266"/>
    <n v="59.87"/>
    <n v="0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396"/>
    <s v="Sankuru"/>
    <n v="117"/>
    <s v="Illimité 50Go"/>
    <x v="267"/>
    <x v="267"/>
    <n v="26.53"/>
    <n v="1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450"/>
    <s v="Sankuru"/>
    <n v="41"/>
    <s v="Premium 5G 150Go"/>
    <x v="268"/>
    <x v="268"/>
    <n v="27.53"/>
    <n v="4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0365"/>
    <s v="Sankuru"/>
    <n v="98"/>
    <s v="Pro Monde"/>
    <x v="269"/>
    <x v="269"/>
    <n v="23.55"/>
    <n v="1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0643"/>
    <s v="Equateur"/>
    <n v="14"/>
    <s v="Pro Monde"/>
    <x v="270"/>
    <x v="270"/>
    <n v="62.34"/>
    <n v="4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0288"/>
    <s v="Equateur"/>
    <n v="21"/>
    <s v="Premium 5G 150Go"/>
    <x v="175"/>
    <x v="175"/>
    <n v="48.31"/>
    <n v="0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1533"/>
    <s v="Equateur"/>
    <n v="111"/>
    <s v="Illimité 50Go"/>
    <x v="271"/>
    <x v="271"/>
    <n v="18.07"/>
    <n v="2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1724"/>
    <s v="Equateur"/>
    <n v="60"/>
    <s v="Bloqué 5Go"/>
    <x v="272"/>
    <x v="272"/>
    <n v="67.650000000000006"/>
    <n v="1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1824"/>
    <s v="Equateur"/>
    <n v="42"/>
    <s v="Pro Monde"/>
    <x v="92"/>
    <x v="92"/>
    <n v="80.08"/>
    <n v="1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0165"/>
    <s v="Equateur"/>
    <n v="102"/>
    <s v="Premium 5G 150Go"/>
    <x v="242"/>
    <x v="242"/>
    <n v="28.38"/>
    <n v="5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0512"/>
    <s v="Equateur"/>
    <n v="42"/>
    <s v="Illimité 50Go"/>
    <x v="55"/>
    <x v="55"/>
    <n v="36.700000000000003"/>
    <n v="4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0841"/>
    <s v="Equateur"/>
    <n v="92"/>
    <s v="Bloqué 5Go"/>
    <x v="273"/>
    <x v="273"/>
    <n v="78.44"/>
    <n v="1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0469"/>
    <s v="Equateur"/>
    <n v="25"/>
    <s v="Premium 5G 150Go"/>
    <x v="145"/>
    <x v="145"/>
    <n v="97.78"/>
    <n v="3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0948"/>
    <s v="Equateur"/>
    <n v="56"/>
    <s v="Pro Monde"/>
    <x v="128"/>
    <x v="128"/>
    <n v="82.56"/>
    <n v="2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0533"/>
    <s v="Equateur"/>
    <n v="82"/>
    <s v="Premium 5G 150Go"/>
    <x v="274"/>
    <x v="274"/>
    <n v="77.63"/>
    <n v="1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0595"/>
    <s v="Equateur"/>
    <n v="110"/>
    <s v="Premium 5G 150Go"/>
    <x v="275"/>
    <x v="275"/>
    <n v="81.569999999999993"/>
    <n v="2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1454"/>
    <s v="Equateur"/>
    <n v="13"/>
    <s v="Illimité 50Go"/>
    <x v="276"/>
    <x v="276"/>
    <n v="65.599999999999994"/>
    <n v="5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1788"/>
    <s v="Equateur"/>
    <n v="22"/>
    <s v="Pro Monde"/>
    <x v="209"/>
    <x v="209"/>
    <n v="49.06"/>
    <n v="2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0091"/>
    <s v="Equateur"/>
    <n v="50"/>
    <s v="Bloqué 5Go"/>
    <x v="229"/>
    <x v="229"/>
    <n v="27.86"/>
    <n v="3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0582"/>
    <s v="Equateur"/>
    <n v="43"/>
    <s v="Premium 5G 150Go"/>
    <x v="277"/>
    <x v="277"/>
    <n v="35.81"/>
    <n v="0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1042"/>
    <s v="Equateur"/>
    <n v="55"/>
    <s v="Illimité 50Go"/>
    <x v="278"/>
    <x v="278"/>
    <n v="77.599999999999994"/>
    <n v="4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1658"/>
    <s v="Equateur"/>
    <n v="39"/>
    <s v="Pro Monde"/>
    <x v="193"/>
    <x v="193"/>
    <n v="88.84"/>
    <n v="0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361"/>
    <s v="Mai-Ndombe"/>
    <n v="66"/>
    <s v="Illimité 50Go"/>
    <x v="75"/>
    <x v="75"/>
    <n v="75.88"/>
    <n v="3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248"/>
    <s v="Mai-Ndombe"/>
    <n v="20"/>
    <s v="Bloqué 5Go"/>
    <x v="256"/>
    <x v="256"/>
    <n v="25.14"/>
    <n v="0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1812"/>
    <s v="Mai-Ndombe"/>
    <n v="50"/>
    <s v="Bloqué 5Go"/>
    <x v="279"/>
    <x v="279"/>
    <n v="25.06"/>
    <n v="4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1964"/>
    <s v="Mai-Ndombe"/>
    <n v="30"/>
    <s v="Premium 5G 150Go"/>
    <x v="280"/>
    <x v="280"/>
    <n v="15.42"/>
    <n v="0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115"/>
    <s v="Mai-Ndombe"/>
    <n v="25"/>
    <s v="Premium 5G 150Go"/>
    <x v="281"/>
    <x v="281"/>
    <n v="38.950000000000003"/>
    <n v="5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1093"/>
    <s v="Mai-Ndombe"/>
    <n v="70"/>
    <s v="Pro Monde"/>
    <x v="35"/>
    <x v="35"/>
    <n v="96.31"/>
    <n v="1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634"/>
    <s v="Mai-Ndombe"/>
    <n v="54"/>
    <s v="Bloqué 5Go"/>
    <x v="282"/>
    <x v="282"/>
    <n v="39.58"/>
    <n v="0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1888"/>
    <s v="Mai-Ndombe"/>
    <n v="41"/>
    <s v="Premium 5G 150Go"/>
    <x v="281"/>
    <x v="281"/>
    <n v="91.95"/>
    <n v="1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1550"/>
    <s v="Mai-Ndombe"/>
    <n v="48"/>
    <s v="Bloqué 5Go"/>
    <x v="283"/>
    <x v="283"/>
    <n v="85.09"/>
    <n v="3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483"/>
    <s v="Mai-Ndombe"/>
    <n v="64"/>
    <s v="Pro Monde"/>
    <x v="69"/>
    <x v="69"/>
    <n v="40.58"/>
    <n v="5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1007"/>
    <s v="Mai-Ndombe"/>
    <n v="5"/>
    <s v="Bloqué 5Go"/>
    <x v="284"/>
    <x v="284"/>
    <n v="26.95"/>
    <n v="2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866"/>
    <s v="Mai-Ndombe"/>
    <n v="31"/>
    <s v="Bloqué 5Go"/>
    <x v="82"/>
    <x v="82"/>
    <n v="59.76"/>
    <n v="4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806"/>
    <s v="Mai-Ndombe"/>
    <n v="76"/>
    <s v="Illimité 50Go"/>
    <x v="268"/>
    <x v="268"/>
    <n v="53.73"/>
    <n v="2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183"/>
    <s v="Mai-Ndombe"/>
    <n v="98"/>
    <s v="Premium 5G 150Go"/>
    <x v="204"/>
    <x v="204"/>
    <n v="88.58"/>
    <n v="0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1162"/>
    <s v="Mai-Ndombe"/>
    <n v="84"/>
    <s v="Bloqué 5Go"/>
    <x v="47"/>
    <x v="47"/>
    <n v="56.34"/>
    <n v="5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1077"/>
    <s v="Mai-Ndombe"/>
    <n v="95"/>
    <s v="Premium 5G 150Go"/>
    <x v="87"/>
    <x v="87"/>
    <n v="94.77"/>
    <n v="5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435"/>
    <s v="Mai-Ndombe"/>
    <n v="106"/>
    <s v="Illimité 50Go"/>
    <x v="2"/>
    <x v="2"/>
    <n v="59.92"/>
    <n v="4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1226"/>
    <s v="Mai-Ndombe"/>
    <n v="2"/>
    <s v="Premium 5G 150Go"/>
    <x v="38"/>
    <x v="38"/>
    <n v="51.68"/>
    <n v="3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1032"/>
    <s v="Mai-Ndombe"/>
    <n v="45"/>
    <s v="Illimité 50Go"/>
    <x v="256"/>
    <x v="256"/>
    <n v="30.35"/>
    <n v="1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387"/>
    <s v="Mai-Ndombe"/>
    <n v="28"/>
    <s v="Illimité 50Go"/>
    <x v="7"/>
    <x v="7"/>
    <n v="94.51"/>
    <n v="3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471"/>
    <s v="Mai-Ndombe"/>
    <n v="36"/>
    <s v="Premium 5G 150Go"/>
    <x v="27"/>
    <x v="27"/>
    <n v="71.930000000000007"/>
    <n v="0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335"/>
    <s v="Mai-Ndombe"/>
    <n v="24"/>
    <s v="Pro Monde"/>
    <x v="285"/>
    <x v="285"/>
    <n v="28.55"/>
    <n v="1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1549"/>
    <s v="Mai-Ndombe"/>
    <n v="113"/>
    <s v="Illimité 50Go"/>
    <x v="286"/>
    <x v="286"/>
    <n v="73.84"/>
    <n v="0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674"/>
    <s v="Mai-Ndombe"/>
    <n v="120"/>
    <s v="Pro Monde"/>
    <x v="287"/>
    <x v="287"/>
    <n v="29.07"/>
    <n v="3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090"/>
    <s v="Mai-Ndombe"/>
    <n v="15"/>
    <s v="Bloqué 5Go"/>
    <x v="211"/>
    <x v="211"/>
    <n v="78.09"/>
    <n v="0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1499"/>
    <s v="Mai-Ndombe"/>
    <n v="38"/>
    <s v="Bloqué 5Go"/>
    <x v="73"/>
    <x v="73"/>
    <n v="72.7"/>
    <n v="3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817"/>
    <s v="Mai-Ndombe"/>
    <n v="61"/>
    <s v="Premium 5G 150Go"/>
    <x v="288"/>
    <x v="288"/>
    <n v="76.3"/>
    <n v="4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837"/>
    <s v="Nord-Kivu"/>
    <n v="16"/>
    <s v="Bloqué 5Go"/>
    <x v="289"/>
    <x v="289"/>
    <n v="98.17"/>
    <n v="5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1683"/>
    <s v="Nord-Kivu"/>
    <n v="56"/>
    <s v="Bloqué 5Go"/>
    <x v="51"/>
    <x v="51"/>
    <n v="23.01"/>
    <n v="2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329"/>
    <s v="Nord-Kivu"/>
    <n v="92"/>
    <s v="Pro Monde"/>
    <x v="41"/>
    <x v="41"/>
    <n v="58.38"/>
    <n v="1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1122"/>
    <s v="Nord-Kivu"/>
    <n v="18"/>
    <s v="Pro Monde"/>
    <x v="239"/>
    <x v="239"/>
    <n v="46.98"/>
    <n v="2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670"/>
    <s v="Nord-Kivu"/>
    <n v="65"/>
    <s v="Bloqué 5Go"/>
    <x v="290"/>
    <x v="290"/>
    <n v="72.430000000000007"/>
    <n v="1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1621"/>
    <s v="Nord-Kivu"/>
    <n v="44"/>
    <s v="Bloqué 5Go"/>
    <x v="224"/>
    <x v="224"/>
    <n v="67.650000000000006"/>
    <n v="0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1287"/>
    <s v="Nord-Kivu"/>
    <n v="5"/>
    <s v="Premium 5G 150Go"/>
    <x v="291"/>
    <x v="291"/>
    <n v="90.71"/>
    <n v="1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043"/>
    <s v="Nord-Kivu"/>
    <n v="118"/>
    <s v="Pro Monde"/>
    <x v="225"/>
    <x v="225"/>
    <n v="40.880000000000003"/>
    <n v="4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346"/>
    <s v="Nord-Kivu"/>
    <n v="97"/>
    <s v="Bloqué 5Go"/>
    <x v="171"/>
    <x v="171"/>
    <n v="85.19"/>
    <n v="1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1230"/>
    <s v="Nord-Kivu"/>
    <n v="63"/>
    <s v="Pro Monde"/>
    <x v="292"/>
    <x v="292"/>
    <n v="95.6"/>
    <n v="4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1773"/>
    <s v="Nord-Kivu"/>
    <n v="91"/>
    <s v="Illimité 50Go"/>
    <x v="233"/>
    <x v="233"/>
    <n v="76.53"/>
    <n v="5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391"/>
    <s v="Nord-Kivu"/>
    <n v="4"/>
    <s v="Pro Monde"/>
    <x v="293"/>
    <x v="293"/>
    <n v="41.35"/>
    <n v="5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1489"/>
    <s v="Nord-Kivu"/>
    <n v="67"/>
    <s v="Pro Monde"/>
    <x v="256"/>
    <x v="256"/>
    <n v="81.489999999999995"/>
    <n v="4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1938"/>
    <s v="Nord-Kivu"/>
    <n v="14"/>
    <s v="Pro Monde"/>
    <x v="95"/>
    <x v="95"/>
    <n v="61.43"/>
    <n v="1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786"/>
    <s v="Nord-Kivu"/>
    <n v="5"/>
    <s v="Illimité 50Go"/>
    <x v="294"/>
    <x v="294"/>
    <n v="21.07"/>
    <n v="4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196"/>
    <s v="Nord-Kivu"/>
    <n v="47"/>
    <s v="Pro Monde"/>
    <x v="295"/>
    <x v="295"/>
    <n v="36.42"/>
    <n v="1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1794"/>
    <s v="Nord-Kivu"/>
    <n v="100"/>
    <s v="Bloqué 5Go"/>
    <x v="83"/>
    <x v="83"/>
    <n v="61.2"/>
    <n v="3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1626"/>
    <s v="Nord-Kivu"/>
    <n v="37"/>
    <s v="Bloqué 5Go"/>
    <x v="151"/>
    <x v="151"/>
    <n v="26.4"/>
    <n v="3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376"/>
    <s v="Nord-Kivu"/>
    <n v="117"/>
    <s v="Premium 5G 150Go"/>
    <x v="262"/>
    <x v="262"/>
    <n v="95.11"/>
    <n v="0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905"/>
    <s v="Nord-Kivu"/>
    <n v="13"/>
    <s v="Illimité 50Go"/>
    <x v="131"/>
    <x v="131"/>
    <n v="50.15"/>
    <n v="0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194"/>
    <s v="Nord-Kivu"/>
    <n v="48"/>
    <s v="Illimité 50Go"/>
    <x v="76"/>
    <x v="76"/>
    <n v="21.26"/>
    <n v="2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808"/>
    <s v="Nord-Kivu"/>
    <n v="10"/>
    <s v="Premium 5G 150Go"/>
    <x v="232"/>
    <x v="232"/>
    <n v="85.75"/>
    <n v="0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825"/>
    <s v="Nord-Kivu"/>
    <n v="63"/>
    <s v="Illimité 50Go"/>
    <x v="245"/>
    <x v="245"/>
    <n v="10.33"/>
    <n v="3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0745"/>
    <s v="Tshopo"/>
    <n v="6"/>
    <s v="Premium 5G 150Go"/>
    <x v="29"/>
    <x v="29"/>
    <n v="61.55"/>
    <n v="0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1911"/>
    <s v="Tshopo"/>
    <n v="58"/>
    <s v="Illimité 50Go"/>
    <x v="263"/>
    <x v="263"/>
    <n v="58.64"/>
    <n v="3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0768"/>
    <s v="Tshopo"/>
    <n v="74"/>
    <s v="Premium 5G 150Go"/>
    <x v="212"/>
    <x v="212"/>
    <n v="39.56"/>
    <n v="0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1854"/>
    <s v="Tshopo"/>
    <n v="16"/>
    <s v="Bloqué 5Go"/>
    <x v="182"/>
    <x v="182"/>
    <n v="14.91"/>
    <n v="1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0250"/>
    <s v="Tshopo"/>
    <n v="43"/>
    <s v="Bloqué 5Go"/>
    <x v="296"/>
    <x v="296"/>
    <n v="72.39"/>
    <n v="2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1796"/>
    <s v="Tshopo"/>
    <n v="51"/>
    <s v="Illimité 50Go"/>
    <x v="297"/>
    <x v="297"/>
    <n v="12.89"/>
    <n v="1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1666"/>
    <s v="Tshopo"/>
    <n v="11"/>
    <s v="Premium 5G 150Go"/>
    <x v="122"/>
    <x v="122"/>
    <n v="87.37"/>
    <n v="3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0274"/>
    <s v="Tshopo"/>
    <n v="108"/>
    <s v="Pro Monde"/>
    <x v="298"/>
    <x v="298"/>
    <n v="86.22"/>
    <n v="3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0407"/>
    <s v="Tshopo"/>
    <n v="48"/>
    <s v="Premium 5G 150Go"/>
    <x v="80"/>
    <x v="80"/>
    <n v="81.260000000000005"/>
    <n v="5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1695"/>
    <s v="Tshopo"/>
    <n v="5"/>
    <s v="Premium 5G 150Go"/>
    <x v="299"/>
    <x v="299"/>
    <n v="97.26"/>
    <n v="3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1940"/>
    <s v="Tshopo"/>
    <n v="104"/>
    <s v="Premium 5G 150Go"/>
    <x v="19"/>
    <x v="19"/>
    <n v="21.15"/>
    <n v="2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1565"/>
    <s v="Tshopo"/>
    <n v="24"/>
    <s v="Bloqué 5Go"/>
    <x v="300"/>
    <x v="300"/>
    <n v="41.99"/>
    <n v="5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1453"/>
    <s v="Tshopo"/>
    <n v="2"/>
    <s v="Bloqué 5Go"/>
    <x v="8"/>
    <x v="8"/>
    <n v="49.05"/>
    <n v="4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0192"/>
    <s v="Tshopo"/>
    <n v="47"/>
    <s v="Pro Monde"/>
    <x v="57"/>
    <x v="57"/>
    <n v="35.380000000000003"/>
    <n v="1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1078"/>
    <s v="Tshopo"/>
    <n v="37"/>
    <s v="Pro Monde"/>
    <x v="301"/>
    <x v="301"/>
    <n v="92.72"/>
    <n v="0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0928"/>
    <s v="Tshopo"/>
    <n v="94"/>
    <s v="Illimité 50Go"/>
    <x v="69"/>
    <x v="69"/>
    <n v="67.459999999999994"/>
    <n v="5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0100"/>
    <s v="Tshopo"/>
    <n v="74"/>
    <s v="Bloqué 5Go"/>
    <x v="119"/>
    <x v="119"/>
    <n v="10.89"/>
    <n v="4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1319"/>
    <s v="Tshopo"/>
    <n v="47"/>
    <s v="Premium 5G 150Go"/>
    <x v="40"/>
    <x v="40"/>
    <n v="80.48"/>
    <n v="3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0145"/>
    <s v="Tshopo"/>
    <n v="23"/>
    <s v="Bloqué 5Go"/>
    <x v="218"/>
    <x v="218"/>
    <n v="65.489999999999995"/>
    <n v="1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1837"/>
    <s v="Kasai-Oriental"/>
    <n v="97"/>
    <s v="Pro Monde"/>
    <x v="204"/>
    <x v="204"/>
    <n v="31.25"/>
    <n v="1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1484"/>
    <s v="Kasai-Oriental"/>
    <n v="117"/>
    <s v="Illimité 50Go"/>
    <x v="302"/>
    <x v="302"/>
    <n v="50.89"/>
    <n v="4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0649"/>
    <s v="Kasai-Oriental"/>
    <n v="79"/>
    <s v="Illimité 50Go"/>
    <x v="84"/>
    <x v="84"/>
    <n v="21.49"/>
    <n v="0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1118"/>
    <s v="Kasai-Oriental"/>
    <n v="33"/>
    <s v="Illimité 50Go"/>
    <x v="294"/>
    <x v="294"/>
    <n v="62.61"/>
    <n v="2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1404"/>
    <s v="Kasai-Oriental"/>
    <n v="25"/>
    <s v="Bloqué 5Go"/>
    <x v="303"/>
    <x v="303"/>
    <n v="67.489999999999995"/>
    <n v="0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1982"/>
    <s v="Kasai-Oriental"/>
    <n v="61"/>
    <s v="Bloqué 5Go"/>
    <x v="268"/>
    <x v="268"/>
    <n v="39.72"/>
    <n v="4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1923"/>
    <s v="Kasai-Oriental"/>
    <n v="29"/>
    <s v="Illimité 50Go"/>
    <x v="80"/>
    <x v="80"/>
    <n v="61.26"/>
    <n v="0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0107"/>
    <s v="Kasai-Oriental"/>
    <n v="82"/>
    <s v="Premium 5G 150Go"/>
    <x v="304"/>
    <x v="304"/>
    <n v="86.64"/>
    <n v="1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1180"/>
    <s v="Kasai-Oriental"/>
    <n v="15"/>
    <s v="Bloqué 5Go"/>
    <x v="204"/>
    <x v="204"/>
    <n v="78.150000000000006"/>
    <n v="4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1906"/>
    <s v="Kasai-Oriental"/>
    <n v="99"/>
    <s v="Bloqué 5Go"/>
    <x v="305"/>
    <x v="305"/>
    <n v="70.19"/>
    <n v="1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1877"/>
    <s v="Kasai-Oriental"/>
    <n v="19"/>
    <s v="Bloqué 5Go"/>
    <x v="113"/>
    <x v="113"/>
    <n v="11.78"/>
    <n v="4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0924"/>
    <s v="Kasai-Oriental"/>
    <n v="105"/>
    <s v="Premium 5G 150Go"/>
    <x v="306"/>
    <x v="306"/>
    <n v="60.05"/>
    <n v="4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1455"/>
    <s v="Kasai-Oriental"/>
    <n v="78"/>
    <s v="Bloqué 5Go"/>
    <x v="307"/>
    <x v="307"/>
    <n v="49.47"/>
    <n v="0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0540"/>
    <s v="Kasai-Oriental"/>
    <n v="15"/>
    <s v="Illimité 50Go"/>
    <x v="308"/>
    <x v="308"/>
    <n v="97.5"/>
    <n v="4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0305"/>
    <s v="Kasai-Oriental"/>
    <n v="37"/>
    <s v="Illimité 50Go"/>
    <x v="309"/>
    <x v="309"/>
    <n v="62.49"/>
    <n v="3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1988"/>
    <s v="Kasai-Oriental"/>
    <n v="111"/>
    <s v="Pro Monde"/>
    <x v="200"/>
    <x v="200"/>
    <n v="51.35"/>
    <n v="0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0231"/>
    <s v="Kasai-Oriental"/>
    <n v="17"/>
    <s v="Bloqué 5Go"/>
    <x v="233"/>
    <x v="233"/>
    <n v="83.4"/>
    <n v="1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0158"/>
    <s v="Kasai-Oriental"/>
    <n v="35"/>
    <s v="Pro Monde"/>
    <x v="310"/>
    <x v="310"/>
    <n v="24.11"/>
    <n v="2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1021"/>
    <s v="Kasai-Oriental"/>
    <n v="64"/>
    <s v="Pro Monde"/>
    <x v="205"/>
    <x v="205"/>
    <n v="56.94"/>
    <n v="4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1394"/>
    <s v="Kasai-Oriental"/>
    <n v="92"/>
    <s v="Bloqué 5Go"/>
    <x v="69"/>
    <x v="69"/>
    <n v="77.14"/>
    <n v="5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0167"/>
    <s v="Kasai-Oriental"/>
    <n v="84"/>
    <s v="Bloqué 5Go"/>
    <x v="240"/>
    <x v="240"/>
    <n v="82.3"/>
    <n v="1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1170"/>
    <s v="Nord-Ubangi"/>
    <n v="98"/>
    <s v="Pro Monde"/>
    <x v="131"/>
    <x v="131"/>
    <n v="55.04"/>
    <n v="5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1229"/>
    <s v="Nord-Ubangi"/>
    <n v="51"/>
    <s v="Illimité 50Go"/>
    <x v="311"/>
    <x v="311"/>
    <n v="34.6"/>
    <n v="5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0296"/>
    <s v="Nord-Ubangi"/>
    <n v="102"/>
    <s v="Pro Monde"/>
    <x v="85"/>
    <x v="85"/>
    <n v="28.98"/>
    <n v="3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0359"/>
    <s v="Nord-Ubangi"/>
    <n v="91"/>
    <s v="Bloqué 5Go"/>
    <x v="88"/>
    <x v="88"/>
    <n v="82.19"/>
    <n v="1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1322"/>
    <s v="Nord-Ubangi"/>
    <n v="36"/>
    <s v="Premium 5G 150Go"/>
    <x v="211"/>
    <x v="211"/>
    <n v="60.35"/>
    <n v="1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0112"/>
    <s v="Nord-Ubangi"/>
    <n v="98"/>
    <s v="Bloqué 5Go"/>
    <x v="91"/>
    <x v="91"/>
    <n v="52.82"/>
    <n v="2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0491"/>
    <s v="Nord-Ubangi"/>
    <n v="29"/>
    <s v="Pro Monde"/>
    <x v="101"/>
    <x v="101"/>
    <n v="86.68"/>
    <n v="1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0788"/>
    <s v="Nord-Ubangi"/>
    <n v="118"/>
    <s v="Illimité 50Go"/>
    <x v="195"/>
    <x v="195"/>
    <n v="36.97"/>
    <n v="2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1664"/>
    <s v="Nord-Ubangi"/>
    <n v="51"/>
    <s v="Bloqué 5Go"/>
    <x v="116"/>
    <x v="116"/>
    <n v="92.8"/>
    <n v="5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0562"/>
    <s v="Nord-Ubangi"/>
    <n v="82"/>
    <s v="Premium 5G 150Go"/>
    <x v="213"/>
    <x v="213"/>
    <n v="88.03"/>
    <n v="1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1680"/>
    <s v="Nord-Ubangi"/>
    <n v="28"/>
    <s v="Premium 5G 150Go"/>
    <x v="312"/>
    <x v="312"/>
    <n v="72.010000000000005"/>
    <n v="4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0821"/>
    <s v="Nord-Ubangi"/>
    <n v="25"/>
    <s v="Bloqué 5Go"/>
    <x v="127"/>
    <x v="127"/>
    <n v="30.93"/>
    <n v="1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0884"/>
    <s v="Nord-Ubangi"/>
    <n v="47"/>
    <s v="Premium 5G 150Go"/>
    <x v="293"/>
    <x v="293"/>
    <n v="55.88"/>
    <n v="3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0961"/>
    <s v="Nord-Ubangi"/>
    <n v="37"/>
    <s v="Pro Monde"/>
    <x v="304"/>
    <x v="304"/>
    <n v="77.77"/>
    <n v="1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0815"/>
    <s v="Nord-Ubangi"/>
    <n v="109"/>
    <s v="Pro Monde"/>
    <x v="52"/>
    <x v="52"/>
    <n v="63.92"/>
    <n v="1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1451"/>
    <s v="Nord-Ubangi"/>
    <n v="77"/>
    <s v="Illimité 50Go"/>
    <x v="313"/>
    <x v="313"/>
    <n v="21.59"/>
    <n v="2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0271"/>
    <s v="Nord-Ubangi"/>
    <n v="40"/>
    <s v="Bloqué 5Go"/>
    <x v="314"/>
    <x v="314"/>
    <n v="17.63"/>
    <n v="0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1304"/>
    <s v="Nord-Ubangi"/>
    <n v="85"/>
    <s v="Illimité 50Go"/>
    <x v="225"/>
    <x v="225"/>
    <n v="11.41"/>
    <n v="0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1005"/>
    <s v="Lualaba"/>
    <n v="80"/>
    <s v="Illimité 50Go"/>
    <x v="110"/>
    <x v="110"/>
    <n v="28.96"/>
    <n v="2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1617"/>
    <s v="Lualaba"/>
    <n v="75"/>
    <s v="Pro Monde"/>
    <x v="154"/>
    <x v="154"/>
    <n v="64.27"/>
    <n v="2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1405"/>
    <s v="Lualaba"/>
    <n v="32"/>
    <s v="Illimité 50Go"/>
    <x v="191"/>
    <x v="191"/>
    <n v="67.92"/>
    <n v="3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0980"/>
    <s v="Lualaba"/>
    <n v="106"/>
    <s v="Illimité 50Go"/>
    <x v="315"/>
    <x v="315"/>
    <n v="35.96"/>
    <n v="2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0534"/>
    <s v="Lualaba"/>
    <n v="21"/>
    <s v="Bloqué 5Go"/>
    <x v="316"/>
    <x v="316"/>
    <n v="39.81"/>
    <n v="5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0356"/>
    <s v="Lualaba"/>
    <n v="22"/>
    <s v="Premium 5G 150Go"/>
    <x v="317"/>
    <x v="317"/>
    <n v="31.8"/>
    <n v="1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0373"/>
    <s v="Lualaba"/>
    <n v="83"/>
    <s v="Illimité 50Go"/>
    <x v="318"/>
    <x v="318"/>
    <n v="33.93"/>
    <n v="3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0460"/>
    <s v="Lualaba"/>
    <n v="5"/>
    <s v="Pro Monde"/>
    <x v="68"/>
    <x v="68"/>
    <n v="71.37"/>
    <n v="1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1326"/>
    <s v="Lualaba"/>
    <n v="120"/>
    <s v="Pro Monde"/>
    <x v="319"/>
    <x v="319"/>
    <n v="42.51"/>
    <n v="4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0424"/>
    <s v="Lualaba"/>
    <n v="103"/>
    <s v="Illimité 50Go"/>
    <x v="214"/>
    <x v="214"/>
    <n v="12.07"/>
    <n v="5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1166"/>
    <s v="Lualaba"/>
    <n v="21"/>
    <s v="Illimité 50Go"/>
    <x v="133"/>
    <x v="133"/>
    <n v="41.92"/>
    <n v="3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1121"/>
    <s v="Lualaba"/>
    <n v="91"/>
    <s v="Illimité 50Go"/>
    <x v="320"/>
    <x v="320"/>
    <n v="39.14"/>
    <n v="3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0334"/>
    <s v="Lualaba"/>
    <n v="16"/>
    <s v="Pro Monde"/>
    <x v="24"/>
    <x v="24"/>
    <n v="46.57"/>
    <n v="5"/>
  </r>
  <r>
    <s v="Logs_Reseau_Part_03.xlsx"/>
    <d v="2023-10-07T00:00:00"/>
    <d v="1899-12-30T16:30:00"/>
    <s v="ANT-0797"/>
    <n v="76"/>
    <s v="En Cours"/>
    <s v="ANT-0797"/>
    <x v="25"/>
    <n v="-12.100756000000001"/>
    <n v="21.938649999999999"/>
    <x v="2"/>
    <s v="Huawei"/>
    <s v="CLI-00439"/>
    <s v="Haut-Uele"/>
    <n v="40"/>
    <s v="Premium 5G 150Go"/>
    <x v="141"/>
    <x v="141"/>
    <n v="89.55"/>
    <n v="3"/>
  </r>
  <r>
    <s v="Logs_Reseau_Part_03.xlsx"/>
    <d v="2023-10-07T00:00:00"/>
    <d v="1899-12-30T16:30:00"/>
    <s v="ANT-0797"/>
    <n v="76"/>
    <s v="En Cours"/>
    <s v="ANT-0797"/>
    <x v="25"/>
    <n v="-12.100756000000001"/>
    <n v="21.938649999999999"/>
    <x v="2"/>
    <s v="Huawei"/>
    <s v="CLI-00909"/>
    <s v="Haut-Uele"/>
    <n v="49"/>
    <s v="Illimité 50Go"/>
    <x v="69"/>
    <x v="69"/>
    <n v="44.41"/>
    <n v="3"/>
  </r>
  <r>
    <s v="Logs_Reseau_Part_03.xlsx"/>
    <d v="2023-10-07T00:00:00"/>
    <d v="1899-12-30T16:30:00"/>
    <s v="ANT-0797"/>
    <n v="76"/>
    <s v="En Cours"/>
    <s v="ANT-0797"/>
    <x v="25"/>
    <n v="-12.100756000000001"/>
    <n v="21.938649999999999"/>
    <x v="2"/>
    <s v="Huawei"/>
    <s v="CLI-01694"/>
    <s v="Haut-Uele"/>
    <n v="78"/>
    <s v="Illimité 50Go"/>
    <x v="321"/>
    <x v="321"/>
    <n v="69.849999999999994"/>
    <n v="0"/>
  </r>
  <r>
    <s v="Logs_Reseau_Part_03.xlsx"/>
    <d v="2023-10-07T00:00:00"/>
    <d v="1899-12-30T16:30:00"/>
    <s v="ANT-0797"/>
    <n v="76"/>
    <s v="En Cours"/>
    <s v="ANT-0797"/>
    <x v="25"/>
    <n v="-12.100756000000001"/>
    <n v="21.938649999999999"/>
    <x v="2"/>
    <s v="Huawei"/>
    <s v="CLI-00102"/>
    <s v="Haut-Uele"/>
    <n v="93"/>
    <s v="Premium 5G 150Go"/>
    <x v="322"/>
    <x v="322"/>
    <n v="93.25"/>
    <n v="3"/>
  </r>
  <r>
    <s v="Logs_Reseau_Part_03.xlsx"/>
    <d v="2023-10-07T00:00:00"/>
    <d v="1899-12-30T16:30:00"/>
    <s v="ANT-0797"/>
    <n v="76"/>
    <s v="En Cours"/>
    <s v="ANT-0797"/>
    <x v="25"/>
    <n v="-12.100756000000001"/>
    <n v="21.938649999999999"/>
    <x v="2"/>
    <s v="Huawei"/>
    <s v="CLI-01266"/>
    <s v="Haut-Uele"/>
    <n v="66"/>
    <s v="Premium 5G 150Go"/>
    <x v="277"/>
    <x v="277"/>
    <n v="21.06"/>
    <n v="3"/>
  </r>
  <r>
    <s v="Logs_Reseau_Part_03.xlsx"/>
    <d v="2023-10-07T00:00:00"/>
    <d v="1899-12-30T16:30:00"/>
    <s v="ANT-0797"/>
    <n v="76"/>
    <s v="En Cours"/>
    <s v="ANT-0797"/>
    <x v="25"/>
    <n v="-12.100756000000001"/>
    <n v="21.938649999999999"/>
    <x v="2"/>
    <s v="Huawei"/>
    <s v="CLI-01818"/>
    <s v="Haut-Uele"/>
    <n v="35"/>
    <s v="Illimité 50Go"/>
    <x v="61"/>
    <x v="61"/>
    <n v="29.57"/>
    <n v="5"/>
  </r>
  <r>
    <s v="Logs_Reseau_Part_03.xlsx"/>
    <d v="2023-10-07T00:00:00"/>
    <d v="1899-12-30T16:30:00"/>
    <s v="ANT-0797"/>
    <n v="76"/>
    <s v="En Cours"/>
    <s v="ANT-0797"/>
    <x v="25"/>
    <n v="-12.100756000000001"/>
    <n v="21.938649999999999"/>
    <x v="2"/>
    <s v="Huawei"/>
    <s v="CLI-00782"/>
    <s v="Haut-Uele"/>
    <n v="59"/>
    <s v="Pro Monde"/>
    <x v="287"/>
    <x v="287"/>
    <n v="94.51"/>
    <n v="2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0584"/>
    <s v="Kasai-Oriental"/>
    <n v="6"/>
    <s v="Pro Monde"/>
    <x v="323"/>
    <x v="323"/>
    <n v="50.55"/>
    <n v="5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1668"/>
    <s v="Kasai-Central"/>
    <n v="47"/>
    <s v="Premium 5G 150Go"/>
    <x v="324"/>
    <x v="324"/>
    <n v="84.93"/>
    <n v="2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340"/>
    <s v="Sud-Ubangi"/>
    <n v="110"/>
    <s v="Bloqué 5Go"/>
    <x v="225"/>
    <x v="225"/>
    <n v="21.31"/>
    <n v="5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0316"/>
    <s v="Sud-Ubangi"/>
    <n v="37"/>
    <s v="Premium 5G 150Go"/>
    <x v="181"/>
    <x v="181"/>
    <n v="50.44"/>
    <n v="4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0247"/>
    <s v="Kwango"/>
    <n v="52"/>
    <s v="Premium 5G 150Go"/>
    <x v="232"/>
    <x v="232"/>
    <n v="97.25"/>
    <n v="0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612"/>
    <s v="Mai-Ndombe"/>
    <n v="53"/>
    <s v="Pro Monde"/>
    <x v="62"/>
    <x v="62"/>
    <n v="18.77"/>
    <n v="0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1006"/>
    <s v="Nord-Ubangi"/>
    <n v="110"/>
    <s v="Illimité 50Go"/>
    <x v="325"/>
    <x v="325"/>
    <n v="29.68"/>
    <n v="0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0886"/>
    <s v="Mongala"/>
    <n v="80"/>
    <s v="Pro Monde"/>
    <x v="326"/>
    <x v="326"/>
    <n v="98.11"/>
    <n v="0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0636"/>
    <s v="Bas-Uele"/>
    <n v="118"/>
    <s v="Bloqué 5Go"/>
    <x v="37"/>
    <x v="37"/>
    <n v="47.82"/>
    <n v="5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403"/>
    <s v="Kwilu"/>
    <n v="88"/>
    <s v="Premium 5G 150Go"/>
    <x v="3"/>
    <x v="3"/>
    <n v="59.15"/>
    <n v="0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236"/>
    <s v="Haut-Katanga"/>
    <n v="17"/>
    <s v="Pro Monde"/>
    <x v="247"/>
    <x v="247"/>
    <n v="24.95"/>
    <n v="4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0269"/>
    <s v="Kinshasa"/>
    <n v="57"/>
    <s v="Bloqué 5Go"/>
    <x v="158"/>
    <x v="158"/>
    <n v="43.98"/>
    <n v="3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736"/>
    <s v="Mai-Ndombe"/>
    <n v="47"/>
    <s v="Illimité 50Go"/>
    <x v="185"/>
    <x v="185"/>
    <n v="41.33"/>
    <n v="0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1363"/>
    <s v="Lualaba"/>
    <n v="66"/>
    <s v="Pro Monde"/>
    <x v="172"/>
    <x v="172"/>
    <n v="95.71"/>
    <n v="3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0197"/>
    <s v="Sankuru"/>
    <n v="109"/>
    <s v="Illimité 50Go"/>
    <x v="327"/>
    <x v="327"/>
    <n v="97.46"/>
    <n v="5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1981"/>
    <s v="Equateur"/>
    <n v="80"/>
    <s v="Illimité 50Go"/>
    <x v="184"/>
    <x v="184"/>
    <n v="61.92"/>
    <n v="4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050"/>
    <s v="Haut-Katanga"/>
    <n v="41"/>
    <s v="Premium 5G 150Go"/>
    <x v="328"/>
    <x v="328"/>
    <n v="11.29"/>
    <n v="4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783"/>
    <s v="Haut-Katanga"/>
    <n v="48"/>
    <s v="Bloqué 5Go"/>
    <x v="131"/>
    <x v="131"/>
    <n v="83.24"/>
    <n v="0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1003"/>
    <s v="Kwango"/>
    <n v="11"/>
    <s v="Pro Monde"/>
    <x v="24"/>
    <x v="24"/>
    <n v="11.46"/>
    <n v="5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0913"/>
    <s v="Bas-Uele"/>
    <n v="88"/>
    <s v="Bloqué 5Go"/>
    <x v="188"/>
    <x v="188"/>
    <n v="90.7"/>
    <n v="3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795"/>
    <s v="Kwilu"/>
    <n v="53"/>
    <s v="Premium 5G 150Go"/>
    <x v="329"/>
    <x v="329"/>
    <n v="55.19"/>
    <n v="4"/>
  </r>
  <r>
    <s v="Logs_Reseau_Part_03.xlsx"/>
    <d v="2023-10-07T00:00:00"/>
    <d v="1899-12-30T16:30:00"/>
    <s v="ANT-0797"/>
    <n v="76"/>
    <s v="En Cours"/>
    <s v="ANT-0797"/>
    <x v="25"/>
    <n v="-12.100756000000001"/>
    <n v="21.938649999999999"/>
    <x v="2"/>
    <s v="Huawei"/>
    <s v="CLI-00976"/>
    <s v="Haut-Uele"/>
    <n v="65"/>
    <s v="Pro Monde"/>
    <x v="33"/>
    <x v="33"/>
    <n v="88.1"/>
    <n v="4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0550"/>
    <s v="Maniema"/>
    <n v="58"/>
    <s v="Pro Monde"/>
    <x v="156"/>
    <x v="156"/>
    <n v="72.94"/>
    <n v="0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1544"/>
    <s v="Kasai"/>
    <n v="34"/>
    <s v="Illimité 50Go"/>
    <x v="330"/>
    <x v="330"/>
    <n v="68.400000000000006"/>
    <n v="5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1722"/>
    <s v="Kasai-Oriental"/>
    <n v="51"/>
    <s v="Illimité 50Go"/>
    <x v="172"/>
    <x v="172"/>
    <n v="34.630000000000003"/>
    <n v="2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1654"/>
    <s v="Lualaba"/>
    <n v="25"/>
    <s v="Bloqué 5Go"/>
    <x v="166"/>
    <x v="166"/>
    <n v="27.93"/>
    <n v="0"/>
  </r>
  <r>
    <s v="Logs_Reseau_Part_03.xlsx"/>
    <d v="2023-10-07T00:00:00"/>
    <d v="1899-12-30T16:30:00"/>
    <s v="ANT-0797"/>
    <n v="76"/>
    <s v="En Cours"/>
    <s v="ANT-0797"/>
    <x v="25"/>
    <n v="-12.100756000000001"/>
    <n v="21.938649999999999"/>
    <x v="2"/>
    <s v="Huawei"/>
    <s v="CLI-01847"/>
    <s v="Haut-Uele"/>
    <n v="79"/>
    <s v="Bloqué 5Go"/>
    <x v="94"/>
    <x v="94"/>
    <n v="18.28"/>
    <n v="0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1816"/>
    <s v="Equateur"/>
    <n v="83"/>
    <s v="Pro Monde"/>
    <x v="103"/>
    <x v="103"/>
    <n v="73.73"/>
    <n v="2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755"/>
    <s v="Nord-Kivu"/>
    <n v="51"/>
    <s v="Bloqué 5Go"/>
    <x v="294"/>
    <x v="294"/>
    <n v="68.67"/>
    <n v="5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258"/>
    <s v="Kwilu"/>
    <n v="107"/>
    <s v="Illimité 50Go"/>
    <x v="35"/>
    <x v="35"/>
    <n v="52.03"/>
    <n v="0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0382"/>
    <s v="Kasai-Central"/>
    <n v="7"/>
    <s v="Pro Monde"/>
    <x v="252"/>
    <x v="252"/>
    <n v="82.81"/>
    <n v="5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0890"/>
    <s v="Bas-Uele"/>
    <n v="103"/>
    <s v="Premium 5G 150Go"/>
    <x v="276"/>
    <x v="276"/>
    <n v="49.25"/>
    <n v="2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292"/>
    <s v="Kwilu"/>
    <n v="120"/>
    <s v="Illimité 50Go"/>
    <x v="331"/>
    <x v="331"/>
    <n v="95.17"/>
    <n v="1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0873"/>
    <s v="Sud-Kivu"/>
    <n v="74"/>
    <s v="Illimité 50Go"/>
    <x v="332"/>
    <x v="332"/>
    <n v="93.01"/>
    <n v="3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191"/>
    <s v="Haut-Katanga"/>
    <n v="55"/>
    <s v="Illimité 50Go"/>
    <x v="12"/>
    <x v="12"/>
    <n v="32.51"/>
    <n v="4"/>
  </r>
  <r>
    <s v="Logs_Reseau_Part_03.xlsx"/>
    <d v="2023-10-07T00:00:00"/>
    <d v="1899-12-30T16:30:00"/>
    <s v="ANT-0797"/>
    <n v="76"/>
    <s v="En Cours"/>
    <s v="ANT-0797"/>
    <x v="25"/>
    <n v="-12.100756000000001"/>
    <n v="21.938649999999999"/>
    <x v="2"/>
    <s v="Huawei"/>
    <s v="CLI-00083"/>
    <s v="Haut-Uele"/>
    <n v="17"/>
    <s v="Premium 5G 150Go"/>
    <x v="333"/>
    <x v="333"/>
    <n v="27.81"/>
    <n v="2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052"/>
    <s v="Ituri"/>
    <n v="82"/>
    <s v="Illimité 50Go"/>
    <x v="247"/>
    <x v="247"/>
    <n v="86.14"/>
    <n v="1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0700"/>
    <s v="Mongala"/>
    <n v="50"/>
    <s v="Illimité 50Go"/>
    <x v="334"/>
    <x v="334"/>
    <n v="74.569999999999993"/>
    <n v="4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0950"/>
    <s v="Tanganyika"/>
    <n v="94"/>
    <s v="Pro Monde"/>
    <x v="202"/>
    <x v="202"/>
    <n v="96.57"/>
    <n v="0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386"/>
    <s v="Haut-Katanga"/>
    <n v="23"/>
    <s v="Premium 5G 150Go"/>
    <x v="335"/>
    <x v="335"/>
    <n v="19.260000000000002"/>
    <n v="3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704"/>
    <s v="Haut-Lomami"/>
    <n v="52"/>
    <s v="Bloqué 5Go"/>
    <x v="316"/>
    <x v="316"/>
    <n v="81.38"/>
    <n v="2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1327"/>
    <s v="Nord-Kivu"/>
    <n v="116"/>
    <s v="Premium 5G 150Go"/>
    <x v="336"/>
    <x v="336"/>
    <n v="62.88"/>
    <n v="4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1406"/>
    <s v="Kinshasa"/>
    <n v="41"/>
    <s v="Bloqué 5Go"/>
    <x v="337"/>
    <x v="337"/>
    <n v="24.91"/>
    <n v="1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0318"/>
    <s v="Sud-Kivu"/>
    <n v="67"/>
    <s v="Illimité 50Go"/>
    <x v="308"/>
    <x v="308"/>
    <n v="28.52"/>
    <n v="4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015"/>
    <s v="Haut-Katanga"/>
    <n v="21"/>
    <s v="Bloqué 5Go"/>
    <x v="338"/>
    <x v="338"/>
    <n v="74.989999999999995"/>
    <n v="1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1080"/>
    <s v="Kasai-Oriental"/>
    <n v="56"/>
    <s v="Bloqué 5Go"/>
    <x v="339"/>
    <x v="339"/>
    <n v="49.01"/>
    <n v="0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1290"/>
    <s v="Tshopo"/>
    <n v="30"/>
    <s v="Bloqué 5Go"/>
    <x v="340"/>
    <x v="340"/>
    <n v="50.15"/>
    <n v="4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473"/>
    <s v="Sankuru"/>
    <n v="13"/>
    <s v="Pro Monde"/>
    <x v="254"/>
    <x v="254"/>
    <n v="63.67"/>
    <n v="2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1075"/>
    <s v="Lomami"/>
    <n v="91"/>
    <s v="Bloqué 5Go"/>
    <x v="341"/>
    <x v="341"/>
    <n v="34.450000000000003"/>
    <n v="5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1971"/>
    <s v="Tshuapa"/>
    <n v="103"/>
    <s v="Bloqué 5Go"/>
    <x v="68"/>
    <x v="68"/>
    <n v="38.69"/>
    <n v="4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0596"/>
    <s v="Lomami"/>
    <n v="17"/>
    <s v="Illimité 50Go"/>
    <x v="276"/>
    <x v="276"/>
    <n v="19.68"/>
    <n v="5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871"/>
    <s v="Sankuru"/>
    <n v="65"/>
    <s v="Premium 5G 150Go"/>
    <x v="205"/>
    <x v="205"/>
    <n v="44.47"/>
    <n v="0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896"/>
    <s v="Haut-Katanga"/>
    <n v="16"/>
    <s v="Premium 5G 150Go"/>
    <x v="33"/>
    <x v="33"/>
    <n v="27.97"/>
    <n v="4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0163"/>
    <s v="Ituri"/>
    <n v="81"/>
    <s v="Illimité 50Go"/>
    <x v="22"/>
    <x v="22"/>
    <n v="41.76"/>
    <n v="5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0979"/>
    <s v="Tshuapa"/>
    <n v="74"/>
    <s v="Bloqué 5Go"/>
    <x v="342"/>
    <x v="342"/>
    <n v="90.81"/>
    <n v="3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0616"/>
    <s v="Kasai-Oriental"/>
    <n v="101"/>
    <s v="Bloqué 5Go"/>
    <x v="18"/>
    <x v="18"/>
    <n v="83.74"/>
    <n v="5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1578"/>
    <s v="Kinshasa"/>
    <n v="51"/>
    <s v="Pro Monde"/>
    <x v="92"/>
    <x v="92"/>
    <n v="50.45"/>
    <n v="3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604"/>
    <s v="Ituri"/>
    <n v="108"/>
    <s v="Premium 5G 150Go"/>
    <x v="343"/>
    <x v="343"/>
    <n v="90.05"/>
    <n v="2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1669"/>
    <s v="Kongo-Central"/>
    <n v="98"/>
    <s v="Illimité 50Go"/>
    <x v="344"/>
    <x v="344"/>
    <n v="96.23"/>
    <n v="2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1419"/>
    <s v="Kinshasa"/>
    <n v="81"/>
    <s v="Pro Monde"/>
    <x v="167"/>
    <x v="167"/>
    <n v="32.78"/>
    <n v="1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0510"/>
    <s v="Kinshasa"/>
    <n v="118"/>
    <s v="Bloqué 5Go"/>
    <x v="345"/>
    <x v="345"/>
    <n v="46.88"/>
    <n v="1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1072"/>
    <s v="Mai-Ndombe"/>
    <n v="34"/>
    <s v="Pro Monde"/>
    <x v="311"/>
    <x v="311"/>
    <n v="64.349999999999994"/>
    <n v="0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876"/>
    <s v="Haut-Katanga"/>
    <n v="108"/>
    <s v="Bloqué 5Go"/>
    <x v="53"/>
    <x v="53"/>
    <n v="88.95"/>
    <n v="3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0606"/>
    <s v="Sud-Kivu"/>
    <n v="71"/>
    <s v="Pro Monde"/>
    <x v="43"/>
    <x v="43"/>
    <n v="95.53"/>
    <n v="3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1165"/>
    <s v="Tshopo"/>
    <n v="21"/>
    <s v="Bloqué 5Go"/>
    <x v="205"/>
    <x v="205"/>
    <n v="57.74"/>
    <n v="0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0098"/>
    <s v="Haut-Lomami"/>
    <n v="42"/>
    <s v="Pro Monde"/>
    <x v="346"/>
    <x v="346"/>
    <n v="45.85"/>
    <n v="2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129"/>
    <s v="Sud-Ubangi"/>
    <n v="27"/>
    <s v="Bloqué 5Go"/>
    <x v="347"/>
    <x v="347"/>
    <n v="20.32"/>
    <n v="3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0157"/>
    <s v="Maniema"/>
    <n v="12"/>
    <s v="Illimité 50Go"/>
    <x v="7"/>
    <x v="7"/>
    <n v="82.81"/>
    <n v="0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0093"/>
    <s v="Maniema"/>
    <n v="12"/>
    <s v="Pro Monde"/>
    <x v="258"/>
    <x v="258"/>
    <n v="48.64"/>
    <n v="0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1438"/>
    <s v="Kasai"/>
    <n v="4"/>
    <s v="Pro Monde"/>
    <x v="348"/>
    <x v="348"/>
    <n v="26.73"/>
    <n v="3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0221"/>
    <s v="Nord-Ubangi"/>
    <n v="56"/>
    <s v="Premium 5G 150Go"/>
    <x v="169"/>
    <x v="169"/>
    <n v="32.08"/>
    <n v="1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046"/>
    <s v="Ituri"/>
    <n v="2"/>
    <s v="Pro Monde"/>
    <x v="349"/>
    <x v="349"/>
    <n v="29.37"/>
    <n v="4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0871"/>
    <s v="Kasai-Oriental"/>
    <n v="81"/>
    <s v="Illimité 50Go"/>
    <x v="281"/>
    <x v="281"/>
    <n v="43.45"/>
    <n v="2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1820"/>
    <s v="Equateur"/>
    <n v="99"/>
    <s v="Illimité 50Go"/>
    <x v="27"/>
    <x v="27"/>
    <n v="23.05"/>
    <n v="4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530"/>
    <s v="Sankuru"/>
    <n v="18"/>
    <s v="Pro Monde"/>
    <x v="48"/>
    <x v="48"/>
    <n v="57.66"/>
    <n v="1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0952"/>
    <s v="Kinshasa"/>
    <n v="14"/>
    <s v="Pro Monde"/>
    <x v="58"/>
    <x v="58"/>
    <n v="54.43"/>
    <n v="3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1354"/>
    <s v="Mongala"/>
    <n v="42"/>
    <s v="Bloqué 5Go"/>
    <x v="350"/>
    <x v="350"/>
    <n v="49.02"/>
    <n v="0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410"/>
    <s v="Haut-Katanga"/>
    <n v="111"/>
    <s v="Illimité 50Go"/>
    <x v="193"/>
    <x v="193"/>
    <n v="71.3"/>
    <n v="0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1868"/>
    <s v="Nord-Ubangi"/>
    <n v="89"/>
    <s v="Pro Monde"/>
    <x v="139"/>
    <x v="139"/>
    <n v="68.17"/>
    <n v="0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0728"/>
    <s v="Kinshasa"/>
    <n v="93"/>
    <s v="Pro Monde"/>
    <x v="351"/>
    <x v="351"/>
    <n v="96.31"/>
    <n v="4"/>
  </r>
  <r>
    <s v="Logs_Reseau_Part_03.xlsx"/>
    <d v="2023-10-07T00:00:00"/>
    <d v="1899-12-30T16:30:00"/>
    <s v="ANT-0797"/>
    <n v="76"/>
    <s v="En Cours"/>
    <s v="ANT-0797"/>
    <x v="25"/>
    <n v="-12.100756000000001"/>
    <n v="21.938649999999999"/>
    <x v="2"/>
    <s v="Huawei"/>
    <s v="CLI-00522"/>
    <s v="Haut-Uele"/>
    <n v="56"/>
    <s v="Premium 5G 150Go"/>
    <x v="231"/>
    <x v="231"/>
    <n v="29.76"/>
    <n v="5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542"/>
    <s v="Sankuru"/>
    <n v="29"/>
    <s v="Premium 5G 150Go"/>
    <x v="352"/>
    <x v="352"/>
    <n v="14.78"/>
    <n v="2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168"/>
    <s v="Mai-Ndombe"/>
    <n v="22"/>
    <s v="Pro Monde"/>
    <x v="324"/>
    <x v="324"/>
    <n v="13.21"/>
    <n v="1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1619"/>
    <s v="Nord-Kivu"/>
    <n v="12"/>
    <s v="Illimité 50Go"/>
    <x v="353"/>
    <x v="353"/>
    <n v="33.96"/>
    <n v="4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0034"/>
    <s v="Kongo-Central"/>
    <n v="25"/>
    <s v="Bloqué 5Go"/>
    <x v="118"/>
    <x v="118"/>
    <n v="15.93"/>
    <n v="4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0234"/>
    <s v="Equateur"/>
    <n v="93"/>
    <s v="Premium 5G 150Go"/>
    <x v="120"/>
    <x v="120"/>
    <n v="19.09"/>
    <n v="1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1355"/>
    <s v="Tshopo"/>
    <n v="116"/>
    <s v="Premium 5G 150Go"/>
    <x v="117"/>
    <x v="117"/>
    <n v="30.38"/>
    <n v="1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1731"/>
    <s v="Kongo-Central"/>
    <n v="104"/>
    <s v="Bloqué 5Go"/>
    <x v="329"/>
    <x v="329"/>
    <n v="65.819999999999993"/>
    <n v="0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1622"/>
    <s v="Maniema"/>
    <n v="48"/>
    <s v="Premium 5G 150Go"/>
    <x v="106"/>
    <x v="106"/>
    <n v="74.42"/>
    <n v="0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0374"/>
    <s v="Mongala"/>
    <n v="105"/>
    <s v="Illimité 50Go"/>
    <x v="354"/>
    <x v="354"/>
    <n v="45.27"/>
    <n v="2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1861"/>
    <s v="Kinshasa"/>
    <n v="116"/>
    <s v="Illimité 50Go"/>
    <x v="64"/>
    <x v="64"/>
    <n v="19.12"/>
    <n v="5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1432"/>
    <s v="Kwango"/>
    <n v="69"/>
    <s v="Bloqué 5Go"/>
    <x v="219"/>
    <x v="219"/>
    <n v="76.05"/>
    <n v="2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0171"/>
    <s v="Bas-Uele"/>
    <n v="1"/>
    <s v="Bloqué 5Go"/>
    <x v="355"/>
    <x v="355"/>
    <n v="89.16"/>
    <n v="3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535"/>
    <s v="Kwilu"/>
    <n v="120"/>
    <s v="Pro Monde"/>
    <x v="12"/>
    <x v="12"/>
    <n v="34.14"/>
    <n v="3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843"/>
    <s v="Haut-Katanga"/>
    <n v="89"/>
    <s v="Bloqué 5Go"/>
    <x v="254"/>
    <x v="254"/>
    <n v="28.51"/>
    <n v="5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780"/>
    <s v="Ituri"/>
    <n v="112"/>
    <s v="Illimité 50Go"/>
    <x v="356"/>
    <x v="356"/>
    <n v="80.72"/>
    <n v="2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203"/>
    <s v="Haut-Lomami"/>
    <n v="7"/>
    <s v="Bloqué 5Go"/>
    <x v="26"/>
    <x v="26"/>
    <n v="41.29"/>
    <n v="4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0932"/>
    <s v="Sankuru"/>
    <n v="34"/>
    <s v="Illimité 50Go"/>
    <x v="296"/>
    <x v="296"/>
    <n v="35.92"/>
    <n v="2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1373"/>
    <s v="Lomami"/>
    <n v="114"/>
    <s v="Pro Monde"/>
    <x v="357"/>
    <x v="357"/>
    <n v="63.67"/>
    <n v="5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0922"/>
    <s v="Maniema"/>
    <n v="101"/>
    <s v="Pro Monde"/>
    <x v="73"/>
    <x v="73"/>
    <n v="76.05"/>
    <n v="3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1278"/>
    <s v="Lualaba"/>
    <n v="6"/>
    <s v="Illimité 50Go"/>
    <x v="358"/>
    <x v="358"/>
    <n v="18.48"/>
    <n v="2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0543"/>
    <s v="Sud-Kivu"/>
    <n v="15"/>
    <s v="Pro Monde"/>
    <x v="251"/>
    <x v="251"/>
    <n v="55.29"/>
    <n v="2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1728"/>
    <s v="Nord-Kivu"/>
    <n v="7"/>
    <s v="Bloqué 5Go"/>
    <x v="300"/>
    <x v="300"/>
    <n v="73.040000000000006"/>
    <n v="3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0384"/>
    <s v="Kwango"/>
    <n v="39"/>
    <s v="Premium 5G 150Go"/>
    <x v="357"/>
    <x v="357"/>
    <n v="52.91"/>
    <n v="0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1496"/>
    <s v="Equateur"/>
    <n v="10"/>
    <s v="Illimité 50Go"/>
    <x v="116"/>
    <x v="116"/>
    <n v="37.479999999999997"/>
    <n v="2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0380"/>
    <s v="Lualaba"/>
    <n v="34"/>
    <s v="Premium 5G 150Go"/>
    <x v="359"/>
    <x v="359"/>
    <n v="91.6"/>
    <n v="2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0161"/>
    <s v="Maniema"/>
    <n v="43"/>
    <s v="Premium 5G 150Go"/>
    <x v="62"/>
    <x v="62"/>
    <n v="31.48"/>
    <n v="5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1238"/>
    <s v="Bas-Uele"/>
    <n v="89"/>
    <s v="Pro Monde"/>
    <x v="264"/>
    <x v="264"/>
    <n v="38.36"/>
    <n v="2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0532"/>
    <s v="Sud-Ubangi"/>
    <n v="79"/>
    <s v="Illimité 50Go"/>
    <x v="360"/>
    <x v="360"/>
    <n v="16.25"/>
    <n v="4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1520"/>
    <s v="Kongo-Central"/>
    <n v="102"/>
    <s v="Bloqué 5Go"/>
    <x v="361"/>
    <x v="361"/>
    <n v="26.86"/>
    <n v="5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889"/>
    <s v="Nord-Kivu"/>
    <n v="104"/>
    <s v="Illimité 50Go"/>
    <x v="362"/>
    <x v="362"/>
    <n v="90.99"/>
    <n v="4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095"/>
    <s v="Sankuru"/>
    <n v="49"/>
    <s v="Illimité 50Go"/>
    <x v="363"/>
    <x v="363"/>
    <n v="22.77"/>
    <n v="3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0037"/>
    <s v="Tanganyika"/>
    <n v="35"/>
    <s v="Premium 5G 150Go"/>
    <x v="59"/>
    <x v="59"/>
    <n v="11.15"/>
    <n v="0"/>
  </r>
  <r>
    <s v="Logs_Reseau_Part_03.xlsx"/>
    <d v="2023-10-07T00:00:00"/>
    <d v="1899-12-30T16:30:00"/>
    <s v="ANT-0797"/>
    <n v="76"/>
    <s v="En Cours"/>
    <s v="ANT-0797"/>
    <x v="25"/>
    <n v="-12.100756000000001"/>
    <n v="21.938649999999999"/>
    <x v="2"/>
    <s v="Huawei"/>
    <s v="CLI-01759"/>
    <s v="Haut-Uele"/>
    <n v="90"/>
    <s v="Pro Monde"/>
    <x v="364"/>
    <x v="364"/>
    <n v="52.71"/>
    <n v="2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1629"/>
    <s v="Bas-Uele"/>
    <n v="22"/>
    <s v="Pro Monde"/>
    <x v="365"/>
    <x v="365"/>
    <n v="40.06"/>
    <n v="5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0239"/>
    <s v="Mongala"/>
    <n v="119"/>
    <s v="Illimité 50Go"/>
    <x v="198"/>
    <x v="198"/>
    <n v="25.98"/>
    <n v="4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028"/>
    <s v="Kwilu"/>
    <n v="18"/>
    <s v="Pro Monde"/>
    <x v="143"/>
    <x v="143"/>
    <n v="33.74"/>
    <n v="5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0352"/>
    <s v="Sud-Kivu"/>
    <n v="75"/>
    <s v="Illimité 50Go"/>
    <x v="282"/>
    <x v="282"/>
    <n v="16.93"/>
    <n v="5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503"/>
    <s v="Sud-Ubangi"/>
    <n v="59"/>
    <s v="Bloqué 5Go"/>
    <x v="322"/>
    <x v="322"/>
    <n v="71.13"/>
    <n v="0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978"/>
    <s v="Kwilu"/>
    <n v="16"/>
    <s v="Premium 5G 150Go"/>
    <x v="312"/>
    <x v="312"/>
    <n v="86.78"/>
    <n v="1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1876"/>
    <s v="Kinshasa"/>
    <n v="17"/>
    <s v="Pro Monde"/>
    <x v="196"/>
    <x v="196"/>
    <n v="63.46"/>
    <n v="3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0830"/>
    <s v="Kasai-Oriental"/>
    <n v="41"/>
    <s v="Illimité 50Go"/>
    <x v="320"/>
    <x v="320"/>
    <n v="97.26"/>
    <n v="1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1507"/>
    <s v="Kongo-Central"/>
    <n v="111"/>
    <s v="Premium 5G 150Go"/>
    <x v="70"/>
    <x v="70"/>
    <n v="62.48"/>
    <n v="5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1969"/>
    <s v="Kinshasa"/>
    <n v="19"/>
    <s v="Bloqué 5Go"/>
    <x v="292"/>
    <x v="292"/>
    <n v="53.95"/>
    <n v="1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0997"/>
    <s v="Haut-Lomami"/>
    <n v="20"/>
    <s v="Bloqué 5Go"/>
    <x v="237"/>
    <x v="237"/>
    <n v="14.77"/>
    <n v="0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0621"/>
    <s v="Tanganyika"/>
    <n v="67"/>
    <s v="Premium 5G 150Go"/>
    <x v="18"/>
    <x v="18"/>
    <n v="28.46"/>
    <n v="3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267"/>
    <s v="Ituri"/>
    <n v="38"/>
    <s v="Illimité 50Go"/>
    <x v="122"/>
    <x v="122"/>
    <n v="22.97"/>
    <n v="3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1264"/>
    <s v="Sud-Kivu"/>
    <n v="80"/>
    <s v="Bloqué 5Go"/>
    <x v="366"/>
    <x v="366"/>
    <n v="76.64"/>
    <n v="3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1600"/>
    <s v="Kasai-Central"/>
    <n v="72"/>
    <s v="Pro Monde"/>
    <x v="86"/>
    <x v="86"/>
    <n v="54.58"/>
    <n v="1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360"/>
    <s v="Haut-Lomami"/>
    <n v="86"/>
    <s v="Premium 5G 150Go"/>
    <x v="260"/>
    <x v="260"/>
    <n v="30.12"/>
    <n v="0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1630"/>
    <s v="Kwango"/>
    <n v="21"/>
    <s v="Illimité 50Go"/>
    <x v="53"/>
    <x v="53"/>
    <n v="70.81"/>
    <n v="2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0180"/>
    <s v="Kasai-Central"/>
    <n v="39"/>
    <s v="Pro Monde"/>
    <x v="367"/>
    <x v="367"/>
    <n v="86.7"/>
    <n v="3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257"/>
    <s v="Nord-Kivu"/>
    <n v="63"/>
    <s v="Pro Monde"/>
    <x v="368"/>
    <x v="368"/>
    <n v="37.08"/>
    <n v="0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0277"/>
    <s v="Mongala"/>
    <n v="37"/>
    <s v="Pro Monde"/>
    <x v="322"/>
    <x v="322"/>
    <n v="37.979999999999997"/>
    <n v="4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714"/>
    <s v="Kwilu"/>
    <n v="9"/>
    <s v="Bloqué 5Go"/>
    <x v="62"/>
    <x v="62"/>
    <n v="99.02"/>
    <n v="3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1701"/>
    <s v="Lomami"/>
    <n v="103"/>
    <s v="Premium 5G 150Go"/>
    <x v="369"/>
    <x v="369"/>
    <n v="10.58"/>
    <n v="0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1949"/>
    <s v="Mongala"/>
    <n v="38"/>
    <s v="Premium 5G 150Go"/>
    <x v="370"/>
    <x v="370"/>
    <n v="53.65"/>
    <n v="4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0033"/>
    <s v="Tshuapa"/>
    <n v="2"/>
    <s v="Premium 5G 150Go"/>
    <x v="371"/>
    <x v="371"/>
    <n v="71.900000000000006"/>
    <n v="2"/>
  </r>
  <r>
    <s v="Logs_Reseau_Part_10.xlsx"/>
    <d v="2023-10-23T00:00:00"/>
    <d v="1899-12-30T14:02:00"/>
    <s v="ANT-0870"/>
    <n v="15"/>
    <s v="En Cours"/>
    <s v="ANT-0870"/>
    <x v="18"/>
    <n v="-9.1215879999999991"/>
    <n v="16.457916999999998"/>
    <x v="2"/>
    <s v="Nokia"/>
    <s v="CLI-00386"/>
    <s v="Equateur"/>
    <n v="59"/>
    <s v="Illimité 50Go"/>
    <x v="281"/>
    <x v="281"/>
    <n v="20.32"/>
    <n v="0"/>
  </r>
  <r>
    <s v="Logs_Reseau_Part_03.xlsx"/>
    <d v="2023-10-07T00:00:00"/>
    <d v="1899-12-30T16:30:00"/>
    <s v="ANT-0797"/>
    <n v="76"/>
    <s v="En Cours"/>
    <s v="ANT-0797"/>
    <x v="25"/>
    <n v="-12.100756000000001"/>
    <n v="21.938649999999999"/>
    <x v="2"/>
    <s v="Huawei"/>
    <s v="CLI-00055"/>
    <s v="Haut-Uele"/>
    <n v="6"/>
    <s v="Pro Monde"/>
    <x v="196"/>
    <x v="196"/>
    <n v="10"/>
    <n v="5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0429"/>
    <s v="Tshopo"/>
    <n v="28"/>
    <s v="Premium 5G 150Go"/>
    <x v="255"/>
    <x v="255"/>
    <n v="64.34"/>
    <n v="5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0986"/>
    <s v="Kasai"/>
    <n v="37"/>
    <s v="Illimité 50Go"/>
    <x v="135"/>
    <x v="135"/>
    <n v="20.89"/>
    <n v="5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1329"/>
    <s v="Lomami"/>
    <n v="106"/>
    <s v="Illimité 50Go"/>
    <x v="58"/>
    <x v="58"/>
    <n v="18.72"/>
    <n v="4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0298"/>
    <s v="Tshuapa"/>
    <n v="76"/>
    <s v="Premium 5G 150Go"/>
    <x v="372"/>
    <x v="372"/>
    <n v="28.39"/>
    <n v="3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0496"/>
    <s v="Sud-Kivu"/>
    <n v="16"/>
    <s v="Illimité 50Go"/>
    <x v="289"/>
    <x v="289"/>
    <n v="52.64"/>
    <n v="0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1591"/>
    <s v="Maniema"/>
    <n v="7"/>
    <s v="Pro Monde"/>
    <x v="200"/>
    <x v="200"/>
    <n v="84.95"/>
    <n v="2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1283"/>
    <s v="Nord-Kivu"/>
    <n v="63"/>
    <s v="Illimité 50Go"/>
    <x v="342"/>
    <x v="342"/>
    <n v="49.94"/>
    <n v="1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1104"/>
    <s v="Nord-Ubangi"/>
    <n v="40"/>
    <s v="Premium 5G 150Go"/>
    <x v="353"/>
    <x v="353"/>
    <n v="15.01"/>
    <n v="3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1339"/>
    <s v="Ituri"/>
    <n v="1"/>
    <s v="Premium 5G 150Go"/>
    <x v="108"/>
    <x v="108"/>
    <n v="20.96"/>
    <n v="5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0177"/>
    <s v="Lomami"/>
    <n v="56"/>
    <s v="Bloqué 5Go"/>
    <x v="62"/>
    <x v="62"/>
    <n v="46.41"/>
    <n v="3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848"/>
    <s v="Sankuru"/>
    <n v="46"/>
    <s v="Premium 5G 150Go"/>
    <x v="26"/>
    <x v="26"/>
    <n v="98.44"/>
    <n v="2"/>
  </r>
  <r>
    <s v="Logs_Reseau_Part_01.xlsx"/>
    <d v="2023-10-03T00:00:00"/>
    <d v="1899-12-30T06:14:00"/>
    <s v="ANT-0270"/>
    <n v="79"/>
    <s v="Résolu"/>
    <s v="ANT-0270"/>
    <x v="4"/>
    <n v="-1.648264"/>
    <n v="28.866143999999998"/>
    <x v="1"/>
    <s v="Ericsson"/>
    <s v="CLI-01436"/>
    <s v="Kasai-Central"/>
    <n v="85"/>
    <s v="Pro Monde"/>
    <x v="305"/>
    <x v="305"/>
    <n v="83.82"/>
    <n v="0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1555"/>
    <s v="Kongo-Central"/>
    <n v="107"/>
    <s v="Illimité 50Go"/>
    <x v="112"/>
    <x v="112"/>
    <n v="85.75"/>
    <n v="1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0971"/>
    <s v="Nord-Ubangi"/>
    <n v="1"/>
    <s v="Pro Monde"/>
    <x v="373"/>
    <x v="373"/>
    <n v="59.2"/>
    <n v="2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1998"/>
    <s v="Tshopo"/>
    <n v="7"/>
    <s v="Pro Monde"/>
    <x v="59"/>
    <x v="59"/>
    <n v="83.95"/>
    <n v="4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0045"/>
    <s v="Tanganyika"/>
    <n v="33"/>
    <s v="Bloqué 5Go"/>
    <x v="193"/>
    <x v="193"/>
    <n v="71.319999999999993"/>
    <n v="4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1543"/>
    <s v="Maniema"/>
    <n v="18"/>
    <s v="Illimité 50Go"/>
    <x v="359"/>
    <x v="359"/>
    <n v="87.34"/>
    <n v="1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0341"/>
    <s v="Sud-Ubangi"/>
    <n v="45"/>
    <s v="Pro Monde"/>
    <x v="70"/>
    <x v="70"/>
    <n v="65.540000000000006"/>
    <n v="2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313"/>
    <s v="Kwilu"/>
    <n v="113"/>
    <s v="Premium 5G 150Go"/>
    <x v="293"/>
    <x v="293"/>
    <n v="48.91"/>
    <n v="5"/>
  </r>
  <r>
    <s v="Logs_Reseau_Part_02.xlsx"/>
    <d v="2023-10-20T00:00:00"/>
    <d v="1899-12-30T02:26:00"/>
    <s v="ANT-0037"/>
    <n v="75"/>
    <s v="Résolu"/>
    <s v="ANT-0037"/>
    <x v="1"/>
    <n v="-7.0076900000000002"/>
    <n v="27.367121999999998"/>
    <x v="0"/>
    <s v="Nokia"/>
    <s v="CLI-00912"/>
    <s v="Ituri"/>
    <n v="37"/>
    <s v="Premium 5G 150Go"/>
    <x v="5"/>
    <x v="5"/>
    <n v="67.260000000000005"/>
    <n v="4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595"/>
    <s v="Haut-Katanga"/>
    <n v="101"/>
    <s v="Pro Monde"/>
    <x v="109"/>
    <x v="109"/>
    <n v="26.63"/>
    <n v="3"/>
  </r>
  <r>
    <s v="Logs_Reseau_Part_03.xlsx"/>
    <d v="2023-10-07T00:00:00"/>
    <d v="1899-12-30T16:30:00"/>
    <s v="ANT-0797"/>
    <n v="76"/>
    <s v="En Cours"/>
    <s v="ANT-0797"/>
    <x v="25"/>
    <n v="-12.100756000000001"/>
    <n v="21.938649999999999"/>
    <x v="2"/>
    <s v="Huawei"/>
    <s v="CLI-00966"/>
    <s v="Haut-Uele"/>
    <n v="110"/>
    <s v="Premium 5G 150Go"/>
    <x v="367"/>
    <x v="367"/>
    <n v="83.67"/>
    <n v="4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1975"/>
    <s v="Nord-Ubangi"/>
    <n v="65"/>
    <s v="Pro Monde"/>
    <x v="188"/>
    <x v="188"/>
    <n v="69.17"/>
    <n v="0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921"/>
    <s v="Haut-Katanga"/>
    <n v="86"/>
    <s v="Pro Monde"/>
    <x v="374"/>
    <x v="374"/>
    <n v="25.37"/>
    <n v="1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199"/>
    <s v="Haut-Katanga"/>
    <n v="99"/>
    <s v="Pro Monde"/>
    <x v="375"/>
    <x v="375"/>
    <n v="76.75"/>
    <n v="5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0497"/>
    <s v="Sud-Kivu"/>
    <n v="72"/>
    <s v="Pro Monde"/>
    <x v="187"/>
    <x v="187"/>
    <n v="59.2"/>
    <n v="1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0413"/>
    <s v="Sankuru"/>
    <n v="20"/>
    <s v="Pro Monde"/>
    <x v="54"/>
    <x v="54"/>
    <n v="52.85"/>
    <n v="2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604"/>
    <s v="Kwilu"/>
    <n v="12"/>
    <s v="Bloqué 5Go"/>
    <x v="341"/>
    <x v="341"/>
    <n v="36.1"/>
    <n v="5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1167"/>
    <s v="Kinshasa"/>
    <n v="92"/>
    <s v="Bloqué 5Go"/>
    <x v="339"/>
    <x v="339"/>
    <n v="70.08"/>
    <n v="5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0803"/>
    <s v="Bas-Uele"/>
    <n v="35"/>
    <s v="Pro Monde"/>
    <x v="152"/>
    <x v="152"/>
    <n v="96.32"/>
    <n v="4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0105"/>
    <s v="Tshuapa"/>
    <n v="19"/>
    <s v="Bloqué 5Go"/>
    <x v="141"/>
    <x v="141"/>
    <n v="54.37"/>
    <n v="2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684"/>
    <s v="Mai-Ndombe"/>
    <n v="94"/>
    <s v="Illimité 50Go"/>
    <x v="376"/>
    <x v="376"/>
    <n v="70.09"/>
    <n v="3"/>
  </r>
  <r>
    <s v="Logs_Reseau_Part_03.xlsx"/>
    <d v="2023-10-07T00:00:00"/>
    <d v="1899-12-30T16:30:00"/>
    <s v="ANT-0797"/>
    <n v="76"/>
    <s v="En Cours"/>
    <s v="ANT-0797"/>
    <x v="25"/>
    <n v="-12.100756000000001"/>
    <n v="21.938649999999999"/>
    <x v="2"/>
    <s v="Huawei"/>
    <s v="CLI-01851"/>
    <s v="Haut-Uele"/>
    <n v="26"/>
    <s v="Premium 5G 150Go"/>
    <x v="295"/>
    <x v="295"/>
    <n v="45.21"/>
    <n v="5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0211"/>
    <s v="Tshuapa"/>
    <n v="56"/>
    <s v="Illimité 50Go"/>
    <x v="377"/>
    <x v="377"/>
    <n v="72.790000000000006"/>
    <n v="1"/>
  </r>
  <r>
    <s v="Logs_Reseau_Part_02.xlsx"/>
    <d v="2023-10-14T00:00:00"/>
    <d v="1899-12-30T22:46:00"/>
    <s v="ANT-0760"/>
    <n v="72"/>
    <s v="Non Résolu"/>
    <s v="ANT-0760"/>
    <x v="17"/>
    <n v="-2.7140689999999998"/>
    <n v="22.222104000000002"/>
    <x v="2"/>
    <s v="Nokia"/>
    <s v="CLI-01442"/>
    <s v="Sankuru"/>
    <n v="97"/>
    <s v="Bloqué 5Go"/>
    <x v="98"/>
    <x v="98"/>
    <n v="19.37"/>
    <n v="5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885"/>
    <s v="Nord-Kivu"/>
    <n v="54"/>
    <s v="Illimité 50Go"/>
    <x v="130"/>
    <x v="130"/>
    <n v="54.69"/>
    <n v="0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0852"/>
    <s v="Kwango"/>
    <n v="119"/>
    <s v="Bloqué 5Go"/>
    <x v="378"/>
    <x v="378"/>
    <n v="30.27"/>
    <n v="5"/>
  </r>
  <r>
    <s v="Logs_Reseau_Part_02.xlsx"/>
    <d v="2023-10-22T00:00:00"/>
    <d v="1899-12-30T18:36:00"/>
    <s v="ANT-0855"/>
    <n v="24"/>
    <s v="Résolu"/>
    <s v="ANT-0855"/>
    <x v="5"/>
    <n v="-11.514188000000001"/>
    <n v="15.971181"/>
    <x v="1"/>
    <s v="Ericsson"/>
    <s v="CLI-01016"/>
    <s v="Mongala"/>
    <n v="9"/>
    <s v="Illimité 50Go"/>
    <x v="36"/>
    <x v="36"/>
    <n v="41.52"/>
    <n v="0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1186"/>
    <s v="Bas-Uele"/>
    <n v="8"/>
    <s v="Bloqué 5Go"/>
    <x v="302"/>
    <x v="302"/>
    <n v="52.98"/>
    <n v="0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1221"/>
    <s v="Nord-Kivu"/>
    <n v="79"/>
    <s v="Premium 5G 150Go"/>
    <x v="162"/>
    <x v="162"/>
    <n v="80.34"/>
    <n v="2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1136"/>
    <s v="Bas-Uele"/>
    <n v="33"/>
    <s v="Pro Monde"/>
    <x v="14"/>
    <x v="14"/>
    <n v="88.88"/>
    <n v="4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797"/>
    <s v="Sud-Ubangi"/>
    <n v="15"/>
    <s v="Bloqué 5Go"/>
    <x v="318"/>
    <x v="318"/>
    <n v="30.5"/>
    <n v="1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1995"/>
    <s v="Tshuapa"/>
    <n v="5"/>
    <s v="Premium 5G 150Go"/>
    <x v="239"/>
    <x v="239"/>
    <n v="93.81"/>
    <n v="3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0999"/>
    <s v="Kasai"/>
    <n v="109"/>
    <s v="Illimité 50Go"/>
    <x v="379"/>
    <x v="379"/>
    <n v="12.37"/>
    <n v="5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0819"/>
    <s v="Nord-Ubangi"/>
    <n v="96"/>
    <s v="Pro Monde"/>
    <x v="380"/>
    <x v="380"/>
    <n v="80.36"/>
    <n v="5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1977"/>
    <s v="Tanganyika"/>
    <n v="10"/>
    <s v="Illimité 50Go"/>
    <x v="60"/>
    <x v="60"/>
    <n v="27.66"/>
    <n v="2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1765"/>
    <s v="Tshopo"/>
    <n v="57"/>
    <s v="Illimité 50Go"/>
    <x v="20"/>
    <x v="20"/>
    <n v="64.73"/>
    <n v="1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1211"/>
    <s v="Lualaba"/>
    <n v="98"/>
    <s v="Pro Monde"/>
    <x v="272"/>
    <x v="272"/>
    <n v="44.14"/>
    <n v="3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1253"/>
    <s v="Tshuapa"/>
    <n v="48"/>
    <s v="Premium 5G 150Go"/>
    <x v="177"/>
    <x v="177"/>
    <n v="71.52"/>
    <n v="5"/>
  </r>
  <r>
    <s v="Logs_Reseau_Part_01.xlsx"/>
    <d v="2023-10-04T00:00:00"/>
    <d v="1899-12-30T12:17:00"/>
    <s v="ANT-0945"/>
    <n v="64"/>
    <s v="En Cours"/>
    <s v="ANT-0945"/>
    <x v="21"/>
    <n v="0.23583499999999999"/>
    <n v="24.889558999999998"/>
    <x v="0"/>
    <s v="ZTE"/>
    <s v="CLI-01000"/>
    <s v="Tshopo"/>
    <n v="78"/>
    <s v="Premium 5G 150Go"/>
    <x v="190"/>
    <x v="190"/>
    <n v="11.63"/>
    <n v="2"/>
  </r>
  <r>
    <s v="Logs_Reseau_Part_01.xlsx"/>
    <d v="2023-10-19T00:00:00"/>
    <d v="1899-12-30T08:51:00"/>
    <s v="ANT-0520"/>
    <n v="70"/>
    <s v="Résolu"/>
    <s v="ANT-0520"/>
    <x v="10"/>
    <n v="-8.4227860000000003"/>
    <n v="16.781293000000002"/>
    <x v="2"/>
    <s v="Huawei"/>
    <s v="CLI-00475"/>
    <s v="Lomami"/>
    <n v="81"/>
    <s v="Illimité 50Go"/>
    <x v="266"/>
    <x v="266"/>
    <n v="53.4"/>
    <n v="2"/>
  </r>
  <r>
    <s v="Logs_Reseau_Part_06.xlsx"/>
    <d v="2023-10-26T00:00:00"/>
    <d v="1899-12-30T05:10:00"/>
    <s v="ANT-0375"/>
    <n v="41"/>
    <s v="En Cours"/>
    <s v="ANT-0375"/>
    <x v="19"/>
    <n v="-4.9552579999999997"/>
    <n v="22.008103999999999"/>
    <x v="2"/>
    <s v="Huawei"/>
    <s v="CLI-00125"/>
    <s v="Mai-Ndombe"/>
    <n v="108"/>
    <s v="Bloqué 5Go"/>
    <x v="145"/>
    <x v="145"/>
    <n v="44.84"/>
    <n v="4"/>
  </r>
  <r>
    <s v="Logs_Reseau_Part_01.xlsx"/>
    <d v="2023-10-13T00:00:00"/>
    <d v="1899-12-30T03:22:00"/>
    <s v="ANT-0862"/>
    <n v="19"/>
    <s v="Non Résolu"/>
    <s v="ANT-0862"/>
    <x v="0"/>
    <n v="-9.4708620000000003"/>
    <n v="29.234387999999999"/>
    <x v="0"/>
    <s v="ZTE"/>
    <s v="CLI-01082"/>
    <s v="Tanganyika"/>
    <n v="4"/>
    <s v="Pro Monde"/>
    <x v="368"/>
    <x v="368"/>
    <n v="43.95"/>
    <n v="2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0039"/>
    <s v="Maniema"/>
    <n v="119"/>
    <s v="Pro Monde"/>
    <x v="54"/>
    <x v="54"/>
    <n v="21.27"/>
    <n v="5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1832"/>
    <s v="Nord-Ubangi"/>
    <n v="23"/>
    <s v="Pro Monde"/>
    <x v="253"/>
    <x v="253"/>
    <n v="73.12"/>
    <n v="1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1181"/>
    <s v="Nord-Ubangi"/>
    <n v="42"/>
    <s v="Bloqué 5Go"/>
    <x v="201"/>
    <x v="201"/>
    <n v="59.46"/>
    <n v="4"/>
  </r>
  <r>
    <s v="Logs_Reseau_Part_04.xlsx"/>
    <d v="2023-10-22T00:00:00"/>
    <d v="1899-12-30T12:25:00"/>
    <s v="ANT-0415"/>
    <n v="83"/>
    <s v="En Cours"/>
    <s v="ANT-0415"/>
    <x v="9"/>
    <n v="-2.9651529999999999"/>
    <n v="29.79908"/>
    <x v="2"/>
    <s v="Ericsson"/>
    <s v="CLI-01589"/>
    <s v="Sud-Kivu"/>
    <n v="14"/>
    <s v="Bloqué 5Go"/>
    <x v="301"/>
    <x v="301"/>
    <n v="20.399999999999999"/>
    <n v="2"/>
  </r>
  <r>
    <s v="Logs_Reseau_Part_01.xlsx"/>
    <d v="2023-10-12T00:00:00"/>
    <d v="1899-12-30T06:42:00"/>
    <s v="ANT-0001"/>
    <n v="75"/>
    <s v="Résolu"/>
    <s v="ANT-0001"/>
    <x v="23"/>
    <n v="-8.1437910000000002"/>
    <n v="28.946161"/>
    <x v="2"/>
    <s v="ZTE"/>
    <s v="CLI-01134"/>
    <s v="Nord-Ubangi"/>
    <n v="90"/>
    <s v="Illimité 50Go"/>
    <x v="381"/>
    <x v="381"/>
    <n v="20.62"/>
    <n v="2"/>
  </r>
  <r>
    <s v="Logs_Reseau_Part_02.xlsx"/>
    <d v="2023-10-17T00:00:00"/>
    <d v="1899-12-30T16:10:00"/>
    <s v="ANT-0078"/>
    <n v="117"/>
    <s v="Résolu"/>
    <s v="ANT-0078"/>
    <x v="15"/>
    <n v="-12.141233"/>
    <n v="15.179043999999999"/>
    <x v="1"/>
    <s v="Ericsson"/>
    <s v="CLI-01966"/>
    <s v="Sud-Ubangi"/>
    <n v="58"/>
    <s v="Premium 5G 150Go"/>
    <x v="250"/>
    <x v="250"/>
    <n v="65.41"/>
    <n v="5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549"/>
    <s v="Nord-Kivu"/>
    <n v="49"/>
    <s v="Bloqué 5Go"/>
    <x v="382"/>
    <x v="382"/>
    <n v="91.32"/>
    <n v="4"/>
  </r>
  <r>
    <s v="Logs_Reseau_Part_01.xlsx"/>
    <d v="2023-10-14T00:00:00"/>
    <d v="1899-12-30T07:28:00"/>
    <s v="ANT-0183"/>
    <n v="22"/>
    <s v="Non Résolu"/>
    <s v="ANT-0183"/>
    <x v="8"/>
    <n v="4.8319039999999998"/>
    <n v="20.733468999999999"/>
    <x v="1"/>
    <s v="Ericsson"/>
    <s v="CLI-00855"/>
    <s v="Kwango"/>
    <n v="18"/>
    <s v="Bloqué 5Go"/>
    <x v="129"/>
    <x v="129"/>
    <n v="41.66"/>
    <n v="4"/>
  </r>
  <r>
    <s v="Logs_Reseau_Part_01.xlsx"/>
    <d v="2023-10-14T00:00:00"/>
    <d v="1899-12-30T01:01:00"/>
    <s v="ANT-0737"/>
    <n v="119"/>
    <s v="Non Résolu"/>
    <s v="ANT-0737"/>
    <x v="2"/>
    <n v="-2.8211520000000001"/>
    <n v="20.651419000000001"/>
    <x v="1"/>
    <s v="Ericsson"/>
    <s v="CLI-00970"/>
    <s v="Kongo-Central"/>
    <n v="82"/>
    <s v="Pro Monde"/>
    <x v="210"/>
    <x v="210"/>
    <n v="40.880000000000003"/>
    <n v="0"/>
  </r>
  <r>
    <s v="Logs_Reseau_Part_03.xlsx"/>
    <d v="2023-10-11T00:00:00"/>
    <d v="1899-12-30T13:38:00"/>
    <s v="ANT-0913"/>
    <n v="96"/>
    <s v="Résolu"/>
    <s v="ANT-0913"/>
    <x v="6"/>
    <n v="-5.4126279999999998"/>
    <n v="25.498235999999999"/>
    <x v="1"/>
    <s v="ZTE"/>
    <s v="CLI-01890"/>
    <s v="Kinshasa"/>
    <n v="74"/>
    <s v="Illimité 50Go"/>
    <x v="236"/>
    <x v="236"/>
    <n v="92.63"/>
    <n v="0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566"/>
    <s v="Haut-Lomami"/>
    <n v="72"/>
    <s v="Bloqué 5Go"/>
    <x v="383"/>
    <x v="383"/>
    <n v="31.44"/>
    <n v="2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0711"/>
    <s v="Kasai"/>
    <n v="26"/>
    <s v="Premium 5G 150Go"/>
    <x v="14"/>
    <x v="14"/>
    <n v="18.28"/>
    <n v="3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0919"/>
    <s v="Kasai-Oriental"/>
    <n v="26"/>
    <s v="Bloqué 5Go"/>
    <x v="372"/>
    <x v="372"/>
    <n v="10.9"/>
    <n v="5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1568"/>
    <s v="Kwilu"/>
    <n v="33"/>
    <s v="Illimité 50Go"/>
    <x v="223"/>
    <x v="223"/>
    <n v="47.18"/>
    <n v="4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1479"/>
    <s v="Tshuapa"/>
    <n v="63"/>
    <s v="Premium 5G 150Go"/>
    <x v="334"/>
    <x v="334"/>
    <n v="77.73"/>
    <n v="3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331"/>
    <s v="Kwilu"/>
    <n v="57"/>
    <s v="Premium 5G 150Go"/>
    <x v="384"/>
    <x v="384"/>
    <n v="82.7"/>
    <n v="2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1697"/>
    <s v="Bas-Uele"/>
    <n v="87"/>
    <s v="Pro Monde"/>
    <x v="136"/>
    <x v="136"/>
    <n v="58.26"/>
    <n v="0"/>
  </r>
  <r>
    <s v="Logs_Reseau_Part_02.xlsx"/>
    <d v="2023-10-14T00:00:00"/>
    <d v="1899-12-30T06:06:00"/>
    <s v="ANT-0271"/>
    <n v="73"/>
    <s v="En Cours"/>
    <s v="ANT-0271"/>
    <x v="3"/>
    <n v="-5.1030600000000002"/>
    <n v="22.849231"/>
    <x v="1"/>
    <s v="ZTE"/>
    <s v="CLI-00394"/>
    <s v="Tshuapa"/>
    <n v="37"/>
    <s v="Premium 5G 150Go"/>
    <x v="21"/>
    <x v="21"/>
    <n v="14.12"/>
    <n v="1"/>
  </r>
  <r>
    <s v="Logs_Reseau_Part_02.xlsx"/>
    <d v="2023-10-23T00:00:00"/>
    <d v="1899-12-30T10:15:00"/>
    <s v="ANT-0566"/>
    <n v="82"/>
    <s v="Résolu"/>
    <s v="ANT-0566"/>
    <x v="12"/>
    <n v="-4.4697000000000001E-2"/>
    <n v="22.943373000000001"/>
    <x v="0"/>
    <s v="Huawei"/>
    <s v="CLI-00962"/>
    <s v="Bas-Uele"/>
    <n v="29"/>
    <s v="Bloqué 5Go"/>
    <x v="1"/>
    <x v="1"/>
    <n v="82.16"/>
    <n v="1"/>
  </r>
  <r>
    <s v="Logs_Reseau_Part_08.xlsx"/>
    <d v="2023-10-22T00:00:00"/>
    <d v="1899-12-30T09:02:00"/>
    <s v="ANT-0079"/>
    <n v="59"/>
    <s v="En Cours"/>
    <s v="ANT-0079"/>
    <x v="16"/>
    <n v="-8.4824669999999998"/>
    <n v="21.897777999999999"/>
    <x v="1"/>
    <s v="Ericsson"/>
    <s v="CLI-00705"/>
    <s v="Maniema"/>
    <n v="26"/>
    <s v="Illimité 50Go"/>
    <x v="295"/>
    <x v="295"/>
    <n v="88.59"/>
    <n v="4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0898"/>
    <s v="Lualaba"/>
    <n v="95"/>
    <s v="Premium 5G 150Go"/>
    <x v="385"/>
    <x v="385"/>
    <n v="32.49"/>
    <n v="1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0476"/>
    <s v="Kasai-Oriental"/>
    <n v="21"/>
    <s v="Bloqué 5Go"/>
    <x v="198"/>
    <x v="198"/>
    <n v="15.12"/>
    <n v="2"/>
  </r>
  <r>
    <s v="Logs_Reseau_Part_02.xlsx"/>
    <d v="2023-10-15T00:00:00"/>
    <d v="1899-12-30T23:03:00"/>
    <s v="ANT-0258"/>
    <n v="38"/>
    <s v="Résolu"/>
    <s v="ANT-0258"/>
    <x v="24"/>
    <n v="-11.710407999999999"/>
    <n v="23.741330999999999"/>
    <x v="0"/>
    <s v="Huawei"/>
    <s v="CLI-01040"/>
    <s v="Lualaba"/>
    <n v="56"/>
    <s v="Illimité 50Go"/>
    <x v="269"/>
    <x v="269"/>
    <n v="15.1"/>
    <n v="5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0450"/>
    <s v="Haut-Katanga"/>
    <n v="105"/>
    <s v="Premium 5G 150Go"/>
    <x v="162"/>
    <x v="162"/>
    <n v="49.47"/>
    <n v="4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1204"/>
    <s v="Haut-Lomami"/>
    <n v="68"/>
    <s v="Pro Monde"/>
    <x v="262"/>
    <x v="262"/>
    <n v="35.43"/>
    <n v="1"/>
  </r>
  <r>
    <s v="Logs_Reseau_Part_01.xlsx"/>
    <d v="2023-10-15T00:00:00"/>
    <d v="1899-12-30T17:07:00"/>
    <s v="ANT-0624"/>
    <n v="25"/>
    <s v="Résolu"/>
    <s v="ANT-0624"/>
    <x v="11"/>
    <n v="0.172153"/>
    <n v="21.091376"/>
    <x v="0"/>
    <s v="Ericsson"/>
    <s v="CLI-01830"/>
    <s v="Haut-Katanga"/>
    <n v="104"/>
    <s v="Bloqué 5Go"/>
    <x v="386"/>
    <x v="386"/>
    <n v="38.270000000000003"/>
    <n v="0"/>
  </r>
  <r>
    <s v="Logs_Reseau_Part_11.xlsx"/>
    <d v="2023-10-08T00:00:00"/>
    <d v="1899-12-30T03:12:00"/>
    <s v="ANT-0298"/>
    <n v="66"/>
    <s v="Non Résolu"/>
    <s v="ANT-0298"/>
    <x v="22"/>
    <n v="-5.4073029999999997"/>
    <n v="29.762294000000001"/>
    <x v="0"/>
    <s v="Ericsson"/>
    <s v="CLI-01488"/>
    <s v="Kasai-Oriental"/>
    <n v="102"/>
    <s v="Bloqué 5Go"/>
    <x v="244"/>
    <x v="244"/>
    <n v="64.22"/>
    <n v="2"/>
  </r>
  <r>
    <s v="Logs_Reseau_Part_03.xlsx"/>
    <d v="2023-10-17T00:00:00"/>
    <d v="1899-12-30T21:40:00"/>
    <s v="ANT-0642"/>
    <n v="20"/>
    <s v="En Cours"/>
    <s v="ANT-0642"/>
    <x v="14"/>
    <n v="-4.2408359999999998"/>
    <n v="26.210014000000001"/>
    <x v="2"/>
    <s v="Huawei"/>
    <s v="CLI-00960"/>
    <s v="Kwilu"/>
    <n v="25"/>
    <s v="Pro Monde"/>
    <x v="387"/>
    <x v="387"/>
    <n v="90.14"/>
    <n v="5"/>
  </r>
  <r>
    <s v="Logs_Reseau_Part_01.xlsx"/>
    <d v="2023-10-18T00:00:00"/>
    <d v="1899-12-30T23:15:00"/>
    <s v="ANT-0020"/>
    <n v="97"/>
    <s v="Non Résolu"/>
    <s v="ANT-0020"/>
    <x v="13"/>
    <n v="-10.059846"/>
    <n v="14.375757999999999"/>
    <x v="2"/>
    <s v="Huawei"/>
    <s v="CLI-01463"/>
    <s v="Kasai"/>
    <n v="12"/>
    <s v="Premium 5G 150Go"/>
    <x v="112"/>
    <x v="112"/>
    <n v="99.83"/>
    <n v="1"/>
  </r>
  <r>
    <s v="Logs_Reseau_Part_08.xlsx"/>
    <d v="2023-10-06T00:00:00"/>
    <d v="1899-12-30T11:19:00"/>
    <s v="ANT-0604"/>
    <n v="50"/>
    <s v="Non Résolu"/>
    <s v="ANT-0604"/>
    <x v="7"/>
    <n v="2.628638"/>
    <n v="28.420582"/>
    <x v="2"/>
    <s v="Huawei"/>
    <s v="CLI-00601"/>
    <s v="Haut-Lomami"/>
    <n v="75"/>
    <s v="Bloqué 5Go"/>
    <x v="99"/>
    <x v="99"/>
    <n v="21.67"/>
    <n v="0"/>
  </r>
  <r>
    <s v="Logs_Reseau_Part_01.xlsx"/>
    <d v="2023-10-02T00:00:00"/>
    <d v="1899-12-30T21:14:00"/>
    <s v="ANT-0553"/>
    <n v="54"/>
    <s v="En Cours"/>
    <s v="ANT-0553"/>
    <x v="20"/>
    <n v="4.6287159999999998"/>
    <n v="19.407077999999998"/>
    <x v="2"/>
    <s v="Ericsson"/>
    <s v="CLI-00800"/>
    <s v="Nord-Kivu"/>
    <n v="4"/>
    <s v="Bloqué 5Go"/>
    <x v="38"/>
    <x v="38"/>
    <n v="45.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B5EC3-9E70-4106-988E-74380A25CABF}" name="Tableau croisé dynamique2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E13" firstHeaderRow="1" firstDataRow="3" firstDataCol="1"/>
  <pivotFields count="20">
    <pivotField compact="0" outline="0" showAll="0"/>
    <pivotField compact="0" numFmtId="1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7">
        <item x="12"/>
        <item x="18"/>
        <item x="11"/>
        <item x="7"/>
        <item x="25"/>
        <item x="1"/>
        <item x="13"/>
        <item x="4"/>
        <item x="22"/>
        <item x="6"/>
        <item x="2"/>
        <item x="8"/>
        <item x="14"/>
        <item x="10"/>
        <item x="24"/>
        <item x="19"/>
        <item x="16"/>
        <item x="5"/>
        <item x="20"/>
        <item x="23"/>
        <item x="17"/>
        <item x="9"/>
        <item x="15"/>
        <item x="0"/>
        <item x="21"/>
        <item x="3"/>
        <item t="default"/>
      </items>
    </pivotField>
    <pivotField compact="0" outline="0" showAll="0"/>
    <pivotField compact="0" outline="0" showAll="0"/>
    <pivotField axis="axisCol" compact="0" outline="0" showAll="0" sortType="ascending">
      <items count="4">
        <item x="0"/>
        <item h="1" x="2"/>
        <item h="1"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numFmtId="21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8">
    <i>
      <x/>
    </i>
    <i>
      <x v="2"/>
    </i>
    <i>
      <x v="5"/>
    </i>
    <i>
      <x v="8"/>
    </i>
    <i>
      <x v="14"/>
    </i>
    <i>
      <x v="23"/>
    </i>
    <i>
      <x v="24"/>
    </i>
    <i t="grand">
      <x/>
    </i>
  </rowItems>
  <colFields count="2">
    <field x="-2"/>
    <field x="10"/>
  </colFields>
  <colItems count="4">
    <i>
      <x/>
      <x/>
    </i>
    <i i="1">
      <x v="1"/>
      <x/>
    </i>
    <i t="grand">
      <x/>
    </i>
    <i t="grand" i="1">
      <x/>
    </i>
  </colItems>
  <dataFields count="2">
    <dataField name="Nombre de Client.ID_Client" fld="12" subtotal="count" baseField="0" baseItem="0"/>
    <dataField name="Somme de Duree_Cumulee_Panne_Min" fld="16" showDataAs="runTotal" baseField="7" baseItem="0" numFmtId="21"/>
  </dataFields>
  <formats count="120">
    <format dxfId="0">
      <pivotArea dataOnly="0" labelOnly="1" outline="0" fieldPosition="0">
        <references count="1">
          <reference field="7" count="1">
            <x v="4"/>
          </reference>
        </references>
      </pivotArea>
    </format>
    <format dxfId="1">
      <pivotArea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10" count="1" selected="0">
            <x v="0"/>
          </reference>
        </references>
      </pivotArea>
    </format>
    <format dxfId="2">
      <pivotArea outline="0" fieldPosition="0">
        <references count="3">
          <reference field="4294967294" count="1" selected="0">
            <x v="1"/>
          </reference>
          <reference field="7" count="1" selected="0">
            <x v="4"/>
          </reference>
          <reference field="10" count="1" selected="0">
            <x v="0"/>
          </reference>
        </references>
      </pivotArea>
    </format>
    <format dxfId="3">
      <pivotArea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10" count="1" selected="0">
            <x v="1"/>
          </reference>
        </references>
      </pivotArea>
    </format>
    <format dxfId="4">
      <pivotArea outline="0" fieldPosition="0">
        <references count="3">
          <reference field="4294967294" count="1" selected="0">
            <x v="1"/>
          </reference>
          <reference field="7" count="1" selected="0">
            <x v="4"/>
          </reference>
          <reference field="10" count="1" selected="0">
            <x v="1"/>
          </reference>
        </references>
      </pivotArea>
    </format>
    <format dxfId="5">
      <pivotArea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10" count="1" selected="0">
            <x v="2"/>
          </reference>
        </references>
      </pivotArea>
    </format>
    <format dxfId="6">
      <pivotArea outline="0" fieldPosition="0">
        <references count="3">
          <reference field="4294967294" count="1" selected="0">
            <x v="1"/>
          </reference>
          <reference field="7" count="1" selected="0">
            <x v="4"/>
          </reference>
          <reference field="10" count="1" selected="0">
            <x v="2"/>
          </reference>
        </references>
      </pivotArea>
    </format>
    <format dxfId="7">
      <pivotArea field="7" outline="0" axis="axisRow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format>
    <format dxfId="8">
      <pivotArea field="7" outline="0" axis="axisRow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format>
    <format dxfId="9">
      <pivotArea field="7" outline="0" axis="axisRow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format>
    <format dxfId="10">
      <pivotArea field="7" outline="0" axis="axisRow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format>
    <format dxfId="11">
      <pivotArea outline="0" fieldPosition="0">
        <references count="3">
          <reference field="4294967294" count="1" selected="0">
            <x v="1"/>
          </reference>
          <reference field="7" count="1" selected="0">
            <x v="6"/>
          </reference>
          <reference field="10" count="1" selected="0">
            <x v="2"/>
          </reference>
        </references>
      </pivotArea>
    </format>
    <format dxfId="12">
      <pivotArea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0" count="1" selected="0">
            <x v="2"/>
          </reference>
        </references>
      </pivotArea>
    </format>
    <format dxfId="13">
      <pivotArea outline="0" fieldPosition="0">
        <references count="3">
          <reference field="4294967294" count="1" selected="0">
            <x v="1"/>
          </reference>
          <reference field="7" count="1" selected="0">
            <x v="6"/>
          </reference>
          <reference field="10" count="1" selected="0">
            <x v="1"/>
          </reference>
        </references>
      </pivotArea>
    </format>
    <format dxfId="14">
      <pivotArea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0" count="1" selected="0">
            <x v="1"/>
          </reference>
        </references>
      </pivotArea>
    </format>
    <format dxfId="15">
      <pivotArea outline="0" fieldPosition="0">
        <references count="3">
          <reference field="4294967294" count="1" selected="0">
            <x v="1"/>
          </reference>
          <reference field="7" count="1" selected="0">
            <x v="6"/>
          </reference>
          <reference field="10" count="1" selected="0">
            <x v="0"/>
          </reference>
        </references>
      </pivotArea>
    </format>
    <format dxfId="16">
      <pivotArea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0" count="1" selected="0">
            <x v="0"/>
          </reference>
        </references>
      </pivotArea>
    </format>
    <format dxfId="17">
      <pivotArea dataOnly="0" labelOnly="1" outline="0" fieldPosition="0">
        <references count="1">
          <reference field="7" count="1">
            <x v="6"/>
          </reference>
        </references>
      </pivotArea>
    </format>
    <format dxfId="18">
      <pivotArea field="7" outline="0" axis="axisRow" fieldPosition="0">
        <references count="2">
          <reference field="4294967294" count="1" selected="0">
            <x v="1"/>
          </reference>
          <reference field="7" count="1" selected="0">
            <x v="7"/>
          </reference>
        </references>
      </pivotArea>
    </format>
    <format dxfId="19">
      <pivotArea field="7" outline="0" axis="axisRow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format>
    <format dxfId="20">
      <pivotArea outline="0" fieldPosition="0">
        <references count="3">
          <reference field="4294967294" count="1" selected="0">
            <x v="1"/>
          </reference>
          <reference field="7" count="1" selected="0">
            <x v="7"/>
          </reference>
          <reference field="10" count="1" selected="0">
            <x v="2"/>
          </reference>
        </references>
      </pivotArea>
    </format>
    <format dxfId="21">
      <pivotArea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10" count="1" selected="0">
            <x v="2"/>
          </reference>
        </references>
      </pivotArea>
    </format>
    <format dxfId="22">
      <pivotArea outline="0" fieldPosition="0">
        <references count="3">
          <reference field="4294967294" count="1" selected="0">
            <x v="1"/>
          </reference>
          <reference field="7" count="1" selected="0">
            <x v="7"/>
          </reference>
          <reference field="10" count="1" selected="0">
            <x v="1"/>
          </reference>
        </references>
      </pivotArea>
    </format>
    <format dxfId="23">
      <pivotArea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10" count="1" selected="0">
            <x v="1"/>
          </reference>
        </references>
      </pivotArea>
    </format>
    <format dxfId="24">
      <pivotArea outline="0" fieldPosition="0">
        <references count="3">
          <reference field="4294967294" count="1" selected="0">
            <x v="1"/>
          </reference>
          <reference field="7" count="1" selected="0">
            <x v="7"/>
          </reference>
          <reference field="10" count="1" selected="0">
            <x v="0"/>
          </reference>
        </references>
      </pivotArea>
    </format>
    <format dxfId="25">
      <pivotArea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10" count="1" selected="0">
            <x v="0"/>
          </reference>
        </references>
      </pivotArea>
    </format>
    <format dxfId="26">
      <pivotArea dataOnly="0" labelOnly="1" outline="0" fieldPosition="0">
        <references count="1">
          <reference field="7" count="1">
            <x v="7"/>
          </reference>
        </references>
      </pivotArea>
    </format>
    <format dxfId="27">
      <pivotArea field="7" outline="0" axis="axisRow" fieldPosition="0">
        <references count="2">
          <reference field="4294967294" count="1" selected="0">
            <x v="1"/>
          </reference>
          <reference field="7" count="1" selected="0">
            <x v="9"/>
          </reference>
        </references>
      </pivotArea>
    </format>
    <format dxfId="28">
      <pivotArea field="7" outline="0" axis="axisRow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format>
    <format dxfId="29">
      <pivotArea outline="0" fieldPosition="0">
        <references count="3">
          <reference field="4294967294" count="1" selected="0">
            <x v="1"/>
          </reference>
          <reference field="7" count="1" selected="0">
            <x v="9"/>
          </reference>
          <reference field="10" count="1" selected="0">
            <x v="2"/>
          </reference>
        </references>
      </pivotArea>
    </format>
    <format dxfId="30">
      <pivotArea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10" count="1" selected="0">
            <x v="2"/>
          </reference>
        </references>
      </pivotArea>
    </format>
    <format dxfId="31">
      <pivotArea outline="0" fieldPosition="0">
        <references count="3">
          <reference field="4294967294" count="1" selected="0">
            <x v="1"/>
          </reference>
          <reference field="7" count="1" selected="0">
            <x v="9"/>
          </reference>
          <reference field="10" count="1" selected="0">
            <x v="1"/>
          </reference>
        </references>
      </pivotArea>
    </format>
    <format dxfId="32">
      <pivotArea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10" count="1" selected="0">
            <x v="1"/>
          </reference>
        </references>
      </pivotArea>
    </format>
    <format dxfId="33">
      <pivotArea outline="0" fieldPosition="0">
        <references count="3">
          <reference field="4294967294" count="1" selected="0">
            <x v="1"/>
          </reference>
          <reference field="7" count="1" selected="0">
            <x v="9"/>
          </reference>
          <reference field="10" count="1" selected="0">
            <x v="0"/>
          </reference>
        </references>
      </pivotArea>
    </format>
    <format dxfId="34">
      <pivotArea outline="0" fieldPosition="0">
        <references count="3">
          <reference field="4294967294" count="1" selected="0">
            <x v="0"/>
          </reference>
          <reference field="7" count="1" selected="0">
            <x v="9"/>
          </reference>
          <reference field="10" count="1" selected="0">
            <x v="0"/>
          </reference>
        </references>
      </pivotArea>
    </format>
    <format dxfId="35">
      <pivotArea dataOnly="0" labelOnly="1" outline="0" fieldPosition="0">
        <references count="1">
          <reference field="7" count="1">
            <x v="9"/>
          </reference>
        </references>
      </pivotArea>
    </format>
    <format dxfId="36">
      <pivotArea field="7" outline="0" axis="axisRow" fieldPosition="0">
        <references count="2">
          <reference field="4294967294" count="1" selected="0">
            <x v="1"/>
          </reference>
          <reference field="7" count="1" selected="0">
            <x v="15"/>
          </reference>
        </references>
      </pivotArea>
    </format>
    <format dxfId="37">
      <pivotArea field="7" outline="0" axis="axisRow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format>
    <format dxfId="38">
      <pivotArea outline="0" fieldPosition="0">
        <references count="3">
          <reference field="4294967294" count="1" selected="0">
            <x v="1"/>
          </reference>
          <reference field="7" count="1" selected="0">
            <x v="15"/>
          </reference>
          <reference field="10" count="1" selected="0">
            <x v="2"/>
          </reference>
        </references>
      </pivotArea>
    </format>
    <format dxfId="39">
      <pivotArea outline="0" fieldPosition="0">
        <references count="3">
          <reference field="4294967294" count="1" selected="0">
            <x v="0"/>
          </reference>
          <reference field="7" count="1" selected="0">
            <x v="15"/>
          </reference>
          <reference field="10" count="1" selected="0">
            <x v="2"/>
          </reference>
        </references>
      </pivotArea>
    </format>
    <format dxfId="40">
      <pivotArea outline="0" fieldPosition="0">
        <references count="3">
          <reference field="4294967294" count="1" selected="0">
            <x v="1"/>
          </reference>
          <reference field="7" count="1" selected="0">
            <x v="15"/>
          </reference>
          <reference field="10" count="1" selected="0">
            <x v="1"/>
          </reference>
        </references>
      </pivotArea>
    </format>
    <format dxfId="41">
      <pivotArea outline="0" fieldPosition="0">
        <references count="3">
          <reference field="4294967294" count="1" selected="0">
            <x v="0"/>
          </reference>
          <reference field="7" count="1" selected="0">
            <x v="15"/>
          </reference>
          <reference field="10" count="1" selected="0">
            <x v="1"/>
          </reference>
        </references>
      </pivotArea>
    </format>
    <format dxfId="42">
      <pivotArea outline="0" fieldPosition="0">
        <references count="3">
          <reference field="4294967294" count="1" selected="0">
            <x v="1"/>
          </reference>
          <reference field="7" count="1" selected="0">
            <x v="15"/>
          </reference>
          <reference field="10" count="1" selected="0">
            <x v="0"/>
          </reference>
        </references>
      </pivotArea>
    </format>
    <format dxfId="43">
      <pivotArea outline="0" fieldPosition="0">
        <references count="3">
          <reference field="4294967294" count="1" selected="0">
            <x v="0"/>
          </reference>
          <reference field="7" count="1" selected="0">
            <x v="15"/>
          </reference>
          <reference field="10" count="1" selected="0">
            <x v="0"/>
          </reference>
        </references>
      </pivotArea>
    </format>
    <format dxfId="44">
      <pivotArea dataOnly="0" labelOnly="1" outline="0" fieldPosition="0">
        <references count="1">
          <reference field="7" count="1">
            <x v="15"/>
          </reference>
        </references>
      </pivotArea>
    </format>
    <format dxfId="45">
      <pivotArea field="7" outline="0" axis="axisRow" fieldPosition="0">
        <references count="2">
          <reference field="4294967294" count="1" selected="0">
            <x v="1"/>
          </reference>
          <reference field="7" count="1" selected="0">
            <x v="23"/>
          </reference>
        </references>
      </pivotArea>
    </format>
    <format dxfId="46">
      <pivotArea field="7" outline="0" axis="axisRow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format>
    <format dxfId="47">
      <pivotArea outline="0" fieldPosition="0">
        <references count="3">
          <reference field="4294967294" count="1" selected="0">
            <x v="1"/>
          </reference>
          <reference field="7" count="1" selected="0">
            <x v="23"/>
          </reference>
          <reference field="10" count="1" selected="0">
            <x v="2"/>
          </reference>
        </references>
      </pivotArea>
    </format>
    <format dxfId="48">
      <pivotArea outline="0" fieldPosition="0">
        <references count="3">
          <reference field="4294967294" count="1" selected="0">
            <x v="1"/>
          </reference>
          <reference field="7" count="1" selected="0">
            <x v="23"/>
          </reference>
          <reference field="10" count="1" selected="0">
            <x v="1"/>
          </reference>
        </references>
      </pivotArea>
    </format>
    <format dxfId="49">
      <pivotArea outline="0" fieldPosition="0">
        <references count="3">
          <reference field="4294967294" count="1" selected="0">
            <x v="0"/>
          </reference>
          <reference field="7" count="1" selected="0">
            <x v="23"/>
          </reference>
          <reference field="10" count="1" selected="0">
            <x v="2"/>
          </reference>
        </references>
      </pivotArea>
    </format>
    <format dxfId="50">
      <pivotArea outline="0" fieldPosition="0">
        <references count="3">
          <reference field="4294967294" count="1" selected="0">
            <x v="0"/>
          </reference>
          <reference field="7" count="1" selected="0">
            <x v="23"/>
          </reference>
          <reference field="10" count="1" selected="0">
            <x v="1"/>
          </reference>
        </references>
      </pivotArea>
    </format>
    <format dxfId="51">
      <pivotArea outline="0" fieldPosition="0">
        <references count="3">
          <reference field="4294967294" count="1" selected="0">
            <x v="1"/>
          </reference>
          <reference field="7" count="1" selected="0">
            <x v="23"/>
          </reference>
          <reference field="10" count="1" selected="0">
            <x v="0"/>
          </reference>
        </references>
      </pivotArea>
    </format>
    <format dxfId="52">
      <pivotArea outline="0" fieldPosition="0">
        <references count="3">
          <reference field="4294967294" count="1" selected="0">
            <x v="0"/>
          </reference>
          <reference field="7" count="1" selected="0">
            <x v="23"/>
          </reference>
          <reference field="10" count="1" selected="0">
            <x v="0"/>
          </reference>
        </references>
      </pivotArea>
    </format>
    <format dxfId="53">
      <pivotArea dataOnly="0" labelOnly="1" outline="0" fieldPosition="0">
        <references count="1">
          <reference field="7" count="1">
            <x v="23"/>
          </reference>
        </references>
      </pivotArea>
    </format>
    <format dxfId="54">
      <pivotArea outline="0" fieldPosition="0">
        <references count="3">
          <reference field="4294967294" count="1" selected="0">
            <x v="1"/>
          </reference>
          <reference field="7" count="1" selected="0">
            <x v="10"/>
          </reference>
          <reference field="10" count="1" selected="0">
            <x v="2"/>
          </reference>
        </references>
      </pivotArea>
    </format>
    <format dxfId="55">
      <pivotArea field="7" outline="0" axis="axisRow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format>
    <format dxfId="56">
      <pivotArea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10" count="1" selected="0">
            <x v="2"/>
          </reference>
        </references>
      </pivotArea>
    </format>
    <format dxfId="57">
      <pivotArea outline="0" fieldPosition="0">
        <references count="3">
          <reference field="4294967294" count="1" selected="0">
            <x v="1"/>
          </reference>
          <reference field="7" count="1" selected="0">
            <x v="10"/>
          </reference>
          <reference field="10" count="1" selected="0">
            <x v="1"/>
          </reference>
        </references>
      </pivotArea>
    </format>
    <format dxfId="58">
      <pivotArea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10" count="1" selected="0">
            <x v="1"/>
          </reference>
        </references>
      </pivotArea>
    </format>
    <format dxfId="59">
      <pivotArea outline="0" fieldPosition="0">
        <references count="3">
          <reference field="4294967294" count="1" selected="0">
            <x v="1"/>
          </reference>
          <reference field="7" count="1" selected="0">
            <x v="10"/>
          </reference>
          <reference field="10" count="1" selected="0">
            <x v="0"/>
          </reference>
        </references>
      </pivotArea>
    </format>
    <format dxfId="60">
      <pivotArea outline="0" fieldPosition="0">
        <references count="3">
          <reference field="4294967294" count="1" selected="0">
            <x v="0"/>
          </reference>
          <reference field="7" count="1" selected="0">
            <x v="10"/>
          </reference>
          <reference field="10" count="1" selected="0">
            <x v="0"/>
          </reference>
        </references>
      </pivotArea>
    </format>
    <format dxfId="61">
      <pivotArea dataOnly="0" labelOnly="1" outline="0" fieldPosition="0">
        <references count="1">
          <reference field="7" count="1">
            <x v="10"/>
          </reference>
        </references>
      </pivotArea>
    </format>
    <format dxfId="62">
      <pivotArea outline="0" fieldPosition="0">
        <references count="3">
          <reference field="4294967294" count="1" selected="0">
            <x v="1"/>
          </reference>
          <reference field="7" count="1" selected="0">
            <x v="24"/>
          </reference>
          <reference field="10" count="1" selected="0">
            <x v="2"/>
          </reference>
        </references>
      </pivotArea>
    </format>
    <format dxfId="63">
      <pivotArea outline="0" fieldPosition="0">
        <references count="3">
          <reference field="4294967294" count="1" selected="0">
            <x v="1"/>
          </reference>
          <reference field="7" count="1" selected="0">
            <x v="24"/>
          </reference>
          <reference field="10" count="1" selected="0">
            <x v="1"/>
          </reference>
        </references>
      </pivotArea>
    </format>
    <format dxfId="64">
      <pivotArea outline="0" fieldPosition="0">
        <references count="3">
          <reference field="4294967294" count="1" selected="0">
            <x v="0"/>
          </reference>
          <reference field="7" count="1" selected="0">
            <x v="24"/>
          </reference>
          <reference field="10" count="1" selected="0">
            <x v="1"/>
          </reference>
        </references>
      </pivotArea>
    </format>
    <format dxfId="65">
      <pivotArea outline="0" fieldPosition="0">
        <references count="3">
          <reference field="4294967294" count="1" selected="0">
            <x v="1"/>
          </reference>
          <reference field="7" count="1" selected="0">
            <x v="24"/>
          </reference>
          <reference field="10" count="1" selected="0">
            <x v="0"/>
          </reference>
        </references>
      </pivotArea>
    </format>
    <format dxfId="66">
      <pivotArea outline="0" fieldPosition="0">
        <references count="3">
          <reference field="4294967294" count="1" selected="0">
            <x v="0"/>
          </reference>
          <reference field="7" count="1" selected="0">
            <x v="24"/>
          </reference>
          <reference field="10" count="1" selected="0">
            <x v="0"/>
          </reference>
        </references>
      </pivotArea>
    </format>
    <format dxfId="67">
      <pivotArea dataOnly="0" labelOnly="1" outline="0" fieldPosition="0">
        <references count="1">
          <reference field="7" count="1">
            <x v="24"/>
          </reference>
        </references>
      </pivotArea>
    </format>
    <format dxfId="68">
      <pivotArea outline="0" fieldPosition="0">
        <references count="3">
          <reference field="4294967294" count="1" selected="0">
            <x v="0"/>
          </reference>
          <reference field="7" count="1" selected="0">
            <x v="24"/>
          </reference>
          <reference field="10" count="1" selected="0">
            <x v="2"/>
          </reference>
        </references>
      </pivotArea>
    </format>
    <format dxfId="69">
      <pivotArea outline="0" fieldPosition="0">
        <references count="3">
          <reference field="4294967294" count="1" selected="0">
            <x v="1"/>
          </reference>
          <reference field="7" count="1" selected="0">
            <x v="25"/>
          </reference>
          <reference field="10" count="1" selected="0">
            <x v="2"/>
          </reference>
        </references>
      </pivotArea>
    </format>
    <format dxfId="70">
      <pivotArea field="7" outline="0" axis="axisRow" fieldPosition="0">
        <references count="2">
          <reference field="4294967294" count="1" selected="0">
            <x v="0"/>
          </reference>
          <reference field="7" count="1" selected="0">
            <x v="24"/>
          </reference>
        </references>
      </pivotArea>
    </format>
    <format dxfId="71">
      <pivotArea field="7" outline="0" axis="axisRow" fieldPosition="0">
        <references count="2">
          <reference field="4294967294" count="1" selected="0">
            <x v="0"/>
          </reference>
          <reference field="7" count="1" selected="0">
            <x v="25"/>
          </reference>
        </references>
      </pivotArea>
    </format>
    <format dxfId="72">
      <pivotArea outline="0" fieldPosition="0">
        <references count="3">
          <reference field="4294967294" count="1" selected="0">
            <x v="0"/>
          </reference>
          <reference field="7" count="1" selected="0">
            <x v="25"/>
          </reference>
          <reference field="10" count="1" selected="0">
            <x v="2"/>
          </reference>
        </references>
      </pivotArea>
    </format>
    <format dxfId="73">
      <pivotArea outline="0" fieldPosition="0">
        <references count="3">
          <reference field="4294967294" count="1" selected="0">
            <x v="1"/>
          </reference>
          <reference field="7" count="1" selected="0">
            <x v="25"/>
          </reference>
          <reference field="10" count="1" selected="0">
            <x v="1"/>
          </reference>
        </references>
      </pivotArea>
    </format>
    <format dxfId="74">
      <pivotArea outline="0" fieldPosition="0">
        <references count="3">
          <reference field="4294967294" count="1" selected="0">
            <x v="0"/>
          </reference>
          <reference field="7" count="1" selected="0">
            <x v="25"/>
          </reference>
          <reference field="10" count="1" selected="0">
            <x v="1"/>
          </reference>
        </references>
      </pivotArea>
    </format>
    <format dxfId="75">
      <pivotArea outline="0" fieldPosition="0">
        <references count="3">
          <reference field="4294967294" count="1" selected="0">
            <x v="1"/>
          </reference>
          <reference field="7" count="1" selected="0">
            <x v="25"/>
          </reference>
          <reference field="10" count="1" selected="0">
            <x v="0"/>
          </reference>
        </references>
      </pivotArea>
    </format>
    <format dxfId="76">
      <pivotArea outline="0" fieldPosition="0">
        <references count="3">
          <reference field="4294967294" count="1" selected="0">
            <x v="0"/>
          </reference>
          <reference field="7" count="1" selected="0">
            <x v="25"/>
          </reference>
          <reference field="10" count="1" selected="0">
            <x v="0"/>
          </reference>
        </references>
      </pivotArea>
    </format>
    <format dxfId="77">
      <pivotArea dataOnly="0" labelOnly="1" outline="0" fieldPosition="0">
        <references count="1">
          <reference field="7" count="1">
            <x v="25"/>
          </reference>
        </references>
      </pivotArea>
    </format>
    <format dxfId="78">
      <pivotArea outline="0" fieldPosition="0">
        <references count="3">
          <reference field="4294967294" count="1" selected="0">
            <x v="1"/>
          </reference>
          <reference field="7" count="1" selected="0">
            <x v="21"/>
          </reference>
          <reference field="10" count="1" selected="0">
            <x v="2"/>
          </reference>
        </references>
      </pivotArea>
    </format>
    <format dxfId="79">
      <pivotArea outline="0" fieldPosition="0">
        <references count="3">
          <reference field="4294967294" count="1" selected="0">
            <x v="1"/>
          </reference>
          <reference field="7" count="1" selected="0">
            <x v="20"/>
          </reference>
          <reference field="10" count="1" selected="0">
            <x v="2"/>
          </reference>
        </references>
      </pivotArea>
    </format>
    <format dxfId="80">
      <pivotArea field="7" outline="0" axis="axisRow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format>
    <format dxfId="81">
      <pivotArea field="7" outline="0" axis="axisRow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format>
    <format dxfId="82">
      <pivotArea outline="0" fieldPosition="0">
        <references count="3">
          <reference field="4294967294" count="1" selected="0">
            <x v="0"/>
          </reference>
          <reference field="7" count="1" selected="0">
            <x v="20"/>
          </reference>
          <reference field="10" count="1" selected="0">
            <x v="1"/>
          </reference>
        </references>
      </pivotArea>
    </format>
    <format dxfId="83">
      <pivotArea outline="0" fieldPosition="0">
        <references count="3">
          <reference field="4294967294" count="1" selected="0">
            <x v="0"/>
          </reference>
          <reference field="7" count="1" selected="0">
            <x v="21"/>
          </reference>
          <reference field="10" count="1" selected="0">
            <x v="1"/>
          </reference>
        </references>
      </pivotArea>
    </format>
    <format dxfId="84">
      <pivotArea outline="0" fieldPosition="0">
        <references count="3">
          <reference field="4294967294" count="1" selected="0">
            <x v="1"/>
          </reference>
          <reference field="7" count="1" selected="0">
            <x v="20"/>
          </reference>
          <reference field="10" count="1" selected="0">
            <x v="1"/>
          </reference>
        </references>
      </pivotArea>
    </format>
    <format dxfId="85">
      <pivotArea outline="0" fieldPosition="0">
        <references count="3">
          <reference field="4294967294" count="1" selected="0">
            <x v="0"/>
          </reference>
          <reference field="7" count="1" selected="0">
            <x v="20"/>
          </reference>
          <reference field="10" count="1" selected="0">
            <x v="2"/>
          </reference>
        </references>
      </pivotArea>
    </format>
    <format dxfId="86">
      <pivotArea outline="0" fieldPosition="0">
        <references count="3">
          <reference field="4294967294" count="1" selected="0">
            <x v="0"/>
          </reference>
          <reference field="7" count="1" selected="0">
            <x v="21"/>
          </reference>
          <reference field="10" count="1" selected="0">
            <x v="2"/>
          </reference>
        </references>
      </pivotArea>
    </format>
    <format dxfId="87">
      <pivotArea outline="0" fieldPosition="0">
        <references count="3">
          <reference field="4294967294" count="1" selected="0">
            <x v="1"/>
          </reference>
          <reference field="7" count="1" selected="0">
            <x v="21"/>
          </reference>
          <reference field="10" count="1" selected="0">
            <x v="1"/>
          </reference>
        </references>
      </pivotArea>
    </format>
    <format dxfId="88">
      <pivotArea outline="0" fieldPosition="0">
        <references count="3">
          <reference field="4294967294" count="1" selected="0">
            <x v="1"/>
          </reference>
          <reference field="7" count="1" selected="0">
            <x v="20"/>
          </reference>
          <reference field="10" count="1" selected="0">
            <x v="0"/>
          </reference>
        </references>
      </pivotArea>
    </format>
    <format dxfId="89">
      <pivotArea outline="0" fieldPosition="0">
        <references count="3">
          <reference field="4294967294" count="1" selected="0">
            <x v="1"/>
          </reference>
          <reference field="7" count="1" selected="0">
            <x v="21"/>
          </reference>
          <reference field="10" count="1" selected="0">
            <x v="0"/>
          </reference>
        </references>
      </pivotArea>
    </format>
    <format dxfId="90">
      <pivotArea outline="0" fieldPosition="0">
        <references count="3">
          <reference field="4294967294" count="1" selected="0">
            <x v="0"/>
          </reference>
          <reference field="7" count="1" selected="0">
            <x v="20"/>
          </reference>
          <reference field="10" count="1" selected="0">
            <x v="0"/>
          </reference>
        </references>
      </pivotArea>
    </format>
    <format dxfId="91">
      <pivotArea dataOnly="0" labelOnly="1" outline="0" fieldPosition="0">
        <references count="1">
          <reference field="7" count="1">
            <x v="20"/>
          </reference>
        </references>
      </pivotArea>
    </format>
    <format dxfId="92">
      <pivotArea dataOnly="0" labelOnly="1" outline="0" fieldPosition="0">
        <references count="1">
          <reference field="7" count="1">
            <x v="21"/>
          </reference>
        </references>
      </pivotArea>
    </format>
    <format dxfId="93">
      <pivotArea outline="0" fieldPosition="0">
        <references count="3">
          <reference field="4294967294" count="1" selected="0">
            <x v="0"/>
          </reference>
          <reference field="7" count="1" selected="0">
            <x v="21"/>
          </reference>
          <reference field="10" count="1" selected="0">
            <x v="0"/>
          </reference>
        </references>
      </pivotArea>
    </format>
    <format dxfId="94">
      <pivotArea outline="0" fieldPosition="0">
        <references count="3">
          <reference field="4294967294" count="1" selected="0">
            <x v="1"/>
          </reference>
          <reference field="7" count="1" selected="0">
            <x v="16"/>
          </reference>
          <reference field="10" count="1" selected="0">
            <x v="2"/>
          </reference>
        </references>
      </pivotArea>
    </format>
    <format dxfId="95">
      <pivotArea outline="0" fieldPosition="0">
        <references count="3">
          <reference field="4294967294" count="1" selected="0">
            <x v="1"/>
          </reference>
          <reference field="7" count="1" selected="0">
            <x v="13"/>
          </reference>
          <reference field="10" count="1" selected="0">
            <x v="2"/>
          </reference>
        </references>
      </pivotArea>
    </format>
    <format dxfId="96">
      <pivotArea outline="0" fieldPosition="0">
        <references count="3">
          <reference field="4294967294" count="1" selected="0">
            <x v="1"/>
          </reference>
          <reference field="7" count="1" selected="0">
            <x v="12"/>
          </reference>
          <reference field="10" count="1" selected="0">
            <x v="2"/>
          </reference>
        </references>
      </pivotArea>
    </format>
    <format dxfId="97">
      <pivotArea field="7" outline="0" axis="axisRow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format>
    <format dxfId="98">
      <pivotArea field="7" outline="0" axis="axisRow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format>
    <format dxfId="99">
      <pivotArea field="7" outline="0" axis="axisRow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format>
    <format dxfId="100">
      <pivotArea outline="0" fieldPosition="0">
        <references count="3">
          <reference field="4294967294" count="1" selected="0">
            <x v="1"/>
          </reference>
          <reference field="7" count="1" selected="0">
            <x v="11"/>
          </reference>
          <reference field="10" count="1" selected="0">
            <x v="2"/>
          </reference>
        </references>
      </pivotArea>
    </format>
    <format dxfId="101">
      <pivotArea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10" count="1" selected="0">
            <x v="2"/>
          </reference>
        </references>
      </pivotArea>
    </format>
    <format dxfId="102">
      <pivotArea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10" count="1" selected="0">
            <x v="2"/>
          </reference>
        </references>
      </pivotArea>
    </format>
    <format dxfId="103">
      <pivotArea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10" count="1" selected="0">
            <x v="2"/>
          </reference>
        </references>
      </pivotArea>
    </format>
    <format dxfId="104">
      <pivotArea outline="0" fieldPosition="0">
        <references count="3">
          <reference field="4294967294" count="1" selected="0">
            <x v="1"/>
          </reference>
          <reference field="7" count="1" selected="0">
            <x v="11"/>
          </reference>
          <reference field="10" count="1" selected="0">
            <x v="1"/>
          </reference>
        </references>
      </pivotArea>
    </format>
    <format dxfId="105">
      <pivotArea outline="0" fieldPosition="0">
        <references count="3">
          <reference field="4294967294" count="1" selected="0">
            <x v="1"/>
          </reference>
          <reference field="7" count="1" selected="0">
            <x v="12"/>
          </reference>
          <reference field="10" count="1" selected="0">
            <x v="1"/>
          </reference>
        </references>
      </pivotArea>
    </format>
    <format dxfId="106">
      <pivotArea outline="0" fieldPosition="0">
        <references count="3">
          <reference field="4294967294" count="1" selected="0">
            <x v="1"/>
          </reference>
          <reference field="7" count="1" selected="0">
            <x v="13"/>
          </reference>
          <reference field="10" count="1" selected="0">
            <x v="1"/>
          </reference>
        </references>
      </pivotArea>
    </format>
    <format dxfId="107">
      <pivotArea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10" count="1" selected="0">
            <x v="1"/>
          </reference>
        </references>
      </pivotArea>
    </format>
    <format dxfId="108">
      <pivotArea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10" count="1" selected="0">
            <x v="1"/>
          </reference>
        </references>
      </pivotArea>
    </format>
    <format dxfId="109">
      <pivotArea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10" count="1" selected="0">
            <x v="1"/>
          </reference>
        </references>
      </pivotArea>
    </format>
    <format dxfId="110">
      <pivotArea outline="0" fieldPosition="0">
        <references count="3">
          <reference field="4294967294" count="1" selected="0">
            <x v="1"/>
          </reference>
          <reference field="7" count="2" selected="0">
            <x v="11"/>
            <x v="12"/>
          </reference>
          <reference field="10" count="1" selected="0">
            <x v="0"/>
          </reference>
        </references>
      </pivotArea>
    </format>
    <format dxfId="111">
      <pivotArea outline="0" fieldPosition="0">
        <references count="3">
          <reference field="4294967294" count="1" selected="0">
            <x v="1"/>
          </reference>
          <reference field="7" count="1" selected="0">
            <x v="13"/>
          </reference>
          <reference field="10" count="1" selected="0">
            <x v="0"/>
          </reference>
        </references>
      </pivotArea>
    </format>
    <format dxfId="112">
      <pivotArea outline="0" fieldPosition="0">
        <references count="3">
          <reference field="4294967294" count="1" selected="0">
            <x v="0"/>
          </reference>
          <reference field="7" count="1" selected="0">
            <x v="11"/>
          </reference>
          <reference field="10" count="1" selected="0">
            <x v="0"/>
          </reference>
        </references>
      </pivotArea>
    </format>
    <format dxfId="113">
      <pivotArea outline="0" fieldPosition="0">
        <references count="3">
          <reference field="4294967294" count="1" selected="0">
            <x v="0"/>
          </reference>
          <reference field="7" count="1" selected="0">
            <x v="12"/>
          </reference>
          <reference field="10" count="1" selected="0">
            <x v="0"/>
          </reference>
        </references>
      </pivotArea>
    </format>
    <format dxfId="114">
      <pivotArea outline="0" fieldPosition="0">
        <references count="3">
          <reference field="4294967294" count="1" selected="0">
            <x v="0"/>
          </reference>
          <reference field="7" count="1" selected="0">
            <x v="13"/>
          </reference>
          <reference field="10" count="1" selected="0">
            <x v="0"/>
          </reference>
        </references>
      </pivotArea>
    </format>
    <format dxfId="115">
      <pivotArea dataOnly="0" labelOnly="1" outline="0" fieldPosition="0">
        <references count="1">
          <reference field="7" count="1">
            <x v="11"/>
          </reference>
        </references>
      </pivotArea>
    </format>
    <format dxfId="116">
      <pivotArea dataOnly="0" labelOnly="1" outline="0" fieldPosition="0">
        <references count="1">
          <reference field="7" count="1">
            <x v="12"/>
          </reference>
        </references>
      </pivotArea>
    </format>
    <format dxfId="117">
      <pivotArea dataOnly="0" labelOnly="1" outline="0" fieldPosition="0">
        <references count="1">
          <reference field="7" count="1">
            <x v="13"/>
          </reference>
        </references>
      </pivotArea>
    </format>
    <format dxfId="118">
      <pivotArea field="7" outline="0" axis="axisRow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format>
    <format dxfId="119">
      <pivotArea type="all" dataOnly="0" outline="0" fieldPosition="0"/>
    </format>
  </formats>
  <conditionalFormats count="1">
    <conditionalFormat priority="1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</conditionalFormats>
  <pivotTableStyleInfo name="PivotStyleLight2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52A0DEE-1616-45B4-AE8C-CA2AC0DA22AA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1"/>
      <queryTableField id="2" name="ID_Client" tableColumnId="2"/>
      <queryTableField id="3" name="Province_Client" tableColumnId="3"/>
      <queryTableField id="4" name="Anciennete_Mois" tableColumnId="4"/>
      <queryTableField id="5" name="Type_Forfait" tableColumnId="5"/>
      <queryTableField id="6" name="Duree_Cumulee_Panne_Min" tableColumnId="6"/>
      <queryTableField id="7" name="Facture_Mensuelle" tableColumnId="7"/>
      <queryTableField id="8" name="Plaintes_Service_Clien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7" xr16:uid="{ACD59BCE-7EF9-4CAC-AE7E-0C8C59A79765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  <queryTableField id="6" name="Date_Heure_Panne - Copier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8" xr16:uid="{7AB2FB99-91FF-4895-B06B-8411DF27A2F8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aintenance_Rx.Technologie" xr10:uid="{9BBB0D14-0826-4482-A56F-3B4DD3795A98}" sourceName="Maintenance_Rx.Technologie">
  <pivotTables>
    <pivotTable tabId="8" name="Tableau croisé dynamique2"/>
  </pivotTables>
  <data>
    <tabular pivotCacheId="30906665">
      <items count="3">
        <i x="0" s="1"/>
        <i x="2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intenance_Rx.Technologie" xr10:uid="{4CDFC46F-E83C-487B-947F-C14642CEF800}" cache="Segment_Maintenance_Rx.Technologie" caption="Maintenance_Rx.Technologie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D781A-C00D-4C23-96F1-60A6BC25F7D7}" name="Client" displayName="Client" ref="A1:H749" tableType="queryTable" totalsRowShown="0">
  <autoFilter ref="A1:H749" xr:uid="{2EDD781A-C00D-4C23-96F1-60A6BC25F7D7}"/>
  <tableColumns count="8">
    <tableColumn id="1" xr3:uid="{D6B09982-A14E-4DEC-9CA1-B3BD9A90FEE9}" uniqueName="1" name="Source.Name" queryTableFieldId="1" dataDxfId="133"/>
    <tableColumn id="2" xr3:uid="{37916EE7-1421-4FD5-9F49-B11EF5DAD4A5}" uniqueName="2" name="ID_Client" queryTableFieldId="2" dataDxfId="132"/>
    <tableColumn id="3" xr3:uid="{A3973B93-C4D4-4B34-8193-07A427A895E3}" uniqueName="3" name="Province_Client" queryTableFieldId="3" dataDxfId="131"/>
    <tableColumn id="4" xr3:uid="{BAE23F77-0CD4-4AF1-A88C-A0D087BD935C}" uniqueName="4" name="Anciennete_Mois" queryTableFieldId="4"/>
    <tableColumn id="5" xr3:uid="{308EA071-FDDE-443F-8D8B-A15CF59A23A6}" uniqueName="5" name="Type_Forfait" queryTableFieldId="5" dataDxfId="130"/>
    <tableColumn id="6" xr3:uid="{B5CC1560-7A59-469D-826D-139BD5DCF39D}" uniqueName="6" name="Duree_Cumulee_Panne_Min" queryTableFieldId="6"/>
    <tableColumn id="7" xr3:uid="{DAAB7DCD-091C-4092-B3A5-EF993B969133}" uniqueName="7" name="Facture_Mensuelle" queryTableFieldId="7"/>
    <tableColumn id="8" xr3:uid="{40883B13-AC54-4928-966F-5326C3DD7D9E}" uniqueName="8" name="Plaintes_Service_Client" queryTableField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FDED77-FD03-411B-B51C-67B0E394EE44}" name="Logs_Reseau2" displayName="Logs_Reseau2" ref="A1:F1034" tableType="queryTable" totalsRowShown="0">
  <autoFilter ref="A1:F1034" xr:uid="{91FDED77-FD03-411B-B51C-67B0E394EE44}"/>
  <tableColumns count="6">
    <tableColumn id="1" xr3:uid="{6B5BB9CB-16EA-4F3C-B2F7-B57FB9D97F68}" uniqueName="1" name="Source.Name" queryTableFieldId="1" dataDxfId="129"/>
    <tableColumn id="2" xr3:uid="{3D321B87-6B0D-43B6-BAA7-215A9E19BCC6}" uniqueName="2" name="Date_Heure_Panne" queryTableFieldId="2" dataDxfId="128"/>
    <tableColumn id="3" xr3:uid="{983E9EDA-0C4C-4BEE-965A-9ABBD83A12C1}" uniqueName="3" name="Cell_ID" queryTableFieldId="3" dataDxfId="127"/>
    <tableColumn id="4" xr3:uid="{084E31BD-3BA9-4FFB-A9C0-00E556E6C691}" uniqueName="4" name="Duree_Panne_Min" queryTableFieldId="4"/>
    <tableColumn id="5" xr3:uid="{185185FF-307D-45FC-9BAD-A47E1D2BDBCC}" uniqueName="5" name="Statut_Resolution" queryTableFieldId="5" dataDxfId="126"/>
    <tableColumn id="6" xr3:uid="{65631FFA-E29A-4C3B-BFAE-5B673E406905}" uniqueName="6" name="Date_Heure_Panne - Copier" queryTableFieldId="6" dataDxfId="12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D30B11-D859-42A8-B36F-B8DFA228CF30}" name="Maintenance_Rx" displayName="Maintenance_Rx" ref="A1:G499" tableType="queryTable" totalsRowShown="0">
  <autoFilter ref="A1:G499" xr:uid="{C5D30B11-D859-42A8-B36F-B8DFA228CF30}"/>
  <tableColumns count="7">
    <tableColumn id="1" xr3:uid="{090504B8-98D8-4D9E-AA66-8E87F4C72E9D}" uniqueName="1" name="Source.Name" queryTableFieldId="1" dataDxfId="124"/>
    <tableColumn id="2" xr3:uid="{6B47171D-D3A6-4F0E-B7C2-FE5BFFBFF215}" uniqueName="2" name="ID_Antenne" queryTableFieldId="2" dataDxfId="123"/>
    <tableColumn id="3" xr3:uid="{79886F6F-4BF9-429A-A6AF-BE9A6F98900F}" uniqueName="3" name="Province_RDC" queryTableFieldId="3" dataDxfId="122"/>
    <tableColumn id="4" xr3:uid="{19D11AD7-69AE-4F7F-A068-5CA0E31571BB}" uniqueName="4" name="Latitude" queryTableFieldId="4"/>
    <tableColumn id="5" xr3:uid="{CD53A316-F7EC-4F79-AA4F-242072E94245}" uniqueName="5" name="Longitude" queryTableFieldId="5"/>
    <tableColumn id="6" xr3:uid="{4AA45714-741D-4E5F-8DFE-69A501AC2D24}" uniqueName="6" name="Technologie" queryTableFieldId="6" dataDxfId="121"/>
    <tableColumn id="7" xr3:uid="{A40B4F64-41BD-49D7-81B7-98CFEA0B4098}" uniqueName="7" name="Equipementier" queryTableFieldId="7" dataDxfId="1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6643-FB82-4243-A82F-BD47ED503406}">
  <dimension ref="A1:H749"/>
  <sheetViews>
    <sheetView workbookViewId="0">
      <selection sqref="A1:H749"/>
    </sheetView>
  </sheetViews>
  <sheetFormatPr baseColWidth="10" defaultRowHeight="14.4" x14ac:dyDescent="0.3"/>
  <cols>
    <col min="1" max="1" width="22.77734375" bestFit="1" customWidth="1"/>
    <col min="2" max="2" width="10.33203125" bestFit="1" customWidth="1"/>
    <col min="3" max="3" width="15.6640625" bestFit="1" customWidth="1"/>
    <col min="4" max="4" width="16.88671875" bestFit="1" customWidth="1"/>
    <col min="5" max="5" width="16.77734375" bestFit="1" customWidth="1"/>
    <col min="6" max="6" width="25.88671875" bestFit="1" customWidth="1"/>
    <col min="7" max="7" width="18.5546875" bestFit="1" customWidth="1"/>
    <col min="8" max="8" width="21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>
        <v>29</v>
      </c>
      <c r="E2" s="1" t="s">
        <v>11</v>
      </c>
      <c r="F2">
        <v>214</v>
      </c>
      <c r="G2">
        <v>74.7</v>
      </c>
      <c r="H2">
        <v>3</v>
      </c>
    </row>
    <row r="3" spans="1:8" x14ac:dyDescent="0.3">
      <c r="A3" s="1" t="s">
        <v>8</v>
      </c>
      <c r="B3" s="1" t="s">
        <v>12</v>
      </c>
      <c r="C3" s="1" t="s">
        <v>13</v>
      </c>
      <c r="D3">
        <v>63</v>
      </c>
      <c r="E3" s="1" t="s">
        <v>14</v>
      </c>
      <c r="F3">
        <v>205</v>
      </c>
      <c r="G3">
        <v>89.19</v>
      </c>
      <c r="H3">
        <v>0</v>
      </c>
    </row>
    <row r="4" spans="1:8" x14ac:dyDescent="0.3">
      <c r="A4" s="1" t="s">
        <v>8</v>
      </c>
      <c r="B4" s="1" t="s">
        <v>15</v>
      </c>
      <c r="C4" s="1" t="s">
        <v>16</v>
      </c>
      <c r="D4">
        <v>34</v>
      </c>
      <c r="E4" s="1" t="s">
        <v>14</v>
      </c>
      <c r="F4">
        <v>453</v>
      </c>
      <c r="G4">
        <v>56.84</v>
      </c>
      <c r="H4">
        <v>0</v>
      </c>
    </row>
    <row r="5" spans="1:8" x14ac:dyDescent="0.3">
      <c r="A5" s="1" t="s">
        <v>8</v>
      </c>
      <c r="B5" s="1" t="s">
        <v>17</v>
      </c>
      <c r="C5" s="1" t="s">
        <v>18</v>
      </c>
      <c r="D5">
        <v>44</v>
      </c>
      <c r="E5" s="1" t="s">
        <v>19</v>
      </c>
      <c r="F5">
        <v>348</v>
      </c>
      <c r="G5">
        <v>58.67</v>
      </c>
      <c r="H5">
        <v>0</v>
      </c>
    </row>
    <row r="6" spans="1:8" x14ac:dyDescent="0.3">
      <c r="A6" s="1" t="s">
        <v>8</v>
      </c>
      <c r="B6" s="1" t="s">
        <v>20</v>
      </c>
      <c r="C6" s="1" t="s">
        <v>21</v>
      </c>
      <c r="D6">
        <v>101</v>
      </c>
      <c r="E6" s="1" t="s">
        <v>22</v>
      </c>
      <c r="F6">
        <v>358</v>
      </c>
      <c r="G6">
        <v>29.24</v>
      </c>
      <c r="H6">
        <v>3</v>
      </c>
    </row>
    <row r="7" spans="1:8" x14ac:dyDescent="0.3">
      <c r="A7" s="1" t="s">
        <v>8</v>
      </c>
      <c r="B7" s="1" t="s">
        <v>23</v>
      </c>
      <c r="C7" s="1" t="s">
        <v>24</v>
      </c>
      <c r="D7">
        <v>46</v>
      </c>
      <c r="E7" s="1" t="s">
        <v>11</v>
      </c>
      <c r="F7">
        <v>283</v>
      </c>
      <c r="G7">
        <v>56.05</v>
      </c>
      <c r="H7">
        <v>1</v>
      </c>
    </row>
    <row r="8" spans="1:8" x14ac:dyDescent="0.3">
      <c r="A8" s="1" t="s">
        <v>8</v>
      </c>
      <c r="B8" s="1" t="s">
        <v>25</v>
      </c>
      <c r="C8" s="1" t="s">
        <v>26</v>
      </c>
      <c r="D8">
        <v>99</v>
      </c>
      <c r="E8" s="1" t="s">
        <v>11</v>
      </c>
      <c r="F8">
        <v>447</v>
      </c>
      <c r="G8">
        <v>38.1</v>
      </c>
      <c r="H8">
        <v>3</v>
      </c>
    </row>
    <row r="9" spans="1:8" x14ac:dyDescent="0.3">
      <c r="A9" s="1" t="s">
        <v>8</v>
      </c>
      <c r="B9" s="1" t="s">
        <v>27</v>
      </c>
      <c r="C9" s="1" t="s">
        <v>24</v>
      </c>
      <c r="D9">
        <v>6</v>
      </c>
      <c r="E9" s="1" t="s">
        <v>22</v>
      </c>
      <c r="F9">
        <v>155</v>
      </c>
      <c r="G9">
        <v>40.659999999999997</v>
      </c>
      <c r="H9">
        <v>1</v>
      </c>
    </row>
    <row r="10" spans="1:8" x14ac:dyDescent="0.3">
      <c r="A10" s="1" t="s">
        <v>8</v>
      </c>
      <c r="B10" s="1" t="s">
        <v>28</v>
      </c>
      <c r="C10" s="1" t="s">
        <v>29</v>
      </c>
      <c r="D10">
        <v>99</v>
      </c>
      <c r="E10" s="1" t="s">
        <v>19</v>
      </c>
      <c r="F10">
        <v>369</v>
      </c>
      <c r="G10">
        <v>67.209999999999994</v>
      </c>
      <c r="H10">
        <v>3</v>
      </c>
    </row>
    <row r="11" spans="1:8" x14ac:dyDescent="0.3">
      <c r="A11" s="1" t="s">
        <v>8</v>
      </c>
      <c r="B11" s="1" t="s">
        <v>30</v>
      </c>
      <c r="C11" s="1" t="s">
        <v>31</v>
      </c>
      <c r="D11">
        <v>113</v>
      </c>
      <c r="E11" s="1" t="s">
        <v>22</v>
      </c>
      <c r="F11">
        <v>380</v>
      </c>
      <c r="G11">
        <v>12.11</v>
      </c>
      <c r="H11">
        <v>0</v>
      </c>
    </row>
    <row r="12" spans="1:8" x14ac:dyDescent="0.3">
      <c r="A12" s="1" t="s">
        <v>8</v>
      </c>
      <c r="B12" s="1" t="s">
        <v>32</v>
      </c>
      <c r="C12" s="1" t="s">
        <v>33</v>
      </c>
      <c r="D12">
        <v>72</v>
      </c>
      <c r="E12" s="1" t="s">
        <v>14</v>
      </c>
      <c r="F12">
        <v>160</v>
      </c>
      <c r="G12">
        <v>90.13</v>
      </c>
      <c r="H12">
        <v>2</v>
      </c>
    </row>
    <row r="13" spans="1:8" x14ac:dyDescent="0.3">
      <c r="A13" s="1" t="s">
        <v>8</v>
      </c>
      <c r="B13" s="1" t="s">
        <v>34</v>
      </c>
      <c r="C13" s="1" t="s">
        <v>35</v>
      </c>
      <c r="D13">
        <v>35</v>
      </c>
      <c r="E13" s="1" t="s">
        <v>14</v>
      </c>
      <c r="F13">
        <v>465</v>
      </c>
      <c r="G13">
        <v>58.59</v>
      </c>
      <c r="H13">
        <v>5</v>
      </c>
    </row>
    <row r="14" spans="1:8" x14ac:dyDescent="0.3">
      <c r="A14" s="1" t="s">
        <v>8</v>
      </c>
      <c r="B14" s="1" t="s">
        <v>36</v>
      </c>
      <c r="C14" s="1" t="s">
        <v>37</v>
      </c>
      <c r="D14">
        <v>115</v>
      </c>
      <c r="E14" s="1" t="s">
        <v>19</v>
      </c>
      <c r="F14">
        <v>176</v>
      </c>
      <c r="G14">
        <v>33.28</v>
      </c>
      <c r="H14">
        <v>4</v>
      </c>
    </row>
    <row r="15" spans="1:8" x14ac:dyDescent="0.3">
      <c r="A15" s="1" t="s">
        <v>8</v>
      </c>
      <c r="B15" s="1" t="s">
        <v>38</v>
      </c>
      <c r="C15" s="1" t="s">
        <v>18</v>
      </c>
      <c r="D15">
        <v>20</v>
      </c>
      <c r="E15" s="1" t="s">
        <v>22</v>
      </c>
      <c r="F15">
        <v>4</v>
      </c>
      <c r="G15">
        <v>84.9</v>
      </c>
      <c r="H15">
        <v>3</v>
      </c>
    </row>
    <row r="16" spans="1:8" x14ac:dyDescent="0.3">
      <c r="A16" s="1" t="s">
        <v>8</v>
      </c>
      <c r="B16" s="1" t="s">
        <v>39</v>
      </c>
      <c r="C16" s="1" t="s">
        <v>40</v>
      </c>
      <c r="D16">
        <v>110</v>
      </c>
      <c r="E16" s="1" t="s">
        <v>14</v>
      </c>
      <c r="F16">
        <v>423</v>
      </c>
      <c r="G16">
        <v>37.35</v>
      </c>
      <c r="H16">
        <v>4</v>
      </c>
    </row>
    <row r="17" spans="1:8" x14ac:dyDescent="0.3">
      <c r="A17" s="1" t="s">
        <v>8</v>
      </c>
      <c r="B17" s="1" t="s">
        <v>41</v>
      </c>
      <c r="C17" s="1" t="s">
        <v>13</v>
      </c>
      <c r="D17">
        <v>89</v>
      </c>
      <c r="E17" s="1" t="s">
        <v>11</v>
      </c>
      <c r="F17">
        <v>143</v>
      </c>
      <c r="G17">
        <v>48.05</v>
      </c>
      <c r="H17">
        <v>4</v>
      </c>
    </row>
    <row r="18" spans="1:8" x14ac:dyDescent="0.3">
      <c r="A18" s="1" t="s">
        <v>8</v>
      </c>
      <c r="B18" s="1" t="s">
        <v>42</v>
      </c>
      <c r="C18" s="1" t="s">
        <v>26</v>
      </c>
      <c r="D18">
        <v>112</v>
      </c>
      <c r="E18" s="1" t="s">
        <v>11</v>
      </c>
      <c r="F18">
        <v>460</v>
      </c>
      <c r="G18">
        <v>55.47</v>
      </c>
      <c r="H18">
        <v>4</v>
      </c>
    </row>
    <row r="19" spans="1:8" x14ac:dyDescent="0.3">
      <c r="A19" s="1" t="s">
        <v>8</v>
      </c>
      <c r="B19" s="1" t="s">
        <v>43</v>
      </c>
      <c r="C19" s="1" t="s">
        <v>44</v>
      </c>
      <c r="D19">
        <v>66</v>
      </c>
      <c r="E19" s="1" t="s">
        <v>22</v>
      </c>
      <c r="F19">
        <v>270</v>
      </c>
      <c r="G19">
        <v>75.88</v>
      </c>
      <c r="H19">
        <v>3</v>
      </c>
    </row>
    <row r="20" spans="1:8" x14ac:dyDescent="0.3">
      <c r="A20" s="1" t="s">
        <v>8</v>
      </c>
      <c r="B20" s="1" t="s">
        <v>45</v>
      </c>
      <c r="C20" s="1" t="s">
        <v>29</v>
      </c>
      <c r="D20">
        <v>78</v>
      </c>
      <c r="E20" s="1" t="s">
        <v>19</v>
      </c>
      <c r="F20">
        <v>312</v>
      </c>
      <c r="G20">
        <v>85.74</v>
      </c>
      <c r="H20">
        <v>2</v>
      </c>
    </row>
    <row r="21" spans="1:8" x14ac:dyDescent="0.3">
      <c r="A21" s="1" t="s">
        <v>8</v>
      </c>
      <c r="B21" s="1" t="s">
        <v>46</v>
      </c>
      <c r="C21" s="1" t="s">
        <v>33</v>
      </c>
      <c r="D21">
        <v>86</v>
      </c>
      <c r="E21" s="1" t="s">
        <v>11</v>
      </c>
      <c r="F21">
        <v>471</v>
      </c>
      <c r="G21">
        <v>33.380000000000003</v>
      </c>
      <c r="H21">
        <v>4</v>
      </c>
    </row>
    <row r="22" spans="1:8" x14ac:dyDescent="0.3">
      <c r="A22" s="1" t="s">
        <v>8</v>
      </c>
      <c r="B22" s="1" t="s">
        <v>47</v>
      </c>
      <c r="C22" s="1" t="s">
        <v>29</v>
      </c>
      <c r="D22">
        <v>14</v>
      </c>
      <c r="E22" s="1" t="s">
        <v>11</v>
      </c>
      <c r="F22">
        <v>75</v>
      </c>
      <c r="G22">
        <v>55.67</v>
      </c>
      <c r="H22">
        <v>3</v>
      </c>
    </row>
    <row r="23" spans="1:8" x14ac:dyDescent="0.3">
      <c r="A23" s="1" t="s">
        <v>8</v>
      </c>
      <c r="B23" s="1" t="s">
        <v>48</v>
      </c>
      <c r="C23" s="1" t="s">
        <v>31</v>
      </c>
      <c r="D23">
        <v>91</v>
      </c>
      <c r="E23" s="1" t="s">
        <v>14</v>
      </c>
      <c r="F23">
        <v>358</v>
      </c>
      <c r="G23">
        <v>21.14</v>
      </c>
      <c r="H23">
        <v>5</v>
      </c>
    </row>
    <row r="24" spans="1:8" x14ac:dyDescent="0.3">
      <c r="A24" s="1" t="s">
        <v>8</v>
      </c>
      <c r="B24" s="1" t="s">
        <v>49</v>
      </c>
      <c r="C24" s="1" t="s">
        <v>26</v>
      </c>
      <c r="D24">
        <v>7</v>
      </c>
      <c r="E24" s="1" t="s">
        <v>11</v>
      </c>
      <c r="F24">
        <v>206</v>
      </c>
      <c r="G24">
        <v>78.09</v>
      </c>
      <c r="H24">
        <v>3</v>
      </c>
    </row>
    <row r="25" spans="1:8" x14ac:dyDescent="0.3">
      <c r="A25" s="1" t="s">
        <v>8</v>
      </c>
      <c r="B25" s="1" t="s">
        <v>50</v>
      </c>
      <c r="C25" s="1" t="s">
        <v>51</v>
      </c>
      <c r="D25">
        <v>119</v>
      </c>
      <c r="E25" s="1" t="s">
        <v>22</v>
      </c>
      <c r="F25">
        <v>228</v>
      </c>
      <c r="G25">
        <v>94.72</v>
      </c>
      <c r="H25">
        <v>3</v>
      </c>
    </row>
    <row r="26" spans="1:8" x14ac:dyDescent="0.3">
      <c r="A26" s="1" t="s">
        <v>8</v>
      </c>
      <c r="B26" s="1" t="s">
        <v>52</v>
      </c>
      <c r="C26" s="1" t="s">
        <v>24</v>
      </c>
      <c r="D26">
        <v>57</v>
      </c>
      <c r="E26" s="1" t="s">
        <v>22</v>
      </c>
      <c r="F26">
        <v>329</v>
      </c>
      <c r="G26">
        <v>50.39</v>
      </c>
      <c r="H26">
        <v>5</v>
      </c>
    </row>
    <row r="27" spans="1:8" x14ac:dyDescent="0.3">
      <c r="A27" s="1" t="s">
        <v>8</v>
      </c>
      <c r="B27" s="1" t="s">
        <v>53</v>
      </c>
      <c r="C27" s="1" t="s">
        <v>10</v>
      </c>
      <c r="D27">
        <v>103</v>
      </c>
      <c r="E27" s="1" t="s">
        <v>14</v>
      </c>
      <c r="F27">
        <v>105</v>
      </c>
      <c r="G27">
        <v>61.52</v>
      </c>
      <c r="H27">
        <v>3</v>
      </c>
    </row>
    <row r="28" spans="1:8" x14ac:dyDescent="0.3">
      <c r="A28" s="1" t="s">
        <v>8</v>
      </c>
      <c r="B28" s="1" t="s">
        <v>54</v>
      </c>
      <c r="C28" s="1" t="s">
        <v>26</v>
      </c>
      <c r="D28">
        <v>59</v>
      </c>
      <c r="E28" s="1" t="s">
        <v>22</v>
      </c>
      <c r="F28">
        <v>454</v>
      </c>
      <c r="G28">
        <v>10.47</v>
      </c>
      <c r="H28">
        <v>5</v>
      </c>
    </row>
    <row r="29" spans="1:8" x14ac:dyDescent="0.3">
      <c r="A29" s="1" t="s">
        <v>8</v>
      </c>
      <c r="B29" s="1" t="s">
        <v>55</v>
      </c>
      <c r="C29" s="1" t="s">
        <v>35</v>
      </c>
      <c r="D29">
        <v>108</v>
      </c>
      <c r="E29" s="1" t="s">
        <v>22</v>
      </c>
      <c r="F29">
        <v>278</v>
      </c>
      <c r="G29">
        <v>40.51</v>
      </c>
      <c r="H29">
        <v>3</v>
      </c>
    </row>
    <row r="30" spans="1:8" x14ac:dyDescent="0.3">
      <c r="A30" s="1" t="s">
        <v>8</v>
      </c>
      <c r="B30" s="1" t="s">
        <v>56</v>
      </c>
      <c r="C30" s="1" t="s">
        <v>57</v>
      </c>
      <c r="D30">
        <v>97</v>
      </c>
      <c r="E30" s="1" t="s">
        <v>14</v>
      </c>
      <c r="F30">
        <v>319</v>
      </c>
      <c r="G30">
        <v>31.25</v>
      </c>
      <c r="H30">
        <v>1</v>
      </c>
    </row>
    <row r="31" spans="1:8" x14ac:dyDescent="0.3">
      <c r="A31" s="1" t="s">
        <v>8</v>
      </c>
      <c r="B31" s="1" t="s">
        <v>58</v>
      </c>
      <c r="C31" s="1" t="s">
        <v>33</v>
      </c>
      <c r="D31">
        <v>15</v>
      </c>
      <c r="E31" s="1" t="s">
        <v>14</v>
      </c>
      <c r="F31">
        <v>403</v>
      </c>
      <c r="G31">
        <v>77.12</v>
      </c>
      <c r="H31">
        <v>1</v>
      </c>
    </row>
    <row r="32" spans="1:8" x14ac:dyDescent="0.3">
      <c r="A32" s="1" t="s">
        <v>8</v>
      </c>
      <c r="B32" s="1" t="s">
        <v>59</v>
      </c>
      <c r="C32" s="1" t="s">
        <v>60</v>
      </c>
      <c r="D32">
        <v>14</v>
      </c>
      <c r="E32" s="1" t="s">
        <v>14</v>
      </c>
      <c r="F32">
        <v>316</v>
      </c>
      <c r="G32">
        <v>62.34</v>
      </c>
      <c r="H32">
        <v>4</v>
      </c>
    </row>
    <row r="33" spans="1:8" x14ac:dyDescent="0.3">
      <c r="A33" s="1" t="s">
        <v>8</v>
      </c>
      <c r="B33" s="1" t="s">
        <v>61</v>
      </c>
      <c r="C33" s="1" t="s">
        <v>62</v>
      </c>
      <c r="D33">
        <v>101</v>
      </c>
      <c r="E33" s="1" t="s">
        <v>14</v>
      </c>
      <c r="F33">
        <v>333</v>
      </c>
      <c r="G33">
        <v>74.319999999999993</v>
      </c>
      <c r="H33">
        <v>1</v>
      </c>
    </row>
    <row r="34" spans="1:8" x14ac:dyDescent="0.3">
      <c r="A34" s="1" t="s">
        <v>8</v>
      </c>
      <c r="B34" s="1" t="s">
        <v>63</v>
      </c>
      <c r="C34" s="1" t="s">
        <v>64</v>
      </c>
      <c r="D34">
        <v>79</v>
      </c>
      <c r="E34" s="1" t="s">
        <v>11</v>
      </c>
      <c r="F34">
        <v>226</v>
      </c>
      <c r="G34">
        <v>94.38</v>
      </c>
      <c r="H34">
        <v>3</v>
      </c>
    </row>
    <row r="35" spans="1:8" x14ac:dyDescent="0.3">
      <c r="A35" s="1" t="s">
        <v>8</v>
      </c>
      <c r="B35" s="1" t="s">
        <v>65</v>
      </c>
      <c r="C35" s="1" t="s">
        <v>21</v>
      </c>
      <c r="D35">
        <v>79</v>
      </c>
      <c r="E35" s="1" t="s">
        <v>19</v>
      </c>
      <c r="F35">
        <v>357</v>
      </c>
      <c r="G35">
        <v>69.900000000000006</v>
      </c>
      <c r="H35">
        <v>5</v>
      </c>
    </row>
    <row r="36" spans="1:8" x14ac:dyDescent="0.3">
      <c r="A36" s="1" t="s">
        <v>8</v>
      </c>
      <c r="B36" s="1" t="s">
        <v>66</v>
      </c>
      <c r="C36" s="1" t="s">
        <v>67</v>
      </c>
      <c r="D36">
        <v>101</v>
      </c>
      <c r="E36" s="1" t="s">
        <v>14</v>
      </c>
      <c r="F36">
        <v>176</v>
      </c>
      <c r="G36">
        <v>86</v>
      </c>
      <c r="H36">
        <v>3</v>
      </c>
    </row>
    <row r="37" spans="1:8" x14ac:dyDescent="0.3">
      <c r="A37" s="1" t="s">
        <v>8</v>
      </c>
      <c r="B37" s="1" t="s">
        <v>68</v>
      </c>
      <c r="C37" s="1" t="s">
        <v>21</v>
      </c>
      <c r="D37">
        <v>110</v>
      </c>
      <c r="E37" s="1" t="s">
        <v>22</v>
      </c>
      <c r="F37">
        <v>454</v>
      </c>
      <c r="G37">
        <v>31.05</v>
      </c>
      <c r="H37">
        <v>1</v>
      </c>
    </row>
    <row r="38" spans="1:8" x14ac:dyDescent="0.3">
      <c r="A38" s="1" t="s">
        <v>8</v>
      </c>
      <c r="B38" s="1" t="s">
        <v>69</v>
      </c>
      <c r="C38" s="1" t="s">
        <v>13</v>
      </c>
      <c r="D38">
        <v>14</v>
      </c>
      <c r="E38" s="1" t="s">
        <v>19</v>
      </c>
      <c r="F38">
        <v>415</v>
      </c>
      <c r="G38">
        <v>36.93</v>
      </c>
      <c r="H38">
        <v>5</v>
      </c>
    </row>
    <row r="39" spans="1:8" x14ac:dyDescent="0.3">
      <c r="A39" s="1" t="s">
        <v>8</v>
      </c>
      <c r="B39" s="1" t="s">
        <v>70</v>
      </c>
      <c r="C39" s="1" t="s">
        <v>29</v>
      </c>
      <c r="D39">
        <v>106</v>
      </c>
      <c r="E39" s="1" t="s">
        <v>19</v>
      </c>
      <c r="F39">
        <v>400</v>
      </c>
      <c r="G39">
        <v>70.02</v>
      </c>
      <c r="H39">
        <v>4</v>
      </c>
    </row>
    <row r="40" spans="1:8" x14ac:dyDescent="0.3">
      <c r="A40" s="1" t="s">
        <v>8</v>
      </c>
      <c r="B40" s="1" t="s">
        <v>71</v>
      </c>
      <c r="C40" s="1" t="s">
        <v>29</v>
      </c>
      <c r="D40">
        <v>72</v>
      </c>
      <c r="E40" s="1" t="s">
        <v>19</v>
      </c>
      <c r="F40">
        <v>332</v>
      </c>
      <c r="G40">
        <v>83.36</v>
      </c>
      <c r="H40">
        <v>4</v>
      </c>
    </row>
    <row r="41" spans="1:8" x14ac:dyDescent="0.3">
      <c r="A41" s="1" t="s">
        <v>8</v>
      </c>
      <c r="B41" s="1" t="s">
        <v>72</v>
      </c>
      <c r="C41" s="1" t="s">
        <v>73</v>
      </c>
      <c r="D41">
        <v>6</v>
      </c>
      <c r="E41" s="1" t="s">
        <v>11</v>
      </c>
      <c r="F41">
        <v>207</v>
      </c>
      <c r="G41">
        <v>61.55</v>
      </c>
      <c r="H41">
        <v>0</v>
      </c>
    </row>
    <row r="42" spans="1:8" x14ac:dyDescent="0.3">
      <c r="A42" s="1" t="s">
        <v>8</v>
      </c>
      <c r="B42" s="1" t="s">
        <v>74</v>
      </c>
      <c r="C42" s="1" t="s">
        <v>62</v>
      </c>
      <c r="D42">
        <v>65</v>
      </c>
      <c r="E42" s="1" t="s">
        <v>11</v>
      </c>
      <c r="F42">
        <v>397</v>
      </c>
      <c r="G42">
        <v>22.6</v>
      </c>
      <c r="H42">
        <v>5</v>
      </c>
    </row>
    <row r="43" spans="1:8" x14ac:dyDescent="0.3">
      <c r="A43" s="1" t="s">
        <v>8</v>
      </c>
      <c r="B43" s="1" t="s">
        <v>75</v>
      </c>
      <c r="C43" s="1" t="s">
        <v>24</v>
      </c>
      <c r="D43">
        <v>14</v>
      </c>
      <c r="E43" s="1" t="s">
        <v>14</v>
      </c>
      <c r="F43">
        <v>101</v>
      </c>
      <c r="G43">
        <v>43.99</v>
      </c>
      <c r="H43">
        <v>1</v>
      </c>
    </row>
    <row r="44" spans="1:8" x14ac:dyDescent="0.3">
      <c r="A44" s="1" t="s">
        <v>8</v>
      </c>
      <c r="B44" s="1" t="s">
        <v>76</v>
      </c>
      <c r="C44" s="1" t="s">
        <v>40</v>
      </c>
      <c r="D44">
        <v>22</v>
      </c>
      <c r="E44" s="1" t="s">
        <v>22</v>
      </c>
      <c r="F44">
        <v>451</v>
      </c>
      <c r="G44">
        <v>76.38</v>
      </c>
      <c r="H44">
        <v>3</v>
      </c>
    </row>
    <row r="45" spans="1:8" x14ac:dyDescent="0.3">
      <c r="A45" s="1" t="s">
        <v>8</v>
      </c>
      <c r="B45" s="1" t="s">
        <v>77</v>
      </c>
      <c r="C45" s="1" t="s">
        <v>78</v>
      </c>
      <c r="D45">
        <v>81</v>
      </c>
      <c r="E45" s="1" t="s">
        <v>14</v>
      </c>
      <c r="F45">
        <v>154</v>
      </c>
      <c r="G45">
        <v>19.47</v>
      </c>
      <c r="H45">
        <v>3</v>
      </c>
    </row>
    <row r="46" spans="1:8" x14ac:dyDescent="0.3">
      <c r="A46" s="1" t="s">
        <v>8</v>
      </c>
      <c r="B46" s="1" t="s">
        <v>79</v>
      </c>
      <c r="C46" s="1" t="s">
        <v>10</v>
      </c>
      <c r="D46">
        <v>16</v>
      </c>
      <c r="E46" s="1" t="s">
        <v>19</v>
      </c>
      <c r="F46">
        <v>43</v>
      </c>
      <c r="G46">
        <v>56.48</v>
      </c>
      <c r="H46">
        <v>0</v>
      </c>
    </row>
    <row r="47" spans="1:8" x14ac:dyDescent="0.3">
      <c r="A47" s="1" t="s">
        <v>8</v>
      </c>
      <c r="B47" s="1" t="s">
        <v>80</v>
      </c>
      <c r="C47" s="1" t="s">
        <v>51</v>
      </c>
      <c r="D47">
        <v>112</v>
      </c>
      <c r="E47" s="1" t="s">
        <v>14</v>
      </c>
      <c r="F47">
        <v>18</v>
      </c>
      <c r="G47">
        <v>27.33</v>
      </c>
      <c r="H47">
        <v>5</v>
      </c>
    </row>
    <row r="48" spans="1:8" x14ac:dyDescent="0.3">
      <c r="A48" s="1" t="s">
        <v>8</v>
      </c>
      <c r="B48" s="1" t="s">
        <v>81</v>
      </c>
      <c r="C48" s="1" t="s">
        <v>31</v>
      </c>
      <c r="D48">
        <v>27</v>
      </c>
      <c r="E48" s="1" t="s">
        <v>19</v>
      </c>
      <c r="F48">
        <v>275</v>
      </c>
      <c r="G48">
        <v>80.069999999999993</v>
      </c>
      <c r="H48">
        <v>1</v>
      </c>
    </row>
    <row r="49" spans="1:8" x14ac:dyDescent="0.3">
      <c r="A49" s="1" t="s">
        <v>8</v>
      </c>
      <c r="B49" s="1" t="s">
        <v>82</v>
      </c>
      <c r="C49" s="1" t="s">
        <v>57</v>
      </c>
      <c r="D49">
        <v>117</v>
      </c>
      <c r="E49" s="1" t="s">
        <v>22</v>
      </c>
      <c r="F49">
        <v>171</v>
      </c>
      <c r="G49">
        <v>50.89</v>
      </c>
      <c r="H49">
        <v>4</v>
      </c>
    </row>
    <row r="50" spans="1:8" x14ac:dyDescent="0.3">
      <c r="A50" s="1" t="s">
        <v>8</v>
      </c>
      <c r="B50" s="1" t="s">
        <v>83</v>
      </c>
      <c r="C50" s="1" t="s">
        <v>51</v>
      </c>
      <c r="D50">
        <v>47</v>
      </c>
      <c r="E50" s="1" t="s">
        <v>19</v>
      </c>
      <c r="F50">
        <v>199</v>
      </c>
      <c r="G50">
        <v>23.19</v>
      </c>
      <c r="H50">
        <v>2</v>
      </c>
    </row>
    <row r="51" spans="1:8" x14ac:dyDescent="0.3">
      <c r="A51" s="1" t="s">
        <v>8</v>
      </c>
      <c r="B51" s="1" t="s">
        <v>84</v>
      </c>
      <c r="C51" s="1" t="s">
        <v>60</v>
      </c>
      <c r="D51">
        <v>21</v>
      </c>
      <c r="E51" s="1" t="s">
        <v>11</v>
      </c>
      <c r="F51">
        <v>371</v>
      </c>
      <c r="G51">
        <v>48.31</v>
      </c>
      <c r="H51">
        <v>0</v>
      </c>
    </row>
    <row r="52" spans="1:8" x14ac:dyDescent="0.3">
      <c r="A52" s="1" t="s">
        <v>85</v>
      </c>
      <c r="B52" s="1" t="s">
        <v>86</v>
      </c>
      <c r="C52" s="1" t="s">
        <v>51</v>
      </c>
      <c r="D52">
        <v>82</v>
      </c>
      <c r="E52" s="1" t="s">
        <v>19</v>
      </c>
      <c r="F52">
        <v>132</v>
      </c>
      <c r="G52">
        <v>50.14</v>
      </c>
      <c r="H52">
        <v>5</v>
      </c>
    </row>
    <row r="53" spans="1:8" x14ac:dyDescent="0.3">
      <c r="A53" s="1" t="s">
        <v>85</v>
      </c>
      <c r="B53" s="1" t="s">
        <v>87</v>
      </c>
      <c r="C53" s="1" t="s">
        <v>21</v>
      </c>
      <c r="D53">
        <v>59</v>
      </c>
      <c r="E53" s="1" t="s">
        <v>22</v>
      </c>
      <c r="F53">
        <v>192</v>
      </c>
      <c r="G53">
        <v>86.17</v>
      </c>
      <c r="H53">
        <v>1</v>
      </c>
    </row>
    <row r="54" spans="1:8" x14ac:dyDescent="0.3">
      <c r="A54" s="1" t="s">
        <v>85</v>
      </c>
      <c r="B54" s="1" t="s">
        <v>88</v>
      </c>
      <c r="C54" s="1" t="s">
        <v>89</v>
      </c>
      <c r="D54">
        <v>98</v>
      </c>
      <c r="E54" s="1" t="s">
        <v>14</v>
      </c>
      <c r="F54">
        <v>482</v>
      </c>
      <c r="G54">
        <v>55.04</v>
      </c>
      <c r="H54">
        <v>5</v>
      </c>
    </row>
    <row r="55" spans="1:8" x14ac:dyDescent="0.3">
      <c r="A55" s="1" t="s">
        <v>85</v>
      </c>
      <c r="B55" s="1" t="s">
        <v>90</v>
      </c>
      <c r="C55" s="1" t="s">
        <v>35</v>
      </c>
      <c r="D55">
        <v>58</v>
      </c>
      <c r="E55" s="1" t="s">
        <v>19</v>
      </c>
      <c r="F55">
        <v>423</v>
      </c>
      <c r="G55">
        <v>80.459999999999994</v>
      </c>
      <c r="H55">
        <v>0</v>
      </c>
    </row>
    <row r="56" spans="1:8" x14ac:dyDescent="0.3">
      <c r="A56" s="1" t="s">
        <v>85</v>
      </c>
      <c r="B56" s="1" t="s">
        <v>91</v>
      </c>
      <c r="C56" s="1" t="s">
        <v>62</v>
      </c>
      <c r="D56">
        <v>86</v>
      </c>
      <c r="E56" s="1" t="s">
        <v>19</v>
      </c>
      <c r="F56">
        <v>460</v>
      </c>
      <c r="G56">
        <v>22.81</v>
      </c>
      <c r="H56">
        <v>4</v>
      </c>
    </row>
    <row r="57" spans="1:8" x14ac:dyDescent="0.3">
      <c r="A57" s="1" t="s">
        <v>85</v>
      </c>
      <c r="B57" s="1" t="s">
        <v>92</v>
      </c>
      <c r="C57" s="1" t="s">
        <v>73</v>
      </c>
      <c r="D57">
        <v>58</v>
      </c>
      <c r="E57" s="1" t="s">
        <v>22</v>
      </c>
      <c r="F57">
        <v>61</v>
      </c>
      <c r="G57">
        <v>58.64</v>
      </c>
      <c r="H57">
        <v>3</v>
      </c>
    </row>
    <row r="58" spans="1:8" x14ac:dyDescent="0.3">
      <c r="A58" s="1" t="s">
        <v>85</v>
      </c>
      <c r="B58" s="1" t="s">
        <v>93</v>
      </c>
      <c r="C58" s="1" t="s">
        <v>44</v>
      </c>
      <c r="D58">
        <v>20</v>
      </c>
      <c r="E58" s="1" t="s">
        <v>19</v>
      </c>
      <c r="F58">
        <v>26</v>
      </c>
      <c r="G58">
        <v>25.14</v>
      </c>
      <c r="H58">
        <v>0</v>
      </c>
    </row>
    <row r="59" spans="1:8" x14ac:dyDescent="0.3">
      <c r="A59" s="1" t="s">
        <v>85</v>
      </c>
      <c r="B59" s="1" t="s">
        <v>94</v>
      </c>
      <c r="C59" s="1" t="s">
        <v>51</v>
      </c>
      <c r="D59">
        <v>111</v>
      </c>
      <c r="E59" s="1" t="s">
        <v>11</v>
      </c>
      <c r="F59">
        <v>103</v>
      </c>
      <c r="G59">
        <v>32.06</v>
      </c>
      <c r="H59">
        <v>0</v>
      </c>
    </row>
    <row r="60" spans="1:8" x14ac:dyDescent="0.3">
      <c r="A60" s="1" t="s">
        <v>85</v>
      </c>
      <c r="B60" s="1" t="s">
        <v>95</v>
      </c>
      <c r="C60" s="1" t="s">
        <v>21</v>
      </c>
      <c r="D60">
        <v>94</v>
      </c>
      <c r="E60" s="1" t="s">
        <v>22</v>
      </c>
      <c r="F60">
        <v>122</v>
      </c>
      <c r="G60">
        <v>95.74</v>
      </c>
      <c r="H60">
        <v>5</v>
      </c>
    </row>
    <row r="61" spans="1:8" x14ac:dyDescent="0.3">
      <c r="A61" s="1" t="s">
        <v>85</v>
      </c>
      <c r="B61" s="1" t="s">
        <v>96</v>
      </c>
      <c r="C61" s="1" t="s">
        <v>35</v>
      </c>
      <c r="D61">
        <v>42</v>
      </c>
      <c r="E61" s="1" t="s">
        <v>22</v>
      </c>
      <c r="F61">
        <v>385</v>
      </c>
      <c r="G61">
        <v>96.52</v>
      </c>
      <c r="H61">
        <v>1</v>
      </c>
    </row>
    <row r="62" spans="1:8" x14ac:dyDescent="0.3">
      <c r="A62" s="1" t="s">
        <v>85</v>
      </c>
      <c r="B62" s="1" t="s">
        <v>97</v>
      </c>
      <c r="C62" s="1" t="s">
        <v>21</v>
      </c>
      <c r="D62">
        <v>12</v>
      </c>
      <c r="E62" s="1" t="s">
        <v>14</v>
      </c>
      <c r="F62">
        <v>305</v>
      </c>
      <c r="G62">
        <v>59.96</v>
      </c>
      <c r="H62">
        <v>3</v>
      </c>
    </row>
    <row r="63" spans="1:8" x14ac:dyDescent="0.3">
      <c r="A63" s="1" t="s">
        <v>85</v>
      </c>
      <c r="B63" s="1" t="s">
        <v>98</v>
      </c>
      <c r="C63" s="1" t="s">
        <v>35</v>
      </c>
      <c r="D63">
        <v>103</v>
      </c>
      <c r="E63" s="1" t="s">
        <v>19</v>
      </c>
      <c r="F63">
        <v>300</v>
      </c>
      <c r="G63">
        <v>13.76</v>
      </c>
      <c r="H63">
        <v>4</v>
      </c>
    </row>
    <row r="64" spans="1:8" x14ac:dyDescent="0.3">
      <c r="A64" s="1" t="s">
        <v>85</v>
      </c>
      <c r="B64" s="1" t="s">
        <v>99</v>
      </c>
      <c r="C64" s="1" t="s">
        <v>35</v>
      </c>
      <c r="D64">
        <v>80</v>
      </c>
      <c r="E64" s="1" t="s">
        <v>11</v>
      </c>
      <c r="F64">
        <v>121</v>
      </c>
      <c r="G64">
        <v>83.14</v>
      </c>
      <c r="H64">
        <v>5</v>
      </c>
    </row>
    <row r="65" spans="1:8" x14ac:dyDescent="0.3">
      <c r="A65" s="1" t="s">
        <v>85</v>
      </c>
      <c r="B65" s="1" t="s">
        <v>100</v>
      </c>
      <c r="C65" s="1" t="s">
        <v>26</v>
      </c>
      <c r="D65">
        <v>86</v>
      </c>
      <c r="E65" s="1" t="s">
        <v>14</v>
      </c>
      <c r="F65">
        <v>252</v>
      </c>
      <c r="G65">
        <v>96.5</v>
      </c>
      <c r="H65">
        <v>5</v>
      </c>
    </row>
    <row r="66" spans="1:8" x14ac:dyDescent="0.3">
      <c r="A66" s="1" t="s">
        <v>85</v>
      </c>
      <c r="B66" s="1" t="s">
        <v>101</v>
      </c>
      <c r="C66" s="1" t="s">
        <v>64</v>
      </c>
      <c r="D66">
        <v>80</v>
      </c>
      <c r="E66" s="1" t="s">
        <v>19</v>
      </c>
      <c r="F66">
        <v>260</v>
      </c>
      <c r="G66">
        <v>65.87</v>
      </c>
      <c r="H66">
        <v>3</v>
      </c>
    </row>
    <row r="67" spans="1:8" x14ac:dyDescent="0.3">
      <c r="A67" s="1" t="s">
        <v>85</v>
      </c>
      <c r="B67" s="1" t="s">
        <v>102</v>
      </c>
      <c r="C67" s="1" t="s">
        <v>24</v>
      </c>
      <c r="D67">
        <v>53</v>
      </c>
      <c r="E67" s="1" t="s">
        <v>14</v>
      </c>
      <c r="F67">
        <v>385</v>
      </c>
      <c r="G67">
        <v>68.78</v>
      </c>
      <c r="H67">
        <v>3</v>
      </c>
    </row>
    <row r="68" spans="1:8" x14ac:dyDescent="0.3">
      <c r="A68" s="1" t="s">
        <v>85</v>
      </c>
      <c r="B68" s="1" t="s">
        <v>103</v>
      </c>
      <c r="C68" s="1" t="s">
        <v>44</v>
      </c>
      <c r="D68">
        <v>50</v>
      </c>
      <c r="E68" s="1" t="s">
        <v>19</v>
      </c>
      <c r="F68">
        <v>258</v>
      </c>
      <c r="G68">
        <v>25.06</v>
      </c>
      <c r="H68">
        <v>4</v>
      </c>
    </row>
    <row r="69" spans="1:8" x14ac:dyDescent="0.3">
      <c r="A69" s="1" t="s">
        <v>85</v>
      </c>
      <c r="B69" s="1" t="s">
        <v>104</v>
      </c>
      <c r="C69" s="1" t="s">
        <v>44</v>
      </c>
      <c r="D69">
        <v>30</v>
      </c>
      <c r="E69" s="1" t="s">
        <v>11</v>
      </c>
      <c r="F69">
        <v>197</v>
      </c>
      <c r="G69">
        <v>15.42</v>
      </c>
      <c r="H69">
        <v>0</v>
      </c>
    </row>
    <row r="70" spans="1:8" x14ac:dyDescent="0.3">
      <c r="A70" s="1" t="s">
        <v>85</v>
      </c>
      <c r="B70" s="1" t="s">
        <v>105</v>
      </c>
      <c r="C70" s="1" t="s">
        <v>24</v>
      </c>
      <c r="D70">
        <v>116</v>
      </c>
      <c r="E70" s="1" t="s">
        <v>14</v>
      </c>
      <c r="F70">
        <v>486</v>
      </c>
      <c r="G70">
        <v>92.96</v>
      </c>
      <c r="H70">
        <v>5</v>
      </c>
    </row>
    <row r="71" spans="1:8" x14ac:dyDescent="0.3">
      <c r="A71" s="1" t="s">
        <v>85</v>
      </c>
      <c r="B71" s="1" t="s">
        <v>106</v>
      </c>
      <c r="C71" s="1" t="s">
        <v>89</v>
      </c>
      <c r="D71">
        <v>51</v>
      </c>
      <c r="E71" s="1" t="s">
        <v>22</v>
      </c>
      <c r="F71">
        <v>58</v>
      </c>
      <c r="G71">
        <v>34.6</v>
      </c>
      <c r="H71">
        <v>5</v>
      </c>
    </row>
    <row r="72" spans="1:8" x14ac:dyDescent="0.3">
      <c r="A72" s="1" t="s">
        <v>85</v>
      </c>
      <c r="B72" s="1" t="s">
        <v>107</v>
      </c>
      <c r="C72" s="1" t="s">
        <v>10</v>
      </c>
      <c r="D72">
        <v>44</v>
      </c>
      <c r="E72" s="1" t="s">
        <v>14</v>
      </c>
      <c r="F72">
        <v>137</v>
      </c>
      <c r="G72">
        <v>32.58</v>
      </c>
      <c r="H72">
        <v>0</v>
      </c>
    </row>
    <row r="73" spans="1:8" x14ac:dyDescent="0.3">
      <c r="A73" s="1" t="s">
        <v>85</v>
      </c>
      <c r="B73" s="1" t="s">
        <v>108</v>
      </c>
      <c r="C73" s="1" t="s">
        <v>62</v>
      </c>
      <c r="D73">
        <v>70</v>
      </c>
      <c r="E73" s="1" t="s">
        <v>19</v>
      </c>
      <c r="F73">
        <v>31</v>
      </c>
      <c r="G73">
        <v>71.2</v>
      </c>
      <c r="H73">
        <v>4</v>
      </c>
    </row>
    <row r="74" spans="1:8" x14ac:dyDescent="0.3">
      <c r="A74" s="1" t="s">
        <v>85</v>
      </c>
      <c r="B74" s="1" t="s">
        <v>109</v>
      </c>
      <c r="C74" s="1" t="s">
        <v>35</v>
      </c>
      <c r="D74">
        <v>6</v>
      </c>
      <c r="E74" s="1" t="s">
        <v>11</v>
      </c>
      <c r="F74">
        <v>162</v>
      </c>
      <c r="G74">
        <v>99.93</v>
      </c>
      <c r="H74">
        <v>0</v>
      </c>
    </row>
    <row r="75" spans="1:8" x14ac:dyDescent="0.3">
      <c r="A75" s="1" t="s">
        <v>85</v>
      </c>
      <c r="B75" s="1" t="s">
        <v>110</v>
      </c>
      <c r="C75" s="1" t="s">
        <v>35</v>
      </c>
      <c r="D75">
        <v>86</v>
      </c>
      <c r="E75" s="1" t="s">
        <v>14</v>
      </c>
      <c r="F75">
        <v>237</v>
      </c>
      <c r="G75">
        <v>85.82</v>
      </c>
      <c r="H75">
        <v>5</v>
      </c>
    </row>
    <row r="76" spans="1:8" x14ac:dyDescent="0.3">
      <c r="A76" s="1" t="s">
        <v>85</v>
      </c>
      <c r="B76" s="1" t="s">
        <v>111</v>
      </c>
      <c r="C76" s="1" t="s">
        <v>33</v>
      </c>
      <c r="D76">
        <v>114</v>
      </c>
      <c r="E76" s="1" t="s">
        <v>11</v>
      </c>
      <c r="F76">
        <v>283</v>
      </c>
      <c r="G76">
        <v>29.15</v>
      </c>
      <c r="H76">
        <v>3</v>
      </c>
    </row>
    <row r="77" spans="1:8" x14ac:dyDescent="0.3">
      <c r="A77" s="1" t="s">
        <v>85</v>
      </c>
      <c r="B77" s="1" t="s">
        <v>112</v>
      </c>
      <c r="C77" s="1" t="s">
        <v>29</v>
      </c>
      <c r="D77">
        <v>57</v>
      </c>
      <c r="E77" s="1" t="s">
        <v>19</v>
      </c>
      <c r="F77">
        <v>208</v>
      </c>
      <c r="G77">
        <v>85.66</v>
      </c>
      <c r="H77">
        <v>5</v>
      </c>
    </row>
    <row r="78" spans="1:8" x14ac:dyDescent="0.3">
      <c r="A78" s="1" t="s">
        <v>85</v>
      </c>
      <c r="B78" s="1" t="s">
        <v>113</v>
      </c>
      <c r="C78" s="1" t="s">
        <v>18</v>
      </c>
      <c r="D78">
        <v>95</v>
      </c>
      <c r="E78" s="1" t="s">
        <v>19</v>
      </c>
      <c r="F78">
        <v>33</v>
      </c>
      <c r="G78">
        <v>35.32</v>
      </c>
      <c r="H78">
        <v>0</v>
      </c>
    </row>
    <row r="79" spans="1:8" x14ac:dyDescent="0.3">
      <c r="A79" s="1" t="s">
        <v>85</v>
      </c>
      <c r="B79" s="1" t="s">
        <v>114</v>
      </c>
      <c r="C79" s="1" t="s">
        <v>26</v>
      </c>
      <c r="D79">
        <v>36</v>
      </c>
      <c r="E79" s="1" t="s">
        <v>19</v>
      </c>
      <c r="F79">
        <v>247</v>
      </c>
      <c r="G79">
        <v>24.53</v>
      </c>
      <c r="H79">
        <v>2</v>
      </c>
    </row>
    <row r="80" spans="1:8" x14ac:dyDescent="0.3">
      <c r="A80" s="1" t="s">
        <v>85</v>
      </c>
      <c r="B80" s="1" t="s">
        <v>115</v>
      </c>
      <c r="C80" s="1" t="s">
        <v>64</v>
      </c>
      <c r="D80">
        <v>83</v>
      </c>
      <c r="E80" s="1" t="s">
        <v>22</v>
      </c>
      <c r="F80">
        <v>14</v>
      </c>
      <c r="G80">
        <v>58.07</v>
      </c>
      <c r="H80">
        <v>3</v>
      </c>
    </row>
    <row r="81" spans="1:8" x14ac:dyDescent="0.3">
      <c r="A81" s="1" t="s">
        <v>85</v>
      </c>
      <c r="B81" s="1" t="s">
        <v>116</v>
      </c>
      <c r="C81" s="1" t="s">
        <v>51</v>
      </c>
      <c r="D81">
        <v>12</v>
      </c>
      <c r="E81" s="1" t="s">
        <v>11</v>
      </c>
      <c r="F81">
        <v>208</v>
      </c>
      <c r="G81">
        <v>16.29</v>
      </c>
      <c r="H81">
        <v>4</v>
      </c>
    </row>
    <row r="82" spans="1:8" x14ac:dyDescent="0.3">
      <c r="A82" s="1" t="s">
        <v>85</v>
      </c>
      <c r="B82" s="1" t="s">
        <v>117</v>
      </c>
      <c r="C82" s="1" t="s">
        <v>60</v>
      </c>
      <c r="D82">
        <v>111</v>
      </c>
      <c r="E82" s="1" t="s">
        <v>22</v>
      </c>
      <c r="F82">
        <v>324</v>
      </c>
      <c r="G82">
        <v>18.07</v>
      </c>
      <c r="H82">
        <v>2</v>
      </c>
    </row>
    <row r="83" spans="1:8" x14ac:dyDescent="0.3">
      <c r="A83" s="1" t="s">
        <v>85</v>
      </c>
      <c r="B83" s="1" t="s">
        <v>118</v>
      </c>
      <c r="C83" s="1" t="s">
        <v>21</v>
      </c>
      <c r="D83">
        <v>22</v>
      </c>
      <c r="E83" s="1" t="s">
        <v>22</v>
      </c>
      <c r="F83">
        <v>119</v>
      </c>
      <c r="G83">
        <v>72.86</v>
      </c>
      <c r="H83">
        <v>3</v>
      </c>
    </row>
    <row r="84" spans="1:8" x14ac:dyDescent="0.3">
      <c r="A84" s="1" t="s">
        <v>85</v>
      </c>
      <c r="B84" s="1" t="s">
        <v>119</v>
      </c>
      <c r="C84" s="1" t="s">
        <v>40</v>
      </c>
      <c r="D84">
        <v>91</v>
      </c>
      <c r="E84" s="1" t="s">
        <v>11</v>
      </c>
      <c r="F84">
        <v>467</v>
      </c>
      <c r="G84">
        <v>84.74</v>
      </c>
      <c r="H84">
        <v>1</v>
      </c>
    </row>
    <row r="85" spans="1:8" x14ac:dyDescent="0.3">
      <c r="A85" s="1" t="s">
        <v>85</v>
      </c>
      <c r="B85" s="1" t="s">
        <v>120</v>
      </c>
      <c r="C85" s="1" t="s">
        <v>62</v>
      </c>
      <c r="D85">
        <v>4</v>
      </c>
      <c r="E85" s="1" t="s">
        <v>19</v>
      </c>
      <c r="F85">
        <v>453</v>
      </c>
      <c r="G85">
        <v>75.260000000000005</v>
      </c>
      <c r="H85">
        <v>5</v>
      </c>
    </row>
    <row r="86" spans="1:8" x14ac:dyDescent="0.3">
      <c r="A86" s="1" t="s">
        <v>85</v>
      </c>
      <c r="B86" s="1" t="s">
        <v>121</v>
      </c>
      <c r="C86" s="1" t="s">
        <v>10</v>
      </c>
      <c r="D86">
        <v>74</v>
      </c>
      <c r="E86" s="1" t="s">
        <v>22</v>
      </c>
      <c r="F86">
        <v>9</v>
      </c>
      <c r="G86">
        <v>99.89</v>
      </c>
      <c r="H86">
        <v>0</v>
      </c>
    </row>
    <row r="87" spans="1:8" x14ac:dyDescent="0.3">
      <c r="A87" s="1" t="s">
        <v>85</v>
      </c>
      <c r="B87" s="1" t="s">
        <v>122</v>
      </c>
      <c r="C87" s="1" t="s">
        <v>26</v>
      </c>
      <c r="D87">
        <v>81</v>
      </c>
      <c r="E87" s="1" t="s">
        <v>11</v>
      </c>
      <c r="F87">
        <v>137</v>
      </c>
      <c r="G87">
        <v>89.05</v>
      </c>
      <c r="H87">
        <v>0</v>
      </c>
    </row>
    <row r="88" spans="1:8" x14ac:dyDescent="0.3">
      <c r="A88" s="1" t="s">
        <v>85</v>
      </c>
      <c r="B88" s="1" t="s">
        <v>123</v>
      </c>
      <c r="C88" s="1" t="s">
        <v>89</v>
      </c>
      <c r="D88">
        <v>102</v>
      </c>
      <c r="E88" s="1" t="s">
        <v>14</v>
      </c>
      <c r="F88">
        <v>283</v>
      </c>
      <c r="G88">
        <v>28.98</v>
      </c>
      <c r="H88">
        <v>3</v>
      </c>
    </row>
    <row r="89" spans="1:8" x14ac:dyDescent="0.3">
      <c r="A89" s="1" t="s">
        <v>85</v>
      </c>
      <c r="B89" s="1" t="s">
        <v>124</v>
      </c>
      <c r="C89" s="1" t="s">
        <v>35</v>
      </c>
      <c r="D89">
        <v>99</v>
      </c>
      <c r="E89" s="1" t="s">
        <v>22</v>
      </c>
      <c r="F89">
        <v>493</v>
      </c>
      <c r="G89">
        <v>55.43</v>
      </c>
      <c r="H89">
        <v>2</v>
      </c>
    </row>
    <row r="90" spans="1:8" x14ac:dyDescent="0.3">
      <c r="A90" s="1" t="s">
        <v>85</v>
      </c>
      <c r="B90" s="1" t="s">
        <v>125</v>
      </c>
      <c r="C90" s="1" t="s">
        <v>89</v>
      </c>
      <c r="D90">
        <v>91</v>
      </c>
      <c r="E90" s="1" t="s">
        <v>19</v>
      </c>
      <c r="F90">
        <v>300</v>
      </c>
      <c r="G90">
        <v>82.19</v>
      </c>
      <c r="H90">
        <v>1</v>
      </c>
    </row>
    <row r="91" spans="1:8" x14ac:dyDescent="0.3">
      <c r="A91" s="1" t="s">
        <v>85</v>
      </c>
      <c r="B91" s="1" t="s">
        <v>126</v>
      </c>
      <c r="C91" s="1" t="s">
        <v>127</v>
      </c>
      <c r="D91">
        <v>40</v>
      </c>
      <c r="E91" s="1" t="s">
        <v>11</v>
      </c>
      <c r="F91">
        <v>345</v>
      </c>
      <c r="G91">
        <v>89.55</v>
      </c>
      <c r="H91">
        <v>3</v>
      </c>
    </row>
    <row r="92" spans="1:8" x14ac:dyDescent="0.3">
      <c r="A92" s="1" t="s">
        <v>85</v>
      </c>
      <c r="B92" s="1" t="s">
        <v>128</v>
      </c>
      <c r="C92" s="1" t="s">
        <v>78</v>
      </c>
      <c r="D92">
        <v>72</v>
      </c>
      <c r="E92" s="1" t="s">
        <v>22</v>
      </c>
      <c r="F92">
        <v>51</v>
      </c>
      <c r="G92">
        <v>95.09</v>
      </c>
      <c r="H92">
        <v>0</v>
      </c>
    </row>
    <row r="93" spans="1:8" x14ac:dyDescent="0.3">
      <c r="A93" s="1" t="s">
        <v>85</v>
      </c>
      <c r="B93" s="1" t="s">
        <v>129</v>
      </c>
      <c r="C93" s="1" t="s">
        <v>24</v>
      </c>
      <c r="D93">
        <v>83</v>
      </c>
      <c r="E93" s="1" t="s">
        <v>19</v>
      </c>
      <c r="F93">
        <v>126</v>
      </c>
      <c r="G93">
        <v>67.17</v>
      </c>
      <c r="H93">
        <v>1</v>
      </c>
    </row>
    <row r="94" spans="1:8" x14ac:dyDescent="0.3">
      <c r="A94" s="1" t="s">
        <v>85</v>
      </c>
      <c r="B94" s="1" t="s">
        <v>130</v>
      </c>
      <c r="C94" s="1" t="s">
        <v>131</v>
      </c>
      <c r="D94">
        <v>16</v>
      </c>
      <c r="E94" s="1" t="s">
        <v>19</v>
      </c>
      <c r="F94">
        <v>390</v>
      </c>
      <c r="G94">
        <v>98.17</v>
      </c>
      <c r="H94">
        <v>5</v>
      </c>
    </row>
    <row r="95" spans="1:8" x14ac:dyDescent="0.3">
      <c r="A95" s="1" t="s">
        <v>85</v>
      </c>
      <c r="B95" s="1" t="s">
        <v>132</v>
      </c>
      <c r="C95" s="1" t="s">
        <v>26</v>
      </c>
      <c r="D95">
        <v>83</v>
      </c>
      <c r="E95" s="1" t="s">
        <v>11</v>
      </c>
      <c r="F95">
        <v>284</v>
      </c>
      <c r="G95">
        <v>73.7</v>
      </c>
      <c r="H95">
        <v>0</v>
      </c>
    </row>
    <row r="96" spans="1:8" x14ac:dyDescent="0.3">
      <c r="A96" s="1" t="s">
        <v>85</v>
      </c>
      <c r="B96" s="1" t="s">
        <v>133</v>
      </c>
      <c r="C96" s="1" t="s">
        <v>18</v>
      </c>
      <c r="D96">
        <v>72</v>
      </c>
      <c r="E96" s="1" t="s">
        <v>14</v>
      </c>
      <c r="F96">
        <v>333</v>
      </c>
      <c r="G96">
        <v>34.57</v>
      </c>
      <c r="H96">
        <v>2</v>
      </c>
    </row>
    <row r="97" spans="1:8" x14ac:dyDescent="0.3">
      <c r="A97" s="1" t="s">
        <v>85</v>
      </c>
      <c r="B97" s="1" t="s">
        <v>134</v>
      </c>
      <c r="C97" s="1" t="s">
        <v>31</v>
      </c>
      <c r="D97">
        <v>11</v>
      </c>
      <c r="E97" s="1" t="s">
        <v>19</v>
      </c>
      <c r="F97">
        <v>402</v>
      </c>
      <c r="G97">
        <v>69.599999999999994</v>
      </c>
      <c r="H97">
        <v>5</v>
      </c>
    </row>
    <row r="98" spans="1:8" x14ac:dyDescent="0.3">
      <c r="A98" s="1" t="s">
        <v>85</v>
      </c>
      <c r="B98" s="1" t="s">
        <v>135</v>
      </c>
      <c r="C98" s="1" t="s">
        <v>44</v>
      </c>
      <c r="D98">
        <v>25</v>
      </c>
      <c r="E98" s="1" t="s">
        <v>11</v>
      </c>
      <c r="F98">
        <v>64</v>
      </c>
      <c r="G98">
        <v>38.950000000000003</v>
      </c>
      <c r="H98">
        <v>5</v>
      </c>
    </row>
    <row r="99" spans="1:8" x14ac:dyDescent="0.3">
      <c r="A99" s="1" t="s">
        <v>85</v>
      </c>
      <c r="B99" s="1" t="s">
        <v>136</v>
      </c>
      <c r="C99" s="1" t="s">
        <v>137</v>
      </c>
      <c r="D99">
        <v>80</v>
      </c>
      <c r="E99" s="1" t="s">
        <v>22</v>
      </c>
      <c r="F99">
        <v>155</v>
      </c>
      <c r="G99">
        <v>28.96</v>
      </c>
      <c r="H99">
        <v>2</v>
      </c>
    </row>
    <row r="100" spans="1:8" x14ac:dyDescent="0.3">
      <c r="A100" s="1" t="s">
        <v>85</v>
      </c>
      <c r="B100" s="1" t="s">
        <v>138</v>
      </c>
      <c r="C100" s="1" t="s">
        <v>44</v>
      </c>
      <c r="D100">
        <v>70</v>
      </c>
      <c r="E100" s="1" t="s">
        <v>14</v>
      </c>
      <c r="F100">
        <v>290</v>
      </c>
      <c r="G100">
        <v>96.31</v>
      </c>
      <c r="H100">
        <v>1</v>
      </c>
    </row>
    <row r="101" spans="1:8" x14ac:dyDescent="0.3">
      <c r="A101" s="1" t="s">
        <v>85</v>
      </c>
      <c r="B101" s="1" t="s">
        <v>139</v>
      </c>
      <c r="C101" s="1" t="s">
        <v>73</v>
      </c>
      <c r="D101">
        <v>74</v>
      </c>
      <c r="E101" s="1" t="s">
        <v>11</v>
      </c>
      <c r="F101">
        <v>208</v>
      </c>
      <c r="G101">
        <v>39.56</v>
      </c>
      <c r="H101">
        <v>0</v>
      </c>
    </row>
    <row r="102" spans="1:8" x14ac:dyDescent="0.3">
      <c r="A102" s="1" t="s">
        <v>140</v>
      </c>
      <c r="B102" s="1" t="s">
        <v>141</v>
      </c>
      <c r="C102" s="1" t="s">
        <v>24</v>
      </c>
      <c r="D102">
        <v>87</v>
      </c>
      <c r="E102" s="1" t="s">
        <v>14</v>
      </c>
      <c r="F102">
        <v>442</v>
      </c>
      <c r="G102">
        <v>22.39</v>
      </c>
      <c r="H102">
        <v>3</v>
      </c>
    </row>
    <row r="103" spans="1:8" x14ac:dyDescent="0.3">
      <c r="A103" s="1" t="s">
        <v>140</v>
      </c>
      <c r="B103" s="1" t="s">
        <v>142</v>
      </c>
      <c r="C103" s="1" t="s">
        <v>37</v>
      </c>
      <c r="D103">
        <v>69</v>
      </c>
      <c r="E103" s="1" t="s">
        <v>19</v>
      </c>
      <c r="F103">
        <v>306</v>
      </c>
      <c r="G103">
        <v>13.97</v>
      </c>
      <c r="H103">
        <v>1</v>
      </c>
    </row>
    <row r="104" spans="1:8" x14ac:dyDescent="0.3">
      <c r="A104" s="1" t="s">
        <v>140</v>
      </c>
      <c r="B104" s="1" t="s">
        <v>143</v>
      </c>
      <c r="C104" s="1" t="s">
        <v>57</v>
      </c>
      <c r="D104">
        <v>79</v>
      </c>
      <c r="E104" s="1" t="s">
        <v>22</v>
      </c>
      <c r="F104">
        <v>403</v>
      </c>
      <c r="G104">
        <v>21.49</v>
      </c>
      <c r="H104">
        <v>0</v>
      </c>
    </row>
    <row r="105" spans="1:8" x14ac:dyDescent="0.3">
      <c r="A105" s="1" t="s">
        <v>140</v>
      </c>
      <c r="B105" s="1" t="s">
        <v>144</v>
      </c>
      <c r="C105" s="1" t="s">
        <v>57</v>
      </c>
      <c r="D105">
        <v>33</v>
      </c>
      <c r="E105" s="1" t="s">
        <v>22</v>
      </c>
      <c r="F105">
        <v>337</v>
      </c>
      <c r="G105">
        <v>62.61</v>
      </c>
      <c r="H105">
        <v>2</v>
      </c>
    </row>
    <row r="106" spans="1:8" x14ac:dyDescent="0.3">
      <c r="A106" s="1" t="s">
        <v>140</v>
      </c>
      <c r="B106" s="1" t="s">
        <v>145</v>
      </c>
      <c r="C106" s="1" t="s">
        <v>26</v>
      </c>
      <c r="D106">
        <v>88</v>
      </c>
      <c r="E106" s="1" t="s">
        <v>22</v>
      </c>
      <c r="F106">
        <v>319</v>
      </c>
      <c r="G106">
        <v>56.18</v>
      </c>
      <c r="H106">
        <v>0</v>
      </c>
    </row>
    <row r="107" spans="1:8" x14ac:dyDescent="0.3">
      <c r="A107" s="1" t="s">
        <v>140</v>
      </c>
      <c r="B107" s="1" t="s">
        <v>146</v>
      </c>
      <c r="C107" s="1" t="s">
        <v>21</v>
      </c>
      <c r="D107">
        <v>72</v>
      </c>
      <c r="E107" s="1" t="s">
        <v>11</v>
      </c>
      <c r="F107">
        <v>5</v>
      </c>
      <c r="G107">
        <v>68.650000000000006</v>
      </c>
      <c r="H107">
        <v>0</v>
      </c>
    </row>
    <row r="108" spans="1:8" x14ac:dyDescent="0.3">
      <c r="A108" s="1" t="s">
        <v>140</v>
      </c>
      <c r="B108" s="1" t="s">
        <v>147</v>
      </c>
      <c r="C108" s="1" t="s">
        <v>62</v>
      </c>
      <c r="D108">
        <v>114</v>
      </c>
      <c r="E108" s="1" t="s">
        <v>11</v>
      </c>
      <c r="F108">
        <v>232</v>
      </c>
      <c r="G108">
        <v>42.2</v>
      </c>
      <c r="H108">
        <v>2</v>
      </c>
    </row>
    <row r="109" spans="1:8" x14ac:dyDescent="0.3">
      <c r="A109" s="1" t="s">
        <v>140</v>
      </c>
      <c r="B109" s="1" t="s">
        <v>148</v>
      </c>
      <c r="C109" s="1" t="s">
        <v>67</v>
      </c>
      <c r="D109">
        <v>59</v>
      </c>
      <c r="E109" s="1" t="s">
        <v>19</v>
      </c>
      <c r="F109">
        <v>196</v>
      </c>
      <c r="G109">
        <v>62.53</v>
      </c>
      <c r="H109">
        <v>0</v>
      </c>
    </row>
    <row r="110" spans="1:8" x14ac:dyDescent="0.3">
      <c r="A110" s="1" t="s">
        <v>140</v>
      </c>
      <c r="B110" s="1" t="s">
        <v>149</v>
      </c>
      <c r="C110" s="1" t="s">
        <v>26</v>
      </c>
      <c r="D110">
        <v>1</v>
      </c>
      <c r="E110" s="1" t="s">
        <v>19</v>
      </c>
      <c r="F110">
        <v>237</v>
      </c>
      <c r="G110">
        <v>58.7</v>
      </c>
      <c r="H110">
        <v>4</v>
      </c>
    </row>
    <row r="111" spans="1:8" x14ac:dyDescent="0.3">
      <c r="A111" s="1" t="s">
        <v>140</v>
      </c>
      <c r="B111" s="1" t="s">
        <v>150</v>
      </c>
      <c r="C111" s="1" t="s">
        <v>37</v>
      </c>
      <c r="D111">
        <v>55</v>
      </c>
      <c r="E111" s="1" t="s">
        <v>19</v>
      </c>
      <c r="F111">
        <v>407</v>
      </c>
      <c r="G111">
        <v>23.11</v>
      </c>
      <c r="H111">
        <v>0</v>
      </c>
    </row>
    <row r="112" spans="1:8" x14ac:dyDescent="0.3">
      <c r="A112" s="1" t="s">
        <v>140</v>
      </c>
      <c r="B112" s="1" t="s">
        <v>151</v>
      </c>
      <c r="C112" s="1" t="s">
        <v>37</v>
      </c>
      <c r="D112">
        <v>83</v>
      </c>
      <c r="E112" s="1" t="s">
        <v>14</v>
      </c>
      <c r="F112">
        <v>219</v>
      </c>
      <c r="G112">
        <v>52.26</v>
      </c>
      <c r="H112">
        <v>1</v>
      </c>
    </row>
    <row r="113" spans="1:8" x14ac:dyDescent="0.3">
      <c r="A113" s="1" t="s">
        <v>140</v>
      </c>
      <c r="B113" s="1" t="s">
        <v>152</v>
      </c>
      <c r="C113" s="1" t="s">
        <v>31</v>
      </c>
      <c r="D113">
        <v>87</v>
      </c>
      <c r="E113" s="1" t="s">
        <v>14</v>
      </c>
      <c r="F113">
        <v>450</v>
      </c>
      <c r="G113">
        <v>64.3</v>
      </c>
      <c r="H113">
        <v>2</v>
      </c>
    </row>
    <row r="114" spans="1:8" x14ac:dyDescent="0.3">
      <c r="A114" s="1" t="s">
        <v>140</v>
      </c>
      <c r="B114" s="1" t="s">
        <v>153</v>
      </c>
      <c r="C114" s="1" t="s">
        <v>33</v>
      </c>
      <c r="D114">
        <v>84</v>
      </c>
      <c r="E114" s="1" t="s">
        <v>19</v>
      </c>
      <c r="F114">
        <v>317</v>
      </c>
      <c r="G114">
        <v>36.200000000000003</v>
      </c>
      <c r="H114">
        <v>3</v>
      </c>
    </row>
    <row r="115" spans="1:8" x14ac:dyDescent="0.3">
      <c r="A115" s="1" t="s">
        <v>140</v>
      </c>
      <c r="B115" s="1" t="s">
        <v>154</v>
      </c>
      <c r="C115" s="1" t="s">
        <v>64</v>
      </c>
      <c r="D115">
        <v>7</v>
      </c>
      <c r="E115" s="1" t="s">
        <v>11</v>
      </c>
      <c r="F115">
        <v>317</v>
      </c>
      <c r="G115">
        <v>97.32</v>
      </c>
      <c r="H115">
        <v>1</v>
      </c>
    </row>
    <row r="116" spans="1:8" x14ac:dyDescent="0.3">
      <c r="A116" s="1" t="s">
        <v>140</v>
      </c>
      <c r="B116" s="1" t="s">
        <v>155</v>
      </c>
      <c r="C116" s="1" t="s">
        <v>33</v>
      </c>
      <c r="D116">
        <v>110</v>
      </c>
      <c r="E116" s="1" t="s">
        <v>11</v>
      </c>
      <c r="F116">
        <v>51</v>
      </c>
      <c r="G116">
        <v>56.59</v>
      </c>
      <c r="H116">
        <v>5</v>
      </c>
    </row>
    <row r="117" spans="1:8" x14ac:dyDescent="0.3">
      <c r="A117" s="1" t="s">
        <v>140</v>
      </c>
      <c r="B117" s="1" t="s">
        <v>156</v>
      </c>
      <c r="C117" s="1" t="s">
        <v>16</v>
      </c>
      <c r="D117">
        <v>42</v>
      </c>
      <c r="E117" s="1" t="s">
        <v>22</v>
      </c>
      <c r="F117">
        <v>173</v>
      </c>
      <c r="G117">
        <v>69.19</v>
      </c>
      <c r="H117">
        <v>4</v>
      </c>
    </row>
    <row r="118" spans="1:8" x14ac:dyDescent="0.3">
      <c r="A118" s="1" t="s">
        <v>140</v>
      </c>
      <c r="B118" s="1" t="s">
        <v>157</v>
      </c>
      <c r="C118" s="1" t="s">
        <v>131</v>
      </c>
      <c r="D118">
        <v>56</v>
      </c>
      <c r="E118" s="1" t="s">
        <v>19</v>
      </c>
      <c r="F118">
        <v>333</v>
      </c>
      <c r="G118">
        <v>23.01</v>
      </c>
      <c r="H118">
        <v>2</v>
      </c>
    </row>
    <row r="119" spans="1:8" x14ac:dyDescent="0.3">
      <c r="A119" s="1" t="s">
        <v>140</v>
      </c>
      <c r="B119" s="1" t="s">
        <v>158</v>
      </c>
      <c r="C119" s="1" t="s">
        <v>51</v>
      </c>
      <c r="D119">
        <v>109</v>
      </c>
      <c r="E119" s="1" t="s">
        <v>14</v>
      </c>
      <c r="F119">
        <v>480</v>
      </c>
      <c r="G119">
        <v>31.36</v>
      </c>
      <c r="H119">
        <v>0</v>
      </c>
    </row>
    <row r="120" spans="1:8" x14ac:dyDescent="0.3">
      <c r="A120" s="1" t="s">
        <v>140</v>
      </c>
      <c r="B120" s="1" t="s">
        <v>159</v>
      </c>
      <c r="C120" s="1" t="s">
        <v>67</v>
      </c>
      <c r="D120">
        <v>53</v>
      </c>
      <c r="E120" s="1" t="s">
        <v>22</v>
      </c>
      <c r="F120">
        <v>345</v>
      </c>
      <c r="G120">
        <v>83.73</v>
      </c>
      <c r="H120">
        <v>0</v>
      </c>
    </row>
    <row r="121" spans="1:8" x14ac:dyDescent="0.3">
      <c r="A121" s="1" t="s">
        <v>140</v>
      </c>
      <c r="B121" s="1" t="s">
        <v>160</v>
      </c>
      <c r="C121" s="1" t="s">
        <v>89</v>
      </c>
      <c r="D121">
        <v>36</v>
      </c>
      <c r="E121" s="1" t="s">
        <v>11</v>
      </c>
      <c r="F121">
        <v>400</v>
      </c>
      <c r="G121">
        <v>60.35</v>
      </c>
      <c r="H121">
        <v>1</v>
      </c>
    </row>
    <row r="122" spans="1:8" x14ac:dyDescent="0.3">
      <c r="A122" s="1" t="s">
        <v>140</v>
      </c>
      <c r="B122" s="1" t="s">
        <v>161</v>
      </c>
      <c r="C122" s="1" t="s">
        <v>73</v>
      </c>
      <c r="D122">
        <v>16</v>
      </c>
      <c r="E122" s="1" t="s">
        <v>19</v>
      </c>
      <c r="F122">
        <v>13</v>
      </c>
      <c r="G122">
        <v>14.91</v>
      </c>
      <c r="H122">
        <v>1</v>
      </c>
    </row>
    <row r="123" spans="1:8" x14ac:dyDescent="0.3">
      <c r="A123" s="1" t="s">
        <v>140</v>
      </c>
      <c r="B123" s="1" t="s">
        <v>162</v>
      </c>
      <c r="C123" s="1" t="s">
        <v>26</v>
      </c>
      <c r="D123">
        <v>88</v>
      </c>
      <c r="E123" s="1" t="s">
        <v>11</v>
      </c>
      <c r="F123">
        <v>232</v>
      </c>
      <c r="G123">
        <v>40.94</v>
      </c>
      <c r="H123">
        <v>2</v>
      </c>
    </row>
    <row r="124" spans="1:8" x14ac:dyDescent="0.3">
      <c r="A124" s="1" t="s">
        <v>140</v>
      </c>
      <c r="B124" s="1" t="s">
        <v>163</v>
      </c>
      <c r="C124" s="1" t="s">
        <v>29</v>
      </c>
      <c r="D124">
        <v>67</v>
      </c>
      <c r="E124" s="1" t="s">
        <v>22</v>
      </c>
      <c r="F124">
        <v>264</v>
      </c>
      <c r="G124">
        <v>97.89</v>
      </c>
      <c r="H124">
        <v>1</v>
      </c>
    </row>
    <row r="125" spans="1:8" x14ac:dyDescent="0.3">
      <c r="A125" s="1" t="s">
        <v>140</v>
      </c>
      <c r="B125" s="1" t="s">
        <v>164</v>
      </c>
      <c r="C125" s="1" t="s">
        <v>60</v>
      </c>
      <c r="D125">
        <v>60</v>
      </c>
      <c r="E125" s="1" t="s">
        <v>19</v>
      </c>
      <c r="F125">
        <v>168</v>
      </c>
      <c r="G125">
        <v>67.650000000000006</v>
      </c>
      <c r="H125">
        <v>1</v>
      </c>
    </row>
    <row r="126" spans="1:8" x14ac:dyDescent="0.3">
      <c r="A126" s="1" t="s">
        <v>140</v>
      </c>
      <c r="B126" s="1" t="s">
        <v>165</v>
      </c>
      <c r="C126" s="1" t="s">
        <v>33</v>
      </c>
      <c r="D126">
        <v>64</v>
      </c>
      <c r="E126" s="1" t="s">
        <v>14</v>
      </c>
      <c r="F126">
        <v>300</v>
      </c>
      <c r="G126">
        <v>28.11</v>
      </c>
      <c r="H126">
        <v>2</v>
      </c>
    </row>
    <row r="127" spans="1:8" x14ac:dyDescent="0.3">
      <c r="A127" s="1" t="s">
        <v>140</v>
      </c>
      <c r="B127" s="1" t="s">
        <v>166</v>
      </c>
      <c r="C127" s="1" t="s">
        <v>13</v>
      </c>
      <c r="D127">
        <v>47</v>
      </c>
      <c r="E127" s="1" t="s">
        <v>19</v>
      </c>
      <c r="F127">
        <v>98</v>
      </c>
      <c r="G127">
        <v>16.16</v>
      </c>
      <c r="H127">
        <v>5</v>
      </c>
    </row>
    <row r="128" spans="1:8" x14ac:dyDescent="0.3">
      <c r="A128" s="1" t="s">
        <v>140</v>
      </c>
      <c r="B128" s="1" t="s">
        <v>167</v>
      </c>
      <c r="C128" s="1" t="s">
        <v>18</v>
      </c>
      <c r="D128">
        <v>67</v>
      </c>
      <c r="E128" s="1" t="s">
        <v>14</v>
      </c>
      <c r="F128">
        <v>55</v>
      </c>
      <c r="G128">
        <v>27.04</v>
      </c>
      <c r="H128">
        <v>1</v>
      </c>
    </row>
    <row r="129" spans="1:8" x14ac:dyDescent="0.3">
      <c r="A129" s="1" t="s">
        <v>140</v>
      </c>
      <c r="B129" s="1" t="s">
        <v>168</v>
      </c>
      <c r="C129" s="1" t="s">
        <v>89</v>
      </c>
      <c r="D129">
        <v>98</v>
      </c>
      <c r="E129" s="1" t="s">
        <v>19</v>
      </c>
      <c r="F129">
        <v>52</v>
      </c>
      <c r="G129">
        <v>52.82</v>
      </c>
      <c r="H129">
        <v>2</v>
      </c>
    </row>
    <row r="130" spans="1:8" x14ac:dyDescent="0.3">
      <c r="A130" s="1" t="s">
        <v>140</v>
      </c>
      <c r="B130" s="1" t="s">
        <v>169</v>
      </c>
      <c r="C130" s="1" t="s">
        <v>13</v>
      </c>
      <c r="D130">
        <v>6</v>
      </c>
      <c r="E130" s="1" t="s">
        <v>19</v>
      </c>
      <c r="F130">
        <v>6</v>
      </c>
      <c r="G130">
        <v>72.27</v>
      </c>
      <c r="H130">
        <v>4</v>
      </c>
    </row>
    <row r="131" spans="1:8" x14ac:dyDescent="0.3">
      <c r="A131" s="1" t="s">
        <v>140</v>
      </c>
      <c r="B131" s="1" t="s">
        <v>170</v>
      </c>
      <c r="C131" s="1" t="s">
        <v>13</v>
      </c>
      <c r="D131">
        <v>114</v>
      </c>
      <c r="E131" s="1" t="s">
        <v>19</v>
      </c>
      <c r="F131">
        <v>304</v>
      </c>
      <c r="G131">
        <v>52.07</v>
      </c>
      <c r="H131">
        <v>1</v>
      </c>
    </row>
    <row r="132" spans="1:8" x14ac:dyDescent="0.3">
      <c r="A132" s="1" t="s">
        <v>140</v>
      </c>
      <c r="B132" s="1" t="s">
        <v>171</v>
      </c>
      <c r="C132" s="1" t="s">
        <v>31</v>
      </c>
      <c r="D132">
        <v>93</v>
      </c>
      <c r="E132" s="1" t="s">
        <v>19</v>
      </c>
      <c r="F132">
        <v>365</v>
      </c>
      <c r="G132">
        <v>72.319999999999993</v>
      </c>
      <c r="H132">
        <v>1</v>
      </c>
    </row>
    <row r="133" spans="1:8" x14ac:dyDescent="0.3">
      <c r="A133" s="1" t="s">
        <v>140</v>
      </c>
      <c r="B133" s="1" t="s">
        <v>172</v>
      </c>
      <c r="C133" s="1" t="s">
        <v>89</v>
      </c>
      <c r="D133">
        <v>29</v>
      </c>
      <c r="E133" s="1" t="s">
        <v>14</v>
      </c>
      <c r="F133">
        <v>34</v>
      </c>
      <c r="G133">
        <v>86.68</v>
      </c>
      <c r="H133">
        <v>1</v>
      </c>
    </row>
    <row r="134" spans="1:8" x14ac:dyDescent="0.3">
      <c r="A134" s="1" t="s">
        <v>140</v>
      </c>
      <c r="B134" s="1" t="s">
        <v>173</v>
      </c>
      <c r="C134" s="1" t="s">
        <v>29</v>
      </c>
      <c r="D134">
        <v>7</v>
      </c>
      <c r="E134" s="1" t="s">
        <v>11</v>
      </c>
      <c r="F134">
        <v>303</v>
      </c>
      <c r="G134">
        <v>60.95</v>
      </c>
      <c r="H134">
        <v>0</v>
      </c>
    </row>
    <row r="135" spans="1:8" x14ac:dyDescent="0.3">
      <c r="A135" s="1" t="s">
        <v>140</v>
      </c>
      <c r="B135" s="1" t="s">
        <v>174</v>
      </c>
      <c r="C135" s="1" t="s">
        <v>89</v>
      </c>
      <c r="D135">
        <v>118</v>
      </c>
      <c r="E135" s="1" t="s">
        <v>22</v>
      </c>
      <c r="F135">
        <v>430</v>
      </c>
      <c r="G135">
        <v>36.97</v>
      </c>
      <c r="H135">
        <v>2</v>
      </c>
    </row>
    <row r="136" spans="1:8" x14ac:dyDescent="0.3">
      <c r="A136" s="1" t="s">
        <v>140</v>
      </c>
      <c r="B136" s="1" t="s">
        <v>175</v>
      </c>
      <c r="C136" s="1" t="s">
        <v>44</v>
      </c>
      <c r="D136">
        <v>54</v>
      </c>
      <c r="E136" s="1" t="s">
        <v>19</v>
      </c>
      <c r="F136">
        <v>99</v>
      </c>
      <c r="G136">
        <v>39.58</v>
      </c>
      <c r="H136">
        <v>0</v>
      </c>
    </row>
    <row r="137" spans="1:8" x14ac:dyDescent="0.3">
      <c r="A137" s="1" t="s">
        <v>140</v>
      </c>
      <c r="B137" s="1" t="s">
        <v>176</v>
      </c>
      <c r="C137" s="1" t="s">
        <v>18</v>
      </c>
      <c r="D137">
        <v>69</v>
      </c>
      <c r="E137" s="1" t="s">
        <v>14</v>
      </c>
      <c r="F137">
        <v>463</v>
      </c>
      <c r="G137">
        <v>19.440000000000001</v>
      </c>
      <c r="H137">
        <v>0</v>
      </c>
    </row>
    <row r="138" spans="1:8" x14ac:dyDescent="0.3">
      <c r="A138" s="1" t="s">
        <v>140</v>
      </c>
      <c r="B138" s="1" t="s">
        <v>177</v>
      </c>
      <c r="C138" s="1" t="s">
        <v>40</v>
      </c>
      <c r="D138">
        <v>58</v>
      </c>
      <c r="E138" s="1" t="s">
        <v>19</v>
      </c>
      <c r="F138">
        <v>293</v>
      </c>
      <c r="G138">
        <v>88.85</v>
      </c>
      <c r="H138">
        <v>5</v>
      </c>
    </row>
    <row r="139" spans="1:8" x14ac:dyDescent="0.3">
      <c r="A139" s="1" t="s">
        <v>140</v>
      </c>
      <c r="B139" s="1" t="s">
        <v>178</v>
      </c>
      <c r="C139" s="1" t="s">
        <v>44</v>
      </c>
      <c r="D139">
        <v>41</v>
      </c>
      <c r="E139" s="1" t="s">
        <v>11</v>
      </c>
      <c r="F139">
        <v>64</v>
      </c>
      <c r="G139">
        <v>91.95</v>
      </c>
      <c r="H139">
        <v>1</v>
      </c>
    </row>
    <row r="140" spans="1:8" x14ac:dyDescent="0.3">
      <c r="A140" s="1" t="s">
        <v>140</v>
      </c>
      <c r="B140" s="1" t="s">
        <v>179</v>
      </c>
      <c r="C140" s="1" t="s">
        <v>67</v>
      </c>
      <c r="D140">
        <v>1</v>
      </c>
      <c r="E140" s="1" t="s">
        <v>14</v>
      </c>
      <c r="F140">
        <v>326</v>
      </c>
      <c r="G140">
        <v>54.63</v>
      </c>
      <c r="H140">
        <v>3</v>
      </c>
    </row>
    <row r="141" spans="1:8" x14ac:dyDescent="0.3">
      <c r="A141" s="1" t="s">
        <v>140</v>
      </c>
      <c r="B141" s="1" t="s">
        <v>180</v>
      </c>
      <c r="C141" s="1" t="s">
        <v>89</v>
      </c>
      <c r="D141">
        <v>51</v>
      </c>
      <c r="E141" s="1" t="s">
        <v>19</v>
      </c>
      <c r="F141">
        <v>260</v>
      </c>
      <c r="G141">
        <v>92.8</v>
      </c>
      <c r="H141">
        <v>5</v>
      </c>
    </row>
    <row r="142" spans="1:8" x14ac:dyDescent="0.3">
      <c r="A142" s="1" t="s">
        <v>140</v>
      </c>
      <c r="B142" s="1" t="s">
        <v>181</v>
      </c>
      <c r="C142" s="1" t="s">
        <v>57</v>
      </c>
      <c r="D142">
        <v>25</v>
      </c>
      <c r="E142" s="1" t="s">
        <v>19</v>
      </c>
      <c r="F142">
        <v>131</v>
      </c>
      <c r="G142">
        <v>67.489999999999995</v>
      </c>
      <c r="H142">
        <v>0</v>
      </c>
    </row>
    <row r="143" spans="1:8" x14ac:dyDescent="0.3">
      <c r="A143" s="1" t="s">
        <v>140</v>
      </c>
      <c r="B143" s="1" t="s">
        <v>182</v>
      </c>
      <c r="C143" s="1" t="s">
        <v>73</v>
      </c>
      <c r="D143">
        <v>43</v>
      </c>
      <c r="E143" s="1" t="s">
        <v>19</v>
      </c>
      <c r="F143">
        <v>181</v>
      </c>
      <c r="G143">
        <v>72.39</v>
      </c>
      <c r="H143">
        <v>2</v>
      </c>
    </row>
    <row r="144" spans="1:8" x14ac:dyDescent="0.3">
      <c r="A144" s="1" t="s">
        <v>140</v>
      </c>
      <c r="B144" s="1" t="s">
        <v>183</v>
      </c>
      <c r="C144" s="1" t="s">
        <v>18</v>
      </c>
      <c r="D144">
        <v>11</v>
      </c>
      <c r="E144" s="1" t="s">
        <v>19</v>
      </c>
      <c r="F144">
        <v>215</v>
      </c>
      <c r="G144">
        <v>51.99</v>
      </c>
      <c r="H144">
        <v>1</v>
      </c>
    </row>
    <row r="145" spans="1:8" x14ac:dyDescent="0.3">
      <c r="A145" s="1" t="s">
        <v>140</v>
      </c>
      <c r="B145" s="1" t="s">
        <v>184</v>
      </c>
      <c r="C145" s="1" t="s">
        <v>24</v>
      </c>
      <c r="D145">
        <v>113</v>
      </c>
      <c r="E145" s="1" t="s">
        <v>11</v>
      </c>
      <c r="F145">
        <v>246</v>
      </c>
      <c r="G145">
        <v>29.18</v>
      </c>
      <c r="H145">
        <v>2</v>
      </c>
    </row>
    <row r="146" spans="1:8" x14ac:dyDescent="0.3">
      <c r="A146" s="1" t="s">
        <v>140</v>
      </c>
      <c r="B146" s="1" t="s">
        <v>185</v>
      </c>
      <c r="C146" s="1" t="s">
        <v>67</v>
      </c>
      <c r="D146">
        <v>74</v>
      </c>
      <c r="E146" s="1" t="s">
        <v>14</v>
      </c>
      <c r="F146">
        <v>371</v>
      </c>
      <c r="G146">
        <v>53.27</v>
      </c>
      <c r="H146">
        <v>3</v>
      </c>
    </row>
    <row r="147" spans="1:8" x14ac:dyDescent="0.3">
      <c r="A147" s="1" t="s">
        <v>140</v>
      </c>
      <c r="B147" s="1" t="s">
        <v>186</v>
      </c>
      <c r="C147" s="1" t="s">
        <v>33</v>
      </c>
      <c r="D147">
        <v>104</v>
      </c>
      <c r="E147" s="1" t="s">
        <v>14</v>
      </c>
      <c r="F147">
        <v>317</v>
      </c>
      <c r="G147">
        <v>79.150000000000006</v>
      </c>
      <c r="H147">
        <v>1</v>
      </c>
    </row>
    <row r="148" spans="1:8" x14ac:dyDescent="0.3">
      <c r="A148" s="1" t="s">
        <v>140</v>
      </c>
      <c r="B148" s="1" t="s">
        <v>187</v>
      </c>
      <c r="C148" s="1" t="s">
        <v>13</v>
      </c>
      <c r="D148">
        <v>4</v>
      </c>
      <c r="E148" s="1" t="s">
        <v>19</v>
      </c>
      <c r="F148">
        <v>227</v>
      </c>
      <c r="G148">
        <v>83.32</v>
      </c>
      <c r="H148">
        <v>2</v>
      </c>
    </row>
    <row r="149" spans="1:8" x14ac:dyDescent="0.3">
      <c r="A149" s="1" t="s">
        <v>140</v>
      </c>
      <c r="B149" s="1" t="s">
        <v>188</v>
      </c>
      <c r="C149" s="1" t="s">
        <v>64</v>
      </c>
      <c r="D149">
        <v>95</v>
      </c>
      <c r="E149" s="1" t="s">
        <v>14</v>
      </c>
      <c r="F149">
        <v>95</v>
      </c>
      <c r="G149">
        <v>82.65</v>
      </c>
      <c r="H149">
        <v>2</v>
      </c>
    </row>
    <row r="150" spans="1:8" x14ac:dyDescent="0.3">
      <c r="A150" s="1" t="s">
        <v>140</v>
      </c>
      <c r="B150" s="1" t="s">
        <v>189</v>
      </c>
      <c r="C150" s="1" t="s">
        <v>37</v>
      </c>
      <c r="D150">
        <v>29</v>
      </c>
      <c r="E150" s="1" t="s">
        <v>22</v>
      </c>
      <c r="F150">
        <v>124</v>
      </c>
      <c r="G150">
        <v>43.83</v>
      </c>
      <c r="H150">
        <v>5</v>
      </c>
    </row>
    <row r="151" spans="1:8" x14ac:dyDescent="0.3">
      <c r="A151" s="1" t="s">
        <v>190</v>
      </c>
      <c r="B151" s="1" t="s">
        <v>191</v>
      </c>
      <c r="C151" s="1" t="s">
        <v>31</v>
      </c>
      <c r="D151">
        <v>97</v>
      </c>
      <c r="E151" s="1" t="s">
        <v>19</v>
      </c>
      <c r="F151">
        <v>484</v>
      </c>
      <c r="G151">
        <v>61.98</v>
      </c>
      <c r="H151">
        <v>1</v>
      </c>
    </row>
    <row r="152" spans="1:8" x14ac:dyDescent="0.3">
      <c r="A152" s="1" t="s">
        <v>190</v>
      </c>
      <c r="B152" s="1" t="s">
        <v>192</v>
      </c>
      <c r="C152" s="1" t="s">
        <v>10</v>
      </c>
      <c r="D152">
        <v>113</v>
      </c>
      <c r="E152" s="1" t="s">
        <v>11</v>
      </c>
      <c r="F152">
        <v>207</v>
      </c>
      <c r="G152">
        <v>21.55</v>
      </c>
      <c r="H152">
        <v>0</v>
      </c>
    </row>
    <row r="153" spans="1:8" x14ac:dyDescent="0.3">
      <c r="A153" s="1" t="s">
        <v>190</v>
      </c>
      <c r="B153" s="1" t="s">
        <v>193</v>
      </c>
      <c r="C153" s="1" t="s">
        <v>37</v>
      </c>
      <c r="D153">
        <v>83</v>
      </c>
      <c r="E153" s="1" t="s">
        <v>14</v>
      </c>
      <c r="F153">
        <v>420</v>
      </c>
      <c r="G153">
        <v>94.9</v>
      </c>
      <c r="H153">
        <v>1</v>
      </c>
    </row>
    <row r="154" spans="1:8" x14ac:dyDescent="0.3">
      <c r="A154" s="1" t="s">
        <v>190</v>
      </c>
      <c r="B154" s="1" t="s">
        <v>194</v>
      </c>
      <c r="C154" s="1" t="s">
        <v>40</v>
      </c>
      <c r="D154">
        <v>97</v>
      </c>
      <c r="E154" s="1" t="s">
        <v>11</v>
      </c>
      <c r="F154">
        <v>296</v>
      </c>
      <c r="G154">
        <v>10.87</v>
      </c>
      <c r="H154">
        <v>4</v>
      </c>
    </row>
    <row r="155" spans="1:8" x14ac:dyDescent="0.3">
      <c r="A155" s="1" t="s">
        <v>190</v>
      </c>
      <c r="B155" s="1" t="s">
        <v>195</v>
      </c>
      <c r="C155" s="1" t="s">
        <v>51</v>
      </c>
      <c r="D155">
        <v>66</v>
      </c>
      <c r="E155" s="1" t="s">
        <v>22</v>
      </c>
      <c r="F155">
        <v>387</v>
      </c>
      <c r="G155">
        <v>82.94</v>
      </c>
      <c r="H155">
        <v>3</v>
      </c>
    </row>
    <row r="156" spans="1:8" x14ac:dyDescent="0.3">
      <c r="A156" s="1" t="s">
        <v>190</v>
      </c>
      <c r="B156" s="1" t="s">
        <v>196</v>
      </c>
      <c r="C156" s="1" t="s">
        <v>44</v>
      </c>
      <c r="D156">
        <v>48</v>
      </c>
      <c r="E156" s="1" t="s">
        <v>19</v>
      </c>
      <c r="F156">
        <v>335</v>
      </c>
      <c r="G156">
        <v>85.09</v>
      </c>
      <c r="H156">
        <v>3</v>
      </c>
    </row>
    <row r="157" spans="1:8" x14ac:dyDescent="0.3">
      <c r="A157" s="1" t="s">
        <v>190</v>
      </c>
      <c r="B157" s="1" t="s">
        <v>197</v>
      </c>
      <c r="C157" s="1" t="s">
        <v>44</v>
      </c>
      <c r="D157">
        <v>64</v>
      </c>
      <c r="E157" s="1" t="s">
        <v>14</v>
      </c>
      <c r="F157">
        <v>6</v>
      </c>
      <c r="G157">
        <v>40.58</v>
      </c>
      <c r="H157">
        <v>5</v>
      </c>
    </row>
    <row r="158" spans="1:8" x14ac:dyDescent="0.3">
      <c r="A158" s="1" t="s">
        <v>190</v>
      </c>
      <c r="B158" s="1" t="s">
        <v>198</v>
      </c>
      <c r="C158" s="1" t="s">
        <v>24</v>
      </c>
      <c r="D158">
        <v>67</v>
      </c>
      <c r="E158" s="1" t="s">
        <v>11</v>
      </c>
      <c r="F158">
        <v>241</v>
      </c>
      <c r="G158">
        <v>47.72</v>
      </c>
      <c r="H158">
        <v>0</v>
      </c>
    </row>
    <row r="159" spans="1:8" x14ac:dyDescent="0.3">
      <c r="A159" s="1" t="s">
        <v>190</v>
      </c>
      <c r="B159" s="1" t="s">
        <v>199</v>
      </c>
      <c r="C159" s="1" t="s">
        <v>33</v>
      </c>
      <c r="D159">
        <v>60</v>
      </c>
      <c r="E159" s="1" t="s">
        <v>14</v>
      </c>
      <c r="F159">
        <v>334</v>
      </c>
      <c r="G159">
        <v>71.72</v>
      </c>
      <c r="H159">
        <v>3</v>
      </c>
    </row>
    <row r="160" spans="1:8" x14ac:dyDescent="0.3">
      <c r="A160" s="1" t="s">
        <v>190</v>
      </c>
      <c r="B160" s="1" t="s">
        <v>200</v>
      </c>
      <c r="C160" s="1" t="s">
        <v>33</v>
      </c>
      <c r="D160">
        <v>23</v>
      </c>
      <c r="E160" s="1" t="s">
        <v>14</v>
      </c>
      <c r="F160">
        <v>262</v>
      </c>
      <c r="G160">
        <v>46.3</v>
      </c>
      <c r="H160">
        <v>1</v>
      </c>
    </row>
    <row r="161" spans="1:8" x14ac:dyDescent="0.3">
      <c r="A161" s="1" t="s">
        <v>190</v>
      </c>
      <c r="B161" s="1" t="s">
        <v>201</v>
      </c>
      <c r="C161" s="1" t="s">
        <v>60</v>
      </c>
      <c r="D161">
        <v>42</v>
      </c>
      <c r="E161" s="1" t="s">
        <v>14</v>
      </c>
      <c r="F161">
        <v>389</v>
      </c>
      <c r="G161">
        <v>80.08</v>
      </c>
      <c r="H161">
        <v>1</v>
      </c>
    </row>
    <row r="162" spans="1:8" x14ac:dyDescent="0.3">
      <c r="A162" s="1" t="s">
        <v>190</v>
      </c>
      <c r="B162" s="1" t="s">
        <v>202</v>
      </c>
      <c r="C162" s="1" t="s">
        <v>131</v>
      </c>
      <c r="D162">
        <v>92</v>
      </c>
      <c r="E162" s="1" t="s">
        <v>14</v>
      </c>
      <c r="F162">
        <v>487</v>
      </c>
      <c r="G162">
        <v>58.38</v>
      </c>
      <c r="H162">
        <v>1</v>
      </c>
    </row>
    <row r="163" spans="1:8" x14ac:dyDescent="0.3">
      <c r="A163" s="1" t="s">
        <v>190</v>
      </c>
      <c r="B163" s="1" t="s">
        <v>203</v>
      </c>
      <c r="C163" s="1" t="s">
        <v>37</v>
      </c>
      <c r="D163">
        <v>48</v>
      </c>
      <c r="E163" s="1" t="s">
        <v>14</v>
      </c>
      <c r="F163">
        <v>76</v>
      </c>
      <c r="G163">
        <v>39.35</v>
      </c>
      <c r="H163">
        <v>2</v>
      </c>
    </row>
    <row r="164" spans="1:8" x14ac:dyDescent="0.3">
      <c r="A164" s="1" t="s">
        <v>190</v>
      </c>
      <c r="B164" s="1" t="s">
        <v>204</v>
      </c>
      <c r="C164" s="1" t="s">
        <v>21</v>
      </c>
      <c r="D164">
        <v>68</v>
      </c>
      <c r="E164" s="1" t="s">
        <v>11</v>
      </c>
      <c r="F164">
        <v>443</v>
      </c>
      <c r="G164">
        <v>12.09</v>
      </c>
      <c r="H164">
        <v>3</v>
      </c>
    </row>
    <row r="165" spans="1:8" x14ac:dyDescent="0.3">
      <c r="A165" s="1" t="s">
        <v>190</v>
      </c>
      <c r="B165" s="1" t="s">
        <v>205</v>
      </c>
      <c r="C165" s="1" t="s">
        <v>78</v>
      </c>
      <c r="D165">
        <v>89</v>
      </c>
      <c r="E165" s="1" t="s">
        <v>14</v>
      </c>
      <c r="F165">
        <v>203</v>
      </c>
      <c r="G165">
        <v>80.680000000000007</v>
      </c>
      <c r="H165">
        <v>5</v>
      </c>
    </row>
    <row r="166" spans="1:8" x14ac:dyDescent="0.3">
      <c r="A166" s="1" t="s">
        <v>190</v>
      </c>
      <c r="B166" s="1" t="s">
        <v>206</v>
      </c>
      <c r="C166" s="1" t="s">
        <v>31</v>
      </c>
      <c r="D166">
        <v>62</v>
      </c>
      <c r="E166" s="1" t="s">
        <v>11</v>
      </c>
      <c r="F166">
        <v>116</v>
      </c>
      <c r="G166">
        <v>92.99</v>
      </c>
      <c r="H166">
        <v>5</v>
      </c>
    </row>
    <row r="167" spans="1:8" x14ac:dyDescent="0.3">
      <c r="A167" s="1" t="s">
        <v>190</v>
      </c>
      <c r="B167" s="1" t="s">
        <v>207</v>
      </c>
      <c r="C167" s="1" t="s">
        <v>10</v>
      </c>
      <c r="D167">
        <v>92</v>
      </c>
      <c r="E167" s="1" t="s">
        <v>11</v>
      </c>
      <c r="F167">
        <v>116</v>
      </c>
      <c r="G167">
        <v>23.83</v>
      </c>
      <c r="H167">
        <v>3</v>
      </c>
    </row>
    <row r="168" spans="1:8" x14ac:dyDescent="0.3">
      <c r="A168" s="1" t="s">
        <v>190</v>
      </c>
      <c r="B168" s="1" t="s">
        <v>208</v>
      </c>
      <c r="C168" s="1" t="s">
        <v>16</v>
      </c>
      <c r="D168">
        <v>64</v>
      </c>
      <c r="E168" s="1" t="s">
        <v>14</v>
      </c>
      <c r="F168">
        <v>370</v>
      </c>
      <c r="G168">
        <v>95.74</v>
      </c>
      <c r="H168">
        <v>1</v>
      </c>
    </row>
    <row r="169" spans="1:8" x14ac:dyDescent="0.3">
      <c r="A169" s="1" t="s">
        <v>190</v>
      </c>
      <c r="B169" s="1" t="s">
        <v>209</v>
      </c>
      <c r="C169" s="1" t="s">
        <v>57</v>
      </c>
      <c r="D169">
        <v>61</v>
      </c>
      <c r="E169" s="1" t="s">
        <v>19</v>
      </c>
      <c r="F169">
        <v>383</v>
      </c>
      <c r="G169">
        <v>39.72</v>
      </c>
      <c r="H169">
        <v>4</v>
      </c>
    </row>
    <row r="170" spans="1:8" x14ac:dyDescent="0.3">
      <c r="A170" s="1" t="s">
        <v>190</v>
      </c>
      <c r="B170" s="1" t="s">
        <v>210</v>
      </c>
      <c r="C170" s="1" t="s">
        <v>62</v>
      </c>
      <c r="D170">
        <v>35</v>
      </c>
      <c r="E170" s="1" t="s">
        <v>22</v>
      </c>
      <c r="F170">
        <v>107</v>
      </c>
      <c r="G170">
        <v>66.69</v>
      </c>
      <c r="H170">
        <v>4</v>
      </c>
    </row>
    <row r="171" spans="1:8" x14ac:dyDescent="0.3">
      <c r="A171" s="1" t="s">
        <v>190</v>
      </c>
      <c r="B171" s="1" t="s">
        <v>211</v>
      </c>
      <c r="C171" s="1" t="s">
        <v>137</v>
      </c>
      <c r="D171">
        <v>75</v>
      </c>
      <c r="E171" s="1" t="s">
        <v>14</v>
      </c>
      <c r="F171">
        <v>242</v>
      </c>
      <c r="G171">
        <v>64.27</v>
      </c>
      <c r="H171">
        <v>2</v>
      </c>
    </row>
    <row r="172" spans="1:8" x14ac:dyDescent="0.3">
      <c r="A172" s="1" t="s">
        <v>190</v>
      </c>
      <c r="B172" s="1" t="s">
        <v>212</v>
      </c>
      <c r="C172" s="1" t="s">
        <v>31</v>
      </c>
      <c r="D172">
        <v>52</v>
      </c>
      <c r="E172" s="1" t="s">
        <v>22</v>
      </c>
      <c r="F172">
        <v>119</v>
      </c>
      <c r="G172">
        <v>64.709999999999994</v>
      </c>
      <c r="H172">
        <v>4</v>
      </c>
    </row>
    <row r="173" spans="1:8" x14ac:dyDescent="0.3">
      <c r="A173" s="1" t="s">
        <v>190</v>
      </c>
      <c r="B173" s="1" t="s">
        <v>213</v>
      </c>
      <c r="C173" s="1" t="s">
        <v>89</v>
      </c>
      <c r="D173">
        <v>82</v>
      </c>
      <c r="E173" s="1" t="s">
        <v>11</v>
      </c>
      <c r="F173">
        <v>264</v>
      </c>
      <c r="G173">
        <v>88.03</v>
      </c>
      <c r="H173">
        <v>1</v>
      </c>
    </row>
    <row r="174" spans="1:8" x14ac:dyDescent="0.3">
      <c r="A174" s="1" t="s">
        <v>190</v>
      </c>
      <c r="B174" s="1" t="s">
        <v>214</v>
      </c>
      <c r="C174" s="1" t="s">
        <v>33</v>
      </c>
      <c r="D174">
        <v>118</v>
      </c>
      <c r="E174" s="1" t="s">
        <v>19</v>
      </c>
      <c r="F174">
        <v>300</v>
      </c>
      <c r="G174">
        <v>98.22</v>
      </c>
      <c r="H174">
        <v>4</v>
      </c>
    </row>
    <row r="175" spans="1:8" x14ac:dyDescent="0.3">
      <c r="A175" s="1" t="s">
        <v>190</v>
      </c>
      <c r="B175" s="1" t="s">
        <v>215</v>
      </c>
      <c r="C175" s="1" t="s">
        <v>60</v>
      </c>
      <c r="D175">
        <v>102</v>
      </c>
      <c r="E175" s="1" t="s">
        <v>11</v>
      </c>
      <c r="F175">
        <v>402</v>
      </c>
      <c r="G175">
        <v>28.38</v>
      </c>
      <c r="H175">
        <v>5</v>
      </c>
    </row>
    <row r="176" spans="1:8" x14ac:dyDescent="0.3">
      <c r="A176" s="1" t="s">
        <v>190</v>
      </c>
      <c r="B176" s="1" t="s">
        <v>216</v>
      </c>
      <c r="C176" s="1" t="s">
        <v>35</v>
      </c>
      <c r="D176">
        <v>75</v>
      </c>
      <c r="E176" s="1" t="s">
        <v>19</v>
      </c>
      <c r="F176">
        <v>282</v>
      </c>
      <c r="G176">
        <v>45.16</v>
      </c>
      <c r="H176">
        <v>5</v>
      </c>
    </row>
    <row r="177" spans="1:8" x14ac:dyDescent="0.3">
      <c r="A177" s="1" t="s">
        <v>190</v>
      </c>
      <c r="B177" s="1" t="s">
        <v>217</v>
      </c>
      <c r="C177" s="1" t="s">
        <v>24</v>
      </c>
      <c r="D177">
        <v>84</v>
      </c>
      <c r="E177" s="1" t="s">
        <v>11</v>
      </c>
      <c r="F177">
        <v>387</v>
      </c>
      <c r="G177">
        <v>58.1</v>
      </c>
      <c r="H177">
        <v>3</v>
      </c>
    </row>
    <row r="178" spans="1:8" x14ac:dyDescent="0.3">
      <c r="A178" s="1" t="s">
        <v>190</v>
      </c>
      <c r="B178" s="1" t="s">
        <v>218</v>
      </c>
      <c r="C178" s="1" t="s">
        <v>44</v>
      </c>
      <c r="D178">
        <v>5</v>
      </c>
      <c r="E178" s="1" t="s">
        <v>19</v>
      </c>
      <c r="F178">
        <v>239</v>
      </c>
      <c r="G178">
        <v>26.95</v>
      </c>
      <c r="H178">
        <v>2</v>
      </c>
    </row>
    <row r="179" spans="1:8" x14ac:dyDescent="0.3">
      <c r="A179" s="1" t="s">
        <v>190</v>
      </c>
      <c r="B179" s="1" t="s">
        <v>219</v>
      </c>
      <c r="C179" s="1" t="s">
        <v>78</v>
      </c>
      <c r="D179">
        <v>27</v>
      </c>
      <c r="E179" s="1" t="s">
        <v>11</v>
      </c>
      <c r="F179">
        <v>369</v>
      </c>
      <c r="G179">
        <v>19.78</v>
      </c>
      <c r="H179">
        <v>1</v>
      </c>
    </row>
    <row r="180" spans="1:8" x14ac:dyDescent="0.3">
      <c r="A180" s="1" t="s">
        <v>190</v>
      </c>
      <c r="B180" s="1" t="s">
        <v>220</v>
      </c>
      <c r="C180" s="1" t="s">
        <v>57</v>
      </c>
      <c r="D180">
        <v>29</v>
      </c>
      <c r="E180" s="1" t="s">
        <v>22</v>
      </c>
      <c r="F180">
        <v>416</v>
      </c>
      <c r="G180">
        <v>61.26</v>
      </c>
      <c r="H180">
        <v>0</v>
      </c>
    </row>
    <row r="181" spans="1:8" x14ac:dyDescent="0.3">
      <c r="A181" s="1" t="s">
        <v>190</v>
      </c>
      <c r="B181" s="1" t="s">
        <v>221</v>
      </c>
      <c r="C181" s="1" t="s">
        <v>62</v>
      </c>
      <c r="D181">
        <v>115</v>
      </c>
      <c r="E181" s="1" t="s">
        <v>19</v>
      </c>
      <c r="F181">
        <v>236</v>
      </c>
      <c r="G181">
        <v>50.64</v>
      </c>
      <c r="H181">
        <v>1</v>
      </c>
    </row>
    <row r="182" spans="1:8" x14ac:dyDescent="0.3">
      <c r="A182" s="1" t="s">
        <v>190</v>
      </c>
      <c r="B182" s="1" t="s">
        <v>222</v>
      </c>
      <c r="C182" s="1" t="s">
        <v>16</v>
      </c>
      <c r="D182">
        <v>26</v>
      </c>
      <c r="E182" s="1" t="s">
        <v>19</v>
      </c>
      <c r="F182">
        <v>174</v>
      </c>
      <c r="G182">
        <v>90.53</v>
      </c>
      <c r="H182">
        <v>3</v>
      </c>
    </row>
    <row r="183" spans="1:8" x14ac:dyDescent="0.3">
      <c r="A183" s="1" t="s">
        <v>190</v>
      </c>
      <c r="B183" s="1" t="s">
        <v>223</v>
      </c>
      <c r="C183" s="1" t="s">
        <v>24</v>
      </c>
      <c r="D183">
        <v>58</v>
      </c>
      <c r="E183" s="1" t="s">
        <v>19</v>
      </c>
      <c r="F183">
        <v>405</v>
      </c>
      <c r="G183">
        <v>18.39</v>
      </c>
      <c r="H183">
        <v>0</v>
      </c>
    </row>
    <row r="184" spans="1:8" x14ac:dyDescent="0.3">
      <c r="A184" s="1" t="s">
        <v>190</v>
      </c>
      <c r="B184" s="1" t="s">
        <v>224</v>
      </c>
      <c r="C184" s="1" t="s">
        <v>67</v>
      </c>
      <c r="D184">
        <v>111</v>
      </c>
      <c r="E184" s="1" t="s">
        <v>11</v>
      </c>
      <c r="F184">
        <v>43</v>
      </c>
      <c r="G184">
        <v>19.39</v>
      </c>
      <c r="H184">
        <v>3</v>
      </c>
    </row>
    <row r="185" spans="1:8" x14ac:dyDescent="0.3">
      <c r="A185" s="1" t="s">
        <v>190</v>
      </c>
      <c r="B185" s="1" t="s">
        <v>225</v>
      </c>
      <c r="C185" s="1" t="s">
        <v>44</v>
      </c>
      <c r="D185">
        <v>31</v>
      </c>
      <c r="E185" s="1" t="s">
        <v>19</v>
      </c>
      <c r="F185">
        <v>160</v>
      </c>
      <c r="G185">
        <v>59.76</v>
      </c>
      <c r="H185">
        <v>4</v>
      </c>
    </row>
    <row r="186" spans="1:8" x14ac:dyDescent="0.3">
      <c r="A186" s="1" t="s">
        <v>190</v>
      </c>
      <c r="B186" s="1" t="s">
        <v>226</v>
      </c>
      <c r="C186" s="1" t="s">
        <v>73</v>
      </c>
      <c r="D186">
        <v>51</v>
      </c>
      <c r="E186" s="1" t="s">
        <v>22</v>
      </c>
      <c r="F186">
        <v>433</v>
      </c>
      <c r="G186">
        <v>12.89</v>
      </c>
      <c r="H186">
        <v>1</v>
      </c>
    </row>
    <row r="187" spans="1:8" x14ac:dyDescent="0.3">
      <c r="A187" s="1" t="s">
        <v>190</v>
      </c>
      <c r="B187" s="1" t="s">
        <v>227</v>
      </c>
      <c r="C187" s="1" t="s">
        <v>89</v>
      </c>
      <c r="D187">
        <v>28</v>
      </c>
      <c r="E187" s="1" t="s">
        <v>11</v>
      </c>
      <c r="F187">
        <v>96</v>
      </c>
      <c r="G187">
        <v>72.010000000000005</v>
      </c>
      <c r="H187">
        <v>4</v>
      </c>
    </row>
    <row r="188" spans="1:8" x14ac:dyDescent="0.3">
      <c r="A188" s="1" t="s">
        <v>190</v>
      </c>
      <c r="B188" s="1" t="s">
        <v>228</v>
      </c>
      <c r="C188" s="1" t="s">
        <v>26</v>
      </c>
      <c r="D188">
        <v>40</v>
      </c>
      <c r="E188" s="1" t="s">
        <v>22</v>
      </c>
      <c r="F188">
        <v>219</v>
      </c>
      <c r="G188">
        <v>53.98</v>
      </c>
      <c r="H188">
        <v>2</v>
      </c>
    </row>
    <row r="189" spans="1:8" x14ac:dyDescent="0.3">
      <c r="A189" s="1" t="s">
        <v>190</v>
      </c>
      <c r="B189" s="1" t="s">
        <v>229</v>
      </c>
      <c r="C189" s="1" t="s">
        <v>33</v>
      </c>
      <c r="D189">
        <v>55</v>
      </c>
      <c r="E189" s="1" t="s">
        <v>11</v>
      </c>
      <c r="F189">
        <v>394</v>
      </c>
      <c r="G189">
        <v>26.8</v>
      </c>
      <c r="H189">
        <v>4</v>
      </c>
    </row>
    <row r="190" spans="1:8" x14ac:dyDescent="0.3">
      <c r="A190" s="1" t="s">
        <v>190</v>
      </c>
      <c r="B190" s="1" t="s">
        <v>230</v>
      </c>
      <c r="C190" s="1" t="s">
        <v>18</v>
      </c>
      <c r="D190">
        <v>114</v>
      </c>
      <c r="E190" s="1" t="s">
        <v>11</v>
      </c>
      <c r="F190">
        <v>482</v>
      </c>
      <c r="G190">
        <v>16.25</v>
      </c>
      <c r="H190">
        <v>3</v>
      </c>
    </row>
    <row r="191" spans="1:8" x14ac:dyDescent="0.3">
      <c r="A191" s="1" t="s">
        <v>190</v>
      </c>
      <c r="B191" s="1" t="s">
        <v>231</v>
      </c>
      <c r="C191" s="1" t="s">
        <v>40</v>
      </c>
      <c r="D191">
        <v>49</v>
      </c>
      <c r="E191" s="1" t="s">
        <v>11</v>
      </c>
      <c r="F191">
        <v>357</v>
      </c>
      <c r="G191">
        <v>96.67</v>
      </c>
      <c r="H191">
        <v>3</v>
      </c>
    </row>
    <row r="192" spans="1:8" x14ac:dyDescent="0.3">
      <c r="A192" s="1" t="s">
        <v>190</v>
      </c>
      <c r="B192" s="1" t="s">
        <v>232</v>
      </c>
      <c r="C192" s="1" t="s">
        <v>24</v>
      </c>
      <c r="D192">
        <v>74</v>
      </c>
      <c r="E192" s="1" t="s">
        <v>11</v>
      </c>
      <c r="F192">
        <v>213</v>
      </c>
      <c r="G192">
        <v>35.54</v>
      </c>
      <c r="H192">
        <v>3</v>
      </c>
    </row>
    <row r="193" spans="1:8" x14ac:dyDescent="0.3">
      <c r="A193" s="1" t="s">
        <v>190</v>
      </c>
      <c r="B193" s="1" t="s">
        <v>233</v>
      </c>
      <c r="C193" s="1" t="s">
        <v>26</v>
      </c>
      <c r="D193">
        <v>21</v>
      </c>
      <c r="E193" s="1" t="s">
        <v>22</v>
      </c>
      <c r="F193">
        <v>107</v>
      </c>
      <c r="G193">
        <v>30.97</v>
      </c>
      <c r="H193">
        <v>4</v>
      </c>
    </row>
    <row r="194" spans="1:8" x14ac:dyDescent="0.3">
      <c r="A194" s="1" t="s">
        <v>190</v>
      </c>
      <c r="B194" s="1" t="s">
        <v>234</v>
      </c>
      <c r="C194" s="1" t="s">
        <v>24</v>
      </c>
      <c r="D194">
        <v>120</v>
      </c>
      <c r="E194" s="1" t="s">
        <v>22</v>
      </c>
      <c r="F194">
        <v>224</v>
      </c>
      <c r="G194">
        <v>69.36</v>
      </c>
      <c r="H194">
        <v>0</v>
      </c>
    </row>
    <row r="195" spans="1:8" x14ac:dyDescent="0.3">
      <c r="A195" s="1" t="s">
        <v>190</v>
      </c>
      <c r="B195" s="1" t="s">
        <v>235</v>
      </c>
      <c r="C195" s="1" t="s">
        <v>13</v>
      </c>
      <c r="D195">
        <v>108</v>
      </c>
      <c r="E195" s="1" t="s">
        <v>11</v>
      </c>
      <c r="F195">
        <v>230</v>
      </c>
      <c r="G195">
        <v>16.3</v>
      </c>
      <c r="H195">
        <v>5</v>
      </c>
    </row>
    <row r="196" spans="1:8" x14ac:dyDescent="0.3">
      <c r="A196" s="1" t="s">
        <v>190</v>
      </c>
      <c r="B196" s="1" t="s">
        <v>236</v>
      </c>
      <c r="C196" s="1" t="s">
        <v>31</v>
      </c>
      <c r="D196">
        <v>48</v>
      </c>
      <c r="E196" s="1" t="s">
        <v>19</v>
      </c>
      <c r="F196">
        <v>436</v>
      </c>
      <c r="G196">
        <v>15.17</v>
      </c>
      <c r="H196">
        <v>0</v>
      </c>
    </row>
    <row r="197" spans="1:8" x14ac:dyDescent="0.3">
      <c r="A197" s="1" t="s">
        <v>190</v>
      </c>
      <c r="B197" s="1" t="s">
        <v>237</v>
      </c>
      <c r="C197" s="1" t="s">
        <v>40</v>
      </c>
      <c r="D197">
        <v>33</v>
      </c>
      <c r="E197" s="1" t="s">
        <v>11</v>
      </c>
      <c r="F197">
        <v>285</v>
      </c>
      <c r="G197">
        <v>56.67</v>
      </c>
      <c r="H197">
        <v>2</v>
      </c>
    </row>
    <row r="198" spans="1:8" x14ac:dyDescent="0.3">
      <c r="A198" s="1" t="s">
        <v>190</v>
      </c>
      <c r="B198" s="1" t="s">
        <v>238</v>
      </c>
      <c r="C198" s="1" t="s">
        <v>29</v>
      </c>
      <c r="D198">
        <v>71</v>
      </c>
      <c r="E198" s="1" t="s">
        <v>11</v>
      </c>
      <c r="F198">
        <v>15</v>
      </c>
      <c r="G198">
        <v>25.46</v>
      </c>
      <c r="H198">
        <v>5</v>
      </c>
    </row>
    <row r="199" spans="1:8" x14ac:dyDescent="0.3">
      <c r="A199" s="1" t="s">
        <v>190</v>
      </c>
      <c r="B199" s="1" t="s">
        <v>239</v>
      </c>
      <c r="C199" s="1" t="s">
        <v>73</v>
      </c>
      <c r="D199">
        <v>11</v>
      </c>
      <c r="E199" s="1" t="s">
        <v>11</v>
      </c>
      <c r="F199">
        <v>191</v>
      </c>
      <c r="G199">
        <v>87.37</v>
      </c>
      <c r="H199">
        <v>3</v>
      </c>
    </row>
    <row r="200" spans="1:8" x14ac:dyDescent="0.3">
      <c r="A200" s="1" t="s">
        <v>190</v>
      </c>
      <c r="B200" s="1" t="s">
        <v>240</v>
      </c>
      <c r="C200" s="1" t="s">
        <v>131</v>
      </c>
      <c r="D200">
        <v>18</v>
      </c>
      <c r="E200" s="1" t="s">
        <v>14</v>
      </c>
      <c r="F200">
        <v>71</v>
      </c>
      <c r="G200">
        <v>46.98</v>
      </c>
      <c r="H200">
        <v>2</v>
      </c>
    </row>
    <row r="201" spans="1:8" x14ac:dyDescent="0.3">
      <c r="A201" s="1" t="s">
        <v>241</v>
      </c>
      <c r="B201" s="1" t="s">
        <v>242</v>
      </c>
      <c r="C201" s="1" t="s">
        <v>35</v>
      </c>
      <c r="D201">
        <v>27</v>
      </c>
      <c r="E201" s="1" t="s">
        <v>11</v>
      </c>
      <c r="F201">
        <v>61</v>
      </c>
      <c r="G201">
        <v>97.51</v>
      </c>
      <c r="H201">
        <v>5</v>
      </c>
    </row>
    <row r="202" spans="1:8" x14ac:dyDescent="0.3">
      <c r="A202" s="1" t="s">
        <v>241</v>
      </c>
      <c r="B202" s="1" t="s">
        <v>243</v>
      </c>
      <c r="C202" s="1" t="s">
        <v>131</v>
      </c>
      <c r="D202">
        <v>65</v>
      </c>
      <c r="E202" s="1" t="s">
        <v>19</v>
      </c>
      <c r="F202">
        <v>118</v>
      </c>
      <c r="G202">
        <v>72.430000000000007</v>
      </c>
      <c r="H202">
        <v>1</v>
      </c>
    </row>
    <row r="203" spans="1:8" x14ac:dyDescent="0.3">
      <c r="A203" s="1" t="s">
        <v>241</v>
      </c>
      <c r="B203" s="1" t="s">
        <v>244</v>
      </c>
      <c r="C203" s="1" t="s">
        <v>31</v>
      </c>
      <c r="D203">
        <v>6</v>
      </c>
      <c r="E203" s="1" t="s">
        <v>14</v>
      </c>
      <c r="F203">
        <v>109</v>
      </c>
      <c r="G203">
        <v>39.880000000000003</v>
      </c>
      <c r="H203">
        <v>4</v>
      </c>
    </row>
    <row r="204" spans="1:8" x14ac:dyDescent="0.3">
      <c r="A204" s="1" t="s">
        <v>241</v>
      </c>
      <c r="B204" s="1" t="s">
        <v>245</v>
      </c>
      <c r="C204" s="1" t="s">
        <v>24</v>
      </c>
      <c r="D204">
        <v>60</v>
      </c>
      <c r="E204" s="1" t="s">
        <v>22</v>
      </c>
      <c r="F204">
        <v>54</v>
      </c>
      <c r="G204">
        <v>67.180000000000007</v>
      </c>
      <c r="H204">
        <v>3</v>
      </c>
    </row>
    <row r="205" spans="1:8" x14ac:dyDescent="0.3">
      <c r="A205" s="1" t="s">
        <v>241</v>
      </c>
      <c r="B205" s="1" t="s">
        <v>246</v>
      </c>
      <c r="C205" s="1" t="s">
        <v>29</v>
      </c>
      <c r="D205">
        <v>4</v>
      </c>
      <c r="E205" s="1" t="s">
        <v>19</v>
      </c>
      <c r="F205">
        <v>182</v>
      </c>
      <c r="G205">
        <v>89.56</v>
      </c>
      <c r="H205">
        <v>4</v>
      </c>
    </row>
    <row r="206" spans="1:8" x14ac:dyDescent="0.3">
      <c r="A206" s="1" t="s">
        <v>241</v>
      </c>
      <c r="B206" s="1" t="s">
        <v>247</v>
      </c>
      <c r="C206" s="1" t="s">
        <v>10</v>
      </c>
      <c r="D206">
        <v>10</v>
      </c>
      <c r="E206" s="1" t="s">
        <v>19</v>
      </c>
      <c r="F206">
        <v>165</v>
      </c>
      <c r="G206">
        <v>38.619999999999997</v>
      </c>
      <c r="H206">
        <v>2</v>
      </c>
    </row>
    <row r="207" spans="1:8" x14ac:dyDescent="0.3">
      <c r="A207" s="1" t="s">
        <v>241</v>
      </c>
      <c r="B207" s="1" t="s">
        <v>248</v>
      </c>
      <c r="C207" s="1" t="s">
        <v>57</v>
      </c>
      <c r="D207">
        <v>82</v>
      </c>
      <c r="E207" s="1" t="s">
        <v>11</v>
      </c>
      <c r="F207">
        <v>88</v>
      </c>
      <c r="G207">
        <v>86.64</v>
      </c>
      <c r="H207">
        <v>1</v>
      </c>
    </row>
    <row r="208" spans="1:8" x14ac:dyDescent="0.3">
      <c r="A208" s="1" t="s">
        <v>241</v>
      </c>
      <c r="B208" s="1" t="s">
        <v>249</v>
      </c>
      <c r="C208" s="1" t="s">
        <v>29</v>
      </c>
      <c r="D208">
        <v>89</v>
      </c>
      <c r="E208" s="1" t="s">
        <v>22</v>
      </c>
      <c r="F208">
        <v>7</v>
      </c>
      <c r="G208">
        <v>53.39</v>
      </c>
      <c r="H208">
        <v>3</v>
      </c>
    </row>
    <row r="209" spans="1:8" x14ac:dyDescent="0.3">
      <c r="A209" s="1" t="s">
        <v>241</v>
      </c>
      <c r="B209" s="1" t="s">
        <v>250</v>
      </c>
      <c r="C209" s="1" t="s">
        <v>31</v>
      </c>
      <c r="D209">
        <v>87</v>
      </c>
      <c r="E209" s="1" t="s">
        <v>14</v>
      </c>
      <c r="F209">
        <v>205</v>
      </c>
      <c r="G209">
        <v>40.159999999999997</v>
      </c>
      <c r="H209">
        <v>5</v>
      </c>
    </row>
    <row r="210" spans="1:8" x14ac:dyDescent="0.3">
      <c r="A210" s="1" t="s">
        <v>241</v>
      </c>
      <c r="B210" s="1" t="s">
        <v>251</v>
      </c>
      <c r="C210" s="1" t="s">
        <v>18</v>
      </c>
      <c r="D210">
        <v>96</v>
      </c>
      <c r="E210" s="1" t="s">
        <v>11</v>
      </c>
      <c r="F210">
        <v>334</v>
      </c>
      <c r="G210">
        <v>64.77</v>
      </c>
      <c r="H210">
        <v>0</v>
      </c>
    </row>
    <row r="211" spans="1:8" x14ac:dyDescent="0.3">
      <c r="A211" s="1" t="s">
        <v>241</v>
      </c>
      <c r="B211" s="1" t="s">
        <v>252</v>
      </c>
      <c r="C211" s="1" t="s">
        <v>10</v>
      </c>
      <c r="D211">
        <v>60</v>
      </c>
      <c r="E211" s="1" t="s">
        <v>22</v>
      </c>
      <c r="F211">
        <v>161</v>
      </c>
      <c r="G211">
        <v>62.65</v>
      </c>
      <c r="H211">
        <v>0</v>
      </c>
    </row>
    <row r="212" spans="1:8" x14ac:dyDescent="0.3">
      <c r="A212" s="1" t="s">
        <v>241</v>
      </c>
      <c r="B212" s="1" t="s">
        <v>253</v>
      </c>
      <c r="C212" s="1" t="s">
        <v>127</v>
      </c>
      <c r="D212">
        <v>49</v>
      </c>
      <c r="E212" s="1" t="s">
        <v>22</v>
      </c>
      <c r="F212">
        <v>6</v>
      </c>
      <c r="G212">
        <v>44.41</v>
      </c>
      <c r="H212">
        <v>3</v>
      </c>
    </row>
    <row r="213" spans="1:8" x14ac:dyDescent="0.3">
      <c r="A213" s="1" t="s">
        <v>241</v>
      </c>
      <c r="B213" s="1" t="s">
        <v>254</v>
      </c>
      <c r="C213" s="1" t="s">
        <v>131</v>
      </c>
      <c r="D213">
        <v>44</v>
      </c>
      <c r="E213" s="1" t="s">
        <v>19</v>
      </c>
      <c r="F213">
        <v>199</v>
      </c>
      <c r="G213">
        <v>67.650000000000006</v>
      </c>
      <c r="H213">
        <v>0</v>
      </c>
    </row>
    <row r="214" spans="1:8" x14ac:dyDescent="0.3">
      <c r="A214" s="1" t="s">
        <v>241</v>
      </c>
      <c r="B214" s="1" t="s">
        <v>255</v>
      </c>
      <c r="C214" s="1" t="s">
        <v>13</v>
      </c>
      <c r="D214">
        <v>96</v>
      </c>
      <c r="E214" s="1" t="s">
        <v>22</v>
      </c>
      <c r="F214">
        <v>108</v>
      </c>
      <c r="G214">
        <v>30.92</v>
      </c>
      <c r="H214">
        <v>1</v>
      </c>
    </row>
    <row r="215" spans="1:8" x14ac:dyDescent="0.3">
      <c r="A215" s="1" t="s">
        <v>241</v>
      </c>
      <c r="B215" s="1" t="s">
        <v>256</v>
      </c>
      <c r="C215" s="1" t="s">
        <v>29</v>
      </c>
      <c r="D215">
        <v>52</v>
      </c>
      <c r="E215" s="1" t="s">
        <v>14</v>
      </c>
      <c r="F215">
        <v>234</v>
      </c>
      <c r="G215">
        <v>62.87</v>
      </c>
      <c r="H215">
        <v>0</v>
      </c>
    </row>
    <row r="216" spans="1:8" x14ac:dyDescent="0.3">
      <c r="A216" s="1" t="s">
        <v>241</v>
      </c>
      <c r="B216" s="1" t="s">
        <v>257</v>
      </c>
      <c r="C216" s="1" t="s">
        <v>37</v>
      </c>
      <c r="D216">
        <v>110</v>
      </c>
      <c r="E216" s="1" t="s">
        <v>19</v>
      </c>
      <c r="F216">
        <v>112</v>
      </c>
      <c r="G216">
        <v>98.95</v>
      </c>
      <c r="H216">
        <v>5</v>
      </c>
    </row>
    <row r="217" spans="1:8" x14ac:dyDescent="0.3">
      <c r="A217" s="1" t="s">
        <v>241</v>
      </c>
      <c r="B217" s="1" t="s">
        <v>258</v>
      </c>
      <c r="C217" s="1" t="s">
        <v>89</v>
      </c>
      <c r="D217">
        <v>25</v>
      </c>
      <c r="E217" s="1" t="s">
        <v>19</v>
      </c>
      <c r="F217">
        <v>33</v>
      </c>
      <c r="G217">
        <v>30.93</v>
      </c>
      <c r="H217">
        <v>1</v>
      </c>
    </row>
    <row r="218" spans="1:8" x14ac:dyDescent="0.3">
      <c r="A218" s="1" t="s">
        <v>241</v>
      </c>
      <c r="B218" s="1" t="s">
        <v>259</v>
      </c>
      <c r="C218" s="1" t="s">
        <v>51</v>
      </c>
      <c r="D218">
        <v>51</v>
      </c>
      <c r="E218" s="1" t="s">
        <v>14</v>
      </c>
      <c r="F218">
        <v>336</v>
      </c>
      <c r="G218">
        <v>65.47</v>
      </c>
      <c r="H218">
        <v>1</v>
      </c>
    </row>
    <row r="219" spans="1:8" x14ac:dyDescent="0.3">
      <c r="A219" s="1" t="s">
        <v>241</v>
      </c>
      <c r="B219" s="1" t="s">
        <v>260</v>
      </c>
      <c r="C219" s="1" t="s">
        <v>131</v>
      </c>
      <c r="D219">
        <v>5</v>
      </c>
      <c r="E219" s="1" t="s">
        <v>11</v>
      </c>
      <c r="F219">
        <v>417</v>
      </c>
      <c r="G219">
        <v>90.71</v>
      </c>
      <c r="H219">
        <v>1</v>
      </c>
    </row>
    <row r="220" spans="1:8" x14ac:dyDescent="0.3">
      <c r="A220" s="1" t="s">
        <v>241</v>
      </c>
      <c r="B220" s="1" t="s">
        <v>261</v>
      </c>
      <c r="C220" s="1" t="s">
        <v>37</v>
      </c>
      <c r="D220">
        <v>2</v>
      </c>
      <c r="E220" s="1" t="s">
        <v>14</v>
      </c>
      <c r="F220">
        <v>142</v>
      </c>
      <c r="G220">
        <v>37.799999999999997</v>
      </c>
      <c r="H220">
        <v>0</v>
      </c>
    </row>
    <row r="221" spans="1:8" x14ac:dyDescent="0.3">
      <c r="A221" s="1" t="s">
        <v>241</v>
      </c>
      <c r="B221" s="1" t="s">
        <v>262</v>
      </c>
      <c r="C221" s="1" t="s">
        <v>62</v>
      </c>
      <c r="D221">
        <v>33</v>
      </c>
      <c r="E221" s="1" t="s">
        <v>19</v>
      </c>
      <c r="F221">
        <v>332</v>
      </c>
      <c r="G221">
        <v>76.41</v>
      </c>
      <c r="H221">
        <v>1</v>
      </c>
    </row>
    <row r="222" spans="1:8" x14ac:dyDescent="0.3">
      <c r="A222" s="1" t="s">
        <v>241</v>
      </c>
      <c r="B222" s="1" t="s">
        <v>263</v>
      </c>
      <c r="C222" s="1" t="s">
        <v>57</v>
      </c>
      <c r="D222">
        <v>15</v>
      </c>
      <c r="E222" s="1" t="s">
        <v>19</v>
      </c>
      <c r="F222">
        <v>319</v>
      </c>
      <c r="G222">
        <v>78.150000000000006</v>
      </c>
      <c r="H222">
        <v>4</v>
      </c>
    </row>
    <row r="223" spans="1:8" x14ac:dyDescent="0.3">
      <c r="A223" s="1" t="s">
        <v>241</v>
      </c>
      <c r="B223" s="1" t="s">
        <v>264</v>
      </c>
      <c r="C223" s="1" t="s">
        <v>29</v>
      </c>
      <c r="D223">
        <v>91</v>
      </c>
      <c r="E223" s="1" t="s">
        <v>19</v>
      </c>
      <c r="F223">
        <v>188</v>
      </c>
      <c r="G223">
        <v>65.78</v>
      </c>
      <c r="H223">
        <v>4</v>
      </c>
    </row>
    <row r="224" spans="1:8" x14ac:dyDescent="0.3">
      <c r="A224" s="1" t="s">
        <v>241</v>
      </c>
      <c r="B224" s="1" t="s">
        <v>265</v>
      </c>
      <c r="C224" s="1" t="s">
        <v>67</v>
      </c>
      <c r="D224">
        <v>118</v>
      </c>
      <c r="E224" s="1" t="s">
        <v>14</v>
      </c>
      <c r="F224">
        <v>22</v>
      </c>
      <c r="G224">
        <v>15.39</v>
      </c>
      <c r="H224">
        <v>1</v>
      </c>
    </row>
    <row r="225" spans="1:8" x14ac:dyDescent="0.3">
      <c r="A225" s="1" t="s">
        <v>241</v>
      </c>
      <c r="B225" s="1" t="s">
        <v>266</v>
      </c>
      <c r="C225" s="1" t="s">
        <v>16</v>
      </c>
      <c r="D225">
        <v>18</v>
      </c>
      <c r="E225" s="1" t="s">
        <v>22</v>
      </c>
      <c r="F225">
        <v>34</v>
      </c>
      <c r="G225">
        <v>43.71</v>
      </c>
      <c r="H225">
        <v>1</v>
      </c>
    </row>
    <row r="226" spans="1:8" x14ac:dyDescent="0.3">
      <c r="A226" s="1" t="s">
        <v>241</v>
      </c>
      <c r="B226" s="1" t="s">
        <v>267</v>
      </c>
      <c r="C226" s="1" t="s">
        <v>60</v>
      </c>
      <c r="D226">
        <v>42</v>
      </c>
      <c r="E226" s="1" t="s">
        <v>22</v>
      </c>
      <c r="F226">
        <v>453</v>
      </c>
      <c r="G226">
        <v>36.700000000000003</v>
      </c>
      <c r="H226">
        <v>4</v>
      </c>
    </row>
    <row r="227" spans="1:8" x14ac:dyDescent="0.3">
      <c r="A227" s="1" t="s">
        <v>241</v>
      </c>
      <c r="B227" s="1" t="s">
        <v>268</v>
      </c>
      <c r="C227" s="1" t="s">
        <v>35</v>
      </c>
      <c r="D227">
        <v>86</v>
      </c>
      <c r="E227" s="1" t="s">
        <v>11</v>
      </c>
      <c r="F227">
        <v>111</v>
      </c>
      <c r="G227">
        <v>23.65</v>
      </c>
      <c r="H227">
        <v>0</v>
      </c>
    </row>
    <row r="228" spans="1:8" x14ac:dyDescent="0.3">
      <c r="A228" s="1" t="s">
        <v>241</v>
      </c>
      <c r="B228" s="1" t="s">
        <v>269</v>
      </c>
      <c r="C228" s="1" t="s">
        <v>13</v>
      </c>
      <c r="D228">
        <v>96</v>
      </c>
      <c r="E228" s="1" t="s">
        <v>22</v>
      </c>
      <c r="F228">
        <v>210</v>
      </c>
      <c r="G228">
        <v>28.39</v>
      </c>
      <c r="H228">
        <v>3</v>
      </c>
    </row>
    <row r="229" spans="1:8" x14ac:dyDescent="0.3">
      <c r="A229" s="1" t="s">
        <v>241</v>
      </c>
      <c r="B229" s="1" t="s">
        <v>270</v>
      </c>
      <c r="C229" s="1" t="s">
        <v>40</v>
      </c>
      <c r="D229">
        <v>60</v>
      </c>
      <c r="E229" s="1" t="s">
        <v>22</v>
      </c>
      <c r="F229">
        <v>154</v>
      </c>
      <c r="G229">
        <v>13.41</v>
      </c>
      <c r="H229">
        <v>5</v>
      </c>
    </row>
    <row r="230" spans="1:8" x14ac:dyDescent="0.3">
      <c r="A230" s="1" t="s">
        <v>241</v>
      </c>
      <c r="B230" s="1" t="s">
        <v>271</v>
      </c>
      <c r="C230" s="1" t="s">
        <v>37</v>
      </c>
      <c r="D230">
        <v>63</v>
      </c>
      <c r="E230" s="1" t="s">
        <v>19</v>
      </c>
      <c r="F230">
        <v>392</v>
      </c>
      <c r="G230">
        <v>93.11</v>
      </c>
      <c r="H230">
        <v>3</v>
      </c>
    </row>
    <row r="231" spans="1:8" x14ac:dyDescent="0.3">
      <c r="A231" s="1" t="s">
        <v>241</v>
      </c>
      <c r="B231" s="1" t="s">
        <v>272</v>
      </c>
      <c r="C231" s="1" t="s">
        <v>18</v>
      </c>
      <c r="D231">
        <v>60</v>
      </c>
      <c r="E231" s="1" t="s">
        <v>19</v>
      </c>
      <c r="F231">
        <v>306</v>
      </c>
      <c r="G231">
        <v>63.83</v>
      </c>
      <c r="H231">
        <v>2</v>
      </c>
    </row>
    <row r="232" spans="1:8" x14ac:dyDescent="0.3">
      <c r="A232" s="1" t="s">
        <v>241</v>
      </c>
      <c r="B232" s="1" t="s">
        <v>273</v>
      </c>
      <c r="C232" s="1" t="s">
        <v>18</v>
      </c>
      <c r="D232">
        <v>9</v>
      </c>
      <c r="E232" s="1" t="s">
        <v>14</v>
      </c>
      <c r="F232">
        <v>255</v>
      </c>
      <c r="G232">
        <v>95.13</v>
      </c>
      <c r="H232">
        <v>1</v>
      </c>
    </row>
    <row r="233" spans="1:8" x14ac:dyDescent="0.3">
      <c r="A233" s="1" t="s">
        <v>241</v>
      </c>
      <c r="B233" s="1" t="s">
        <v>274</v>
      </c>
      <c r="C233" s="1" t="s">
        <v>33</v>
      </c>
      <c r="D233">
        <v>11</v>
      </c>
      <c r="E233" s="1" t="s">
        <v>19</v>
      </c>
      <c r="F233">
        <v>52</v>
      </c>
      <c r="G233">
        <v>76.53</v>
      </c>
      <c r="H233">
        <v>5</v>
      </c>
    </row>
    <row r="234" spans="1:8" x14ac:dyDescent="0.3">
      <c r="A234" s="1" t="s">
        <v>241</v>
      </c>
      <c r="B234" s="1" t="s">
        <v>275</v>
      </c>
      <c r="C234" s="1" t="s">
        <v>26</v>
      </c>
      <c r="D234">
        <v>71</v>
      </c>
      <c r="E234" s="1" t="s">
        <v>19</v>
      </c>
      <c r="F234">
        <v>364</v>
      </c>
      <c r="G234">
        <v>39.58</v>
      </c>
      <c r="H234">
        <v>1</v>
      </c>
    </row>
    <row r="235" spans="1:8" x14ac:dyDescent="0.3">
      <c r="A235" s="1" t="s">
        <v>241</v>
      </c>
      <c r="B235" s="1" t="s">
        <v>276</v>
      </c>
      <c r="C235" s="1" t="s">
        <v>10</v>
      </c>
      <c r="D235">
        <v>85</v>
      </c>
      <c r="E235" s="1" t="s">
        <v>11</v>
      </c>
      <c r="F235">
        <v>274</v>
      </c>
      <c r="G235">
        <v>35.03</v>
      </c>
      <c r="H235">
        <v>1</v>
      </c>
    </row>
    <row r="236" spans="1:8" x14ac:dyDescent="0.3">
      <c r="A236" s="1" t="s">
        <v>241</v>
      </c>
      <c r="B236" s="1" t="s">
        <v>277</v>
      </c>
      <c r="C236" s="1" t="s">
        <v>137</v>
      </c>
      <c r="D236">
        <v>32</v>
      </c>
      <c r="E236" s="1" t="s">
        <v>22</v>
      </c>
      <c r="F236">
        <v>405</v>
      </c>
      <c r="G236">
        <v>67.92</v>
      </c>
      <c r="H236">
        <v>3</v>
      </c>
    </row>
    <row r="237" spans="1:8" x14ac:dyDescent="0.3">
      <c r="A237" s="1" t="s">
        <v>241</v>
      </c>
      <c r="B237" s="1" t="s">
        <v>278</v>
      </c>
      <c r="C237" s="1" t="s">
        <v>60</v>
      </c>
      <c r="D237">
        <v>92</v>
      </c>
      <c r="E237" s="1" t="s">
        <v>19</v>
      </c>
      <c r="F237">
        <v>472</v>
      </c>
      <c r="G237">
        <v>78.44</v>
      </c>
      <c r="H237">
        <v>1</v>
      </c>
    </row>
    <row r="238" spans="1:8" x14ac:dyDescent="0.3">
      <c r="A238" s="1" t="s">
        <v>241</v>
      </c>
      <c r="B238" s="1" t="s">
        <v>279</v>
      </c>
      <c r="C238" s="1" t="s">
        <v>51</v>
      </c>
      <c r="D238">
        <v>57</v>
      </c>
      <c r="E238" s="1" t="s">
        <v>22</v>
      </c>
      <c r="F238">
        <v>435</v>
      </c>
      <c r="G238">
        <v>56.88</v>
      </c>
      <c r="H238">
        <v>4</v>
      </c>
    </row>
    <row r="239" spans="1:8" x14ac:dyDescent="0.3">
      <c r="A239" s="1" t="s">
        <v>241</v>
      </c>
      <c r="B239" s="1" t="s">
        <v>280</v>
      </c>
      <c r="C239" s="1" t="s">
        <v>21</v>
      </c>
      <c r="D239">
        <v>18</v>
      </c>
      <c r="E239" s="1" t="s">
        <v>19</v>
      </c>
      <c r="F239">
        <v>291</v>
      </c>
      <c r="G239">
        <v>97.98</v>
      </c>
      <c r="H239">
        <v>1</v>
      </c>
    </row>
    <row r="240" spans="1:8" x14ac:dyDescent="0.3">
      <c r="A240" s="1" t="s">
        <v>241</v>
      </c>
      <c r="B240" s="1" t="s">
        <v>281</v>
      </c>
      <c r="C240" s="1" t="s">
        <v>40</v>
      </c>
      <c r="D240">
        <v>61</v>
      </c>
      <c r="E240" s="1" t="s">
        <v>22</v>
      </c>
      <c r="F240">
        <v>87</v>
      </c>
      <c r="G240">
        <v>68.319999999999993</v>
      </c>
      <c r="H240">
        <v>2</v>
      </c>
    </row>
    <row r="241" spans="1:8" x14ac:dyDescent="0.3">
      <c r="A241" s="1" t="s">
        <v>241</v>
      </c>
      <c r="B241" s="1" t="s">
        <v>282</v>
      </c>
      <c r="C241" s="1" t="s">
        <v>137</v>
      </c>
      <c r="D241">
        <v>106</v>
      </c>
      <c r="E241" s="1" t="s">
        <v>22</v>
      </c>
      <c r="F241">
        <v>128</v>
      </c>
      <c r="G241">
        <v>35.96</v>
      </c>
      <c r="H241">
        <v>2</v>
      </c>
    </row>
    <row r="242" spans="1:8" x14ac:dyDescent="0.3">
      <c r="A242" s="1" t="s">
        <v>241</v>
      </c>
      <c r="B242" s="1" t="s">
        <v>283</v>
      </c>
      <c r="C242" s="1" t="s">
        <v>51</v>
      </c>
      <c r="D242">
        <v>36</v>
      </c>
      <c r="E242" s="1" t="s">
        <v>19</v>
      </c>
      <c r="F242">
        <v>491</v>
      </c>
      <c r="G242">
        <v>12.13</v>
      </c>
      <c r="H242">
        <v>4</v>
      </c>
    </row>
    <row r="243" spans="1:8" x14ac:dyDescent="0.3">
      <c r="A243" s="1" t="s">
        <v>241</v>
      </c>
      <c r="B243" s="1" t="s">
        <v>284</v>
      </c>
      <c r="C243" s="1" t="s">
        <v>73</v>
      </c>
      <c r="D243">
        <v>108</v>
      </c>
      <c r="E243" s="1" t="s">
        <v>14</v>
      </c>
      <c r="F243">
        <v>48</v>
      </c>
      <c r="G243">
        <v>86.22</v>
      </c>
      <c r="H243">
        <v>3</v>
      </c>
    </row>
    <row r="244" spans="1:8" x14ac:dyDescent="0.3">
      <c r="A244" s="1" t="s">
        <v>241</v>
      </c>
      <c r="B244" s="1" t="s">
        <v>285</v>
      </c>
      <c r="C244" s="1" t="s">
        <v>137</v>
      </c>
      <c r="D244">
        <v>21</v>
      </c>
      <c r="E244" s="1" t="s">
        <v>19</v>
      </c>
      <c r="F244">
        <v>307</v>
      </c>
      <c r="G244">
        <v>39.81</v>
      </c>
      <c r="H244">
        <v>5</v>
      </c>
    </row>
    <row r="245" spans="1:8" x14ac:dyDescent="0.3">
      <c r="A245" s="1" t="s">
        <v>241</v>
      </c>
      <c r="B245" s="1" t="s">
        <v>286</v>
      </c>
      <c r="C245" s="1" t="s">
        <v>137</v>
      </c>
      <c r="D245">
        <v>22</v>
      </c>
      <c r="E245" s="1" t="s">
        <v>11</v>
      </c>
      <c r="F245">
        <v>166</v>
      </c>
      <c r="G245">
        <v>31.8</v>
      </c>
      <c r="H245">
        <v>1</v>
      </c>
    </row>
    <row r="246" spans="1:8" x14ac:dyDescent="0.3">
      <c r="A246" s="1" t="s">
        <v>241</v>
      </c>
      <c r="B246" s="1" t="s">
        <v>287</v>
      </c>
      <c r="C246" s="1" t="s">
        <v>78</v>
      </c>
      <c r="D246">
        <v>108</v>
      </c>
      <c r="E246" s="1" t="s">
        <v>11</v>
      </c>
      <c r="F246">
        <v>323</v>
      </c>
      <c r="G246">
        <v>58.54</v>
      </c>
      <c r="H246">
        <v>2</v>
      </c>
    </row>
    <row r="247" spans="1:8" x14ac:dyDescent="0.3">
      <c r="A247" s="1" t="s">
        <v>241</v>
      </c>
      <c r="B247" s="1" t="s">
        <v>288</v>
      </c>
      <c r="C247" s="1" t="s">
        <v>10</v>
      </c>
      <c r="D247">
        <v>3</v>
      </c>
      <c r="E247" s="1" t="s">
        <v>22</v>
      </c>
      <c r="F247">
        <v>356</v>
      </c>
      <c r="G247">
        <v>91.6</v>
      </c>
      <c r="H247">
        <v>3</v>
      </c>
    </row>
    <row r="248" spans="1:8" x14ac:dyDescent="0.3">
      <c r="A248" s="1" t="s">
        <v>241</v>
      </c>
      <c r="B248" s="1" t="s">
        <v>289</v>
      </c>
      <c r="C248" s="1" t="s">
        <v>127</v>
      </c>
      <c r="D248">
        <v>78</v>
      </c>
      <c r="E248" s="1" t="s">
        <v>22</v>
      </c>
      <c r="F248">
        <v>198</v>
      </c>
      <c r="G248">
        <v>69.849999999999994</v>
      </c>
      <c r="H248">
        <v>0</v>
      </c>
    </row>
    <row r="249" spans="1:8" x14ac:dyDescent="0.3">
      <c r="A249" s="1" t="s">
        <v>241</v>
      </c>
      <c r="B249" s="1" t="s">
        <v>290</v>
      </c>
      <c r="C249" s="1" t="s">
        <v>29</v>
      </c>
      <c r="D249">
        <v>13</v>
      </c>
      <c r="E249" s="1" t="s">
        <v>14</v>
      </c>
      <c r="F249">
        <v>347</v>
      </c>
      <c r="G249">
        <v>32.35</v>
      </c>
      <c r="H249">
        <v>2</v>
      </c>
    </row>
    <row r="250" spans="1:8" x14ac:dyDescent="0.3">
      <c r="A250" s="1" t="s">
        <v>241</v>
      </c>
      <c r="B250" s="1" t="s">
        <v>291</v>
      </c>
      <c r="C250" s="1" t="s">
        <v>67</v>
      </c>
      <c r="D250">
        <v>23</v>
      </c>
      <c r="E250" s="1" t="s">
        <v>14</v>
      </c>
      <c r="F250">
        <v>473</v>
      </c>
      <c r="G250">
        <v>71.86</v>
      </c>
      <c r="H250">
        <v>3</v>
      </c>
    </row>
    <row r="251" spans="1:8" x14ac:dyDescent="0.3">
      <c r="A251" s="1" t="s">
        <v>292</v>
      </c>
      <c r="B251" s="1" t="s">
        <v>293</v>
      </c>
      <c r="C251" s="1" t="s">
        <v>10</v>
      </c>
      <c r="D251">
        <v>96</v>
      </c>
      <c r="E251" s="1" t="s">
        <v>22</v>
      </c>
      <c r="F251">
        <v>290</v>
      </c>
      <c r="G251">
        <v>29</v>
      </c>
      <c r="H251">
        <v>3</v>
      </c>
    </row>
    <row r="252" spans="1:8" x14ac:dyDescent="0.3">
      <c r="A252" s="1" t="s">
        <v>292</v>
      </c>
      <c r="B252" s="1" t="s">
        <v>294</v>
      </c>
      <c r="C252" s="1" t="s">
        <v>73</v>
      </c>
      <c r="D252">
        <v>48</v>
      </c>
      <c r="E252" s="1" t="s">
        <v>11</v>
      </c>
      <c r="F252">
        <v>416</v>
      </c>
      <c r="G252">
        <v>81.260000000000005</v>
      </c>
      <c r="H252">
        <v>5</v>
      </c>
    </row>
    <row r="253" spans="1:8" x14ac:dyDescent="0.3">
      <c r="A253" s="1" t="s">
        <v>292</v>
      </c>
      <c r="B253" s="1" t="s">
        <v>295</v>
      </c>
      <c r="C253" s="1" t="s">
        <v>31</v>
      </c>
      <c r="D253">
        <v>50</v>
      </c>
      <c r="E253" s="1" t="s">
        <v>14</v>
      </c>
      <c r="F253">
        <v>108</v>
      </c>
      <c r="G253">
        <v>43.81</v>
      </c>
      <c r="H253">
        <v>5</v>
      </c>
    </row>
    <row r="254" spans="1:8" x14ac:dyDescent="0.3">
      <c r="A254" s="1" t="s">
        <v>292</v>
      </c>
      <c r="B254" s="1" t="s">
        <v>296</v>
      </c>
      <c r="C254" s="1" t="s">
        <v>18</v>
      </c>
      <c r="D254">
        <v>63</v>
      </c>
      <c r="E254" s="1" t="s">
        <v>22</v>
      </c>
      <c r="F254">
        <v>95</v>
      </c>
      <c r="G254">
        <v>56.81</v>
      </c>
      <c r="H254">
        <v>0</v>
      </c>
    </row>
    <row r="255" spans="1:8" x14ac:dyDescent="0.3">
      <c r="A255" s="1" t="s">
        <v>292</v>
      </c>
      <c r="B255" s="1" t="s">
        <v>297</v>
      </c>
      <c r="C255" s="1" t="s">
        <v>10</v>
      </c>
      <c r="D255">
        <v>40</v>
      </c>
      <c r="E255" s="1" t="s">
        <v>11</v>
      </c>
      <c r="F255">
        <v>102</v>
      </c>
      <c r="G255">
        <v>96.59</v>
      </c>
      <c r="H255">
        <v>5</v>
      </c>
    </row>
    <row r="256" spans="1:8" x14ac:dyDescent="0.3">
      <c r="A256" s="1" t="s">
        <v>292</v>
      </c>
      <c r="B256" s="1" t="s">
        <v>298</v>
      </c>
      <c r="C256" s="1" t="s">
        <v>137</v>
      </c>
      <c r="D256">
        <v>83</v>
      </c>
      <c r="E256" s="1" t="s">
        <v>22</v>
      </c>
      <c r="F256">
        <v>30</v>
      </c>
      <c r="G256">
        <v>33.93</v>
      </c>
      <c r="H256">
        <v>3</v>
      </c>
    </row>
    <row r="257" spans="1:8" x14ac:dyDescent="0.3">
      <c r="A257" s="1" t="s">
        <v>292</v>
      </c>
      <c r="B257" s="1" t="s">
        <v>299</v>
      </c>
      <c r="C257" s="1" t="s">
        <v>44</v>
      </c>
      <c r="D257">
        <v>76</v>
      </c>
      <c r="E257" s="1" t="s">
        <v>22</v>
      </c>
      <c r="F257">
        <v>383</v>
      </c>
      <c r="G257">
        <v>53.73</v>
      </c>
      <c r="H257">
        <v>2</v>
      </c>
    </row>
    <row r="258" spans="1:8" x14ac:dyDescent="0.3">
      <c r="A258" s="1" t="s">
        <v>292</v>
      </c>
      <c r="B258" s="1" t="s">
        <v>300</v>
      </c>
      <c r="C258" s="1" t="s">
        <v>24</v>
      </c>
      <c r="D258">
        <v>10</v>
      </c>
      <c r="E258" s="1" t="s">
        <v>19</v>
      </c>
      <c r="F258">
        <v>93</v>
      </c>
      <c r="G258">
        <v>78.12</v>
      </c>
      <c r="H258">
        <v>4</v>
      </c>
    </row>
    <row r="259" spans="1:8" x14ac:dyDescent="0.3">
      <c r="A259" s="1" t="s">
        <v>292</v>
      </c>
      <c r="B259" s="1" t="s">
        <v>301</v>
      </c>
      <c r="C259" s="1" t="s">
        <v>64</v>
      </c>
      <c r="D259">
        <v>114</v>
      </c>
      <c r="E259" s="1" t="s">
        <v>19</v>
      </c>
      <c r="F259">
        <v>388</v>
      </c>
      <c r="G259">
        <v>40.29</v>
      </c>
      <c r="H259">
        <v>5</v>
      </c>
    </row>
    <row r="260" spans="1:8" x14ac:dyDescent="0.3">
      <c r="A260" s="1" t="s">
        <v>292</v>
      </c>
      <c r="B260" s="1" t="s">
        <v>302</v>
      </c>
      <c r="C260" s="1" t="s">
        <v>137</v>
      </c>
      <c r="D260">
        <v>5</v>
      </c>
      <c r="E260" s="1" t="s">
        <v>14</v>
      </c>
      <c r="F260">
        <v>98</v>
      </c>
      <c r="G260">
        <v>71.37</v>
      </c>
      <c r="H260">
        <v>1</v>
      </c>
    </row>
    <row r="261" spans="1:8" x14ac:dyDescent="0.3">
      <c r="A261" s="1" t="s">
        <v>292</v>
      </c>
      <c r="B261" s="1" t="s">
        <v>303</v>
      </c>
      <c r="C261" s="1" t="s">
        <v>131</v>
      </c>
      <c r="D261">
        <v>118</v>
      </c>
      <c r="E261" s="1" t="s">
        <v>14</v>
      </c>
      <c r="F261">
        <v>132</v>
      </c>
      <c r="G261">
        <v>40.880000000000003</v>
      </c>
      <c r="H261">
        <v>4</v>
      </c>
    </row>
    <row r="262" spans="1:8" x14ac:dyDescent="0.3">
      <c r="A262" s="1" t="s">
        <v>292</v>
      </c>
      <c r="B262" s="1" t="s">
        <v>304</v>
      </c>
      <c r="C262" s="1" t="s">
        <v>10</v>
      </c>
      <c r="D262">
        <v>16</v>
      </c>
      <c r="E262" s="1" t="s">
        <v>19</v>
      </c>
      <c r="F262">
        <v>461</v>
      </c>
      <c r="G262">
        <v>38.369999999999997</v>
      </c>
      <c r="H262">
        <v>4</v>
      </c>
    </row>
    <row r="263" spans="1:8" x14ac:dyDescent="0.3">
      <c r="A263" s="1" t="s">
        <v>292</v>
      </c>
      <c r="B263" s="1" t="s">
        <v>305</v>
      </c>
      <c r="C263" s="1" t="s">
        <v>40</v>
      </c>
      <c r="D263">
        <v>50</v>
      </c>
      <c r="E263" s="1" t="s">
        <v>22</v>
      </c>
      <c r="F263">
        <v>446</v>
      </c>
      <c r="G263">
        <v>31.56</v>
      </c>
      <c r="H263">
        <v>5</v>
      </c>
    </row>
    <row r="264" spans="1:8" x14ac:dyDescent="0.3">
      <c r="A264" s="1" t="s">
        <v>292</v>
      </c>
      <c r="B264" s="1" t="s">
        <v>306</v>
      </c>
      <c r="C264" s="1" t="s">
        <v>137</v>
      </c>
      <c r="D264">
        <v>120</v>
      </c>
      <c r="E264" s="1" t="s">
        <v>14</v>
      </c>
      <c r="F264">
        <v>209</v>
      </c>
      <c r="G264">
        <v>42.51</v>
      </c>
      <c r="H264">
        <v>4</v>
      </c>
    </row>
    <row r="265" spans="1:8" x14ac:dyDescent="0.3">
      <c r="A265" s="1" t="s">
        <v>292</v>
      </c>
      <c r="B265" s="1" t="s">
        <v>307</v>
      </c>
      <c r="C265" s="1" t="s">
        <v>35</v>
      </c>
      <c r="D265">
        <v>73</v>
      </c>
      <c r="E265" s="1" t="s">
        <v>22</v>
      </c>
      <c r="F265">
        <v>225</v>
      </c>
      <c r="G265">
        <v>45.86</v>
      </c>
      <c r="H265">
        <v>0</v>
      </c>
    </row>
    <row r="266" spans="1:8" x14ac:dyDescent="0.3">
      <c r="A266" s="1" t="s">
        <v>292</v>
      </c>
      <c r="B266" s="1" t="s">
        <v>308</v>
      </c>
      <c r="C266" s="1" t="s">
        <v>31</v>
      </c>
      <c r="D266">
        <v>21</v>
      </c>
      <c r="E266" s="1" t="s">
        <v>14</v>
      </c>
      <c r="F266">
        <v>320</v>
      </c>
      <c r="G266">
        <v>64.97</v>
      </c>
      <c r="H266">
        <v>1</v>
      </c>
    </row>
    <row r="267" spans="1:8" x14ac:dyDescent="0.3">
      <c r="A267" s="1" t="s">
        <v>292</v>
      </c>
      <c r="B267" s="1" t="s">
        <v>309</v>
      </c>
      <c r="C267" s="1" t="s">
        <v>60</v>
      </c>
      <c r="D267">
        <v>25</v>
      </c>
      <c r="E267" s="1" t="s">
        <v>11</v>
      </c>
      <c r="F267">
        <v>467</v>
      </c>
      <c r="G267">
        <v>97.78</v>
      </c>
      <c r="H267">
        <v>3</v>
      </c>
    </row>
    <row r="268" spans="1:8" x14ac:dyDescent="0.3">
      <c r="A268" s="1" t="s">
        <v>292</v>
      </c>
      <c r="B268" s="1" t="s">
        <v>310</v>
      </c>
      <c r="C268" s="1" t="s">
        <v>44</v>
      </c>
      <c r="D268">
        <v>98</v>
      </c>
      <c r="E268" s="1" t="s">
        <v>11</v>
      </c>
      <c r="F268">
        <v>319</v>
      </c>
      <c r="G268">
        <v>88.58</v>
      </c>
      <c r="H268">
        <v>0</v>
      </c>
    </row>
    <row r="269" spans="1:8" x14ac:dyDescent="0.3">
      <c r="A269" s="1" t="s">
        <v>292</v>
      </c>
      <c r="B269" s="1" t="s">
        <v>311</v>
      </c>
      <c r="C269" s="1" t="s">
        <v>60</v>
      </c>
      <c r="D269">
        <v>56</v>
      </c>
      <c r="E269" s="1" t="s">
        <v>14</v>
      </c>
      <c r="F269">
        <v>55</v>
      </c>
      <c r="G269">
        <v>82.56</v>
      </c>
      <c r="H269">
        <v>2</v>
      </c>
    </row>
    <row r="270" spans="1:8" x14ac:dyDescent="0.3">
      <c r="A270" s="1" t="s">
        <v>292</v>
      </c>
      <c r="B270" s="1" t="s">
        <v>312</v>
      </c>
      <c r="C270" s="1" t="s">
        <v>18</v>
      </c>
      <c r="D270">
        <v>33</v>
      </c>
      <c r="E270" s="1" t="s">
        <v>11</v>
      </c>
      <c r="F270">
        <v>444</v>
      </c>
      <c r="G270">
        <v>10.28</v>
      </c>
      <c r="H270">
        <v>5</v>
      </c>
    </row>
    <row r="271" spans="1:8" x14ac:dyDescent="0.3">
      <c r="A271" s="1" t="s">
        <v>292</v>
      </c>
      <c r="B271" s="1" t="s">
        <v>313</v>
      </c>
      <c r="C271" s="1" t="s">
        <v>29</v>
      </c>
      <c r="D271">
        <v>99</v>
      </c>
      <c r="E271" s="1" t="s">
        <v>14</v>
      </c>
      <c r="F271">
        <v>325</v>
      </c>
      <c r="G271">
        <v>88.35</v>
      </c>
      <c r="H271">
        <v>4</v>
      </c>
    </row>
    <row r="272" spans="1:8" x14ac:dyDescent="0.3">
      <c r="A272" s="1" t="s">
        <v>292</v>
      </c>
      <c r="B272" s="1" t="s">
        <v>314</v>
      </c>
      <c r="C272" s="1" t="s">
        <v>67</v>
      </c>
      <c r="D272">
        <v>117</v>
      </c>
      <c r="E272" s="1" t="s">
        <v>19</v>
      </c>
      <c r="F272">
        <v>85</v>
      </c>
      <c r="G272">
        <v>46.16</v>
      </c>
      <c r="H272">
        <v>3</v>
      </c>
    </row>
    <row r="273" spans="1:8" x14ac:dyDescent="0.3">
      <c r="A273" s="1" t="s">
        <v>292</v>
      </c>
      <c r="B273" s="1" t="s">
        <v>315</v>
      </c>
      <c r="C273" s="1" t="s">
        <v>131</v>
      </c>
      <c r="D273">
        <v>97</v>
      </c>
      <c r="E273" s="1" t="s">
        <v>19</v>
      </c>
      <c r="F273">
        <v>40</v>
      </c>
      <c r="G273">
        <v>85.19</v>
      </c>
      <c r="H273">
        <v>1</v>
      </c>
    </row>
    <row r="274" spans="1:8" x14ac:dyDescent="0.3">
      <c r="A274" s="1" t="s">
        <v>292</v>
      </c>
      <c r="B274" s="1" t="s">
        <v>316</v>
      </c>
      <c r="C274" s="1" t="s">
        <v>127</v>
      </c>
      <c r="D274">
        <v>93</v>
      </c>
      <c r="E274" s="1" t="s">
        <v>11</v>
      </c>
      <c r="F274">
        <v>150</v>
      </c>
      <c r="G274">
        <v>93.25</v>
      </c>
      <c r="H274">
        <v>3</v>
      </c>
    </row>
    <row r="275" spans="1:8" x14ac:dyDescent="0.3">
      <c r="A275" s="1" t="s">
        <v>292</v>
      </c>
      <c r="B275" s="1" t="s">
        <v>317</v>
      </c>
      <c r="C275" s="1" t="s">
        <v>35</v>
      </c>
      <c r="D275">
        <v>45</v>
      </c>
      <c r="E275" s="1" t="s">
        <v>22</v>
      </c>
      <c r="F275">
        <v>43</v>
      </c>
      <c r="G275">
        <v>12.31</v>
      </c>
      <c r="H275">
        <v>0</v>
      </c>
    </row>
    <row r="276" spans="1:8" x14ac:dyDescent="0.3">
      <c r="A276" s="1" t="s">
        <v>292</v>
      </c>
      <c r="B276" s="1" t="s">
        <v>318</v>
      </c>
      <c r="C276" s="1" t="s">
        <v>127</v>
      </c>
      <c r="D276">
        <v>66</v>
      </c>
      <c r="E276" s="1" t="s">
        <v>11</v>
      </c>
      <c r="F276">
        <v>193</v>
      </c>
      <c r="G276">
        <v>21.06</v>
      </c>
      <c r="H276">
        <v>3</v>
      </c>
    </row>
    <row r="277" spans="1:8" x14ac:dyDescent="0.3">
      <c r="A277" s="1" t="s">
        <v>292</v>
      </c>
      <c r="B277" s="1" t="s">
        <v>319</v>
      </c>
      <c r="C277" s="1" t="s">
        <v>35</v>
      </c>
      <c r="D277">
        <v>91</v>
      </c>
      <c r="E277" s="1" t="s">
        <v>22</v>
      </c>
      <c r="F277">
        <v>63</v>
      </c>
      <c r="G277">
        <v>57.76</v>
      </c>
      <c r="H277">
        <v>5</v>
      </c>
    </row>
    <row r="278" spans="1:8" x14ac:dyDescent="0.3">
      <c r="A278" s="1" t="s">
        <v>292</v>
      </c>
      <c r="B278" s="1" t="s">
        <v>320</v>
      </c>
      <c r="C278" s="1" t="s">
        <v>131</v>
      </c>
      <c r="D278">
        <v>63</v>
      </c>
      <c r="E278" s="1" t="s">
        <v>14</v>
      </c>
      <c r="F278">
        <v>141</v>
      </c>
      <c r="G278">
        <v>95.6</v>
      </c>
      <c r="H278">
        <v>4</v>
      </c>
    </row>
    <row r="279" spans="1:8" x14ac:dyDescent="0.3">
      <c r="A279" s="1" t="s">
        <v>292</v>
      </c>
      <c r="B279" s="1" t="s">
        <v>321</v>
      </c>
      <c r="C279" s="1" t="s">
        <v>60</v>
      </c>
      <c r="D279">
        <v>82</v>
      </c>
      <c r="E279" s="1" t="s">
        <v>11</v>
      </c>
      <c r="F279">
        <v>32</v>
      </c>
      <c r="G279">
        <v>77.63</v>
      </c>
      <c r="H279">
        <v>1</v>
      </c>
    </row>
    <row r="280" spans="1:8" x14ac:dyDescent="0.3">
      <c r="A280" s="1" t="s">
        <v>292</v>
      </c>
      <c r="B280" s="1" t="s">
        <v>322</v>
      </c>
      <c r="C280" s="1" t="s">
        <v>31</v>
      </c>
      <c r="D280">
        <v>89</v>
      </c>
      <c r="E280" s="1" t="s">
        <v>19</v>
      </c>
      <c r="F280">
        <v>175</v>
      </c>
      <c r="G280">
        <v>32.369999999999997</v>
      </c>
      <c r="H280">
        <v>1</v>
      </c>
    </row>
    <row r="281" spans="1:8" x14ac:dyDescent="0.3">
      <c r="A281" s="1" t="s">
        <v>292</v>
      </c>
      <c r="B281" s="1" t="s">
        <v>323</v>
      </c>
      <c r="C281" s="1" t="s">
        <v>26</v>
      </c>
      <c r="D281">
        <v>48</v>
      </c>
      <c r="E281" s="1" t="s">
        <v>22</v>
      </c>
      <c r="F281">
        <v>15</v>
      </c>
      <c r="G281">
        <v>50.67</v>
      </c>
      <c r="H281">
        <v>1</v>
      </c>
    </row>
    <row r="282" spans="1:8" x14ac:dyDescent="0.3">
      <c r="A282" s="1" t="s">
        <v>292</v>
      </c>
      <c r="B282" s="1" t="s">
        <v>324</v>
      </c>
      <c r="C282" s="1" t="s">
        <v>40</v>
      </c>
      <c r="D282">
        <v>90</v>
      </c>
      <c r="E282" s="1" t="s">
        <v>14</v>
      </c>
      <c r="F282">
        <v>299</v>
      </c>
      <c r="G282">
        <v>71.760000000000005</v>
      </c>
      <c r="H282">
        <v>1</v>
      </c>
    </row>
    <row r="283" spans="1:8" x14ac:dyDescent="0.3">
      <c r="A283" s="1" t="s">
        <v>292</v>
      </c>
      <c r="B283" s="1" t="s">
        <v>325</v>
      </c>
      <c r="C283" s="1" t="s">
        <v>78</v>
      </c>
      <c r="D283">
        <v>8</v>
      </c>
      <c r="E283" s="1" t="s">
        <v>19</v>
      </c>
      <c r="F283">
        <v>120</v>
      </c>
      <c r="G283">
        <v>88.29</v>
      </c>
      <c r="H283">
        <v>5</v>
      </c>
    </row>
    <row r="284" spans="1:8" x14ac:dyDescent="0.3">
      <c r="A284" s="1" t="s">
        <v>292</v>
      </c>
      <c r="B284" s="1" t="s">
        <v>326</v>
      </c>
      <c r="C284" s="1" t="s">
        <v>44</v>
      </c>
      <c r="D284">
        <v>84</v>
      </c>
      <c r="E284" s="1" t="s">
        <v>19</v>
      </c>
      <c r="F284">
        <v>244</v>
      </c>
      <c r="G284">
        <v>56.34</v>
      </c>
      <c r="H284">
        <v>5</v>
      </c>
    </row>
    <row r="285" spans="1:8" x14ac:dyDescent="0.3">
      <c r="A285" s="1" t="s">
        <v>292</v>
      </c>
      <c r="B285" s="1" t="s">
        <v>327</v>
      </c>
      <c r="C285" s="1" t="s">
        <v>37</v>
      </c>
      <c r="D285">
        <v>50</v>
      </c>
      <c r="E285" s="1" t="s">
        <v>19</v>
      </c>
      <c r="F285">
        <v>248</v>
      </c>
      <c r="G285">
        <v>69.42</v>
      </c>
      <c r="H285">
        <v>0</v>
      </c>
    </row>
    <row r="286" spans="1:8" x14ac:dyDescent="0.3">
      <c r="A286" s="1" t="s">
        <v>292</v>
      </c>
      <c r="B286" s="1" t="s">
        <v>328</v>
      </c>
      <c r="C286" s="1" t="s">
        <v>26</v>
      </c>
      <c r="D286">
        <v>119</v>
      </c>
      <c r="E286" s="1" t="s">
        <v>14</v>
      </c>
      <c r="F286">
        <v>344</v>
      </c>
      <c r="G286">
        <v>10.28</v>
      </c>
      <c r="H286">
        <v>0</v>
      </c>
    </row>
    <row r="287" spans="1:8" x14ac:dyDescent="0.3">
      <c r="A287" s="1" t="s">
        <v>292</v>
      </c>
      <c r="B287" s="1" t="s">
        <v>329</v>
      </c>
      <c r="C287" s="1" t="s">
        <v>33</v>
      </c>
      <c r="D287">
        <v>55</v>
      </c>
      <c r="E287" s="1" t="s">
        <v>14</v>
      </c>
      <c r="F287">
        <v>389</v>
      </c>
      <c r="G287">
        <v>67.430000000000007</v>
      </c>
      <c r="H287">
        <v>3</v>
      </c>
    </row>
    <row r="288" spans="1:8" x14ac:dyDescent="0.3">
      <c r="A288" s="1" t="s">
        <v>292</v>
      </c>
      <c r="B288" s="1" t="s">
        <v>330</v>
      </c>
      <c r="C288" s="1" t="s">
        <v>44</v>
      </c>
      <c r="D288">
        <v>95</v>
      </c>
      <c r="E288" s="1" t="s">
        <v>11</v>
      </c>
      <c r="F288">
        <v>51</v>
      </c>
      <c r="G288">
        <v>94.77</v>
      </c>
      <c r="H288">
        <v>5</v>
      </c>
    </row>
    <row r="289" spans="1:8" x14ac:dyDescent="0.3">
      <c r="A289" s="1" t="s">
        <v>292</v>
      </c>
      <c r="B289" s="1" t="s">
        <v>331</v>
      </c>
      <c r="C289" s="1" t="s">
        <v>33</v>
      </c>
      <c r="D289">
        <v>32</v>
      </c>
      <c r="E289" s="1" t="s">
        <v>14</v>
      </c>
      <c r="F289">
        <v>4</v>
      </c>
      <c r="G289">
        <v>39</v>
      </c>
      <c r="H289">
        <v>0</v>
      </c>
    </row>
    <row r="290" spans="1:8" x14ac:dyDescent="0.3">
      <c r="A290" s="1" t="s">
        <v>292</v>
      </c>
      <c r="B290" s="1" t="s">
        <v>332</v>
      </c>
      <c r="C290" s="1" t="s">
        <v>64</v>
      </c>
      <c r="D290">
        <v>32</v>
      </c>
      <c r="E290" s="1" t="s">
        <v>22</v>
      </c>
      <c r="F290">
        <v>31</v>
      </c>
      <c r="G290">
        <v>67.040000000000006</v>
      </c>
      <c r="H290">
        <v>1</v>
      </c>
    </row>
    <row r="291" spans="1:8" x14ac:dyDescent="0.3">
      <c r="A291" s="1" t="s">
        <v>292</v>
      </c>
      <c r="B291" s="1" t="s">
        <v>333</v>
      </c>
      <c r="C291" s="1" t="s">
        <v>64</v>
      </c>
      <c r="D291">
        <v>62</v>
      </c>
      <c r="E291" s="1" t="s">
        <v>22</v>
      </c>
      <c r="F291">
        <v>136</v>
      </c>
      <c r="G291">
        <v>88.61</v>
      </c>
      <c r="H291">
        <v>2</v>
      </c>
    </row>
    <row r="292" spans="1:8" x14ac:dyDescent="0.3">
      <c r="A292" s="1" t="s">
        <v>292</v>
      </c>
      <c r="B292" s="1" t="s">
        <v>334</v>
      </c>
      <c r="C292" s="1" t="s">
        <v>73</v>
      </c>
      <c r="D292">
        <v>5</v>
      </c>
      <c r="E292" s="1" t="s">
        <v>11</v>
      </c>
      <c r="F292">
        <v>384</v>
      </c>
      <c r="G292">
        <v>97.26</v>
      </c>
      <c r="H292">
        <v>3</v>
      </c>
    </row>
    <row r="293" spans="1:8" x14ac:dyDescent="0.3">
      <c r="A293" s="1" t="s">
        <v>292</v>
      </c>
      <c r="B293" s="1" t="s">
        <v>335</v>
      </c>
      <c r="C293" s="1" t="s">
        <v>18</v>
      </c>
      <c r="D293">
        <v>118</v>
      </c>
      <c r="E293" s="1" t="s">
        <v>22</v>
      </c>
      <c r="F293">
        <v>489</v>
      </c>
      <c r="G293">
        <v>76.22</v>
      </c>
      <c r="H293">
        <v>2</v>
      </c>
    </row>
    <row r="294" spans="1:8" x14ac:dyDescent="0.3">
      <c r="A294" s="1" t="s">
        <v>292</v>
      </c>
      <c r="B294" s="1" t="s">
        <v>336</v>
      </c>
      <c r="C294" s="1" t="s">
        <v>18</v>
      </c>
      <c r="D294">
        <v>105</v>
      </c>
      <c r="E294" s="1" t="s">
        <v>22</v>
      </c>
      <c r="F294">
        <v>3</v>
      </c>
      <c r="G294">
        <v>71.010000000000005</v>
      </c>
      <c r="H294">
        <v>1</v>
      </c>
    </row>
    <row r="295" spans="1:8" x14ac:dyDescent="0.3">
      <c r="A295" s="1" t="s">
        <v>292</v>
      </c>
      <c r="B295" s="1" t="s">
        <v>337</v>
      </c>
      <c r="C295" s="1" t="s">
        <v>21</v>
      </c>
      <c r="D295">
        <v>47</v>
      </c>
      <c r="E295" s="1" t="s">
        <v>22</v>
      </c>
      <c r="F295">
        <v>340</v>
      </c>
      <c r="G295">
        <v>31.02</v>
      </c>
      <c r="H295">
        <v>5</v>
      </c>
    </row>
    <row r="296" spans="1:8" x14ac:dyDescent="0.3">
      <c r="A296" s="1" t="s">
        <v>292</v>
      </c>
      <c r="B296" s="1" t="s">
        <v>338</v>
      </c>
      <c r="C296" s="1" t="s">
        <v>26</v>
      </c>
      <c r="D296">
        <v>81</v>
      </c>
      <c r="E296" s="1" t="s">
        <v>14</v>
      </c>
      <c r="F296">
        <v>298</v>
      </c>
      <c r="G296">
        <v>53.61</v>
      </c>
      <c r="H296">
        <v>2</v>
      </c>
    </row>
    <row r="297" spans="1:8" x14ac:dyDescent="0.3">
      <c r="A297" s="1" t="s">
        <v>292</v>
      </c>
      <c r="B297" s="1" t="s">
        <v>339</v>
      </c>
      <c r="C297" s="1" t="s">
        <v>131</v>
      </c>
      <c r="D297">
        <v>91</v>
      </c>
      <c r="E297" s="1" t="s">
        <v>22</v>
      </c>
      <c r="F297">
        <v>404</v>
      </c>
      <c r="G297">
        <v>76.53</v>
      </c>
      <c r="H297">
        <v>5</v>
      </c>
    </row>
    <row r="298" spans="1:8" x14ac:dyDescent="0.3">
      <c r="A298" s="1" t="s">
        <v>292</v>
      </c>
      <c r="B298" s="1" t="s">
        <v>340</v>
      </c>
      <c r="C298" s="1" t="s">
        <v>10</v>
      </c>
      <c r="D298">
        <v>87</v>
      </c>
      <c r="E298" s="1" t="s">
        <v>19</v>
      </c>
      <c r="F298">
        <v>21</v>
      </c>
      <c r="G298">
        <v>81.459999999999994</v>
      </c>
      <c r="H298">
        <v>3</v>
      </c>
    </row>
    <row r="299" spans="1:8" x14ac:dyDescent="0.3">
      <c r="A299" s="1" t="s">
        <v>292</v>
      </c>
      <c r="B299" s="1" t="s">
        <v>341</v>
      </c>
      <c r="C299" s="1" t="s">
        <v>131</v>
      </c>
      <c r="D299">
        <v>4</v>
      </c>
      <c r="E299" s="1" t="s">
        <v>14</v>
      </c>
      <c r="F299">
        <v>49</v>
      </c>
      <c r="G299">
        <v>41.35</v>
      </c>
      <c r="H299">
        <v>5</v>
      </c>
    </row>
    <row r="300" spans="1:8" x14ac:dyDescent="0.3">
      <c r="A300" s="1" t="s">
        <v>342</v>
      </c>
      <c r="B300" s="1" t="s">
        <v>343</v>
      </c>
      <c r="C300" s="1" t="s">
        <v>16</v>
      </c>
      <c r="D300">
        <v>76</v>
      </c>
      <c r="E300" s="1" t="s">
        <v>19</v>
      </c>
      <c r="F300">
        <v>192</v>
      </c>
      <c r="G300">
        <v>68.53</v>
      </c>
      <c r="H300">
        <v>0</v>
      </c>
    </row>
    <row r="301" spans="1:8" x14ac:dyDescent="0.3">
      <c r="A301" s="1" t="s">
        <v>342</v>
      </c>
      <c r="B301" s="1" t="s">
        <v>344</v>
      </c>
      <c r="C301" s="1" t="s">
        <v>18</v>
      </c>
      <c r="D301">
        <v>69</v>
      </c>
      <c r="E301" s="1" t="s">
        <v>11</v>
      </c>
      <c r="F301">
        <v>486</v>
      </c>
      <c r="G301">
        <v>34.770000000000003</v>
      </c>
      <c r="H301">
        <v>0</v>
      </c>
    </row>
    <row r="302" spans="1:8" x14ac:dyDescent="0.3">
      <c r="A302" s="1" t="s">
        <v>342</v>
      </c>
      <c r="B302" s="1" t="s">
        <v>345</v>
      </c>
      <c r="C302" s="1" t="s">
        <v>26</v>
      </c>
      <c r="D302">
        <v>25</v>
      </c>
      <c r="E302" s="1" t="s">
        <v>14</v>
      </c>
      <c r="F302">
        <v>218</v>
      </c>
      <c r="G302">
        <v>68.790000000000006</v>
      </c>
      <c r="H302">
        <v>0</v>
      </c>
    </row>
    <row r="303" spans="1:8" x14ac:dyDescent="0.3">
      <c r="A303" s="1" t="s">
        <v>342</v>
      </c>
      <c r="B303" s="1" t="s">
        <v>346</v>
      </c>
      <c r="C303" s="1" t="s">
        <v>40</v>
      </c>
      <c r="D303">
        <v>109</v>
      </c>
      <c r="E303" s="1" t="s">
        <v>22</v>
      </c>
      <c r="F303">
        <v>347</v>
      </c>
      <c r="G303">
        <v>43.06</v>
      </c>
      <c r="H303">
        <v>4</v>
      </c>
    </row>
    <row r="304" spans="1:8" x14ac:dyDescent="0.3">
      <c r="A304" s="1" t="s">
        <v>342</v>
      </c>
      <c r="B304" s="1" t="s">
        <v>347</v>
      </c>
      <c r="C304" s="1" t="s">
        <v>24</v>
      </c>
      <c r="D304">
        <v>50</v>
      </c>
      <c r="E304" s="1" t="s">
        <v>14</v>
      </c>
      <c r="F304">
        <v>430</v>
      </c>
      <c r="G304">
        <v>20.8</v>
      </c>
      <c r="H304">
        <v>2</v>
      </c>
    </row>
    <row r="305" spans="1:8" x14ac:dyDescent="0.3">
      <c r="A305" s="1" t="s">
        <v>342</v>
      </c>
      <c r="B305" s="1" t="s">
        <v>348</v>
      </c>
      <c r="C305" s="1" t="s">
        <v>37</v>
      </c>
      <c r="D305">
        <v>55</v>
      </c>
      <c r="E305" s="1" t="s">
        <v>11</v>
      </c>
      <c r="F305">
        <v>86</v>
      </c>
      <c r="G305">
        <v>17.440000000000001</v>
      </c>
      <c r="H305">
        <v>2</v>
      </c>
    </row>
    <row r="306" spans="1:8" x14ac:dyDescent="0.3">
      <c r="A306" s="1" t="s">
        <v>342</v>
      </c>
      <c r="B306" s="1" t="s">
        <v>349</v>
      </c>
      <c r="C306" s="1" t="s">
        <v>78</v>
      </c>
      <c r="D306">
        <v>41</v>
      </c>
      <c r="E306" s="1" t="s">
        <v>14</v>
      </c>
      <c r="F306">
        <v>474</v>
      </c>
      <c r="G306">
        <v>54.03</v>
      </c>
      <c r="H306">
        <v>4</v>
      </c>
    </row>
    <row r="307" spans="1:8" x14ac:dyDescent="0.3">
      <c r="A307" s="1" t="s">
        <v>342</v>
      </c>
      <c r="B307" s="1" t="s">
        <v>350</v>
      </c>
      <c r="C307" s="1" t="s">
        <v>57</v>
      </c>
      <c r="D307">
        <v>99</v>
      </c>
      <c r="E307" s="1" t="s">
        <v>19</v>
      </c>
      <c r="F307">
        <v>28</v>
      </c>
      <c r="G307">
        <v>70.19</v>
      </c>
      <c r="H307">
        <v>1</v>
      </c>
    </row>
    <row r="308" spans="1:8" x14ac:dyDescent="0.3">
      <c r="A308" s="1" t="s">
        <v>342</v>
      </c>
      <c r="B308" s="1" t="s">
        <v>351</v>
      </c>
      <c r="C308" s="1" t="s">
        <v>89</v>
      </c>
      <c r="D308">
        <v>47</v>
      </c>
      <c r="E308" s="1" t="s">
        <v>11</v>
      </c>
      <c r="F308">
        <v>49</v>
      </c>
      <c r="G308">
        <v>55.88</v>
      </c>
      <c r="H308">
        <v>3</v>
      </c>
    </row>
    <row r="309" spans="1:8" x14ac:dyDescent="0.3">
      <c r="A309" s="1" t="s">
        <v>342</v>
      </c>
      <c r="B309" s="1" t="s">
        <v>352</v>
      </c>
      <c r="C309" s="1" t="s">
        <v>137</v>
      </c>
      <c r="D309">
        <v>103</v>
      </c>
      <c r="E309" s="1" t="s">
        <v>22</v>
      </c>
      <c r="F309">
        <v>182</v>
      </c>
      <c r="G309">
        <v>12.07</v>
      </c>
      <c r="H309">
        <v>5</v>
      </c>
    </row>
    <row r="310" spans="1:8" x14ac:dyDescent="0.3">
      <c r="A310" s="1" t="s">
        <v>342</v>
      </c>
      <c r="B310" s="1" t="s">
        <v>353</v>
      </c>
      <c r="C310" s="1" t="s">
        <v>31</v>
      </c>
      <c r="D310">
        <v>87</v>
      </c>
      <c r="E310" s="1" t="s">
        <v>22</v>
      </c>
      <c r="F310">
        <v>498</v>
      </c>
      <c r="G310">
        <v>61.57</v>
      </c>
      <c r="H310">
        <v>0</v>
      </c>
    </row>
    <row r="311" spans="1:8" x14ac:dyDescent="0.3">
      <c r="A311" s="1" t="s">
        <v>342</v>
      </c>
      <c r="B311" s="1" t="s">
        <v>354</v>
      </c>
      <c r="C311" s="1" t="s">
        <v>40</v>
      </c>
      <c r="D311">
        <v>120</v>
      </c>
      <c r="E311" s="1" t="s">
        <v>22</v>
      </c>
      <c r="F311">
        <v>242</v>
      </c>
      <c r="G311">
        <v>61.54</v>
      </c>
      <c r="H311">
        <v>1</v>
      </c>
    </row>
    <row r="312" spans="1:8" x14ac:dyDescent="0.3">
      <c r="A312" s="1" t="s">
        <v>342</v>
      </c>
      <c r="B312" s="1" t="s">
        <v>355</v>
      </c>
      <c r="C312" s="1" t="s">
        <v>16</v>
      </c>
      <c r="D312">
        <v>102</v>
      </c>
      <c r="E312" s="1" t="s">
        <v>19</v>
      </c>
      <c r="F312">
        <v>91</v>
      </c>
      <c r="G312">
        <v>34.64</v>
      </c>
      <c r="H312">
        <v>2</v>
      </c>
    </row>
    <row r="313" spans="1:8" x14ac:dyDescent="0.3">
      <c r="A313" s="1" t="s">
        <v>342</v>
      </c>
      <c r="B313" s="1" t="s">
        <v>356</v>
      </c>
      <c r="C313" s="1" t="s">
        <v>78</v>
      </c>
      <c r="D313">
        <v>17</v>
      </c>
      <c r="E313" s="1" t="s">
        <v>22</v>
      </c>
      <c r="F313">
        <v>483</v>
      </c>
      <c r="G313">
        <v>77.08</v>
      </c>
      <c r="H313">
        <v>0</v>
      </c>
    </row>
    <row r="314" spans="1:8" x14ac:dyDescent="0.3">
      <c r="A314" s="1" t="s">
        <v>342</v>
      </c>
      <c r="B314" s="1" t="s">
        <v>357</v>
      </c>
      <c r="C314" s="1" t="s">
        <v>131</v>
      </c>
      <c r="D314">
        <v>67</v>
      </c>
      <c r="E314" s="1" t="s">
        <v>14</v>
      </c>
      <c r="F314">
        <v>26</v>
      </c>
      <c r="G314">
        <v>81.489999999999995</v>
      </c>
      <c r="H314">
        <v>4</v>
      </c>
    </row>
    <row r="315" spans="1:8" x14ac:dyDescent="0.3">
      <c r="A315" s="1" t="s">
        <v>342</v>
      </c>
      <c r="B315" s="1" t="s">
        <v>358</v>
      </c>
      <c r="C315" s="1" t="s">
        <v>37</v>
      </c>
      <c r="D315">
        <v>85</v>
      </c>
      <c r="E315" s="1" t="s">
        <v>14</v>
      </c>
      <c r="F315">
        <v>60</v>
      </c>
      <c r="G315">
        <v>26.3</v>
      </c>
      <c r="H315">
        <v>2</v>
      </c>
    </row>
    <row r="316" spans="1:8" x14ac:dyDescent="0.3">
      <c r="A316" s="1" t="s">
        <v>342</v>
      </c>
      <c r="B316" s="1" t="s">
        <v>359</v>
      </c>
      <c r="C316" s="1" t="s">
        <v>18</v>
      </c>
      <c r="D316">
        <v>78</v>
      </c>
      <c r="E316" s="1" t="s">
        <v>11</v>
      </c>
      <c r="F316">
        <v>263</v>
      </c>
      <c r="G316">
        <v>53.58</v>
      </c>
      <c r="H316">
        <v>5</v>
      </c>
    </row>
    <row r="317" spans="1:8" x14ac:dyDescent="0.3">
      <c r="A317" s="1" t="s">
        <v>342</v>
      </c>
      <c r="B317" s="1" t="s">
        <v>360</v>
      </c>
      <c r="C317" s="1" t="s">
        <v>18</v>
      </c>
      <c r="D317">
        <v>76</v>
      </c>
      <c r="E317" s="1" t="s">
        <v>22</v>
      </c>
      <c r="F317">
        <v>332</v>
      </c>
      <c r="G317">
        <v>68.010000000000005</v>
      </c>
      <c r="H317">
        <v>4</v>
      </c>
    </row>
    <row r="318" spans="1:8" x14ac:dyDescent="0.3">
      <c r="A318" s="1" t="s">
        <v>342</v>
      </c>
      <c r="B318" s="1" t="s">
        <v>361</v>
      </c>
      <c r="C318" s="1" t="s">
        <v>18</v>
      </c>
      <c r="D318">
        <v>29</v>
      </c>
      <c r="E318" s="1" t="s">
        <v>19</v>
      </c>
      <c r="F318">
        <v>173</v>
      </c>
      <c r="G318">
        <v>49.03</v>
      </c>
      <c r="H318">
        <v>3</v>
      </c>
    </row>
    <row r="319" spans="1:8" x14ac:dyDescent="0.3">
      <c r="A319" s="1" t="s">
        <v>342</v>
      </c>
      <c r="B319" s="1" t="s">
        <v>362</v>
      </c>
      <c r="C319" s="1" t="s">
        <v>131</v>
      </c>
      <c r="D319">
        <v>14</v>
      </c>
      <c r="E319" s="1" t="s">
        <v>14</v>
      </c>
      <c r="F319">
        <v>303</v>
      </c>
      <c r="G319">
        <v>61.43</v>
      </c>
      <c r="H319">
        <v>1</v>
      </c>
    </row>
    <row r="320" spans="1:8" x14ac:dyDescent="0.3">
      <c r="A320" s="1" t="s">
        <v>342</v>
      </c>
      <c r="B320" s="1" t="s">
        <v>363</v>
      </c>
      <c r="C320" s="1" t="s">
        <v>16</v>
      </c>
      <c r="D320">
        <v>51</v>
      </c>
      <c r="E320" s="1" t="s">
        <v>11</v>
      </c>
      <c r="F320">
        <v>222</v>
      </c>
      <c r="G320">
        <v>18.95</v>
      </c>
      <c r="H320">
        <v>4</v>
      </c>
    </row>
    <row r="321" spans="1:8" x14ac:dyDescent="0.3">
      <c r="A321" s="1" t="s">
        <v>342</v>
      </c>
      <c r="B321" s="1" t="s">
        <v>364</v>
      </c>
      <c r="C321" s="1" t="s">
        <v>16</v>
      </c>
      <c r="D321">
        <v>2</v>
      </c>
      <c r="E321" s="1" t="s">
        <v>14</v>
      </c>
      <c r="F321">
        <v>496</v>
      </c>
      <c r="G321">
        <v>15.71</v>
      </c>
      <c r="H321">
        <v>3</v>
      </c>
    </row>
    <row r="322" spans="1:8" x14ac:dyDescent="0.3">
      <c r="A322" s="1" t="s">
        <v>342</v>
      </c>
      <c r="B322" s="1" t="s">
        <v>365</v>
      </c>
      <c r="C322" s="1" t="s">
        <v>24</v>
      </c>
      <c r="D322">
        <v>69</v>
      </c>
      <c r="E322" s="1" t="s">
        <v>14</v>
      </c>
      <c r="F322">
        <v>76</v>
      </c>
      <c r="G322">
        <v>91.8</v>
      </c>
      <c r="H322">
        <v>5</v>
      </c>
    </row>
    <row r="323" spans="1:8" x14ac:dyDescent="0.3">
      <c r="A323" s="1" t="s">
        <v>342</v>
      </c>
      <c r="B323" s="1" t="s">
        <v>366</v>
      </c>
      <c r="C323" s="1" t="s">
        <v>60</v>
      </c>
      <c r="D323">
        <v>110</v>
      </c>
      <c r="E323" s="1" t="s">
        <v>11</v>
      </c>
      <c r="F323">
        <v>321</v>
      </c>
      <c r="G323">
        <v>81.569999999999993</v>
      </c>
      <c r="H323">
        <v>2</v>
      </c>
    </row>
    <row r="324" spans="1:8" x14ac:dyDescent="0.3">
      <c r="A324" s="1" t="s">
        <v>342</v>
      </c>
      <c r="B324" s="1" t="s">
        <v>367</v>
      </c>
      <c r="C324" s="1" t="s">
        <v>10</v>
      </c>
      <c r="D324">
        <v>59</v>
      </c>
      <c r="E324" s="1" t="s">
        <v>14</v>
      </c>
      <c r="F324">
        <v>369</v>
      </c>
      <c r="G324">
        <v>26.64</v>
      </c>
      <c r="H324">
        <v>4</v>
      </c>
    </row>
    <row r="325" spans="1:8" x14ac:dyDescent="0.3">
      <c r="A325" s="1" t="s">
        <v>342</v>
      </c>
      <c r="B325" s="1" t="s">
        <v>368</v>
      </c>
      <c r="C325" s="1" t="s">
        <v>24</v>
      </c>
      <c r="D325">
        <v>41</v>
      </c>
      <c r="E325" s="1" t="s">
        <v>14</v>
      </c>
      <c r="F325">
        <v>206</v>
      </c>
      <c r="G325">
        <v>83.16</v>
      </c>
      <c r="H325">
        <v>2</v>
      </c>
    </row>
    <row r="326" spans="1:8" x14ac:dyDescent="0.3">
      <c r="A326" s="1" t="s">
        <v>342</v>
      </c>
      <c r="B326" s="1" t="s">
        <v>369</v>
      </c>
      <c r="C326" s="1" t="s">
        <v>57</v>
      </c>
      <c r="D326">
        <v>19</v>
      </c>
      <c r="E326" s="1" t="s">
        <v>19</v>
      </c>
      <c r="F326">
        <v>125</v>
      </c>
      <c r="G326">
        <v>11.78</v>
      </c>
      <c r="H326">
        <v>4</v>
      </c>
    </row>
    <row r="327" spans="1:8" x14ac:dyDescent="0.3">
      <c r="A327" s="1" t="s">
        <v>342</v>
      </c>
      <c r="B327" s="1" t="s">
        <v>370</v>
      </c>
      <c r="C327" s="1" t="s">
        <v>57</v>
      </c>
      <c r="D327">
        <v>105</v>
      </c>
      <c r="E327" s="1" t="s">
        <v>11</v>
      </c>
      <c r="F327">
        <v>17</v>
      </c>
      <c r="G327">
        <v>60.05</v>
      </c>
      <c r="H327">
        <v>4</v>
      </c>
    </row>
    <row r="328" spans="1:8" x14ac:dyDescent="0.3">
      <c r="A328" s="1" t="s">
        <v>342</v>
      </c>
      <c r="B328" s="1" t="s">
        <v>371</v>
      </c>
      <c r="C328" s="1" t="s">
        <v>67</v>
      </c>
      <c r="D328">
        <v>38</v>
      </c>
      <c r="E328" s="1" t="s">
        <v>11</v>
      </c>
      <c r="F328">
        <v>60</v>
      </c>
      <c r="G328">
        <v>58.28</v>
      </c>
      <c r="H328">
        <v>4</v>
      </c>
    </row>
    <row r="329" spans="1:8" x14ac:dyDescent="0.3">
      <c r="A329" s="1" t="s">
        <v>342</v>
      </c>
      <c r="B329" s="1" t="s">
        <v>372</v>
      </c>
      <c r="C329" s="1" t="s">
        <v>51</v>
      </c>
      <c r="D329">
        <v>108</v>
      </c>
      <c r="E329" s="1" t="s">
        <v>22</v>
      </c>
      <c r="F329">
        <v>123</v>
      </c>
      <c r="G329">
        <v>83.1</v>
      </c>
      <c r="H329">
        <v>1</v>
      </c>
    </row>
    <row r="330" spans="1:8" x14ac:dyDescent="0.3">
      <c r="A330" s="1" t="s">
        <v>342</v>
      </c>
      <c r="B330" s="1" t="s">
        <v>373</v>
      </c>
      <c r="C330" s="1" t="s">
        <v>35</v>
      </c>
      <c r="D330">
        <v>29</v>
      </c>
      <c r="E330" s="1" t="s">
        <v>14</v>
      </c>
      <c r="F330">
        <v>203</v>
      </c>
      <c r="G330">
        <v>53.97</v>
      </c>
      <c r="H330">
        <v>5</v>
      </c>
    </row>
    <row r="331" spans="1:8" x14ac:dyDescent="0.3">
      <c r="A331" s="1" t="s">
        <v>342</v>
      </c>
      <c r="B331" s="1" t="s">
        <v>374</v>
      </c>
      <c r="C331" s="1" t="s">
        <v>40</v>
      </c>
      <c r="D331">
        <v>64</v>
      </c>
      <c r="E331" s="1" t="s">
        <v>19</v>
      </c>
      <c r="F331">
        <v>250</v>
      </c>
      <c r="G331">
        <v>56.7</v>
      </c>
      <c r="H331">
        <v>0</v>
      </c>
    </row>
    <row r="332" spans="1:8" x14ac:dyDescent="0.3">
      <c r="A332" s="1" t="s">
        <v>342</v>
      </c>
      <c r="B332" s="1" t="s">
        <v>375</v>
      </c>
      <c r="C332" s="1" t="s">
        <v>51</v>
      </c>
      <c r="D332">
        <v>88</v>
      </c>
      <c r="E332" s="1" t="s">
        <v>22</v>
      </c>
      <c r="F332">
        <v>154</v>
      </c>
      <c r="G332">
        <v>62.62</v>
      </c>
      <c r="H332">
        <v>5</v>
      </c>
    </row>
    <row r="333" spans="1:8" x14ac:dyDescent="0.3">
      <c r="A333" s="1" t="s">
        <v>342</v>
      </c>
      <c r="B333" s="1" t="s">
        <v>376</v>
      </c>
      <c r="C333" s="1" t="s">
        <v>40</v>
      </c>
      <c r="D333">
        <v>59</v>
      </c>
      <c r="E333" s="1" t="s">
        <v>11</v>
      </c>
      <c r="F333">
        <v>352</v>
      </c>
      <c r="G333">
        <v>74.239999999999995</v>
      </c>
      <c r="H333">
        <v>0</v>
      </c>
    </row>
    <row r="334" spans="1:8" x14ac:dyDescent="0.3">
      <c r="A334" s="1" t="s">
        <v>342</v>
      </c>
      <c r="B334" s="1" t="s">
        <v>377</v>
      </c>
      <c r="C334" s="1" t="s">
        <v>78</v>
      </c>
      <c r="D334">
        <v>19</v>
      </c>
      <c r="E334" s="1" t="s">
        <v>19</v>
      </c>
      <c r="F334">
        <v>305</v>
      </c>
      <c r="G334">
        <v>81.11</v>
      </c>
      <c r="H334">
        <v>1</v>
      </c>
    </row>
    <row r="335" spans="1:8" x14ac:dyDescent="0.3">
      <c r="A335" s="1" t="s">
        <v>342</v>
      </c>
      <c r="B335" s="1" t="s">
        <v>378</v>
      </c>
      <c r="C335" s="1" t="s">
        <v>18</v>
      </c>
      <c r="D335">
        <v>77</v>
      </c>
      <c r="E335" s="1" t="s">
        <v>11</v>
      </c>
      <c r="F335">
        <v>488</v>
      </c>
      <c r="G335">
        <v>21.17</v>
      </c>
      <c r="H335">
        <v>0</v>
      </c>
    </row>
    <row r="336" spans="1:8" x14ac:dyDescent="0.3">
      <c r="A336" s="1" t="s">
        <v>342</v>
      </c>
      <c r="B336" s="1" t="s">
        <v>379</v>
      </c>
      <c r="C336" s="1" t="s">
        <v>89</v>
      </c>
      <c r="D336">
        <v>37</v>
      </c>
      <c r="E336" s="1" t="s">
        <v>14</v>
      </c>
      <c r="F336">
        <v>88</v>
      </c>
      <c r="G336">
        <v>77.77</v>
      </c>
      <c r="H336">
        <v>1</v>
      </c>
    </row>
    <row r="337" spans="1:8" x14ac:dyDescent="0.3">
      <c r="A337" s="1" t="s">
        <v>342</v>
      </c>
      <c r="B337" s="1" t="s">
        <v>380</v>
      </c>
      <c r="C337" s="1" t="s">
        <v>33</v>
      </c>
      <c r="D337">
        <v>19</v>
      </c>
      <c r="E337" s="1" t="s">
        <v>22</v>
      </c>
      <c r="F337">
        <v>334</v>
      </c>
      <c r="G337">
        <v>96.91</v>
      </c>
      <c r="H337">
        <v>1</v>
      </c>
    </row>
    <row r="338" spans="1:8" x14ac:dyDescent="0.3">
      <c r="A338" s="1" t="s">
        <v>342</v>
      </c>
      <c r="B338" s="1" t="s">
        <v>381</v>
      </c>
      <c r="C338" s="1" t="s">
        <v>18</v>
      </c>
      <c r="D338">
        <v>96</v>
      </c>
      <c r="E338" s="1" t="s">
        <v>22</v>
      </c>
      <c r="F338">
        <v>381</v>
      </c>
      <c r="G338">
        <v>90.78</v>
      </c>
      <c r="H338">
        <v>2</v>
      </c>
    </row>
    <row r="339" spans="1:8" x14ac:dyDescent="0.3">
      <c r="A339" s="1" t="s">
        <v>342</v>
      </c>
      <c r="B339" s="1" t="s">
        <v>382</v>
      </c>
      <c r="C339" s="1" t="s">
        <v>51</v>
      </c>
      <c r="D339">
        <v>86</v>
      </c>
      <c r="E339" s="1" t="s">
        <v>14</v>
      </c>
      <c r="F339">
        <v>192</v>
      </c>
      <c r="G339">
        <v>26.26</v>
      </c>
      <c r="H339">
        <v>1</v>
      </c>
    </row>
    <row r="340" spans="1:8" x14ac:dyDescent="0.3">
      <c r="A340" s="1" t="s">
        <v>342</v>
      </c>
      <c r="B340" s="1" t="s">
        <v>383</v>
      </c>
      <c r="C340" s="1" t="s">
        <v>89</v>
      </c>
      <c r="D340">
        <v>109</v>
      </c>
      <c r="E340" s="1" t="s">
        <v>14</v>
      </c>
      <c r="F340">
        <v>397</v>
      </c>
      <c r="G340">
        <v>63.92</v>
      </c>
      <c r="H340">
        <v>1</v>
      </c>
    </row>
    <row r="341" spans="1:8" x14ac:dyDescent="0.3">
      <c r="A341" s="1" t="s">
        <v>342</v>
      </c>
      <c r="B341" s="1" t="s">
        <v>384</v>
      </c>
      <c r="C341" s="1" t="s">
        <v>21</v>
      </c>
      <c r="D341">
        <v>103</v>
      </c>
      <c r="E341" s="1" t="s">
        <v>11</v>
      </c>
      <c r="F341">
        <v>354</v>
      </c>
      <c r="G341">
        <v>26.19</v>
      </c>
      <c r="H341">
        <v>4</v>
      </c>
    </row>
    <row r="342" spans="1:8" x14ac:dyDescent="0.3">
      <c r="A342" s="1" t="s">
        <v>342</v>
      </c>
      <c r="B342" s="1" t="s">
        <v>385</v>
      </c>
      <c r="C342" s="1" t="s">
        <v>44</v>
      </c>
      <c r="D342">
        <v>106</v>
      </c>
      <c r="E342" s="1" t="s">
        <v>22</v>
      </c>
      <c r="F342">
        <v>407</v>
      </c>
      <c r="G342">
        <v>59.92</v>
      </c>
      <c r="H342">
        <v>4</v>
      </c>
    </row>
    <row r="343" spans="1:8" x14ac:dyDescent="0.3">
      <c r="A343" s="1" t="s">
        <v>342</v>
      </c>
      <c r="B343" s="1" t="s">
        <v>386</v>
      </c>
      <c r="C343" s="1" t="s">
        <v>78</v>
      </c>
      <c r="D343">
        <v>90</v>
      </c>
      <c r="E343" s="1" t="s">
        <v>22</v>
      </c>
      <c r="F343">
        <v>343</v>
      </c>
      <c r="G343">
        <v>82.05</v>
      </c>
      <c r="H343">
        <v>1</v>
      </c>
    </row>
    <row r="344" spans="1:8" x14ac:dyDescent="0.3">
      <c r="A344" s="1" t="s">
        <v>342</v>
      </c>
      <c r="B344" s="1" t="s">
        <v>387</v>
      </c>
      <c r="C344" s="1" t="s">
        <v>131</v>
      </c>
      <c r="D344">
        <v>5</v>
      </c>
      <c r="E344" s="1" t="s">
        <v>22</v>
      </c>
      <c r="F344">
        <v>337</v>
      </c>
      <c r="G344">
        <v>21.07</v>
      </c>
      <c r="H344">
        <v>4</v>
      </c>
    </row>
    <row r="345" spans="1:8" x14ac:dyDescent="0.3">
      <c r="A345" s="1" t="s">
        <v>342</v>
      </c>
      <c r="B345" s="1" t="s">
        <v>388</v>
      </c>
      <c r="C345" s="1" t="s">
        <v>89</v>
      </c>
      <c r="D345">
        <v>77</v>
      </c>
      <c r="E345" s="1" t="s">
        <v>22</v>
      </c>
      <c r="F345">
        <v>45</v>
      </c>
      <c r="G345">
        <v>21.59</v>
      </c>
      <c r="H345">
        <v>2</v>
      </c>
    </row>
    <row r="346" spans="1:8" x14ac:dyDescent="0.3">
      <c r="A346" s="1" t="s">
        <v>342</v>
      </c>
      <c r="B346" s="1" t="s">
        <v>389</v>
      </c>
      <c r="C346" s="1" t="s">
        <v>18</v>
      </c>
      <c r="D346">
        <v>41</v>
      </c>
      <c r="E346" s="1" t="s">
        <v>19</v>
      </c>
      <c r="F346">
        <v>398</v>
      </c>
      <c r="G346">
        <v>28.56</v>
      </c>
      <c r="H346">
        <v>2</v>
      </c>
    </row>
    <row r="347" spans="1:8" x14ac:dyDescent="0.3">
      <c r="A347" s="1" t="s">
        <v>342</v>
      </c>
      <c r="B347" s="1" t="s">
        <v>390</v>
      </c>
      <c r="C347" s="1" t="s">
        <v>64</v>
      </c>
      <c r="D347">
        <v>40</v>
      </c>
      <c r="E347" s="1" t="s">
        <v>11</v>
      </c>
      <c r="F347">
        <v>237</v>
      </c>
      <c r="G347">
        <v>24.51</v>
      </c>
      <c r="H347">
        <v>1</v>
      </c>
    </row>
    <row r="348" spans="1:8" x14ac:dyDescent="0.3">
      <c r="A348" s="1" t="s">
        <v>342</v>
      </c>
      <c r="B348" s="1" t="s">
        <v>391</v>
      </c>
      <c r="C348" s="1" t="s">
        <v>35</v>
      </c>
      <c r="D348">
        <v>65</v>
      </c>
      <c r="E348" s="1" t="s">
        <v>19</v>
      </c>
      <c r="F348">
        <v>442</v>
      </c>
      <c r="G348">
        <v>60.62</v>
      </c>
      <c r="H348">
        <v>5</v>
      </c>
    </row>
    <row r="349" spans="1:8" x14ac:dyDescent="0.3">
      <c r="A349" s="1" t="s">
        <v>342</v>
      </c>
      <c r="B349" s="1" t="s">
        <v>392</v>
      </c>
      <c r="C349" s="1" t="s">
        <v>62</v>
      </c>
      <c r="D349">
        <v>89</v>
      </c>
      <c r="E349" s="1" t="s">
        <v>22</v>
      </c>
      <c r="F349">
        <v>418</v>
      </c>
      <c r="G349">
        <v>86.63</v>
      </c>
      <c r="H349">
        <v>4</v>
      </c>
    </row>
    <row r="350" spans="1:8" x14ac:dyDescent="0.3">
      <c r="A350" s="1" t="s">
        <v>393</v>
      </c>
      <c r="B350" s="1" t="s">
        <v>394</v>
      </c>
      <c r="C350" s="1" t="s">
        <v>67</v>
      </c>
      <c r="D350">
        <v>12</v>
      </c>
      <c r="E350" s="1" t="s">
        <v>14</v>
      </c>
      <c r="F350">
        <v>125</v>
      </c>
      <c r="G350">
        <v>36.93</v>
      </c>
      <c r="H350">
        <v>0</v>
      </c>
    </row>
    <row r="351" spans="1:8" x14ac:dyDescent="0.3">
      <c r="A351" s="1" t="s">
        <v>393</v>
      </c>
      <c r="B351" s="1" t="s">
        <v>395</v>
      </c>
      <c r="C351" s="1" t="s">
        <v>131</v>
      </c>
      <c r="D351">
        <v>47</v>
      </c>
      <c r="E351" s="1" t="s">
        <v>14</v>
      </c>
      <c r="F351">
        <v>378</v>
      </c>
      <c r="G351">
        <v>36.42</v>
      </c>
      <c r="H351">
        <v>1</v>
      </c>
    </row>
    <row r="352" spans="1:8" x14ac:dyDescent="0.3">
      <c r="A352" s="1" t="s">
        <v>393</v>
      </c>
      <c r="B352" s="1" t="s">
        <v>396</v>
      </c>
      <c r="C352" s="1" t="s">
        <v>16</v>
      </c>
      <c r="D352">
        <v>117</v>
      </c>
      <c r="E352" s="1" t="s">
        <v>22</v>
      </c>
      <c r="F352">
        <v>338</v>
      </c>
      <c r="G352">
        <v>29.18</v>
      </c>
      <c r="H352">
        <v>5</v>
      </c>
    </row>
    <row r="353" spans="1:8" x14ac:dyDescent="0.3">
      <c r="A353" s="1" t="s">
        <v>393</v>
      </c>
      <c r="B353" s="1" t="s">
        <v>397</v>
      </c>
      <c r="C353" s="1" t="s">
        <v>29</v>
      </c>
      <c r="D353">
        <v>43</v>
      </c>
      <c r="E353" s="1" t="s">
        <v>11</v>
      </c>
      <c r="F353">
        <v>486</v>
      </c>
      <c r="G353">
        <v>76.42</v>
      </c>
      <c r="H353">
        <v>1</v>
      </c>
    </row>
    <row r="354" spans="1:8" x14ac:dyDescent="0.3">
      <c r="A354" s="1" t="s">
        <v>393</v>
      </c>
      <c r="B354" s="1" t="s">
        <v>398</v>
      </c>
      <c r="C354" s="1" t="s">
        <v>131</v>
      </c>
      <c r="D354">
        <v>100</v>
      </c>
      <c r="E354" s="1" t="s">
        <v>19</v>
      </c>
      <c r="F354">
        <v>471</v>
      </c>
      <c r="G354">
        <v>61.2</v>
      </c>
      <c r="H354">
        <v>3</v>
      </c>
    </row>
    <row r="355" spans="1:8" x14ac:dyDescent="0.3">
      <c r="A355" s="1" t="s">
        <v>393</v>
      </c>
      <c r="B355" s="1" t="s">
        <v>399</v>
      </c>
      <c r="C355" s="1" t="s">
        <v>127</v>
      </c>
      <c r="D355">
        <v>35</v>
      </c>
      <c r="E355" s="1" t="s">
        <v>22</v>
      </c>
      <c r="F355">
        <v>421</v>
      </c>
      <c r="G355">
        <v>29.57</v>
      </c>
      <c r="H355">
        <v>5</v>
      </c>
    </row>
    <row r="356" spans="1:8" x14ac:dyDescent="0.3">
      <c r="A356" s="1" t="s">
        <v>393</v>
      </c>
      <c r="B356" s="1" t="s">
        <v>400</v>
      </c>
      <c r="C356" s="1" t="s">
        <v>40</v>
      </c>
      <c r="D356">
        <v>19</v>
      </c>
      <c r="E356" s="1" t="s">
        <v>22</v>
      </c>
      <c r="F356">
        <v>450</v>
      </c>
      <c r="G356">
        <v>37.43</v>
      </c>
      <c r="H356">
        <v>2</v>
      </c>
    </row>
    <row r="357" spans="1:8" x14ac:dyDescent="0.3">
      <c r="A357" s="1" t="s">
        <v>393</v>
      </c>
      <c r="B357" s="1" t="s">
        <v>401</v>
      </c>
      <c r="C357" s="1" t="s">
        <v>67</v>
      </c>
      <c r="D357">
        <v>112</v>
      </c>
      <c r="E357" s="1" t="s">
        <v>22</v>
      </c>
      <c r="F357">
        <v>483</v>
      </c>
      <c r="G357">
        <v>93.98</v>
      </c>
      <c r="H357">
        <v>0</v>
      </c>
    </row>
    <row r="358" spans="1:8" x14ac:dyDescent="0.3">
      <c r="A358" s="1" t="s">
        <v>393</v>
      </c>
      <c r="B358" s="1" t="s">
        <v>402</v>
      </c>
      <c r="C358" s="1" t="s">
        <v>13</v>
      </c>
      <c r="D358">
        <v>103</v>
      </c>
      <c r="E358" s="1" t="s">
        <v>14</v>
      </c>
      <c r="F358">
        <v>270</v>
      </c>
      <c r="G358">
        <v>67.87</v>
      </c>
      <c r="H358">
        <v>3</v>
      </c>
    </row>
    <row r="359" spans="1:8" x14ac:dyDescent="0.3">
      <c r="A359" s="1" t="s">
        <v>393</v>
      </c>
      <c r="B359" s="1" t="s">
        <v>403</v>
      </c>
      <c r="C359" s="1" t="s">
        <v>10</v>
      </c>
      <c r="D359">
        <v>29</v>
      </c>
      <c r="E359" s="1" t="s">
        <v>11</v>
      </c>
      <c r="F359">
        <v>350</v>
      </c>
      <c r="G359">
        <v>84.32</v>
      </c>
      <c r="H359">
        <v>3</v>
      </c>
    </row>
    <row r="360" spans="1:8" x14ac:dyDescent="0.3">
      <c r="A360" s="1" t="s">
        <v>393</v>
      </c>
      <c r="B360" s="1" t="s">
        <v>404</v>
      </c>
      <c r="C360" s="1" t="s">
        <v>37</v>
      </c>
      <c r="D360">
        <v>36</v>
      </c>
      <c r="E360" s="1" t="s">
        <v>19</v>
      </c>
      <c r="F360">
        <v>311</v>
      </c>
      <c r="G360">
        <v>13.19</v>
      </c>
      <c r="H360">
        <v>4</v>
      </c>
    </row>
    <row r="361" spans="1:8" x14ac:dyDescent="0.3">
      <c r="A361" s="1" t="s">
        <v>393</v>
      </c>
      <c r="B361" s="1" t="s">
        <v>405</v>
      </c>
      <c r="C361" s="1" t="s">
        <v>44</v>
      </c>
      <c r="D361">
        <v>2</v>
      </c>
      <c r="E361" s="1" t="s">
        <v>11</v>
      </c>
      <c r="F361">
        <v>21</v>
      </c>
      <c r="G361">
        <v>51.68</v>
      </c>
      <c r="H361">
        <v>3</v>
      </c>
    </row>
    <row r="362" spans="1:8" x14ac:dyDescent="0.3">
      <c r="A362" s="1" t="s">
        <v>393</v>
      </c>
      <c r="B362" s="1" t="s">
        <v>406</v>
      </c>
      <c r="C362" s="1" t="s">
        <v>60</v>
      </c>
      <c r="D362">
        <v>13</v>
      </c>
      <c r="E362" s="1" t="s">
        <v>22</v>
      </c>
      <c r="F362">
        <v>310</v>
      </c>
      <c r="G362">
        <v>65.599999999999994</v>
      </c>
      <c r="H362">
        <v>5</v>
      </c>
    </row>
    <row r="363" spans="1:8" x14ac:dyDescent="0.3">
      <c r="A363" s="1" t="s">
        <v>393</v>
      </c>
      <c r="B363" s="1" t="s">
        <v>407</v>
      </c>
      <c r="C363" s="1" t="s">
        <v>33</v>
      </c>
      <c r="D363">
        <v>49</v>
      </c>
      <c r="E363" s="1" t="s">
        <v>14</v>
      </c>
      <c r="F363">
        <v>229</v>
      </c>
      <c r="G363">
        <v>53.94</v>
      </c>
      <c r="H363">
        <v>5</v>
      </c>
    </row>
    <row r="364" spans="1:8" x14ac:dyDescent="0.3">
      <c r="A364" s="1" t="s">
        <v>393</v>
      </c>
      <c r="B364" s="1" t="s">
        <v>408</v>
      </c>
      <c r="C364" s="1" t="s">
        <v>40</v>
      </c>
      <c r="D364">
        <v>29</v>
      </c>
      <c r="E364" s="1" t="s">
        <v>14</v>
      </c>
      <c r="F364">
        <v>493</v>
      </c>
      <c r="G364">
        <v>42.02</v>
      </c>
      <c r="H364">
        <v>1</v>
      </c>
    </row>
    <row r="365" spans="1:8" x14ac:dyDescent="0.3">
      <c r="A365" s="1" t="s">
        <v>393</v>
      </c>
      <c r="B365" s="1" t="s">
        <v>409</v>
      </c>
      <c r="C365" s="1" t="s">
        <v>16</v>
      </c>
      <c r="D365">
        <v>49</v>
      </c>
      <c r="E365" s="1" t="s">
        <v>22</v>
      </c>
      <c r="F365">
        <v>86</v>
      </c>
      <c r="G365">
        <v>65.400000000000006</v>
      </c>
      <c r="H365">
        <v>2</v>
      </c>
    </row>
    <row r="366" spans="1:8" x14ac:dyDescent="0.3">
      <c r="A366" s="1" t="s">
        <v>393</v>
      </c>
      <c r="B366" s="1" t="s">
        <v>410</v>
      </c>
      <c r="C366" s="1" t="s">
        <v>18</v>
      </c>
      <c r="D366">
        <v>14</v>
      </c>
      <c r="E366" s="1" t="s">
        <v>14</v>
      </c>
      <c r="F366">
        <v>345</v>
      </c>
      <c r="G366">
        <v>39.57</v>
      </c>
      <c r="H366">
        <v>3</v>
      </c>
    </row>
    <row r="367" spans="1:8" x14ac:dyDescent="0.3">
      <c r="A367" s="1" t="s">
        <v>393</v>
      </c>
      <c r="B367" s="1" t="s">
        <v>411</v>
      </c>
      <c r="C367" s="1" t="s">
        <v>67</v>
      </c>
      <c r="D367">
        <v>101</v>
      </c>
      <c r="E367" s="1" t="s">
        <v>11</v>
      </c>
      <c r="F367">
        <v>476</v>
      </c>
      <c r="G367">
        <v>41.85</v>
      </c>
      <c r="H367">
        <v>4</v>
      </c>
    </row>
    <row r="368" spans="1:8" x14ac:dyDescent="0.3">
      <c r="A368" s="1" t="s">
        <v>393</v>
      </c>
      <c r="B368" s="1" t="s">
        <v>412</v>
      </c>
      <c r="C368" s="1" t="s">
        <v>16</v>
      </c>
      <c r="D368">
        <v>119</v>
      </c>
      <c r="E368" s="1" t="s">
        <v>14</v>
      </c>
      <c r="F368">
        <v>451</v>
      </c>
      <c r="G368">
        <v>10.46</v>
      </c>
      <c r="H368">
        <v>5</v>
      </c>
    </row>
    <row r="369" spans="1:8" x14ac:dyDescent="0.3">
      <c r="A369" s="1" t="s">
        <v>393</v>
      </c>
      <c r="B369" s="1" t="s">
        <v>413</v>
      </c>
      <c r="C369" s="1" t="s">
        <v>37</v>
      </c>
      <c r="D369">
        <v>16</v>
      </c>
      <c r="E369" s="1" t="s">
        <v>11</v>
      </c>
      <c r="F369">
        <v>391</v>
      </c>
      <c r="G369">
        <v>90.12</v>
      </c>
      <c r="H369">
        <v>5</v>
      </c>
    </row>
    <row r="370" spans="1:8" x14ac:dyDescent="0.3">
      <c r="A370" s="1" t="s">
        <v>393</v>
      </c>
      <c r="B370" s="1" t="s">
        <v>414</v>
      </c>
      <c r="C370" s="1" t="s">
        <v>16</v>
      </c>
      <c r="D370">
        <v>23</v>
      </c>
      <c r="E370" s="1" t="s">
        <v>11</v>
      </c>
      <c r="F370">
        <v>268</v>
      </c>
      <c r="G370">
        <v>26.75</v>
      </c>
      <c r="H370">
        <v>3</v>
      </c>
    </row>
    <row r="371" spans="1:8" x14ac:dyDescent="0.3">
      <c r="A371" s="1" t="s">
        <v>393</v>
      </c>
      <c r="B371" s="1" t="s">
        <v>415</v>
      </c>
      <c r="C371" s="1" t="s">
        <v>33</v>
      </c>
      <c r="D371">
        <v>68</v>
      </c>
      <c r="E371" s="1" t="s">
        <v>14</v>
      </c>
      <c r="F371">
        <v>462</v>
      </c>
      <c r="G371">
        <v>41.91</v>
      </c>
      <c r="H371">
        <v>1</v>
      </c>
    </row>
    <row r="372" spans="1:8" x14ac:dyDescent="0.3">
      <c r="A372" s="1" t="s">
        <v>393</v>
      </c>
      <c r="B372" s="1" t="s">
        <v>416</v>
      </c>
      <c r="C372" s="1" t="s">
        <v>37</v>
      </c>
      <c r="D372">
        <v>94</v>
      </c>
      <c r="E372" s="1" t="s">
        <v>22</v>
      </c>
      <c r="F372">
        <v>115</v>
      </c>
      <c r="G372">
        <v>19.12</v>
      </c>
      <c r="H372">
        <v>0</v>
      </c>
    </row>
    <row r="373" spans="1:8" x14ac:dyDescent="0.3">
      <c r="A373" s="1" t="s">
        <v>393</v>
      </c>
      <c r="B373" s="1" t="s">
        <v>417</v>
      </c>
      <c r="C373" s="1" t="s">
        <v>21</v>
      </c>
      <c r="D373">
        <v>113</v>
      </c>
      <c r="E373" s="1" t="s">
        <v>11</v>
      </c>
      <c r="F373">
        <v>89</v>
      </c>
      <c r="G373">
        <v>54.28</v>
      </c>
      <c r="H373">
        <v>0</v>
      </c>
    </row>
    <row r="374" spans="1:8" x14ac:dyDescent="0.3">
      <c r="A374" s="1" t="s">
        <v>393</v>
      </c>
      <c r="B374" s="1" t="s">
        <v>418</v>
      </c>
      <c r="C374" s="1" t="s">
        <v>89</v>
      </c>
      <c r="D374">
        <v>40</v>
      </c>
      <c r="E374" s="1" t="s">
        <v>19</v>
      </c>
      <c r="F374">
        <v>38</v>
      </c>
      <c r="G374">
        <v>17.63</v>
      </c>
      <c r="H374">
        <v>0</v>
      </c>
    </row>
    <row r="375" spans="1:8" x14ac:dyDescent="0.3">
      <c r="A375" s="1" t="s">
        <v>393</v>
      </c>
      <c r="B375" s="1" t="s">
        <v>419</v>
      </c>
      <c r="C375" s="1" t="s">
        <v>13</v>
      </c>
      <c r="D375">
        <v>76</v>
      </c>
      <c r="E375" s="1" t="s">
        <v>11</v>
      </c>
      <c r="F375">
        <v>187</v>
      </c>
      <c r="G375">
        <v>56.29</v>
      </c>
      <c r="H375">
        <v>1</v>
      </c>
    </row>
    <row r="376" spans="1:8" x14ac:dyDescent="0.3">
      <c r="A376" s="1" t="s">
        <v>393</v>
      </c>
      <c r="B376" s="1" t="s">
        <v>420</v>
      </c>
      <c r="C376" s="1" t="s">
        <v>16</v>
      </c>
      <c r="D376">
        <v>106</v>
      </c>
      <c r="E376" s="1" t="s">
        <v>14</v>
      </c>
      <c r="F376">
        <v>429</v>
      </c>
      <c r="G376">
        <v>23.83</v>
      </c>
      <c r="H376">
        <v>1</v>
      </c>
    </row>
    <row r="377" spans="1:8" x14ac:dyDescent="0.3">
      <c r="A377" s="1" t="s">
        <v>393</v>
      </c>
      <c r="B377" s="1" t="s">
        <v>421</v>
      </c>
      <c r="C377" s="1" t="s">
        <v>73</v>
      </c>
      <c r="D377">
        <v>104</v>
      </c>
      <c r="E377" s="1" t="s">
        <v>11</v>
      </c>
      <c r="F377">
        <v>68</v>
      </c>
      <c r="G377">
        <v>21.15</v>
      </c>
      <c r="H377">
        <v>2</v>
      </c>
    </row>
    <row r="378" spans="1:8" x14ac:dyDescent="0.3">
      <c r="A378" s="1" t="s">
        <v>393</v>
      </c>
      <c r="B378" s="1" t="s">
        <v>422</v>
      </c>
      <c r="C378" s="1" t="s">
        <v>31</v>
      </c>
      <c r="D378">
        <v>63</v>
      </c>
      <c r="E378" s="1" t="s">
        <v>19</v>
      </c>
      <c r="F378">
        <v>263</v>
      </c>
      <c r="G378">
        <v>53.87</v>
      </c>
      <c r="H378">
        <v>4</v>
      </c>
    </row>
    <row r="379" spans="1:8" x14ac:dyDescent="0.3">
      <c r="A379" s="1" t="s">
        <v>393</v>
      </c>
      <c r="B379" s="1" t="s">
        <v>423</v>
      </c>
      <c r="C379" s="1" t="s">
        <v>29</v>
      </c>
      <c r="D379">
        <v>13</v>
      </c>
      <c r="E379" s="1" t="s">
        <v>19</v>
      </c>
      <c r="F379">
        <v>180</v>
      </c>
      <c r="G379">
        <v>24.01</v>
      </c>
      <c r="H379">
        <v>0</v>
      </c>
    </row>
    <row r="380" spans="1:8" x14ac:dyDescent="0.3">
      <c r="A380" s="1" t="s">
        <v>393</v>
      </c>
      <c r="B380" s="1" t="s">
        <v>424</v>
      </c>
      <c r="C380" s="1" t="s">
        <v>10</v>
      </c>
      <c r="D380">
        <v>68</v>
      </c>
      <c r="E380" s="1" t="s">
        <v>19</v>
      </c>
      <c r="F380">
        <v>487</v>
      </c>
      <c r="G380">
        <v>69.099999999999994</v>
      </c>
      <c r="H380">
        <v>5</v>
      </c>
    </row>
    <row r="381" spans="1:8" x14ac:dyDescent="0.3">
      <c r="A381" s="1" t="s">
        <v>393</v>
      </c>
      <c r="B381" s="1" t="s">
        <v>425</v>
      </c>
      <c r="C381" s="1" t="s">
        <v>44</v>
      </c>
      <c r="D381">
        <v>45</v>
      </c>
      <c r="E381" s="1" t="s">
        <v>22</v>
      </c>
      <c r="F381">
        <v>26</v>
      </c>
      <c r="G381">
        <v>30.35</v>
      </c>
      <c r="H381">
        <v>1</v>
      </c>
    </row>
    <row r="382" spans="1:8" x14ac:dyDescent="0.3">
      <c r="A382" s="1" t="s">
        <v>393</v>
      </c>
      <c r="B382" s="1" t="s">
        <v>426</v>
      </c>
      <c r="C382" s="1" t="s">
        <v>78</v>
      </c>
      <c r="D382">
        <v>90</v>
      </c>
      <c r="E382" s="1" t="s">
        <v>19</v>
      </c>
      <c r="F382">
        <v>216</v>
      </c>
      <c r="G382">
        <v>45.58</v>
      </c>
      <c r="H382">
        <v>0</v>
      </c>
    </row>
    <row r="383" spans="1:8" x14ac:dyDescent="0.3">
      <c r="A383" s="1" t="s">
        <v>393</v>
      </c>
      <c r="B383" s="1" t="s">
        <v>427</v>
      </c>
      <c r="C383" s="1" t="s">
        <v>24</v>
      </c>
      <c r="D383">
        <v>74</v>
      </c>
      <c r="E383" s="1" t="s">
        <v>22</v>
      </c>
      <c r="F383">
        <v>253</v>
      </c>
      <c r="G383">
        <v>36.94</v>
      </c>
      <c r="H383">
        <v>5</v>
      </c>
    </row>
    <row r="384" spans="1:8" x14ac:dyDescent="0.3">
      <c r="A384" s="1" t="s">
        <v>393</v>
      </c>
      <c r="B384" s="1" t="s">
        <v>428</v>
      </c>
      <c r="C384" s="1" t="s">
        <v>10</v>
      </c>
      <c r="D384">
        <v>111</v>
      </c>
      <c r="E384" s="1" t="s">
        <v>19</v>
      </c>
      <c r="F384">
        <v>194</v>
      </c>
      <c r="G384">
        <v>48.55</v>
      </c>
      <c r="H384">
        <v>2</v>
      </c>
    </row>
    <row r="385" spans="1:8" x14ac:dyDescent="0.3">
      <c r="A385" s="1" t="s">
        <v>393</v>
      </c>
      <c r="B385" s="1" t="s">
        <v>429</v>
      </c>
      <c r="C385" s="1" t="s">
        <v>131</v>
      </c>
      <c r="D385">
        <v>37</v>
      </c>
      <c r="E385" s="1" t="s">
        <v>19</v>
      </c>
      <c r="F385">
        <v>87</v>
      </c>
      <c r="G385">
        <v>26.4</v>
      </c>
      <c r="H385">
        <v>3</v>
      </c>
    </row>
    <row r="386" spans="1:8" x14ac:dyDescent="0.3">
      <c r="A386" s="1" t="s">
        <v>393</v>
      </c>
      <c r="B386" s="1" t="s">
        <v>430</v>
      </c>
      <c r="C386" s="1" t="s">
        <v>64</v>
      </c>
      <c r="D386">
        <v>71</v>
      </c>
      <c r="E386" s="1" t="s">
        <v>11</v>
      </c>
      <c r="F386">
        <v>191</v>
      </c>
      <c r="G386">
        <v>83.04</v>
      </c>
      <c r="H386">
        <v>4</v>
      </c>
    </row>
    <row r="387" spans="1:8" x14ac:dyDescent="0.3">
      <c r="A387" s="1" t="s">
        <v>393</v>
      </c>
      <c r="B387" s="1" t="s">
        <v>431</v>
      </c>
      <c r="C387" s="1" t="s">
        <v>31</v>
      </c>
      <c r="D387">
        <v>35</v>
      </c>
      <c r="E387" s="1" t="s">
        <v>14</v>
      </c>
      <c r="F387">
        <v>496</v>
      </c>
      <c r="G387">
        <v>19.78</v>
      </c>
      <c r="H387">
        <v>5</v>
      </c>
    </row>
    <row r="388" spans="1:8" x14ac:dyDescent="0.3">
      <c r="A388" s="1" t="s">
        <v>393</v>
      </c>
      <c r="B388" s="1" t="s">
        <v>432</v>
      </c>
      <c r="C388" s="1" t="s">
        <v>57</v>
      </c>
      <c r="D388">
        <v>78</v>
      </c>
      <c r="E388" s="1" t="s">
        <v>19</v>
      </c>
      <c r="F388">
        <v>57</v>
      </c>
      <c r="G388">
        <v>49.47</v>
      </c>
      <c r="H388">
        <v>0</v>
      </c>
    </row>
    <row r="389" spans="1:8" x14ac:dyDescent="0.3">
      <c r="A389" s="1" t="s">
        <v>393</v>
      </c>
      <c r="B389" s="1" t="s">
        <v>433</v>
      </c>
      <c r="C389" s="1" t="s">
        <v>40</v>
      </c>
      <c r="D389">
        <v>13</v>
      </c>
      <c r="E389" s="1" t="s">
        <v>14</v>
      </c>
      <c r="F389">
        <v>173</v>
      </c>
      <c r="G389">
        <v>85.54</v>
      </c>
      <c r="H389">
        <v>3</v>
      </c>
    </row>
    <row r="390" spans="1:8" x14ac:dyDescent="0.3">
      <c r="A390" s="1" t="s">
        <v>393</v>
      </c>
      <c r="B390" s="1" t="s">
        <v>434</v>
      </c>
      <c r="C390" s="1" t="s">
        <v>67</v>
      </c>
      <c r="D390">
        <v>115</v>
      </c>
      <c r="E390" s="1" t="s">
        <v>22</v>
      </c>
      <c r="F390">
        <v>467</v>
      </c>
      <c r="G390">
        <v>24.57</v>
      </c>
      <c r="H390">
        <v>3</v>
      </c>
    </row>
    <row r="391" spans="1:8" x14ac:dyDescent="0.3">
      <c r="A391" s="1" t="s">
        <v>393</v>
      </c>
      <c r="B391" s="1" t="s">
        <v>435</v>
      </c>
      <c r="C391" s="1" t="s">
        <v>51</v>
      </c>
      <c r="D391">
        <v>7</v>
      </c>
      <c r="E391" s="1" t="s">
        <v>14</v>
      </c>
      <c r="F391">
        <v>347</v>
      </c>
      <c r="G391">
        <v>41.84</v>
      </c>
      <c r="H391">
        <v>2</v>
      </c>
    </row>
    <row r="392" spans="1:8" x14ac:dyDescent="0.3">
      <c r="A392" s="1" t="s">
        <v>393</v>
      </c>
      <c r="B392" s="1" t="s">
        <v>436</v>
      </c>
      <c r="C392" s="1" t="s">
        <v>60</v>
      </c>
      <c r="D392">
        <v>22</v>
      </c>
      <c r="E392" s="1" t="s">
        <v>14</v>
      </c>
      <c r="F392">
        <v>127</v>
      </c>
      <c r="G392">
        <v>49.06</v>
      </c>
      <c r="H392">
        <v>2</v>
      </c>
    </row>
    <row r="393" spans="1:8" x14ac:dyDescent="0.3">
      <c r="A393" s="1" t="s">
        <v>393</v>
      </c>
      <c r="B393" s="1" t="s">
        <v>437</v>
      </c>
      <c r="C393" s="1" t="s">
        <v>51</v>
      </c>
      <c r="D393">
        <v>41</v>
      </c>
      <c r="E393" s="1" t="s">
        <v>19</v>
      </c>
      <c r="F393">
        <v>425</v>
      </c>
      <c r="G393">
        <v>42.33</v>
      </c>
      <c r="H393">
        <v>3</v>
      </c>
    </row>
    <row r="394" spans="1:8" x14ac:dyDescent="0.3">
      <c r="A394" s="1" t="s">
        <v>393</v>
      </c>
      <c r="B394" s="1" t="s">
        <v>438</v>
      </c>
      <c r="C394" s="1" t="s">
        <v>13</v>
      </c>
      <c r="D394">
        <v>97</v>
      </c>
      <c r="E394" s="1" t="s">
        <v>14</v>
      </c>
      <c r="F394">
        <v>276</v>
      </c>
      <c r="G394">
        <v>88.35</v>
      </c>
      <c r="H394">
        <v>0</v>
      </c>
    </row>
    <row r="395" spans="1:8" x14ac:dyDescent="0.3">
      <c r="A395" s="1" t="s">
        <v>393</v>
      </c>
      <c r="B395" s="1" t="s">
        <v>439</v>
      </c>
      <c r="C395" s="1" t="s">
        <v>60</v>
      </c>
      <c r="D395">
        <v>50</v>
      </c>
      <c r="E395" s="1" t="s">
        <v>19</v>
      </c>
      <c r="F395">
        <v>435</v>
      </c>
      <c r="G395">
        <v>27.86</v>
      </c>
      <c r="H395">
        <v>3</v>
      </c>
    </row>
    <row r="396" spans="1:8" x14ac:dyDescent="0.3">
      <c r="A396" s="1" t="s">
        <v>393</v>
      </c>
      <c r="B396" s="1" t="s">
        <v>440</v>
      </c>
      <c r="C396" s="1" t="s">
        <v>10</v>
      </c>
      <c r="D396">
        <v>24</v>
      </c>
      <c r="E396" s="1" t="s">
        <v>22</v>
      </c>
      <c r="F396">
        <v>392</v>
      </c>
      <c r="G396">
        <v>27.06</v>
      </c>
      <c r="H396">
        <v>1</v>
      </c>
    </row>
    <row r="397" spans="1:8" x14ac:dyDescent="0.3">
      <c r="A397" s="1" t="s">
        <v>393</v>
      </c>
      <c r="B397" s="1" t="s">
        <v>441</v>
      </c>
      <c r="C397" s="1" t="s">
        <v>40</v>
      </c>
      <c r="D397">
        <v>45</v>
      </c>
      <c r="E397" s="1" t="s">
        <v>19</v>
      </c>
      <c r="F397">
        <v>439</v>
      </c>
      <c r="G397">
        <v>13.62</v>
      </c>
      <c r="H397">
        <v>4</v>
      </c>
    </row>
    <row r="398" spans="1:8" x14ac:dyDescent="0.3">
      <c r="A398" s="1" t="s">
        <v>393</v>
      </c>
      <c r="B398" s="1" t="s">
        <v>442</v>
      </c>
      <c r="C398" s="1" t="s">
        <v>78</v>
      </c>
      <c r="D398">
        <v>104</v>
      </c>
      <c r="E398" s="1" t="s">
        <v>14</v>
      </c>
      <c r="F398">
        <v>60</v>
      </c>
      <c r="G398">
        <v>45.51</v>
      </c>
      <c r="H398">
        <v>1</v>
      </c>
    </row>
    <row r="399" spans="1:8" x14ac:dyDescent="0.3">
      <c r="A399" s="1" t="s">
        <v>393</v>
      </c>
      <c r="B399" s="1" t="s">
        <v>443</v>
      </c>
      <c r="C399" s="1" t="s">
        <v>16</v>
      </c>
      <c r="D399">
        <v>95</v>
      </c>
      <c r="E399" s="1" t="s">
        <v>11</v>
      </c>
      <c r="F399">
        <v>148</v>
      </c>
      <c r="G399">
        <v>76.95</v>
      </c>
      <c r="H399">
        <v>5</v>
      </c>
    </row>
    <row r="400" spans="1:8" x14ac:dyDescent="0.3">
      <c r="A400" s="1" t="s">
        <v>444</v>
      </c>
      <c r="B400" s="1" t="s">
        <v>445</v>
      </c>
      <c r="C400" s="1" t="s">
        <v>51</v>
      </c>
      <c r="D400">
        <v>83</v>
      </c>
      <c r="E400" s="1" t="s">
        <v>11</v>
      </c>
      <c r="F400">
        <v>105</v>
      </c>
      <c r="G400">
        <v>20.46</v>
      </c>
      <c r="H400">
        <v>1</v>
      </c>
    </row>
    <row r="401" spans="1:8" x14ac:dyDescent="0.3">
      <c r="A401" s="1" t="s">
        <v>444</v>
      </c>
      <c r="B401" s="1" t="s">
        <v>446</v>
      </c>
      <c r="C401" s="1" t="s">
        <v>67</v>
      </c>
      <c r="D401">
        <v>7</v>
      </c>
      <c r="E401" s="1" t="s">
        <v>22</v>
      </c>
      <c r="F401">
        <v>94</v>
      </c>
      <c r="G401">
        <v>68.38</v>
      </c>
      <c r="H401">
        <v>3</v>
      </c>
    </row>
    <row r="402" spans="1:8" x14ac:dyDescent="0.3">
      <c r="A402" s="1" t="s">
        <v>444</v>
      </c>
      <c r="B402" s="1" t="s">
        <v>447</v>
      </c>
      <c r="C402" s="1" t="s">
        <v>37</v>
      </c>
      <c r="D402">
        <v>39</v>
      </c>
      <c r="E402" s="1" t="s">
        <v>11</v>
      </c>
      <c r="F402">
        <v>1</v>
      </c>
      <c r="G402">
        <v>66.94</v>
      </c>
      <c r="H402">
        <v>5</v>
      </c>
    </row>
    <row r="403" spans="1:8" x14ac:dyDescent="0.3">
      <c r="A403" s="1" t="s">
        <v>444</v>
      </c>
      <c r="B403" s="1" t="s">
        <v>448</v>
      </c>
      <c r="C403" s="1" t="s">
        <v>57</v>
      </c>
      <c r="D403">
        <v>15</v>
      </c>
      <c r="E403" s="1" t="s">
        <v>22</v>
      </c>
      <c r="F403">
        <v>81</v>
      </c>
      <c r="G403">
        <v>97.5</v>
      </c>
      <c r="H403">
        <v>4</v>
      </c>
    </row>
    <row r="404" spans="1:8" x14ac:dyDescent="0.3">
      <c r="A404" s="1" t="s">
        <v>444</v>
      </c>
      <c r="B404" s="1" t="s">
        <v>449</v>
      </c>
      <c r="C404" s="1" t="s">
        <v>13</v>
      </c>
      <c r="D404">
        <v>35</v>
      </c>
      <c r="E404" s="1" t="s">
        <v>14</v>
      </c>
      <c r="F404">
        <v>292</v>
      </c>
      <c r="G404">
        <v>39.21</v>
      </c>
      <c r="H404">
        <v>1</v>
      </c>
    </row>
    <row r="405" spans="1:8" x14ac:dyDescent="0.3">
      <c r="A405" s="1" t="s">
        <v>444</v>
      </c>
      <c r="B405" s="1" t="s">
        <v>450</v>
      </c>
      <c r="C405" s="1" t="s">
        <v>10</v>
      </c>
      <c r="D405">
        <v>47</v>
      </c>
      <c r="E405" s="1" t="s">
        <v>19</v>
      </c>
      <c r="F405">
        <v>111</v>
      </c>
      <c r="G405">
        <v>95.18</v>
      </c>
      <c r="H405">
        <v>0</v>
      </c>
    </row>
    <row r="406" spans="1:8" x14ac:dyDescent="0.3">
      <c r="A406" s="1" t="s">
        <v>444</v>
      </c>
      <c r="B406" s="1" t="s">
        <v>451</v>
      </c>
      <c r="C406" s="1" t="s">
        <v>33</v>
      </c>
      <c r="D406">
        <v>36</v>
      </c>
      <c r="E406" s="1" t="s">
        <v>19</v>
      </c>
      <c r="F406">
        <v>303</v>
      </c>
      <c r="G406">
        <v>89.56</v>
      </c>
      <c r="H406">
        <v>1</v>
      </c>
    </row>
    <row r="407" spans="1:8" x14ac:dyDescent="0.3">
      <c r="A407" s="1" t="s">
        <v>444</v>
      </c>
      <c r="B407" s="1" t="s">
        <v>452</v>
      </c>
      <c r="C407" s="1" t="s">
        <v>26</v>
      </c>
      <c r="D407">
        <v>45</v>
      </c>
      <c r="E407" s="1" t="s">
        <v>22</v>
      </c>
      <c r="F407">
        <v>356</v>
      </c>
      <c r="G407">
        <v>33.76</v>
      </c>
      <c r="H407">
        <v>0</v>
      </c>
    </row>
    <row r="408" spans="1:8" x14ac:dyDescent="0.3">
      <c r="A408" s="1" t="s">
        <v>444</v>
      </c>
      <c r="B408" s="1" t="s">
        <v>453</v>
      </c>
      <c r="C408" s="1" t="s">
        <v>37</v>
      </c>
      <c r="D408">
        <v>92</v>
      </c>
      <c r="E408" s="1" t="s">
        <v>19</v>
      </c>
      <c r="F408">
        <v>4</v>
      </c>
      <c r="G408">
        <v>22.03</v>
      </c>
      <c r="H408">
        <v>3</v>
      </c>
    </row>
    <row r="409" spans="1:8" x14ac:dyDescent="0.3">
      <c r="A409" s="1" t="s">
        <v>444</v>
      </c>
      <c r="B409" s="1" t="s">
        <v>454</v>
      </c>
      <c r="C409" s="1" t="s">
        <v>24</v>
      </c>
      <c r="D409">
        <v>54</v>
      </c>
      <c r="E409" s="1" t="s">
        <v>19</v>
      </c>
      <c r="F409">
        <v>450</v>
      </c>
      <c r="G409">
        <v>90.85</v>
      </c>
      <c r="H409">
        <v>1</v>
      </c>
    </row>
    <row r="410" spans="1:8" x14ac:dyDescent="0.3">
      <c r="A410" s="1" t="s">
        <v>444</v>
      </c>
      <c r="B410" s="1" t="s">
        <v>455</v>
      </c>
      <c r="C410" s="1" t="s">
        <v>24</v>
      </c>
      <c r="D410">
        <v>32</v>
      </c>
      <c r="E410" s="1" t="s">
        <v>22</v>
      </c>
      <c r="F410">
        <v>475</v>
      </c>
      <c r="G410">
        <v>36.54</v>
      </c>
      <c r="H410">
        <v>3</v>
      </c>
    </row>
    <row r="411" spans="1:8" x14ac:dyDescent="0.3">
      <c r="A411" s="1" t="s">
        <v>444</v>
      </c>
      <c r="B411" s="1" t="s">
        <v>456</v>
      </c>
      <c r="C411" s="1" t="s">
        <v>51</v>
      </c>
      <c r="D411">
        <v>41</v>
      </c>
      <c r="E411" s="1" t="s">
        <v>22</v>
      </c>
      <c r="F411">
        <v>404</v>
      </c>
      <c r="G411">
        <v>98.67</v>
      </c>
      <c r="H411">
        <v>5</v>
      </c>
    </row>
    <row r="412" spans="1:8" x14ac:dyDescent="0.3">
      <c r="A412" s="1" t="s">
        <v>444</v>
      </c>
      <c r="B412" s="1" t="s">
        <v>457</v>
      </c>
      <c r="C412" s="1" t="s">
        <v>37</v>
      </c>
      <c r="D412">
        <v>115</v>
      </c>
      <c r="E412" s="1" t="s">
        <v>14</v>
      </c>
      <c r="F412">
        <v>262</v>
      </c>
      <c r="G412">
        <v>66.34</v>
      </c>
      <c r="H412">
        <v>3</v>
      </c>
    </row>
    <row r="413" spans="1:8" x14ac:dyDescent="0.3">
      <c r="A413" s="1" t="s">
        <v>444</v>
      </c>
      <c r="B413" s="1" t="s">
        <v>458</v>
      </c>
      <c r="C413" s="1" t="s">
        <v>18</v>
      </c>
      <c r="D413">
        <v>7</v>
      </c>
      <c r="E413" s="1" t="s">
        <v>19</v>
      </c>
      <c r="F413">
        <v>233</v>
      </c>
      <c r="G413">
        <v>10.94</v>
      </c>
      <c r="H413">
        <v>0</v>
      </c>
    </row>
    <row r="414" spans="1:8" x14ac:dyDescent="0.3">
      <c r="A414" s="1" t="s">
        <v>444</v>
      </c>
      <c r="B414" s="1" t="s">
        <v>459</v>
      </c>
      <c r="C414" s="1" t="s">
        <v>73</v>
      </c>
      <c r="D414">
        <v>24</v>
      </c>
      <c r="E414" s="1" t="s">
        <v>19</v>
      </c>
      <c r="F414">
        <v>257</v>
      </c>
      <c r="G414">
        <v>41.99</v>
      </c>
      <c r="H414">
        <v>5</v>
      </c>
    </row>
    <row r="415" spans="1:8" x14ac:dyDescent="0.3">
      <c r="A415" s="1" t="s">
        <v>444</v>
      </c>
      <c r="B415" s="1" t="s">
        <v>460</v>
      </c>
      <c r="C415" s="1" t="s">
        <v>31</v>
      </c>
      <c r="D415">
        <v>6</v>
      </c>
      <c r="E415" s="1" t="s">
        <v>11</v>
      </c>
      <c r="F415">
        <v>362</v>
      </c>
      <c r="G415">
        <v>75.739999999999995</v>
      </c>
      <c r="H415">
        <v>4</v>
      </c>
    </row>
    <row r="416" spans="1:8" x14ac:dyDescent="0.3">
      <c r="A416" s="1" t="s">
        <v>444</v>
      </c>
      <c r="B416" s="1" t="s">
        <v>461</v>
      </c>
      <c r="C416" s="1" t="s">
        <v>29</v>
      </c>
      <c r="D416">
        <v>1</v>
      </c>
      <c r="E416" s="1" t="s">
        <v>11</v>
      </c>
      <c r="F416">
        <v>368</v>
      </c>
      <c r="G416">
        <v>35.17</v>
      </c>
      <c r="H416">
        <v>1</v>
      </c>
    </row>
    <row r="417" spans="1:8" x14ac:dyDescent="0.3">
      <c r="A417" s="1" t="s">
        <v>444</v>
      </c>
      <c r="B417" s="1" t="s">
        <v>462</v>
      </c>
      <c r="C417" s="1" t="s">
        <v>33</v>
      </c>
      <c r="D417">
        <v>7</v>
      </c>
      <c r="E417" s="1" t="s">
        <v>14</v>
      </c>
      <c r="F417">
        <v>268</v>
      </c>
      <c r="G417">
        <v>33.04</v>
      </c>
      <c r="H417">
        <v>5</v>
      </c>
    </row>
    <row r="418" spans="1:8" x14ac:dyDescent="0.3">
      <c r="A418" s="1" t="s">
        <v>444</v>
      </c>
      <c r="B418" s="1" t="s">
        <v>463</v>
      </c>
      <c r="C418" s="1" t="s">
        <v>89</v>
      </c>
      <c r="D418">
        <v>85</v>
      </c>
      <c r="E418" s="1" t="s">
        <v>22</v>
      </c>
      <c r="F418">
        <v>132</v>
      </c>
      <c r="G418">
        <v>11.41</v>
      </c>
      <c r="H418">
        <v>0</v>
      </c>
    </row>
    <row r="419" spans="1:8" x14ac:dyDescent="0.3">
      <c r="A419" s="1" t="s">
        <v>444</v>
      </c>
      <c r="B419" s="1" t="s">
        <v>464</v>
      </c>
      <c r="C419" s="1" t="s">
        <v>16</v>
      </c>
      <c r="D419">
        <v>96</v>
      </c>
      <c r="E419" s="1" t="s">
        <v>22</v>
      </c>
      <c r="F419">
        <v>155</v>
      </c>
      <c r="G419">
        <v>69.16</v>
      </c>
      <c r="H419">
        <v>4</v>
      </c>
    </row>
    <row r="420" spans="1:8" x14ac:dyDescent="0.3">
      <c r="A420" s="1" t="s">
        <v>444</v>
      </c>
      <c r="B420" s="1" t="s">
        <v>465</v>
      </c>
      <c r="C420" s="1" t="s">
        <v>16</v>
      </c>
      <c r="D420">
        <v>42</v>
      </c>
      <c r="E420" s="1" t="s">
        <v>19</v>
      </c>
      <c r="F420">
        <v>436</v>
      </c>
      <c r="G420">
        <v>88.12</v>
      </c>
      <c r="H420">
        <v>0</v>
      </c>
    </row>
    <row r="421" spans="1:8" x14ac:dyDescent="0.3">
      <c r="A421" s="1" t="s">
        <v>444</v>
      </c>
      <c r="B421" s="1" t="s">
        <v>466</v>
      </c>
      <c r="C421" s="1" t="s">
        <v>44</v>
      </c>
      <c r="D421">
        <v>28</v>
      </c>
      <c r="E421" s="1" t="s">
        <v>22</v>
      </c>
      <c r="F421">
        <v>112</v>
      </c>
      <c r="G421">
        <v>94.51</v>
      </c>
      <c r="H421">
        <v>3</v>
      </c>
    </row>
    <row r="422" spans="1:8" x14ac:dyDescent="0.3">
      <c r="A422" s="1" t="s">
        <v>444</v>
      </c>
      <c r="B422" s="1" t="s">
        <v>467</v>
      </c>
      <c r="C422" s="1" t="s">
        <v>57</v>
      </c>
      <c r="D422">
        <v>37</v>
      </c>
      <c r="E422" s="1" t="s">
        <v>22</v>
      </c>
      <c r="F422">
        <v>151</v>
      </c>
      <c r="G422">
        <v>62.49</v>
      </c>
      <c r="H422">
        <v>3</v>
      </c>
    </row>
    <row r="423" spans="1:8" x14ac:dyDescent="0.3">
      <c r="A423" s="1" t="s">
        <v>444</v>
      </c>
      <c r="B423" s="1" t="s">
        <v>468</v>
      </c>
      <c r="C423" s="1" t="s">
        <v>51</v>
      </c>
      <c r="D423">
        <v>61</v>
      </c>
      <c r="E423" s="1" t="s">
        <v>14</v>
      </c>
      <c r="F423">
        <v>362</v>
      </c>
      <c r="G423">
        <v>75.03</v>
      </c>
      <c r="H423">
        <v>0</v>
      </c>
    </row>
    <row r="424" spans="1:8" x14ac:dyDescent="0.3">
      <c r="A424" s="1" t="s">
        <v>444</v>
      </c>
      <c r="B424" s="1" t="s">
        <v>469</v>
      </c>
      <c r="C424" s="1" t="s">
        <v>44</v>
      </c>
      <c r="D424">
        <v>36</v>
      </c>
      <c r="E424" s="1" t="s">
        <v>11</v>
      </c>
      <c r="F424">
        <v>137</v>
      </c>
      <c r="G424">
        <v>71.930000000000007</v>
      </c>
      <c r="H424">
        <v>0</v>
      </c>
    </row>
    <row r="425" spans="1:8" x14ac:dyDescent="0.3">
      <c r="A425" s="1" t="s">
        <v>444</v>
      </c>
      <c r="B425" s="1" t="s">
        <v>470</v>
      </c>
      <c r="C425" s="1" t="s">
        <v>131</v>
      </c>
      <c r="D425">
        <v>117</v>
      </c>
      <c r="E425" s="1" t="s">
        <v>11</v>
      </c>
      <c r="F425">
        <v>282</v>
      </c>
      <c r="G425">
        <v>95.11</v>
      </c>
      <c r="H425">
        <v>0</v>
      </c>
    </row>
    <row r="426" spans="1:8" x14ac:dyDescent="0.3">
      <c r="A426" s="1" t="s">
        <v>444</v>
      </c>
      <c r="B426" s="1" t="s">
        <v>471</v>
      </c>
      <c r="C426" s="1" t="s">
        <v>62</v>
      </c>
      <c r="D426">
        <v>78</v>
      </c>
      <c r="E426" s="1" t="s">
        <v>11</v>
      </c>
      <c r="F426">
        <v>60</v>
      </c>
      <c r="G426">
        <v>33.159999999999997</v>
      </c>
      <c r="H426">
        <v>5</v>
      </c>
    </row>
    <row r="427" spans="1:8" x14ac:dyDescent="0.3">
      <c r="A427" s="1" t="s">
        <v>444</v>
      </c>
      <c r="B427" s="1" t="s">
        <v>472</v>
      </c>
      <c r="C427" s="1" t="s">
        <v>67</v>
      </c>
      <c r="D427">
        <v>13</v>
      </c>
      <c r="E427" s="1" t="s">
        <v>14</v>
      </c>
      <c r="F427">
        <v>87</v>
      </c>
      <c r="G427">
        <v>66.36</v>
      </c>
      <c r="H427">
        <v>0</v>
      </c>
    </row>
    <row r="428" spans="1:8" x14ac:dyDescent="0.3">
      <c r="A428" s="1" t="s">
        <v>444</v>
      </c>
      <c r="B428" s="1" t="s">
        <v>473</v>
      </c>
      <c r="C428" s="1" t="s">
        <v>33</v>
      </c>
      <c r="D428">
        <v>56</v>
      </c>
      <c r="E428" s="1" t="s">
        <v>19</v>
      </c>
      <c r="F428">
        <v>114</v>
      </c>
      <c r="G428">
        <v>64.39</v>
      </c>
      <c r="H428">
        <v>1</v>
      </c>
    </row>
    <row r="429" spans="1:8" x14ac:dyDescent="0.3">
      <c r="A429" s="1" t="s">
        <v>444</v>
      </c>
      <c r="B429" s="1" t="s">
        <v>474</v>
      </c>
      <c r="C429" s="1" t="s">
        <v>44</v>
      </c>
      <c r="D429">
        <v>24</v>
      </c>
      <c r="E429" s="1" t="s">
        <v>14</v>
      </c>
      <c r="F429">
        <v>23</v>
      </c>
      <c r="G429">
        <v>28.55</v>
      </c>
      <c r="H429">
        <v>1</v>
      </c>
    </row>
    <row r="430" spans="1:8" x14ac:dyDescent="0.3">
      <c r="A430" s="1" t="s">
        <v>444</v>
      </c>
      <c r="B430" s="1" t="s">
        <v>475</v>
      </c>
      <c r="C430" s="1" t="s">
        <v>10</v>
      </c>
      <c r="D430">
        <v>33</v>
      </c>
      <c r="E430" s="1" t="s">
        <v>19</v>
      </c>
      <c r="F430">
        <v>273</v>
      </c>
      <c r="G430">
        <v>49.8</v>
      </c>
      <c r="H430">
        <v>0</v>
      </c>
    </row>
    <row r="431" spans="1:8" x14ac:dyDescent="0.3">
      <c r="A431" s="1" t="s">
        <v>444</v>
      </c>
      <c r="B431" s="1" t="s">
        <v>476</v>
      </c>
      <c r="C431" s="1" t="s">
        <v>64</v>
      </c>
      <c r="D431">
        <v>63</v>
      </c>
      <c r="E431" s="1" t="s">
        <v>14</v>
      </c>
      <c r="F431">
        <v>121</v>
      </c>
      <c r="G431">
        <v>39.18</v>
      </c>
      <c r="H431">
        <v>2</v>
      </c>
    </row>
    <row r="432" spans="1:8" x14ac:dyDescent="0.3">
      <c r="A432" s="1" t="s">
        <v>444</v>
      </c>
      <c r="B432" s="1" t="s">
        <v>477</v>
      </c>
      <c r="C432" s="1" t="s">
        <v>31</v>
      </c>
      <c r="D432">
        <v>47</v>
      </c>
      <c r="E432" s="1" t="s">
        <v>14</v>
      </c>
      <c r="F432">
        <v>149</v>
      </c>
      <c r="G432">
        <v>28.35</v>
      </c>
      <c r="H432">
        <v>1</v>
      </c>
    </row>
    <row r="433" spans="1:8" x14ac:dyDescent="0.3">
      <c r="A433" s="1" t="s">
        <v>444</v>
      </c>
      <c r="B433" s="1" t="s">
        <v>478</v>
      </c>
      <c r="C433" s="1" t="s">
        <v>33</v>
      </c>
      <c r="D433">
        <v>43</v>
      </c>
      <c r="E433" s="1" t="s">
        <v>19</v>
      </c>
      <c r="F433">
        <v>20</v>
      </c>
      <c r="G433">
        <v>66.680000000000007</v>
      </c>
      <c r="H433">
        <v>5</v>
      </c>
    </row>
    <row r="434" spans="1:8" x14ac:dyDescent="0.3">
      <c r="A434" s="1" t="s">
        <v>444</v>
      </c>
      <c r="B434" s="1" t="s">
        <v>479</v>
      </c>
      <c r="C434" s="1" t="s">
        <v>40</v>
      </c>
      <c r="D434">
        <v>39</v>
      </c>
      <c r="E434" s="1" t="s">
        <v>22</v>
      </c>
      <c r="F434">
        <v>327</v>
      </c>
      <c r="G434">
        <v>87.24</v>
      </c>
      <c r="H434">
        <v>4</v>
      </c>
    </row>
    <row r="435" spans="1:8" x14ac:dyDescent="0.3">
      <c r="A435" s="1" t="s">
        <v>444</v>
      </c>
      <c r="B435" s="1" t="s">
        <v>480</v>
      </c>
      <c r="C435" s="1" t="s">
        <v>62</v>
      </c>
      <c r="D435">
        <v>15</v>
      </c>
      <c r="E435" s="1" t="s">
        <v>11</v>
      </c>
      <c r="F435">
        <v>75</v>
      </c>
      <c r="G435">
        <v>45.59</v>
      </c>
      <c r="H435">
        <v>0</v>
      </c>
    </row>
    <row r="436" spans="1:8" x14ac:dyDescent="0.3">
      <c r="A436" s="1" t="s">
        <v>444</v>
      </c>
      <c r="B436" s="1" t="s">
        <v>481</v>
      </c>
      <c r="C436" s="1" t="s">
        <v>131</v>
      </c>
      <c r="D436">
        <v>13</v>
      </c>
      <c r="E436" s="1" t="s">
        <v>22</v>
      </c>
      <c r="F436">
        <v>482</v>
      </c>
      <c r="G436">
        <v>50.15</v>
      </c>
      <c r="H436">
        <v>0</v>
      </c>
    </row>
    <row r="437" spans="1:8" x14ac:dyDescent="0.3">
      <c r="A437" s="1" t="s">
        <v>444</v>
      </c>
      <c r="B437" s="1" t="s">
        <v>482</v>
      </c>
      <c r="C437" s="1" t="s">
        <v>10</v>
      </c>
      <c r="D437">
        <v>86</v>
      </c>
      <c r="E437" s="1" t="s">
        <v>11</v>
      </c>
      <c r="F437">
        <v>452</v>
      </c>
      <c r="G437">
        <v>75.680000000000007</v>
      </c>
      <c r="H437">
        <v>0</v>
      </c>
    </row>
    <row r="438" spans="1:8" x14ac:dyDescent="0.3">
      <c r="A438" s="1" t="s">
        <v>444</v>
      </c>
      <c r="B438" s="1" t="s">
        <v>483</v>
      </c>
      <c r="C438" s="1" t="s">
        <v>73</v>
      </c>
      <c r="D438">
        <v>2</v>
      </c>
      <c r="E438" s="1" t="s">
        <v>19</v>
      </c>
      <c r="F438">
        <v>142</v>
      </c>
      <c r="G438">
        <v>49.05</v>
      </c>
      <c r="H438">
        <v>4</v>
      </c>
    </row>
    <row r="439" spans="1:8" x14ac:dyDescent="0.3">
      <c r="A439" s="1" t="s">
        <v>444</v>
      </c>
      <c r="B439" s="1" t="s">
        <v>484</v>
      </c>
      <c r="C439" s="1" t="s">
        <v>35</v>
      </c>
      <c r="D439">
        <v>88</v>
      </c>
      <c r="E439" s="1" t="s">
        <v>19</v>
      </c>
      <c r="F439">
        <v>474</v>
      </c>
      <c r="G439">
        <v>23.35</v>
      </c>
      <c r="H439">
        <v>5</v>
      </c>
    </row>
    <row r="440" spans="1:8" x14ac:dyDescent="0.3">
      <c r="A440" s="1" t="s">
        <v>444</v>
      </c>
      <c r="B440" s="1" t="s">
        <v>485</v>
      </c>
      <c r="C440" s="1" t="s">
        <v>37</v>
      </c>
      <c r="D440">
        <v>71</v>
      </c>
      <c r="E440" s="1" t="s">
        <v>22</v>
      </c>
      <c r="F440">
        <v>68</v>
      </c>
      <c r="G440">
        <v>53.11</v>
      </c>
      <c r="H440">
        <v>2</v>
      </c>
    </row>
    <row r="441" spans="1:8" x14ac:dyDescent="0.3">
      <c r="A441" s="1" t="s">
        <v>444</v>
      </c>
      <c r="B441" s="1" t="s">
        <v>486</v>
      </c>
      <c r="C441" s="1" t="s">
        <v>16</v>
      </c>
      <c r="D441">
        <v>99</v>
      </c>
      <c r="E441" s="1" t="s">
        <v>14</v>
      </c>
      <c r="F441">
        <v>138</v>
      </c>
      <c r="G441">
        <v>54.64</v>
      </c>
      <c r="H441">
        <v>5</v>
      </c>
    </row>
    <row r="442" spans="1:8" x14ac:dyDescent="0.3">
      <c r="A442" s="1" t="s">
        <v>444</v>
      </c>
      <c r="B442" s="1" t="s">
        <v>487</v>
      </c>
      <c r="C442" s="1" t="s">
        <v>57</v>
      </c>
      <c r="D442">
        <v>111</v>
      </c>
      <c r="E442" s="1" t="s">
        <v>14</v>
      </c>
      <c r="F442">
        <v>447</v>
      </c>
      <c r="G442">
        <v>51.35</v>
      </c>
      <c r="H442">
        <v>0</v>
      </c>
    </row>
    <row r="443" spans="1:8" x14ac:dyDescent="0.3">
      <c r="A443" s="1" t="s">
        <v>444</v>
      </c>
      <c r="B443" s="1" t="s">
        <v>488</v>
      </c>
      <c r="C443" s="1" t="s">
        <v>57</v>
      </c>
      <c r="D443">
        <v>17</v>
      </c>
      <c r="E443" s="1" t="s">
        <v>19</v>
      </c>
      <c r="F443">
        <v>404</v>
      </c>
      <c r="G443">
        <v>83.4</v>
      </c>
      <c r="H443">
        <v>1</v>
      </c>
    </row>
    <row r="444" spans="1:8" x14ac:dyDescent="0.3">
      <c r="A444" s="1" t="s">
        <v>444</v>
      </c>
      <c r="B444" s="1" t="s">
        <v>489</v>
      </c>
      <c r="C444" s="1" t="s">
        <v>78</v>
      </c>
      <c r="D444">
        <v>43</v>
      </c>
      <c r="E444" s="1" t="s">
        <v>22</v>
      </c>
      <c r="F444">
        <v>26</v>
      </c>
      <c r="G444">
        <v>25.85</v>
      </c>
      <c r="H444">
        <v>1</v>
      </c>
    </row>
    <row r="445" spans="1:8" x14ac:dyDescent="0.3">
      <c r="A445" s="1" t="s">
        <v>444</v>
      </c>
      <c r="B445" s="1" t="s">
        <v>490</v>
      </c>
      <c r="C445" s="1" t="s">
        <v>10</v>
      </c>
      <c r="D445">
        <v>47</v>
      </c>
      <c r="E445" s="1" t="s">
        <v>14</v>
      </c>
      <c r="F445">
        <v>328</v>
      </c>
      <c r="G445">
        <v>61.27</v>
      </c>
      <c r="H445">
        <v>3</v>
      </c>
    </row>
    <row r="446" spans="1:8" x14ac:dyDescent="0.3">
      <c r="A446" s="1" t="s">
        <v>444</v>
      </c>
      <c r="B446" s="1" t="s">
        <v>491</v>
      </c>
      <c r="C446" s="1" t="s">
        <v>26</v>
      </c>
      <c r="D446">
        <v>95</v>
      </c>
      <c r="E446" s="1" t="s">
        <v>14</v>
      </c>
      <c r="F446">
        <v>127</v>
      </c>
      <c r="G446">
        <v>94.9</v>
      </c>
      <c r="H446">
        <v>4</v>
      </c>
    </row>
    <row r="447" spans="1:8" x14ac:dyDescent="0.3">
      <c r="A447" s="1" t="s">
        <v>444</v>
      </c>
      <c r="B447" s="1" t="s">
        <v>492</v>
      </c>
      <c r="C447" s="1" t="s">
        <v>62</v>
      </c>
      <c r="D447">
        <v>104</v>
      </c>
      <c r="E447" s="1" t="s">
        <v>14</v>
      </c>
      <c r="F447">
        <v>421</v>
      </c>
      <c r="G447">
        <v>26.24</v>
      </c>
      <c r="H447">
        <v>3</v>
      </c>
    </row>
    <row r="448" spans="1:8" x14ac:dyDescent="0.3">
      <c r="A448" s="1" t="s">
        <v>444</v>
      </c>
      <c r="B448" s="1" t="s">
        <v>493</v>
      </c>
      <c r="C448" s="1" t="s">
        <v>73</v>
      </c>
      <c r="D448">
        <v>47</v>
      </c>
      <c r="E448" s="1" t="s">
        <v>14</v>
      </c>
      <c r="F448">
        <v>107</v>
      </c>
      <c r="G448">
        <v>35.380000000000003</v>
      </c>
      <c r="H448">
        <v>1</v>
      </c>
    </row>
    <row r="449" spans="1:8" x14ac:dyDescent="0.3">
      <c r="A449" s="1" t="s">
        <v>444</v>
      </c>
      <c r="B449" s="1" t="s">
        <v>494</v>
      </c>
      <c r="C449" s="1" t="s">
        <v>10</v>
      </c>
      <c r="D449">
        <v>96</v>
      </c>
      <c r="E449" s="1" t="s">
        <v>11</v>
      </c>
      <c r="F449">
        <v>273</v>
      </c>
      <c r="G449">
        <v>37.909999999999997</v>
      </c>
      <c r="H449">
        <v>2</v>
      </c>
    </row>
    <row r="450" spans="1:8" x14ac:dyDescent="0.3">
      <c r="A450" s="1" t="s">
        <v>495</v>
      </c>
      <c r="B450" s="1" t="s">
        <v>496</v>
      </c>
      <c r="C450" s="1" t="s">
        <v>60</v>
      </c>
      <c r="D450">
        <v>43</v>
      </c>
      <c r="E450" s="1" t="s">
        <v>11</v>
      </c>
      <c r="F450">
        <v>193</v>
      </c>
      <c r="G450">
        <v>35.81</v>
      </c>
      <c r="H450">
        <v>0</v>
      </c>
    </row>
    <row r="451" spans="1:8" x14ac:dyDescent="0.3">
      <c r="A451" s="1" t="s">
        <v>495</v>
      </c>
      <c r="B451" s="1" t="s">
        <v>497</v>
      </c>
      <c r="C451" s="1" t="s">
        <v>37</v>
      </c>
      <c r="D451">
        <v>77</v>
      </c>
      <c r="E451" s="1" t="s">
        <v>22</v>
      </c>
      <c r="F451">
        <v>375</v>
      </c>
      <c r="G451">
        <v>24.03</v>
      </c>
      <c r="H451">
        <v>1</v>
      </c>
    </row>
    <row r="452" spans="1:8" x14ac:dyDescent="0.3">
      <c r="A452" s="1" t="s">
        <v>495</v>
      </c>
      <c r="B452" s="1" t="s">
        <v>498</v>
      </c>
      <c r="C452" s="1" t="s">
        <v>67</v>
      </c>
      <c r="D452">
        <v>24</v>
      </c>
      <c r="E452" s="1" t="s">
        <v>19</v>
      </c>
      <c r="F452">
        <v>13</v>
      </c>
      <c r="G452">
        <v>89.3</v>
      </c>
      <c r="H452">
        <v>2</v>
      </c>
    </row>
    <row r="453" spans="1:8" x14ac:dyDescent="0.3">
      <c r="A453" s="1" t="s">
        <v>495</v>
      </c>
      <c r="B453" s="1" t="s">
        <v>499</v>
      </c>
      <c r="C453" s="1" t="s">
        <v>16</v>
      </c>
      <c r="D453">
        <v>87</v>
      </c>
      <c r="E453" s="1" t="s">
        <v>11</v>
      </c>
      <c r="F453">
        <v>356</v>
      </c>
      <c r="G453">
        <v>12.89</v>
      </c>
      <c r="H453">
        <v>0</v>
      </c>
    </row>
    <row r="454" spans="1:8" x14ac:dyDescent="0.3">
      <c r="A454" s="1" t="s">
        <v>495</v>
      </c>
      <c r="B454" s="1" t="s">
        <v>500</v>
      </c>
      <c r="C454" s="1" t="s">
        <v>60</v>
      </c>
      <c r="D454">
        <v>55</v>
      </c>
      <c r="E454" s="1" t="s">
        <v>22</v>
      </c>
      <c r="F454">
        <v>494</v>
      </c>
      <c r="G454">
        <v>77.599999999999994</v>
      </c>
      <c r="H454">
        <v>4</v>
      </c>
    </row>
    <row r="455" spans="1:8" x14ac:dyDescent="0.3">
      <c r="A455" s="1" t="s">
        <v>495</v>
      </c>
      <c r="B455" s="1" t="s">
        <v>501</v>
      </c>
      <c r="C455" s="1" t="s">
        <v>51</v>
      </c>
      <c r="D455">
        <v>20</v>
      </c>
      <c r="E455" s="1" t="s">
        <v>22</v>
      </c>
      <c r="F455">
        <v>217</v>
      </c>
      <c r="G455">
        <v>55.3</v>
      </c>
      <c r="H455">
        <v>4</v>
      </c>
    </row>
    <row r="456" spans="1:8" x14ac:dyDescent="0.3">
      <c r="A456" s="1" t="s">
        <v>495</v>
      </c>
      <c r="B456" s="1" t="s">
        <v>502</v>
      </c>
      <c r="C456" s="1" t="s">
        <v>64</v>
      </c>
      <c r="D456">
        <v>115</v>
      </c>
      <c r="E456" s="1" t="s">
        <v>14</v>
      </c>
      <c r="F456">
        <v>190</v>
      </c>
      <c r="G456">
        <v>10.98</v>
      </c>
      <c r="H456">
        <v>0</v>
      </c>
    </row>
    <row r="457" spans="1:8" x14ac:dyDescent="0.3">
      <c r="A457" s="1" t="s">
        <v>495</v>
      </c>
      <c r="B457" s="1" t="s">
        <v>503</v>
      </c>
      <c r="C457" s="1" t="s">
        <v>62</v>
      </c>
      <c r="D457">
        <v>86</v>
      </c>
      <c r="E457" s="1" t="s">
        <v>11</v>
      </c>
      <c r="F457">
        <v>27</v>
      </c>
      <c r="G457">
        <v>84.94</v>
      </c>
      <c r="H457">
        <v>4</v>
      </c>
    </row>
    <row r="458" spans="1:8" x14ac:dyDescent="0.3">
      <c r="A458" s="1" t="s">
        <v>495</v>
      </c>
      <c r="B458" s="1" t="s">
        <v>504</v>
      </c>
      <c r="C458" s="1" t="s">
        <v>51</v>
      </c>
      <c r="D458">
        <v>88</v>
      </c>
      <c r="E458" s="1" t="s">
        <v>11</v>
      </c>
      <c r="F458">
        <v>359</v>
      </c>
      <c r="G458">
        <v>71.19</v>
      </c>
      <c r="H458">
        <v>3</v>
      </c>
    </row>
    <row r="459" spans="1:8" x14ac:dyDescent="0.3">
      <c r="A459" s="1" t="s">
        <v>495</v>
      </c>
      <c r="B459" s="1" t="s">
        <v>505</v>
      </c>
      <c r="C459" s="1" t="s">
        <v>60</v>
      </c>
      <c r="D459">
        <v>39</v>
      </c>
      <c r="E459" s="1" t="s">
        <v>14</v>
      </c>
      <c r="F459">
        <v>54</v>
      </c>
      <c r="G459">
        <v>88.84</v>
      </c>
      <c r="H459">
        <v>0</v>
      </c>
    </row>
    <row r="460" spans="1:8" x14ac:dyDescent="0.3">
      <c r="A460" s="1" t="s">
        <v>495</v>
      </c>
      <c r="B460" s="1" t="s">
        <v>506</v>
      </c>
      <c r="C460" s="1" t="s">
        <v>35</v>
      </c>
      <c r="D460">
        <v>80</v>
      </c>
      <c r="E460" s="1" t="s">
        <v>14</v>
      </c>
      <c r="F460">
        <v>339</v>
      </c>
      <c r="G460">
        <v>59.87</v>
      </c>
      <c r="H460">
        <v>0</v>
      </c>
    </row>
    <row r="461" spans="1:8" x14ac:dyDescent="0.3">
      <c r="A461" s="1" t="s">
        <v>495</v>
      </c>
      <c r="B461" s="1" t="s">
        <v>507</v>
      </c>
      <c r="C461" s="1" t="s">
        <v>51</v>
      </c>
      <c r="D461">
        <v>105</v>
      </c>
      <c r="E461" s="1" t="s">
        <v>14</v>
      </c>
      <c r="F461">
        <v>297</v>
      </c>
      <c r="G461">
        <v>84.66</v>
      </c>
      <c r="H461">
        <v>2</v>
      </c>
    </row>
    <row r="462" spans="1:8" x14ac:dyDescent="0.3">
      <c r="A462" s="1" t="s">
        <v>495</v>
      </c>
      <c r="B462" s="1" t="s">
        <v>508</v>
      </c>
      <c r="C462" s="1" t="s">
        <v>73</v>
      </c>
      <c r="D462">
        <v>37</v>
      </c>
      <c r="E462" s="1" t="s">
        <v>14</v>
      </c>
      <c r="F462">
        <v>37</v>
      </c>
      <c r="G462">
        <v>92.72</v>
      </c>
      <c r="H462">
        <v>0</v>
      </c>
    </row>
    <row r="463" spans="1:8" x14ac:dyDescent="0.3">
      <c r="A463" s="1" t="s">
        <v>495</v>
      </c>
      <c r="B463" s="1" t="s">
        <v>509</v>
      </c>
      <c r="C463" s="1" t="s">
        <v>10</v>
      </c>
      <c r="D463">
        <v>45</v>
      </c>
      <c r="E463" s="1" t="s">
        <v>11</v>
      </c>
      <c r="F463">
        <v>244</v>
      </c>
      <c r="G463">
        <v>55.17</v>
      </c>
      <c r="H463">
        <v>2</v>
      </c>
    </row>
    <row r="464" spans="1:8" x14ac:dyDescent="0.3">
      <c r="A464" s="1" t="s">
        <v>495</v>
      </c>
      <c r="B464" s="1" t="s">
        <v>510</v>
      </c>
      <c r="C464" s="1" t="s">
        <v>44</v>
      </c>
      <c r="D464">
        <v>113</v>
      </c>
      <c r="E464" s="1" t="s">
        <v>22</v>
      </c>
      <c r="F464">
        <v>428</v>
      </c>
      <c r="G464">
        <v>73.84</v>
      </c>
      <c r="H464">
        <v>0</v>
      </c>
    </row>
    <row r="465" spans="1:8" x14ac:dyDescent="0.3">
      <c r="A465" s="1" t="s">
        <v>495</v>
      </c>
      <c r="B465" s="1" t="s">
        <v>511</v>
      </c>
      <c r="C465" s="1" t="s">
        <v>64</v>
      </c>
      <c r="D465">
        <v>14</v>
      </c>
      <c r="E465" s="1" t="s">
        <v>22</v>
      </c>
      <c r="F465">
        <v>304</v>
      </c>
      <c r="G465">
        <v>48.13</v>
      </c>
      <c r="H465">
        <v>2</v>
      </c>
    </row>
    <row r="466" spans="1:8" x14ac:dyDescent="0.3">
      <c r="A466" s="1" t="s">
        <v>495</v>
      </c>
      <c r="B466" s="1" t="s">
        <v>512</v>
      </c>
      <c r="C466" s="1" t="s">
        <v>57</v>
      </c>
      <c r="D466">
        <v>35</v>
      </c>
      <c r="E466" s="1" t="s">
        <v>14</v>
      </c>
      <c r="F466">
        <v>445</v>
      </c>
      <c r="G466">
        <v>24.11</v>
      </c>
      <c r="H466">
        <v>2</v>
      </c>
    </row>
    <row r="467" spans="1:8" x14ac:dyDescent="0.3">
      <c r="A467" s="1" t="s">
        <v>495</v>
      </c>
      <c r="B467" s="1" t="s">
        <v>513</v>
      </c>
      <c r="C467" s="1" t="s">
        <v>64</v>
      </c>
      <c r="D467">
        <v>118</v>
      </c>
      <c r="E467" s="1" t="s">
        <v>14</v>
      </c>
      <c r="F467">
        <v>80</v>
      </c>
      <c r="G467">
        <v>97.58</v>
      </c>
      <c r="H467">
        <v>3</v>
      </c>
    </row>
    <row r="468" spans="1:8" x14ac:dyDescent="0.3">
      <c r="A468" s="1" t="s">
        <v>495</v>
      </c>
      <c r="B468" s="1" t="s">
        <v>514</v>
      </c>
      <c r="C468" s="1" t="s">
        <v>57</v>
      </c>
      <c r="D468">
        <v>64</v>
      </c>
      <c r="E468" s="1" t="s">
        <v>14</v>
      </c>
      <c r="F468">
        <v>15</v>
      </c>
      <c r="G468">
        <v>56.94</v>
      </c>
      <c r="H468">
        <v>4</v>
      </c>
    </row>
    <row r="469" spans="1:8" x14ac:dyDescent="0.3">
      <c r="A469" s="1" t="s">
        <v>495</v>
      </c>
      <c r="B469" s="1" t="s">
        <v>515</v>
      </c>
      <c r="C469" s="1" t="s">
        <v>10</v>
      </c>
      <c r="D469">
        <v>85</v>
      </c>
      <c r="E469" s="1" t="s">
        <v>14</v>
      </c>
      <c r="F469">
        <v>75</v>
      </c>
      <c r="G469">
        <v>98.01</v>
      </c>
      <c r="H469">
        <v>1</v>
      </c>
    </row>
    <row r="470" spans="1:8" x14ac:dyDescent="0.3">
      <c r="A470" s="1" t="s">
        <v>495</v>
      </c>
      <c r="B470" s="1" t="s">
        <v>516</v>
      </c>
      <c r="C470" s="1" t="s">
        <v>131</v>
      </c>
      <c r="D470">
        <v>48</v>
      </c>
      <c r="E470" s="1" t="s">
        <v>22</v>
      </c>
      <c r="F470">
        <v>187</v>
      </c>
      <c r="G470">
        <v>21.26</v>
      </c>
      <c r="H470">
        <v>2</v>
      </c>
    </row>
    <row r="471" spans="1:8" x14ac:dyDescent="0.3">
      <c r="A471" s="1" t="s">
        <v>495</v>
      </c>
      <c r="B471" s="1" t="s">
        <v>517</v>
      </c>
      <c r="C471" s="1" t="s">
        <v>44</v>
      </c>
      <c r="D471">
        <v>120</v>
      </c>
      <c r="E471" s="1" t="s">
        <v>14</v>
      </c>
      <c r="F471">
        <v>72</v>
      </c>
      <c r="G471">
        <v>29.07</v>
      </c>
      <c r="H471">
        <v>3</v>
      </c>
    </row>
    <row r="472" spans="1:8" x14ac:dyDescent="0.3">
      <c r="A472" s="1" t="s">
        <v>495</v>
      </c>
      <c r="B472" s="1" t="s">
        <v>518</v>
      </c>
      <c r="C472" s="1" t="s">
        <v>21</v>
      </c>
      <c r="D472">
        <v>34</v>
      </c>
      <c r="E472" s="1" t="s">
        <v>19</v>
      </c>
      <c r="F472">
        <v>40</v>
      </c>
      <c r="G472">
        <v>65.709999999999994</v>
      </c>
      <c r="H472">
        <v>5</v>
      </c>
    </row>
    <row r="473" spans="1:8" x14ac:dyDescent="0.3">
      <c r="A473" s="1" t="s">
        <v>495</v>
      </c>
      <c r="B473" s="1" t="s">
        <v>519</v>
      </c>
      <c r="C473" s="1" t="s">
        <v>16</v>
      </c>
      <c r="D473">
        <v>104</v>
      </c>
      <c r="E473" s="1" t="s">
        <v>14</v>
      </c>
      <c r="F473">
        <v>125</v>
      </c>
      <c r="G473">
        <v>29.7</v>
      </c>
      <c r="H473">
        <v>2</v>
      </c>
    </row>
    <row r="474" spans="1:8" x14ac:dyDescent="0.3">
      <c r="A474" s="1" t="s">
        <v>495</v>
      </c>
      <c r="B474" s="1" t="s">
        <v>520</v>
      </c>
      <c r="C474" s="1" t="s">
        <v>35</v>
      </c>
      <c r="D474">
        <v>117</v>
      </c>
      <c r="E474" s="1" t="s">
        <v>22</v>
      </c>
      <c r="F474">
        <v>39</v>
      </c>
      <c r="G474">
        <v>26.53</v>
      </c>
      <c r="H474">
        <v>1</v>
      </c>
    </row>
    <row r="475" spans="1:8" x14ac:dyDescent="0.3">
      <c r="A475" s="1" t="s">
        <v>495</v>
      </c>
      <c r="B475" s="1" t="s">
        <v>521</v>
      </c>
      <c r="C475" s="1" t="s">
        <v>57</v>
      </c>
      <c r="D475">
        <v>92</v>
      </c>
      <c r="E475" s="1" t="s">
        <v>19</v>
      </c>
      <c r="F475">
        <v>6</v>
      </c>
      <c r="G475">
        <v>77.14</v>
      </c>
      <c r="H475">
        <v>5</v>
      </c>
    </row>
    <row r="476" spans="1:8" x14ac:dyDescent="0.3">
      <c r="A476" s="1" t="s">
        <v>495</v>
      </c>
      <c r="B476" s="1" t="s">
        <v>522</v>
      </c>
      <c r="C476" s="1" t="s">
        <v>13</v>
      </c>
      <c r="D476">
        <v>103</v>
      </c>
      <c r="E476" s="1" t="s">
        <v>22</v>
      </c>
      <c r="F476">
        <v>291</v>
      </c>
      <c r="G476">
        <v>60.34</v>
      </c>
      <c r="H476">
        <v>5</v>
      </c>
    </row>
    <row r="477" spans="1:8" x14ac:dyDescent="0.3">
      <c r="A477" s="1" t="s">
        <v>495</v>
      </c>
      <c r="B477" s="1" t="s">
        <v>523</v>
      </c>
      <c r="C477" s="1" t="s">
        <v>131</v>
      </c>
      <c r="D477">
        <v>10</v>
      </c>
      <c r="E477" s="1" t="s">
        <v>11</v>
      </c>
      <c r="F477">
        <v>425</v>
      </c>
      <c r="G477">
        <v>85.75</v>
      </c>
      <c r="H477">
        <v>0</v>
      </c>
    </row>
    <row r="478" spans="1:8" x14ac:dyDescent="0.3">
      <c r="A478" s="1" t="s">
        <v>495</v>
      </c>
      <c r="B478" s="1" t="s">
        <v>524</v>
      </c>
      <c r="C478" s="1" t="s">
        <v>13</v>
      </c>
      <c r="D478">
        <v>101</v>
      </c>
      <c r="E478" s="1" t="s">
        <v>19</v>
      </c>
      <c r="F478">
        <v>416</v>
      </c>
      <c r="G478">
        <v>83.49</v>
      </c>
      <c r="H478">
        <v>2</v>
      </c>
    </row>
    <row r="479" spans="1:8" x14ac:dyDescent="0.3">
      <c r="A479" s="1" t="s">
        <v>495</v>
      </c>
      <c r="B479" s="1" t="s">
        <v>525</v>
      </c>
      <c r="C479" s="1" t="s">
        <v>37</v>
      </c>
      <c r="D479">
        <v>1</v>
      </c>
      <c r="E479" s="1" t="s">
        <v>22</v>
      </c>
      <c r="F479">
        <v>213</v>
      </c>
      <c r="G479">
        <v>52.16</v>
      </c>
      <c r="H479">
        <v>3</v>
      </c>
    </row>
    <row r="480" spans="1:8" x14ac:dyDescent="0.3">
      <c r="A480" s="1" t="s">
        <v>495</v>
      </c>
      <c r="B480" s="1" t="s">
        <v>526</v>
      </c>
      <c r="C480" s="1" t="s">
        <v>51</v>
      </c>
      <c r="D480">
        <v>111</v>
      </c>
      <c r="E480" s="1" t="s">
        <v>19</v>
      </c>
      <c r="F480">
        <v>76</v>
      </c>
      <c r="G480">
        <v>38.19</v>
      </c>
      <c r="H480">
        <v>5</v>
      </c>
    </row>
    <row r="481" spans="1:8" x14ac:dyDescent="0.3">
      <c r="A481" s="1" t="s">
        <v>495</v>
      </c>
      <c r="B481" s="1" t="s">
        <v>527</v>
      </c>
      <c r="C481" s="1" t="s">
        <v>26</v>
      </c>
      <c r="D481">
        <v>120</v>
      </c>
      <c r="E481" s="1" t="s">
        <v>11</v>
      </c>
      <c r="F481">
        <v>391</v>
      </c>
      <c r="G481">
        <v>67.77</v>
      </c>
      <c r="H481">
        <v>4</v>
      </c>
    </row>
    <row r="482" spans="1:8" x14ac:dyDescent="0.3">
      <c r="A482" s="1" t="s">
        <v>495</v>
      </c>
      <c r="B482" s="1" t="s">
        <v>528</v>
      </c>
      <c r="C482" s="1" t="s">
        <v>29</v>
      </c>
      <c r="D482">
        <v>20</v>
      </c>
      <c r="E482" s="1" t="s">
        <v>14</v>
      </c>
      <c r="F482">
        <v>93</v>
      </c>
      <c r="G482">
        <v>84.45</v>
      </c>
      <c r="H482">
        <v>0</v>
      </c>
    </row>
    <row r="483" spans="1:8" x14ac:dyDescent="0.3">
      <c r="A483" s="1" t="s">
        <v>495</v>
      </c>
      <c r="B483" s="1" t="s">
        <v>529</v>
      </c>
      <c r="C483" s="1" t="s">
        <v>51</v>
      </c>
      <c r="D483">
        <v>100</v>
      </c>
      <c r="E483" s="1" t="s">
        <v>22</v>
      </c>
      <c r="F483">
        <v>240</v>
      </c>
      <c r="G483">
        <v>24.83</v>
      </c>
      <c r="H483">
        <v>4</v>
      </c>
    </row>
    <row r="484" spans="1:8" x14ac:dyDescent="0.3">
      <c r="A484" s="1" t="s">
        <v>495</v>
      </c>
      <c r="B484" s="1" t="s">
        <v>530</v>
      </c>
      <c r="C484" s="1" t="s">
        <v>57</v>
      </c>
      <c r="D484">
        <v>84</v>
      </c>
      <c r="E484" s="1" t="s">
        <v>19</v>
      </c>
      <c r="F484">
        <v>380</v>
      </c>
      <c r="G484">
        <v>82.3</v>
      </c>
      <c r="H484">
        <v>1</v>
      </c>
    </row>
    <row r="485" spans="1:8" x14ac:dyDescent="0.3">
      <c r="A485" s="1" t="s">
        <v>495</v>
      </c>
      <c r="B485" s="1" t="s">
        <v>531</v>
      </c>
      <c r="C485" s="1" t="s">
        <v>51</v>
      </c>
      <c r="D485">
        <v>19</v>
      </c>
      <c r="E485" s="1" t="s">
        <v>19</v>
      </c>
      <c r="F485">
        <v>71</v>
      </c>
      <c r="G485">
        <v>68.2</v>
      </c>
      <c r="H485">
        <v>0</v>
      </c>
    </row>
    <row r="486" spans="1:8" x14ac:dyDescent="0.3">
      <c r="A486" s="1" t="s">
        <v>495</v>
      </c>
      <c r="B486" s="1" t="s">
        <v>532</v>
      </c>
      <c r="C486" s="1" t="s">
        <v>35</v>
      </c>
      <c r="D486">
        <v>41</v>
      </c>
      <c r="E486" s="1" t="s">
        <v>11</v>
      </c>
      <c r="F486">
        <v>383</v>
      </c>
      <c r="G486">
        <v>27.53</v>
      </c>
      <c r="H486">
        <v>4</v>
      </c>
    </row>
    <row r="487" spans="1:8" x14ac:dyDescent="0.3">
      <c r="A487" s="1" t="s">
        <v>495</v>
      </c>
      <c r="B487" s="1" t="s">
        <v>533</v>
      </c>
      <c r="C487" s="1" t="s">
        <v>21</v>
      </c>
      <c r="D487">
        <v>19</v>
      </c>
      <c r="E487" s="1" t="s">
        <v>11</v>
      </c>
      <c r="F487">
        <v>270</v>
      </c>
      <c r="G487">
        <v>19.760000000000002</v>
      </c>
      <c r="H487">
        <v>3</v>
      </c>
    </row>
    <row r="488" spans="1:8" x14ac:dyDescent="0.3">
      <c r="A488" s="1" t="s">
        <v>495</v>
      </c>
      <c r="B488" s="1" t="s">
        <v>534</v>
      </c>
      <c r="C488" s="1" t="s">
        <v>40</v>
      </c>
      <c r="D488">
        <v>50</v>
      </c>
      <c r="E488" s="1" t="s">
        <v>22</v>
      </c>
      <c r="F488">
        <v>357</v>
      </c>
      <c r="G488">
        <v>17</v>
      </c>
      <c r="H488">
        <v>3</v>
      </c>
    </row>
    <row r="489" spans="1:8" x14ac:dyDescent="0.3">
      <c r="A489" s="1" t="s">
        <v>495</v>
      </c>
      <c r="B489" s="1" t="s">
        <v>535</v>
      </c>
      <c r="C489" s="1" t="s">
        <v>31</v>
      </c>
      <c r="D489">
        <v>58</v>
      </c>
      <c r="E489" s="1" t="s">
        <v>11</v>
      </c>
      <c r="F489">
        <v>485</v>
      </c>
      <c r="G489">
        <v>64.290000000000006</v>
      </c>
      <c r="H489">
        <v>4</v>
      </c>
    </row>
    <row r="490" spans="1:8" x14ac:dyDescent="0.3">
      <c r="A490" s="1" t="s">
        <v>495</v>
      </c>
      <c r="B490" s="1" t="s">
        <v>536</v>
      </c>
      <c r="C490" s="1" t="s">
        <v>78</v>
      </c>
      <c r="D490">
        <v>93</v>
      </c>
      <c r="E490" s="1" t="s">
        <v>14</v>
      </c>
      <c r="F490">
        <v>153</v>
      </c>
      <c r="G490">
        <v>86.19</v>
      </c>
      <c r="H490">
        <v>0</v>
      </c>
    </row>
    <row r="491" spans="1:8" x14ac:dyDescent="0.3">
      <c r="A491" s="1" t="s">
        <v>495</v>
      </c>
      <c r="B491" s="1" t="s">
        <v>537</v>
      </c>
      <c r="C491" s="1" t="s">
        <v>51</v>
      </c>
      <c r="D491">
        <v>102</v>
      </c>
      <c r="E491" s="1" t="s">
        <v>22</v>
      </c>
      <c r="F491">
        <v>240</v>
      </c>
      <c r="G491">
        <v>12.52</v>
      </c>
      <c r="H491">
        <v>2</v>
      </c>
    </row>
    <row r="492" spans="1:8" x14ac:dyDescent="0.3">
      <c r="A492" s="1" t="s">
        <v>495</v>
      </c>
      <c r="B492" s="1" t="s">
        <v>538</v>
      </c>
      <c r="C492" s="1" t="s">
        <v>21</v>
      </c>
      <c r="D492">
        <v>101</v>
      </c>
      <c r="E492" s="1" t="s">
        <v>14</v>
      </c>
      <c r="F492">
        <v>210</v>
      </c>
      <c r="G492">
        <v>35.4</v>
      </c>
      <c r="H492">
        <v>1</v>
      </c>
    </row>
    <row r="493" spans="1:8" x14ac:dyDescent="0.3">
      <c r="A493" s="1" t="s">
        <v>495</v>
      </c>
      <c r="B493" s="1" t="s">
        <v>539</v>
      </c>
      <c r="C493" s="1" t="s">
        <v>40</v>
      </c>
      <c r="D493">
        <v>62</v>
      </c>
      <c r="E493" s="1" t="s">
        <v>22</v>
      </c>
      <c r="F493">
        <v>369</v>
      </c>
      <c r="G493">
        <v>58.74</v>
      </c>
      <c r="H493">
        <v>1</v>
      </c>
    </row>
    <row r="494" spans="1:8" x14ac:dyDescent="0.3">
      <c r="A494" s="1" t="s">
        <v>495</v>
      </c>
      <c r="B494" s="1" t="s">
        <v>540</v>
      </c>
      <c r="C494" s="1" t="s">
        <v>62</v>
      </c>
      <c r="D494">
        <v>105</v>
      </c>
      <c r="E494" s="1" t="s">
        <v>22</v>
      </c>
      <c r="F494">
        <v>172</v>
      </c>
      <c r="G494">
        <v>15.88</v>
      </c>
      <c r="H494">
        <v>5</v>
      </c>
    </row>
    <row r="495" spans="1:8" x14ac:dyDescent="0.3">
      <c r="A495" s="1" t="s">
        <v>495</v>
      </c>
      <c r="B495" s="1" t="s">
        <v>541</v>
      </c>
      <c r="C495" s="1" t="s">
        <v>31</v>
      </c>
      <c r="D495">
        <v>9</v>
      </c>
      <c r="E495" s="1" t="s">
        <v>22</v>
      </c>
      <c r="F495">
        <v>227</v>
      </c>
      <c r="G495">
        <v>63.74</v>
      </c>
      <c r="H495">
        <v>3</v>
      </c>
    </row>
    <row r="496" spans="1:8" x14ac:dyDescent="0.3">
      <c r="A496" s="1" t="s">
        <v>495</v>
      </c>
      <c r="B496" s="1" t="s">
        <v>542</v>
      </c>
      <c r="C496" s="1" t="s">
        <v>44</v>
      </c>
      <c r="D496">
        <v>15</v>
      </c>
      <c r="E496" s="1" t="s">
        <v>19</v>
      </c>
      <c r="F496">
        <v>400</v>
      </c>
      <c r="G496">
        <v>78.09</v>
      </c>
      <c r="H496">
        <v>0</v>
      </c>
    </row>
    <row r="497" spans="1:8" x14ac:dyDescent="0.3">
      <c r="A497" s="1" t="s">
        <v>495</v>
      </c>
      <c r="B497" s="1" t="s">
        <v>543</v>
      </c>
      <c r="C497" s="1" t="s">
        <v>29</v>
      </c>
      <c r="D497">
        <v>74</v>
      </c>
      <c r="E497" s="1" t="s">
        <v>22</v>
      </c>
      <c r="F497">
        <v>330</v>
      </c>
      <c r="G497">
        <v>37.82</v>
      </c>
      <c r="H497">
        <v>5</v>
      </c>
    </row>
    <row r="498" spans="1:8" x14ac:dyDescent="0.3">
      <c r="A498" s="1" t="s">
        <v>495</v>
      </c>
      <c r="B498" s="1" t="s">
        <v>544</v>
      </c>
      <c r="C498" s="1" t="s">
        <v>10</v>
      </c>
      <c r="D498">
        <v>55</v>
      </c>
      <c r="E498" s="1" t="s">
        <v>19</v>
      </c>
      <c r="F498">
        <v>355</v>
      </c>
      <c r="G498">
        <v>59.65</v>
      </c>
      <c r="H498">
        <v>0</v>
      </c>
    </row>
    <row r="499" spans="1:8" x14ac:dyDescent="0.3">
      <c r="A499" s="1" t="s">
        <v>495</v>
      </c>
      <c r="B499" s="1" t="s">
        <v>545</v>
      </c>
      <c r="C499" s="1" t="s">
        <v>73</v>
      </c>
      <c r="D499">
        <v>94</v>
      </c>
      <c r="E499" s="1" t="s">
        <v>22</v>
      </c>
      <c r="F499">
        <v>6</v>
      </c>
      <c r="G499">
        <v>67.459999999999994</v>
      </c>
      <c r="H499">
        <v>5</v>
      </c>
    </row>
    <row r="500" spans="1:8" x14ac:dyDescent="0.3">
      <c r="A500" s="1" t="s">
        <v>546</v>
      </c>
      <c r="B500" s="1" t="s">
        <v>547</v>
      </c>
      <c r="C500" s="1" t="s">
        <v>16</v>
      </c>
      <c r="D500">
        <v>120</v>
      </c>
      <c r="E500" s="1" t="s">
        <v>19</v>
      </c>
      <c r="F500">
        <v>27</v>
      </c>
      <c r="G500">
        <v>24.46</v>
      </c>
      <c r="H500">
        <v>3</v>
      </c>
    </row>
    <row r="501" spans="1:8" x14ac:dyDescent="0.3">
      <c r="A501" s="1" t="s">
        <v>546</v>
      </c>
      <c r="B501" s="1" t="s">
        <v>548</v>
      </c>
      <c r="C501" s="1" t="s">
        <v>44</v>
      </c>
      <c r="D501">
        <v>38</v>
      </c>
      <c r="E501" s="1" t="s">
        <v>19</v>
      </c>
      <c r="F501">
        <v>108</v>
      </c>
      <c r="G501">
        <v>72.7</v>
      </c>
      <c r="H501">
        <v>3</v>
      </c>
    </row>
    <row r="502" spans="1:8" x14ac:dyDescent="0.3">
      <c r="A502" s="1" t="s">
        <v>546</v>
      </c>
      <c r="B502" s="1" t="s">
        <v>549</v>
      </c>
      <c r="C502" s="1" t="s">
        <v>137</v>
      </c>
      <c r="D502">
        <v>21</v>
      </c>
      <c r="E502" s="1" t="s">
        <v>22</v>
      </c>
      <c r="F502">
        <v>444</v>
      </c>
      <c r="G502">
        <v>41.92</v>
      </c>
      <c r="H502">
        <v>3</v>
      </c>
    </row>
    <row r="503" spans="1:8" x14ac:dyDescent="0.3">
      <c r="A503" s="1" t="s">
        <v>546</v>
      </c>
      <c r="B503" s="1" t="s">
        <v>550</v>
      </c>
      <c r="C503" s="1" t="s">
        <v>37</v>
      </c>
      <c r="D503">
        <v>9</v>
      </c>
      <c r="E503" s="1" t="s">
        <v>19</v>
      </c>
      <c r="F503">
        <v>11</v>
      </c>
      <c r="G503">
        <v>72.36</v>
      </c>
      <c r="H503">
        <v>2</v>
      </c>
    </row>
    <row r="504" spans="1:8" x14ac:dyDescent="0.3">
      <c r="A504" s="1" t="s">
        <v>546</v>
      </c>
      <c r="B504" s="1" t="s">
        <v>551</v>
      </c>
      <c r="C504" s="1" t="s">
        <v>29</v>
      </c>
      <c r="D504">
        <v>36</v>
      </c>
      <c r="E504" s="1" t="s">
        <v>22</v>
      </c>
      <c r="F504">
        <v>487</v>
      </c>
      <c r="G504">
        <v>45.02</v>
      </c>
      <c r="H504">
        <v>2</v>
      </c>
    </row>
    <row r="505" spans="1:8" x14ac:dyDescent="0.3">
      <c r="A505" s="1" t="s">
        <v>546</v>
      </c>
      <c r="B505" s="1" t="s">
        <v>552</v>
      </c>
      <c r="C505" s="1" t="s">
        <v>73</v>
      </c>
      <c r="D505">
        <v>74</v>
      </c>
      <c r="E505" s="1" t="s">
        <v>19</v>
      </c>
      <c r="F505">
        <v>388</v>
      </c>
      <c r="G505">
        <v>10.89</v>
      </c>
      <c r="H505">
        <v>4</v>
      </c>
    </row>
    <row r="506" spans="1:8" x14ac:dyDescent="0.3">
      <c r="A506" s="1" t="s">
        <v>546</v>
      </c>
      <c r="B506" s="1" t="s">
        <v>553</v>
      </c>
      <c r="C506" s="1" t="s">
        <v>73</v>
      </c>
      <c r="D506">
        <v>47</v>
      </c>
      <c r="E506" s="1" t="s">
        <v>11</v>
      </c>
      <c r="F506">
        <v>350</v>
      </c>
      <c r="G506">
        <v>80.48</v>
      </c>
      <c r="H506">
        <v>3</v>
      </c>
    </row>
    <row r="507" spans="1:8" x14ac:dyDescent="0.3">
      <c r="A507" s="1" t="s">
        <v>546</v>
      </c>
      <c r="B507" s="1" t="s">
        <v>554</v>
      </c>
      <c r="C507" s="1" t="s">
        <v>18</v>
      </c>
      <c r="D507">
        <v>46</v>
      </c>
      <c r="E507" s="1" t="s">
        <v>14</v>
      </c>
      <c r="F507">
        <v>216</v>
      </c>
      <c r="G507">
        <v>63.74</v>
      </c>
      <c r="H507">
        <v>4</v>
      </c>
    </row>
    <row r="508" spans="1:8" x14ac:dyDescent="0.3">
      <c r="A508" s="1" t="s">
        <v>546</v>
      </c>
      <c r="B508" s="1" t="s">
        <v>555</v>
      </c>
      <c r="C508" s="1" t="s">
        <v>31</v>
      </c>
      <c r="D508">
        <v>12</v>
      </c>
      <c r="E508" s="1" t="s">
        <v>22</v>
      </c>
      <c r="F508">
        <v>138</v>
      </c>
      <c r="G508">
        <v>17</v>
      </c>
      <c r="H508">
        <v>2</v>
      </c>
    </row>
    <row r="509" spans="1:8" x14ac:dyDescent="0.3">
      <c r="A509" s="1" t="s">
        <v>546</v>
      </c>
      <c r="B509" s="1" t="s">
        <v>556</v>
      </c>
      <c r="C509" s="1" t="s">
        <v>16</v>
      </c>
      <c r="D509">
        <v>10</v>
      </c>
      <c r="E509" s="1" t="s">
        <v>14</v>
      </c>
      <c r="F509">
        <v>129</v>
      </c>
      <c r="G509">
        <v>70.12</v>
      </c>
      <c r="H509">
        <v>0</v>
      </c>
    </row>
    <row r="510" spans="1:8" x14ac:dyDescent="0.3">
      <c r="A510" s="1" t="s">
        <v>546</v>
      </c>
      <c r="B510" s="1" t="s">
        <v>557</v>
      </c>
      <c r="C510" s="1" t="s">
        <v>73</v>
      </c>
      <c r="D510">
        <v>23</v>
      </c>
      <c r="E510" s="1" t="s">
        <v>19</v>
      </c>
      <c r="F510">
        <v>325</v>
      </c>
      <c r="G510">
        <v>65.489999999999995</v>
      </c>
      <c r="H510">
        <v>1</v>
      </c>
    </row>
    <row r="511" spans="1:8" x14ac:dyDescent="0.3">
      <c r="A511" s="1" t="s">
        <v>546</v>
      </c>
      <c r="B511" s="1" t="s">
        <v>558</v>
      </c>
      <c r="C511" s="1" t="s">
        <v>137</v>
      </c>
      <c r="D511">
        <v>91</v>
      </c>
      <c r="E511" s="1" t="s">
        <v>22</v>
      </c>
      <c r="F511">
        <v>90</v>
      </c>
      <c r="G511">
        <v>39.14</v>
      </c>
      <c r="H511">
        <v>3</v>
      </c>
    </row>
    <row r="512" spans="1:8" x14ac:dyDescent="0.3">
      <c r="A512" s="1" t="s">
        <v>546</v>
      </c>
      <c r="B512" s="1" t="s">
        <v>559</v>
      </c>
      <c r="C512" s="1" t="s">
        <v>78</v>
      </c>
      <c r="D512">
        <v>99</v>
      </c>
      <c r="E512" s="1" t="s">
        <v>14</v>
      </c>
      <c r="F512">
        <v>42</v>
      </c>
      <c r="G512">
        <v>98.77</v>
      </c>
      <c r="H512">
        <v>3</v>
      </c>
    </row>
    <row r="513" spans="1:8" x14ac:dyDescent="0.3">
      <c r="A513" s="1" t="s">
        <v>546</v>
      </c>
      <c r="B513" s="1" t="s">
        <v>560</v>
      </c>
      <c r="C513" s="1" t="s">
        <v>127</v>
      </c>
      <c r="D513">
        <v>59</v>
      </c>
      <c r="E513" s="1" t="s">
        <v>14</v>
      </c>
      <c r="F513">
        <v>72</v>
      </c>
      <c r="G513">
        <v>94.51</v>
      </c>
      <c r="H513">
        <v>2</v>
      </c>
    </row>
    <row r="514" spans="1:8" x14ac:dyDescent="0.3">
      <c r="A514" s="1" t="s">
        <v>546</v>
      </c>
      <c r="B514" s="1" t="s">
        <v>561</v>
      </c>
      <c r="C514" s="1" t="s">
        <v>24</v>
      </c>
      <c r="D514">
        <v>34</v>
      </c>
      <c r="E514" s="1" t="s">
        <v>19</v>
      </c>
      <c r="F514">
        <v>35</v>
      </c>
      <c r="G514">
        <v>76.86</v>
      </c>
      <c r="H514">
        <v>1</v>
      </c>
    </row>
    <row r="515" spans="1:8" x14ac:dyDescent="0.3">
      <c r="A515" s="1" t="s">
        <v>546</v>
      </c>
      <c r="B515" s="1" t="s">
        <v>562</v>
      </c>
      <c r="C515" s="1" t="s">
        <v>44</v>
      </c>
      <c r="D515">
        <v>61</v>
      </c>
      <c r="E515" s="1" t="s">
        <v>11</v>
      </c>
      <c r="F515">
        <v>140</v>
      </c>
      <c r="G515">
        <v>76.3</v>
      </c>
      <c r="H515">
        <v>4</v>
      </c>
    </row>
    <row r="516" spans="1:8" x14ac:dyDescent="0.3">
      <c r="A516" s="1" t="s">
        <v>546</v>
      </c>
      <c r="B516" s="1" t="s">
        <v>563</v>
      </c>
      <c r="C516" s="1" t="s">
        <v>78</v>
      </c>
      <c r="D516">
        <v>33</v>
      </c>
      <c r="E516" s="1" t="s">
        <v>14</v>
      </c>
      <c r="F516">
        <v>207</v>
      </c>
      <c r="G516">
        <v>38.49</v>
      </c>
      <c r="H516">
        <v>4</v>
      </c>
    </row>
    <row r="517" spans="1:8" x14ac:dyDescent="0.3">
      <c r="A517" s="1" t="s">
        <v>546</v>
      </c>
      <c r="B517" s="1" t="s">
        <v>564</v>
      </c>
      <c r="C517" s="1" t="s">
        <v>35</v>
      </c>
      <c r="D517">
        <v>98</v>
      </c>
      <c r="E517" s="1" t="s">
        <v>14</v>
      </c>
      <c r="F517">
        <v>41</v>
      </c>
      <c r="G517">
        <v>23.55</v>
      </c>
      <c r="H517">
        <v>1</v>
      </c>
    </row>
    <row r="518" spans="1:8" x14ac:dyDescent="0.3">
      <c r="A518" s="1" t="s">
        <v>546</v>
      </c>
      <c r="B518" s="1" t="s">
        <v>565</v>
      </c>
      <c r="C518" s="1" t="s">
        <v>21</v>
      </c>
      <c r="D518">
        <v>113</v>
      </c>
      <c r="E518" s="1" t="s">
        <v>14</v>
      </c>
      <c r="F518">
        <v>152</v>
      </c>
      <c r="G518">
        <v>51.28</v>
      </c>
      <c r="H518">
        <v>4</v>
      </c>
    </row>
    <row r="519" spans="1:8" x14ac:dyDescent="0.3">
      <c r="A519" s="1" t="s">
        <v>546</v>
      </c>
      <c r="B519" s="1" t="s">
        <v>566</v>
      </c>
      <c r="C519" s="1" t="s">
        <v>31</v>
      </c>
      <c r="D519">
        <v>57</v>
      </c>
      <c r="E519" s="1" t="s">
        <v>19</v>
      </c>
      <c r="F519">
        <v>447</v>
      </c>
      <c r="G519">
        <v>23.27</v>
      </c>
      <c r="H519">
        <v>3</v>
      </c>
    </row>
    <row r="520" spans="1:8" x14ac:dyDescent="0.3">
      <c r="A520" s="1" t="s">
        <v>546</v>
      </c>
      <c r="B520" s="1" t="s">
        <v>567</v>
      </c>
      <c r="C520" s="1" t="s">
        <v>10</v>
      </c>
      <c r="D520">
        <v>84</v>
      </c>
      <c r="E520" s="1" t="s">
        <v>19</v>
      </c>
      <c r="F520">
        <v>364</v>
      </c>
      <c r="G520">
        <v>87.79</v>
      </c>
      <c r="H520">
        <v>3</v>
      </c>
    </row>
    <row r="521" spans="1:8" x14ac:dyDescent="0.3">
      <c r="A521" s="1" t="s">
        <v>546</v>
      </c>
      <c r="B521" s="1" t="s">
        <v>568</v>
      </c>
      <c r="C521" s="1" t="s">
        <v>62</v>
      </c>
      <c r="D521">
        <v>119</v>
      </c>
      <c r="E521" s="1" t="s">
        <v>22</v>
      </c>
      <c r="F521">
        <v>231</v>
      </c>
      <c r="G521">
        <v>20.22</v>
      </c>
      <c r="H521">
        <v>2</v>
      </c>
    </row>
    <row r="522" spans="1:8" x14ac:dyDescent="0.3">
      <c r="A522" s="1" t="s">
        <v>546</v>
      </c>
      <c r="B522" s="1" t="s">
        <v>569</v>
      </c>
      <c r="C522" s="1" t="s">
        <v>37</v>
      </c>
      <c r="D522">
        <v>18</v>
      </c>
      <c r="E522" s="1" t="s">
        <v>19</v>
      </c>
      <c r="F522">
        <v>446</v>
      </c>
      <c r="G522">
        <v>97.3</v>
      </c>
      <c r="H522">
        <v>5</v>
      </c>
    </row>
    <row r="523" spans="1:8" x14ac:dyDescent="0.3">
      <c r="A523" s="1" t="s">
        <v>546</v>
      </c>
      <c r="B523" s="1" t="s">
        <v>570</v>
      </c>
      <c r="C523" s="1" t="s">
        <v>137</v>
      </c>
      <c r="D523">
        <v>16</v>
      </c>
      <c r="E523" s="1" t="s">
        <v>14</v>
      </c>
      <c r="F523">
        <v>214</v>
      </c>
      <c r="G523">
        <v>46.57</v>
      </c>
      <c r="H523">
        <v>5</v>
      </c>
    </row>
    <row r="524" spans="1:8" x14ac:dyDescent="0.3">
      <c r="A524" s="1" t="s">
        <v>546</v>
      </c>
      <c r="B524" s="1" t="s">
        <v>571</v>
      </c>
      <c r="C524" s="1" t="s">
        <v>13</v>
      </c>
      <c r="D524">
        <v>73</v>
      </c>
      <c r="E524" s="1" t="s">
        <v>14</v>
      </c>
      <c r="F524">
        <v>268</v>
      </c>
      <c r="G524">
        <v>56.86</v>
      </c>
      <c r="H524">
        <v>5</v>
      </c>
    </row>
    <row r="525" spans="1:8" x14ac:dyDescent="0.3">
      <c r="A525" s="1" t="s">
        <v>546</v>
      </c>
      <c r="B525" s="1" t="s">
        <v>572</v>
      </c>
      <c r="C525" s="1" t="s">
        <v>131</v>
      </c>
      <c r="D525">
        <v>63</v>
      </c>
      <c r="E525" s="1" t="s">
        <v>22</v>
      </c>
      <c r="F525">
        <v>109</v>
      </c>
      <c r="G525">
        <v>10.33</v>
      </c>
      <c r="H525">
        <v>3</v>
      </c>
    </row>
    <row r="526" spans="1:8" x14ac:dyDescent="0.3">
      <c r="A526" s="1" t="s">
        <v>546</v>
      </c>
      <c r="B526" s="1" t="s">
        <v>573</v>
      </c>
      <c r="C526" s="1" t="s">
        <v>57</v>
      </c>
      <c r="D526">
        <v>6</v>
      </c>
      <c r="E526" s="1" t="s">
        <v>14</v>
      </c>
      <c r="F526">
        <v>342</v>
      </c>
      <c r="G526">
        <v>50.55</v>
      </c>
      <c r="H526">
        <v>5</v>
      </c>
    </row>
    <row r="527" spans="1:8" x14ac:dyDescent="0.3">
      <c r="A527" s="1" t="s">
        <v>546</v>
      </c>
      <c r="B527" s="1" t="s">
        <v>574</v>
      </c>
      <c r="C527" s="1" t="s">
        <v>33</v>
      </c>
      <c r="D527">
        <v>47</v>
      </c>
      <c r="E527" s="1" t="s">
        <v>11</v>
      </c>
      <c r="F527">
        <v>457</v>
      </c>
      <c r="G527">
        <v>84.93</v>
      </c>
      <c r="H527">
        <v>2</v>
      </c>
    </row>
    <row r="528" spans="1:8" x14ac:dyDescent="0.3">
      <c r="A528" s="1" t="s">
        <v>546</v>
      </c>
      <c r="B528" s="1" t="s">
        <v>575</v>
      </c>
      <c r="C528" s="1" t="s">
        <v>31</v>
      </c>
      <c r="D528">
        <v>110</v>
      </c>
      <c r="E528" s="1" t="s">
        <v>19</v>
      </c>
      <c r="F528">
        <v>132</v>
      </c>
      <c r="G528">
        <v>21.31</v>
      </c>
      <c r="H528">
        <v>5</v>
      </c>
    </row>
    <row r="529" spans="1:8" x14ac:dyDescent="0.3">
      <c r="A529" s="1" t="s">
        <v>546</v>
      </c>
      <c r="B529" s="1" t="s">
        <v>576</v>
      </c>
      <c r="C529" s="1" t="s">
        <v>31</v>
      </c>
      <c r="D529">
        <v>37</v>
      </c>
      <c r="E529" s="1" t="s">
        <v>11</v>
      </c>
      <c r="F529">
        <v>94</v>
      </c>
      <c r="G529">
        <v>50.44</v>
      </c>
      <c r="H529">
        <v>4</v>
      </c>
    </row>
    <row r="530" spans="1:8" x14ac:dyDescent="0.3">
      <c r="A530" s="1" t="s">
        <v>546</v>
      </c>
      <c r="B530" s="1" t="s">
        <v>577</v>
      </c>
      <c r="C530" s="1" t="s">
        <v>40</v>
      </c>
      <c r="D530">
        <v>52</v>
      </c>
      <c r="E530" s="1" t="s">
        <v>11</v>
      </c>
      <c r="F530">
        <v>425</v>
      </c>
      <c r="G530">
        <v>97.25</v>
      </c>
      <c r="H530">
        <v>0</v>
      </c>
    </row>
    <row r="531" spans="1:8" x14ac:dyDescent="0.3">
      <c r="A531" s="1" t="s">
        <v>546</v>
      </c>
      <c r="B531" s="1" t="s">
        <v>578</v>
      </c>
      <c r="C531" s="1" t="s">
        <v>44</v>
      </c>
      <c r="D531">
        <v>53</v>
      </c>
      <c r="E531" s="1" t="s">
        <v>14</v>
      </c>
      <c r="F531">
        <v>27</v>
      </c>
      <c r="G531">
        <v>18.77</v>
      </c>
      <c r="H531">
        <v>0</v>
      </c>
    </row>
    <row r="532" spans="1:8" x14ac:dyDescent="0.3">
      <c r="A532" s="1" t="s">
        <v>546</v>
      </c>
      <c r="B532" s="1" t="s">
        <v>579</v>
      </c>
      <c r="C532" s="1" t="s">
        <v>89</v>
      </c>
      <c r="D532">
        <v>110</v>
      </c>
      <c r="E532" s="1" t="s">
        <v>22</v>
      </c>
      <c r="F532">
        <v>47</v>
      </c>
      <c r="G532">
        <v>29.68</v>
      </c>
      <c r="H532">
        <v>0</v>
      </c>
    </row>
    <row r="533" spans="1:8" x14ac:dyDescent="0.3">
      <c r="A533" s="1" t="s">
        <v>546</v>
      </c>
      <c r="B533" s="1" t="s">
        <v>580</v>
      </c>
      <c r="C533" s="1" t="s">
        <v>16</v>
      </c>
      <c r="D533">
        <v>80</v>
      </c>
      <c r="E533" s="1" t="s">
        <v>14</v>
      </c>
      <c r="F533">
        <v>458</v>
      </c>
      <c r="G533">
        <v>98.11</v>
      </c>
      <c r="H533">
        <v>0</v>
      </c>
    </row>
    <row r="534" spans="1:8" x14ac:dyDescent="0.3">
      <c r="A534" s="1" t="s">
        <v>546</v>
      </c>
      <c r="B534" s="1" t="s">
        <v>581</v>
      </c>
      <c r="C534" s="1" t="s">
        <v>26</v>
      </c>
      <c r="D534">
        <v>118</v>
      </c>
      <c r="E534" s="1" t="s">
        <v>19</v>
      </c>
      <c r="F534">
        <v>461</v>
      </c>
      <c r="G534">
        <v>47.82</v>
      </c>
      <c r="H534">
        <v>5</v>
      </c>
    </row>
    <row r="535" spans="1:8" x14ac:dyDescent="0.3">
      <c r="A535" s="1" t="s">
        <v>546</v>
      </c>
      <c r="B535" s="1" t="s">
        <v>582</v>
      </c>
      <c r="C535" s="1" t="s">
        <v>51</v>
      </c>
      <c r="D535">
        <v>88</v>
      </c>
      <c r="E535" s="1" t="s">
        <v>11</v>
      </c>
      <c r="F535">
        <v>219</v>
      </c>
      <c r="G535">
        <v>59.15</v>
      </c>
      <c r="H535">
        <v>0</v>
      </c>
    </row>
    <row r="536" spans="1:8" x14ac:dyDescent="0.3">
      <c r="A536" s="1" t="s">
        <v>546</v>
      </c>
      <c r="B536" s="1" t="s">
        <v>583</v>
      </c>
      <c r="C536" s="1" t="s">
        <v>24</v>
      </c>
      <c r="D536">
        <v>17</v>
      </c>
      <c r="E536" s="1" t="s">
        <v>14</v>
      </c>
      <c r="F536">
        <v>175</v>
      </c>
      <c r="G536">
        <v>24.95</v>
      </c>
      <c r="H536">
        <v>4</v>
      </c>
    </row>
    <row r="537" spans="1:8" x14ac:dyDescent="0.3">
      <c r="A537" s="1" t="s">
        <v>546</v>
      </c>
      <c r="B537" s="1" t="s">
        <v>584</v>
      </c>
      <c r="C537" s="1" t="s">
        <v>64</v>
      </c>
      <c r="D537">
        <v>57</v>
      </c>
      <c r="E537" s="1" t="s">
        <v>19</v>
      </c>
      <c r="F537">
        <v>493</v>
      </c>
      <c r="G537">
        <v>43.98</v>
      </c>
      <c r="H537">
        <v>3</v>
      </c>
    </row>
    <row r="538" spans="1:8" x14ac:dyDescent="0.3">
      <c r="A538" s="1" t="s">
        <v>546</v>
      </c>
      <c r="B538" s="1" t="s">
        <v>585</v>
      </c>
      <c r="C538" s="1" t="s">
        <v>44</v>
      </c>
      <c r="D538">
        <v>47</v>
      </c>
      <c r="E538" s="1" t="s">
        <v>22</v>
      </c>
      <c r="F538">
        <v>385</v>
      </c>
      <c r="G538">
        <v>41.33</v>
      </c>
      <c r="H538">
        <v>0</v>
      </c>
    </row>
    <row r="539" spans="1:8" x14ac:dyDescent="0.3">
      <c r="A539" s="1" t="s">
        <v>546</v>
      </c>
      <c r="B539" s="1" t="s">
        <v>586</v>
      </c>
      <c r="C539" s="1" t="s">
        <v>137</v>
      </c>
      <c r="D539">
        <v>66</v>
      </c>
      <c r="E539" s="1" t="s">
        <v>14</v>
      </c>
      <c r="F539">
        <v>152</v>
      </c>
      <c r="G539">
        <v>95.71</v>
      </c>
      <c r="H539">
        <v>3</v>
      </c>
    </row>
    <row r="540" spans="1:8" x14ac:dyDescent="0.3">
      <c r="A540" s="1" t="s">
        <v>546</v>
      </c>
      <c r="B540" s="1" t="s">
        <v>587</v>
      </c>
      <c r="C540" s="1" t="s">
        <v>35</v>
      </c>
      <c r="D540">
        <v>109</v>
      </c>
      <c r="E540" s="1" t="s">
        <v>22</v>
      </c>
      <c r="F540">
        <v>84</v>
      </c>
      <c r="G540">
        <v>97.46</v>
      </c>
      <c r="H540">
        <v>5</v>
      </c>
    </row>
    <row r="541" spans="1:8" x14ac:dyDescent="0.3">
      <c r="A541" s="1" t="s">
        <v>546</v>
      </c>
      <c r="B541" s="1" t="s">
        <v>588</v>
      </c>
      <c r="C541" s="1" t="s">
        <v>60</v>
      </c>
      <c r="D541">
        <v>80</v>
      </c>
      <c r="E541" s="1" t="s">
        <v>22</v>
      </c>
      <c r="F541">
        <v>101</v>
      </c>
      <c r="G541">
        <v>61.92</v>
      </c>
      <c r="H541">
        <v>4</v>
      </c>
    </row>
    <row r="542" spans="1:8" x14ac:dyDescent="0.3">
      <c r="A542" s="1" t="s">
        <v>546</v>
      </c>
      <c r="B542" s="1" t="s">
        <v>589</v>
      </c>
      <c r="C542" s="1" t="s">
        <v>24</v>
      </c>
      <c r="D542">
        <v>41</v>
      </c>
      <c r="E542" s="1" t="s">
        <v>11</v>
      </c>
      <c r="F542">
        <v>178</v>
      </c>
      <c r="G542">
        <v>11.29</v>
      </c>
      <c r="H542">
        <v>4</v>
      </c>
    </row>
    <row r="543" spans="1:8" x14ac:dyDescent="0.3">
      <c r="A543" s="1" t="s">
        <v>546</v>
      </c>
      <c r="B543" s="1" t="s">
        <v>590</v>
      </c>
      <c r="C543" s="1" t="s">
        <v>24</v>
      </c>
      <c r="D543">
        <v>48</v>
      </c>
      <c r="E543" s="1" t="s">
        <v>19</v>
      </c>
      <c r="F543">
        <v>482</v>
      </c>
      <c r="G543">
        <v>83.24</v>
      </c>
      <c r="H543">
        <v>0</v>
      </c>
    </row>
    <row r="544" spans="1:8" x14ac:dyDescent="0.3">
      <c r="A544" s="1" t="s">
        <v>546</v>
      </c>
      <c r="B544" s="1" t="s">
        <v>591</v>
      </c>
      <c r="C544" s="1" t="s">
        <v>40</v>
      </c>
      <c r="D544">
        <v>11</v>
      </c>
      <c r="E544" s="1" t="s">
        <v>14</v>
      </c>
      <c r="F544">
        <v>214</v>
      </c>
      <c r="G544">
        <v>11.46</v>
      </c>
      <c r="H544">
        <v>5</v>
      </c>
    </row>
    <row r="545" spans="1:8" x14ac:dyDescent="0.3">
      <c r="A545" s="1" t="s">
        <v>546</v>
      </c>
      <c r="B545" s="1" t="s">
        <v>592</v>
      </c>
      <c r="C545" s="1" t="s">
        <v>26</v>
      </c>
      <c r="D545">
        <v>88</v>
      </c>
      <c r="E545" s="1" t="s">
        <v>19</v>
      </c>
      <c r="F545">
        <v>246</v>
      </c>
      <c r="G545">
        <v>90.7</v>
      </c>
      <c r="H545">
        <v>3</v>
      </c>
    </row>
    <row r="546" spans="1:8" x14ac:dyDescent="0.3">
      <c r="A546" s="1" t="s">
        <v>546</v>
      </c>
      <c r="B546" s="1" t="s">
        <v>593</v>
      </c>
      <c r="C546" s="1" t="s">
        <v>51</v>
      </c>
      <c r="D546">
        <v>53</v>
      </c>
      <c r="E546" s="1" t="s">
        <v>11</v>
      </c>
      <c r="F546">
        <v>243</v>
      </c>
      <c r="G546">
        <v>55.19</v>
      </c>
      <c r="H546">
        <v>4</v>
      </c>
    </row>
    <row r="547" spans="1:8" x14ac:dyDescent="0.3">
      <c r="A547" s="1" t="s">
        <v>546</v>
      </c>
      <c r="B547" s="1" t="s">
        <v>594</v>
      </c>
      <c r="C547" s="1" t="s">
        <v>127</v>
      </c>
      <c r="D547">
        <v>65</v>
      </c>
      <c r="E547" s="1" t="s">
        <v>14</v>
      </c>
      <c r="F547">
        <v>274</v>
      </c>
      <c r="G547">
        <v>88.1</v>
      </c>
      <c r="H547">
        <v>4</v>
      </c>
    </row>
    <row r="548" spans="1:8" x14ac:dyDescent="0.3">
      <c r="A548" s="1" t="s">
        <v>546</v>
      </c>
      <c r="B548" s="1" t="s">
        <v>595</v>
      </c>
      <c r="C548" s="1" t="s">
        <v>78</v>
      </c>
      <c r="D548">
        <v>58</v>
      </c>
      <c r="E548" s="1" t="s">
        <v>14</v>
      </c>
      <c r="F548">
        <v>352</v>
      </c>
      <c r="G548">
        <v>72.94</v>
      </c>
      <c r="H548">
        <v>0</v>
      </c>
    </row>
    <row r="549" spans="1:8" x14ac:dyDescent="0.3">
      <c r="A549" s="1" t="s">
        <v>546</v>
      </c>
      <c r="B549" s="1" t="s">
        <v>596</v>
      </c>
      <c r="C549" s="1" t="s">
        <v>29</v>
      </c>
      <c r="D549">
        <v>34</v>
      </c>
      <c r="E549" s="1" t="s">
        <v>22</v>
      </c>
      <c r="F549">
        <v>401</v>
      </c>
      <c r="G549">
        <v>68.400000000000006</v>
      </c>
      <c r="H549">
        <v>5</v>
      </c>
    </row>
    <row r="550" spans="1:8" x14ac:dyDescent="0.3">
      <c r="A550" s="1" t="s">
        <v>597</v>
      </c>
      <c r="B550" s="1" t="s">
        <v>598</v>
      </c>
      <c r="C550" s="1" t="s">
        <v>57</v>
      </c>
      <c r="D550">
        <v>51</v>
      </c>
      <c r="E550" s="1" t="s">
        <v>22</v>
      </c>
      <c r="F550">
        <v>152</v>
      </c>
      <c r="G550">
        <v>34.630000000000003</v>
      </c>
      <c r="H550">
        <v>2</v>
      </c>
    </row>
    <row r="551" spans="1:8" x14ac:dyDescent="0.3">
      <c r="A551" s="1" t="s">
        <v>597</v>
      </c>
      <c r="B551" s="1" t="s">
        <v>599</v>
      </c>
      <c r="C551" s="1" t="s">
        <v>137</v>
      </c>
      <c r="D551">
        <v>25</v>
      </c>
      <c r="E551" s="1" t="s">
        <v>19</v>
      </c>
      <c r="F551">
        <v>5</v>
      </c>
      <c r="G551">
        <v>27.93</v>
      </c>
      <c r="H551">
        <v>0</v>
      </c>
    </row>
    <row r="552" spans="1:8" x14ac:dyDescent="0.3">
      <c r="A552" s="1" t="s">
        <v>597</v>
      </c>
      <c r="B552" s="1" t="s">
        <v>600</v>
      </c>
      <c r="C552" s="1" t="s">
        <v>127</v>
      </c>
      <c r="D552">
        <v>79</v>
      </c>
      <c r="E552" s="1" t="s">
        <v>19</v>
      </c>
      <c r="F552">
        <v>462</v>
      </c>
      <c r="G552">
        <v>18.28</v>
      </c>
      <c r="H552">
        <v>0</v>
      </c>
    </row>
    <row r="553" spans="1:8" x14ac:dyDescent="0.3">
      <c r="A553" s="1" t="s">
        <v>597</v>
      </c>
      <c r="B553" s="1" t="s">
        <v>601</v>
      </c>
      <c r="C553" s="1" t="s">
        <v>60</v>
      </c>
      <c r="D553">
        <v>83</v>
      </c>
      <c r="E553" s="1" t="s">
        <v>14</v>
      </c>
      <c r="F553">
        <v>91</v>
      </c>
      <c r="G553">
        <v>73.73</v>
      </c>
      <c r="H553">
        <v>2</v>
      </c>
    </row>
    <row r="554" spans="1:8" x14ac:dyDescent="0.3">
      <c r="A554" s="1" t="s">
        <v>597</v>
      </c>
      <c r="B554" s="1" t="s">
        <v>602</v>
      </c>
      <c r="C554" s="1" t="s">
        <v>131</v>
      </c>
      <c r="D554">
        <v>51</v>
      </c>
      <c r="E554" s="1" t="s">
        <v>19</v>
      </c>
      <c r="F554">
        <v>337</v>
      </c>
      <c r="G554">
        <v>68.67</v>
      </c>
      <c r="H554">
        <v>5</v>
      </c>
    </row>
    <row r="555" spans="1:8" x14ac:dyDescent="0.3">
      <c r="A555" s="1" t="s">
        <v>597</v>
      </c>
      <c r="B555" s="1" t="s">
        <v>603</v>
      </c>
      <c r="C555" s="1" t="s">
        <v>51</v>
      </c>
      <c r="D555">
        <v>107</v>
      </c>
      <c r="E555" s="1" t="s">
        <v>22</v>
      </c>
      <c r="F555">
        <v>290</v>
      </c>
      <c r="G555">
        <v>52.03</v>
      </c>
      <c r="H555">
        <v>0</v>
      </c>
    </row>
    <row r="556" spans="1:8" x14ac:dyDescent="0.3">
      <c r="A556" s="1" t="s">
        <v>597</v>
      </c>
      <c r="B556" s="1" t="s">
        <v>604</v>
      </c>
      <c r="C556" s="1" t="s">
        <v>33</v>
      </c>
      <c r="D556">
        <v>7</v>
      </c>
      <c r="E556" s="1" t="s">
        <v>14</v>
      </c>
      <c r="F556">
        <v>323</v>
      </c>
      <c r="G556">
        <v>82.81</v>
      </c>
      <c r="H556">
        <v>5</v>
      </c>
    </row>
    <row r="557" spans="1:8" x14ac:dyDescent="0.3">
      <c r="A557" s="1" t="s">
        <v>597</v>
      </c>
      <c r="B557" s="1" t="s">
        <v>605</v>
      </c>
      <c r="C557" s="1" t="s">
        <v>26</v>
      </c>
      <c r="D557">
        <v>103</v>
      </c>
      <c r="E557" s="1" t="s">
        <v>11</v>
      </c>
      <c r="F557">
        <v>310</v>
      </c>
      <c r="G557">
        <v>49.25</v>
      </c>
      <c r="H557">
        <v>2</v>
      </c>
    </row>
    <row r="558" spans="1:8" x14ac:dyDescent="0.3">
      <c r="A558" s="1" t="s">
        <v>597</v>
      </c>
      <c r="B558" s="1" t="s">
        <v>606</v>
      </c>
      <c r="C558" s="1" t="s">
        <v>51</v>
      </c>
      <c r="D558">
        <v>120</v>
      </c>
      <c r="E558" s="1" t="s">
        <v>22</v>
      </c>
      <c r="F558">
        <v>437</v>
      </c>
      <c r="G558">
        <v>95.17</v>
      </c>
      <c r="H558">
        <v>1</v>
      </c>
    </row>
    <row r="559" spans="1:8" x14ac:dyDescent="0.3">
      <c r="A559" s="1" t="s">
        <v>597</v>
      </c>
      <c r="B559" s="1" t="s">
        <v>607</v>
      </c>
      <c r="C559" s="1" t="s">
        <v>21</v>
      </c>
      <c r="D559">
        <v>74</v>
      </c>
      <c r="E559" s="1" t="s">
        <v>22</v>
      </c>
      <c r="F559">
        <v>16</v>
      </c>
      <c r="G559">
        <v>93.01</v>
      </c>
      <c r="H559">
        <v>3</v>
      </c>
    </row>
    <row r="560" spans="1:8" x14ac:dyDescent="0.3">
      <c r="A560" s="1" t="s">
        <v>597</v>
      </c>
      <c r="B560" s="1" t="s">
        <v>608</v>
      </c>
      <c r="C560" s="1" t="s">
        <v>24</v>
      </c>
      <c r="D560">
        <v>55</v>
      </c>
      <c r="E560" s="1" t="s">
        <v>22</v>
      </c>
      <c r="F560">
        <v>60</v>
      </c>
      <c r="G560">
        <v>32.51</v>
      </c>
      <c r="H560">
        <v>4</v>
      </c>
    </row>
    <row r="561" spans="1:8" x14ac:dyDescent="0.3">
      <c r="A561" s="1" t="s">
        <v>597</v>
      </c>
      <c r="B561" s="1" t="s">
        <v>609</v>
      </c>
      <c r="C561" s="1" t="s">
        <v>127</v>
      </c>
      <c r="D561">
        <v>17</v>
      </c>
      <c r="E561" s="1" t="s">
        <v>11</v>
      </c>
      <c r="F561">
        <v>499</v>
      </c>
      <c r="G561">
        <v>27.81</v>
      </c>
      <c r="H561">
        <v>2</v>
      </c>
    </row>
    <row r="562" spans="1:8" x14ac:dyDescent="0.3">
      <c r="A562" s="1" t="s">
        <v>597</v>
      </c>
      <c r="B562" s="1" t="s">
        <v>610</v>
      </c>
      <c r="C562" s="1" t="s">
        <v>10</v>
      </c>
      <c r="D562">
        <v>82</v>
      </c>
      <c r="E562" s="1" t="s">
        <v>22</v>
      </c>
      <c r="F562">
        <v>175</v>
      </c>
      <c r="G562">
        <v>86.14</v>
      </c>
      <c r="H562">
        <v>1</v>
      </c>
    </row>
    <row r="563" spans="1:8" x14ac:dyDescent="0.3">
      <c r="A563" s="1" t="s">
        <v>597</v>
      </c>
      <c r="B563" s="1" t="s">
        <v>611</v>
      </c>
      <c r="C563" s="1" t="s">
        <v>16</v>
      </c>
      <c r="D563">
        <v>50</v>
      </c>
      <c r="E563" s="1" t="s">
        <v>22</v>
      </c>
      <c r="F563">
        <v>177</v>
      </c>
      <c r="G563">
        <v>74.569999999999993</v>
      </c>
      <c r="H563">
        <v>4</v>
      </c>
    </row>
    <row r="564" spans="1:8" x14ac:dyDescent="0.3">
      <c r="A564" s="1" t="s">
        <v>597</v>
      </c>
      <c r="B564" s="1" t="s">
        <v>612</v>
      </c>
      <c r="C564" s="1" t="s">
        <v>37</v>
      </c>
      <c r="D564">
        <v>94</v>
      </c>
      <c r="E564" s="1" t="s">
        <v>14</v>
      </c>
      <c r="F564">
        <v>247</v>
      </c>
      <c r="G564">
        <v>96.57</v>
      </c>
      <c r="H564">
        <v>0</v>
      </c>
    </row>
    <row r="565" spans="1:8" x14ac:dyDescent="0.3">
      <c r="A565" s="1" t="s">
        <v>597</v>
      </c>
      <c r="B565" s="1" t="s">
        <v>613</v>
      </c>
      <c r="C565" s="1" t="s">
        <v>24</v>
      </c>
      <c r="D565">
        <v>23</v>
      </c>
      <c r="E565" s="1" t="s">
        <v>11</v>
      </c>
      <c r="F565">
        <v>314</v>
      </c>
      <c r="G565">
        <v>19.260000000000002</v>
      </c>
      <c r="H565">
        <v>3</v>
      </c>
    </row>
    <row r="566" spans="1:8" x14ac:dyDescent="0.3">
      <c r="A566" s="1" t="s">
        <v>597</v>
      </c>
      <c r="B566" s="1" t="s">
        <v>614</v>
      </c>
      <c r="C566" s="1" t="s">
        <v>18</v>
      </c>
      <c r="D566">
        <v>52</v>
      </c>
      <c r="E566" s="1" t="s">
        <v>19</v>
      </c>
      <c r="F566">
        <v>307</v>
      </c>
      <c r="G566">
        <v>81.38</v>
      </c>
      <c r="H566">
        <v>2</v>
      </c>
    </row>
    <row r="567" spans="1:8" x14ac:dyDescent="0.3">
      <c r="A567" s="1" t="s">
        <v>597</v>
      </c>
      <c r="B567" s="1" t="s">
        <v>615</v>
      </c>
      <c r="C567" s="1" t="s">
        <v>131</v>
      </c>
      <c r="D567">
        <v>116</v>
      </c>
      <c r="E567" s="1" t="s">
        <v>11</v>
      </c>
      <c r="F567">
        <v>279</v>
      </c>
      <c r="G567">
        <v>62.88</v>
      </c>
      <c r="H567">
        <v>4</v>
      </c>
    </row>
    <row r="568" spans="1:8" x14ac:dyDescent="0.3">
      <c r="A568" s="1" t="s">
        <v>597</v>
      </c>
      <c r="B568" s="1" t="s">
        <v>616</v>
      </c>
      <c r="C568" s="1" t="s">
        <v>64</v>
      </c>
      <c r="D568">
        <v>41</v>
      </c>
      <c r="E568" s="1" t="s">
        <v>19</v>
      </c>
      <c r="F568">
        <v>2</v>
      </c>
      <c r="G568">
        <v>24.91</v>
      </c>
      <c r="H568">
        <v>1</v>
      </c>
    </row>
    <row r="569" spans="1:8" x14ac:dyDescent="0.3">
      <c r="A569" s="1" t="s">
        <v>597</v>
      </c>
      <c r="B569" s="1" t="s">
        <v>617</v>
      </c>
      <c r="C569" s="1" t="s">
        <v>21</v>
      </c>
      <c r="D569">
        <v>67</v>
      </c>
      <c r="E569" s="1" t="s">
        <v>22</v>
      </c>
      <c r="F569">
        <v>81</v>
      </c>
      <c r="G569">
        <v>28.52</v>
      </c>
      <c r="H569">
        <v>4</v>
      </c>
    </row>
    <row r="570" spans="1:8" x14ac:dyDescent="0.3">
      <c r="A570" s="1" t="s">
        <v>597</v>
      </c>
      <c r="B570" s="1" t="s">
        <v>618</v>
      </c>
      <c r="C570" s="1" t="s">
        <v>24</v>
      </c>
      <c r="D570">
        <v>21</v>
      </c>
      <c r="E570" s="1" t="s">
        <v>19</v>
      </c>
      <c r="F570">
        <v>267</v>
      </c>
      <c r="G570">
        <v>74.989999999999995</v>
      </c>
      <c r="H570">
        <v>1</v>
      </c>
    </row>
    <row r="571" spans="1:8" x14ac:dyDescent="0.3">
      <c r="A571" s="1" t="s">
        <v>597</v>
      </c>
      <c r="B571" s="1" t="s">
        <v>619</v>
      </c>
      <c r="C571" s="1" t="s">
        <v>57</v>
      </c>
      <c r="D571">
        <v>56</v>
      </c>
      <c r="E571" s="1" t="s">
        <v>19</v>
      </c>
      <c r="F571">
        <v>379</v>
      </c>
      <c r="G571">
        <v>49.01</v>
      </c>
      <c r="H571">
        <v>0</v>
      </c>
    </row>
    <row r="572" spans="1:8" x14ac:dyDescent="0.3">
      <c r="A572" s="1" t="s">
        <v>597</v>
      </c>
      <c r="B572" s="1" t="s">
        <v>620</v>
      </c>
      <c r="C572" s="1" t="s">
        <v>73</v>
      </c>
      <c r="D572">
        <v>30</v>
      </c>
      <c r="E572" s="1" t="s">
        <v>19</v>
      </c>
      <c r="F572">
        <v>130</v>
      </c>
      <c r="G572">
        <v>50.15</v>
      </c>
      <c r="H572">
        <v>4</v>
      </c>
    </row>
    <row r="573" spans="1:8" x14ac:dyDescent="0.3">
      <c r="A573" s="1" t="s">
        <v>597</v>
      </c>
      <c r="B573" s="1" t="s">
        <v>621</v>
      </c>
      <c r="C573" s="1" t="s">
        <v>35</v>
      </c>
      <c r="D573">
        <v>13</v>
      </c>
      <c r="E573" s="1" t="s">
        <v>14</v>
      </c>
      <c r="F573">
        <v>474</v>
      </c>
      <c r="G573">
        <v>63.67</v>
      </c>
      <c r="H573">
        <v>2</v>
      </c>
    </row>
    <row r="574" spans="1:8" x14ac:dyDescent="0.3">
      <c r="A574" s="1" t="s">
        <v>597</v>
      </c>
      <c r="B574" s="1" t="s">
        <v>622</v>
      </c>
      <c r="C574" s="1" t="s">
        <v>67</v>
      </c>
      <c r="D574">
        <v>91</v>
      </c>
      <c r="E574" s="1" t="s">
        <v>19</v>
      </c>
      <c r="F574">
        <v>62</v>
      </c>
      <c r="G574">
        <v>34.450000000000003</v>
      </c>
      <c r="H574">
        <v>5</v>
      </c>
    </row>
    <row r="575" spans="1:8" x14ac:dyDescent="0.3">
      <c r="A575" s="1" t="s">
        <v>597</v>
      </c>
      <c r="B575" s="1" t="s">
        <v>623</v>
      </c>
      <c r="C575" s="1" t="s">
        <v>13</v>
      </c>
      <c r="D575">
        <v>103</v>
      </c>
      <c r="E575" s="1" t="s">
        <v>19</v>
      </c>
      <c r="F575">
        <v>98</v>
      </c>
      <c r="G575">
        <v>38.69</v>
      </c>
      <c r="H575">
        <v>4</v>
      </c>
    </row>
    <row r="576" spans="1:8" x14ac:dyDescent="0.3">
      <c r="A576" s="1" t="s">
        <v>597</v>
      </c>
      <c r="B576" s="1" t="s">
        <v>624</v>
      </c>
      <c r="C576" s="1" t="s">
        <v>67</v>
      </c>
      <c r="D576">
        <v>17</v>
      </c>
      <c r="E576" s="1" t="s">
        <v>22</v>
      </c>
      <c r="F576">
        <v>310</v>
      </c>
      <c r="G576">
        <v>19.68</v>
      </c>
      <c r="H576">
        <v>5</v>
      </c>
    </row>
    <row r="577" spans="1:8" x14ac:dyDescent="0.3">
      <c r="A577" s="1" t="s">
        <v>597</v>
      </c>
      <c r="B577" s="1" t="s">
        <v>625</v>
      </c>
      <c r="C577" s="1" t="s">
        <v>35</v>
      </c>
      <c r="D577">
        <v>65</v>
      </c>
      <c r="E577" s="1" t="s">
        <v>11</v>
      </c>
      <c r="F577">
        <v>15</v>
      </c>
      <c r="G577">
        <v>44.47</v>
      </c>
      <c r="H577">
        <v>0</v>
      </c>
    </row>
    <row r="578" spans="1:8" x14ac:dyDescent="0.3">
      <c r="A578" s="1" t="s">
        <v>597</v>
      </c>
      <c r="B578" s="1" t="s">
        <v>626</v>
      </c>
      <c r="C578" s="1" t="s">
        <v>24</v>
      </c>
      <c r="D578">
        <v>16</v>
      </c>
      <c r="E578" s="1" t="s">
        <v>11</v>
      </c>
      <c r="F578">
        <v>274</v>
      </c>
      <c r="G578">
        <v>27.97</v>
      </c>
      <c r="H578">
        <v>4</v>
      </c>
    </row>
    <row r="579" spans="1:8" x14ac:dyDescent="0.3">
      <c r="A579" s="1" t="s">
        <v>597</v>
      </c>
      <c r="B579" s="1" t="s">
        <v>627</v>
      </c>
      <c r="C579" s="1" t="s">
        <v>10</v>
      </c>
      <c r="D579">
        <v>81</v>
      </c>
      <c r="E579" s="1" t="s">
        <v>22</v>
      </c>
      <c r="F579">
        <v>11</v>
      </c>
      <c r="G579">
        <v>41.76</v>
      </c>
      <c r="H579">
        <v>5</v>
      </c>
    </row>
    <row r="580" spans="1:8" x14ac:dyDescent="0.3">
      <c r="A580" s="1" t="s">
        <v>597</v>
      </c>
      <c r="B580" s="1" t="s">
        <v>628</v>
      </c>
      <c r="C580" s="1" t="s">
        <v>13</v>
      </c>
      <c r="D580">
        <v>74</v>
      </c>
      <c r="E580" s="1" t="s">
        <v>19</v>
      </c>
      <c r="F580">
        <v>265</v>
      </c>
      <c r="G580">
        <v>90.81</v>
      </c>
      <c r="H580">
        <v>3</v>
      </c>
    </row>
    <row r="581" spans="1:8" x14ac:dyDescent="0.3">
      <c r="A581" s="1" t="s">
        <v>597</v>
      </c>
      <c r="B581" s="1" t="s">
        <v>629</v>
      </c>
      <c r="C581" s="1" t="s">
        <v>57</v>
      </c>
      <c r="D581">
        <v>101</v>
      </c>
      <c r="E581" s="1" t="s">
        <v>19</v>
      </c>
      <c r="F581">
        <v>262</v>
      </c>
      <c r="G581">
        <v>83.74</v>
      </c>
      <c r="H581">
        <v>5</v>
      </c>
    </row>
    <row r="582" spans="1:8" x14ac:dyDescent="0.3">
      <c r="A582" s="1" t="s">
        <v>597</v>
      </c>
      <c r="B582" s="1" t="s">
        <v>630</v>
      </c>
      <c r="C582" s="1" t="s">
        <v>64</v>
      </c>
      <c r="D582">
        <v>51</v>
      </c>
      <c r="E582" s="1" t="s">
        <v>14</v>
      </c>
      <c r="F582">
        <v>389</v>
      </c>
      <c r="G582">
        <v>50.45</v>
      </c>
      <c r="H582">
        <v>3</v>
      </c>
    </row>
    <row r="583" spans="1:8" x14ac:dyDescent="0.3">
      <c r="A583" s="1" t="s">
        <v>597</v>
      </c>
      <c r="B583" s="1" t="s">
        <v>631</v>
      </c>
      <c r="C583" s="1" t="s">
        <v>10</v>
      </c>
      <c r="D583">
        <v>108</v>
      </c>
      <c r="E583" s="1" t="s">
        <v>11</v>
      </c>
      <c r="F583">
        <v>78</v>
      </c>
      <c r="G583">
        <v>90.05</v>
      </c>
      <c r="H583">
        <v>2</v>
      </c>
    </row>
    <row r="584" spans="1:8" x14ac:dyDescent="0.3">
      <c r="A584" s="1" t="s">
        <v>597</v>
      </c>
      <c r="B584" s="1" t="s">
        <v>632</v>
      </c>
      <c r="C584" s="1" t="s">
        <v>62</v>
      </c>
      <c r="D584">
        <v>98</v>
      </c>
      <c r="E584" s="1" t="s">
        <v>22</v>
      </c>
      <c r="F584">
        <v>110</v>
      </c>
      <c r="G584">
        <v>96.23</v>
      </c>
      <c r="H584">
        <v>2</v>
      </c>
    </row>
    <row r="585" spans="1:8" x14ac:dyDescent="0.3">
      <c r="A585" s="1" t="s">
        <v>597</v>
      </c>
      <c r="B585" s="1" t="s">
        <v>633</v>
      </c>
      <c r="C585" s="1" t="s">
        <v>64</v>
      </c>
      <c r="D585">
        <v>81</v>
      </c>
      <c r="E585" s="1" t="s">
        <v>14</v>
      </c>
      <c r="F585">
        <v>443</v>
      </c>
      <c r="G585">
        <v>32.78</v>
      </c>
      <c r="H585">
        <v>1</v>
      </c>
    </row>
    <row r="586" spans="1:8" x14ac:dyDescent="0.3">
      <c r="A586" s="1" t="s">
        <v>597</v>
      </c>
      <c r="B586" s="1" t="s">
        <v>634</v>
      </c>
      <c r="C586" s="1" t="s">
        <v>64</v>
      </c>
      <c r="D586">
        <v>118</v>
      </c>
      <c r="E586" s="1" t="s">
        <v>19</v>
      </c>
      <c r="F586">
        <v>186</v>
      </c>
      <c r="G586">
        <v>46.88</v>
      </c>
      <c r="H586">
        <v>1</v>
      </c>
    </row>
    <row r="587" spans="1:8" x14ac:dyDescent="0.3">
      <c r="A587" s="1" t="s">
        <v>597</v>
      </c>
      <c r="B587" s="1" t="s">
        <v>635</v>
      </c>
      <c r="C587" s="1" t="s">
        <v>44</v>
      </c>
      <c r="D587">
        <v>34</v>
      </c>
      <c r="E587" s="1" t="s">
        <v>14</v>
      </c>
      <c r="F587">
        <v>58</v>
      </c>
      <c r="G587">
        <v>64.349999999999994</v>
      </c>
      <c r="H587">
        <v>0</v>
      </c>
    </row>
    <row r="588" spans="1:8" x14ac:dyDescent="0.3">
      <c r="A588" s="1" t="s">
        <v>597</v>
      </c>
      <c r="B588" s="1" t="s">
        <v>636</v>
      </c>
      <c r="C588" s="1" t="s">
        <v>24</v>
      </c>
      <c r="D588">
        <v>108</v>
      </c>
      <c r="E588" s="1" t="s">
        <v>19</v>
      </c>
      <c r="F588">
        <v>460</v>
      </c>
      <c r="G588">
        <v>88.95</v>
      </c>
      <c r="H588">
        <v>3</v>
      </c>
    </row>
    <row r="589" spans="1:8" x14ac:dyDescent="0.3">
      <c r="A589" s="1" t="s">
        <v>597</v>
      </c>
      <c r="B589" s="1" t="s">
        <v>637</v>
      </c>
      <c r="C589" s="1" t="s">
        <v>21</v>
      </c>
      <c r="D589">
        <v>71</v>
      </c>
      <c r="E589" s="1" t="s">
        <v>14</v>
      </c>
      <c r="F589">
        <v>111</v>
      </c>
      <c r="G589">
        <v>95.53</v>
      </c>
      <c r="H589">
        <v>3</v>
      </c>
    </row>
    <row r="590" spans="1:8" x14ac:dyDescent="0.3">
      <c r="A590" s="1" t="s">
        <v>597</v>
      </c>
      <c r="B590" s="1" t="s">
        <v>638</v>
      </c>
      <c r="C590" s="1" t="s">
        <v>73</v>
      </c>
      <c r="D590">
        <v>21</v>
      </c>
      <c r="E590" s="1" t="s">
        <v>19</v>
      </c>
      <c r="F590">
        <v>15</v>
      </c>
      <c r="G590">
        <v>57.74</v>
      </c>
      <c r="H590">
        <v>0</v>
      </c>
    </row>
    <row r="591" spans="1:8" x14ac:dyDescent="0.3">
      <c r="A591" s="1" t="s">
        <v>597</v>
      </c>
      <c r="B591" s="1" t="s">
        <v>639</v>
      </c>
      <c r="C591" s="1" t="s">
        <v>18</v>
      </c>
      <c r="D591">
        <v>42</v>
      </c>
      <c r="E591" s="1" t="s">
        <v>14</v>
      </c>
      <c r="F591">
        <v>167</v>
      </c>
      <c r="G591">
        <v>45.85</v>
      </c>
      <c r="H591">
        <v>2</v>
      </c>
    </row>
    <row r="592" spans="1:8" x14ac:dyDescent="0.3">
      <c r="A592" s="1" t="s">
        <v>597</v>
      </c>
      <c r="B592" s="1" t="s">
        <v>640</v>
      </c>
      <c r="C592" s="1" t="s">
        <v>31</v>
      </c>
      <c r="D592">
        <v>27</v>
      </c>
      <c r="E592" s="1" t="s">
        <v>19</v>
      </c>
      <c r="F592">
        <v>70</v>
      </c>
      <c r="G592">
        <v>20.32</v>
      </c>
      <c r="H592">
        <v>3</v>
      </c>
    </row>
    <row r="593" spans="1:8" x14ac:dyDescent="0.3">
      <c r="A593" s="1" t="s">
        <v>597</v>
      </c>
      <c r="B593" s="1" t="s">
        <v>641</v>
      </c>
      <c r="C593" s="1" t="s">
        <v>78</v>
      </c>
      <c r="D593">
        <v>12</v>
      </c>
      <c r="E593" s="1" t="s">
        <v>22</v>
      </c>
      <c r="F593">
        <v>112</v>
      </c>
      <c r="G593">
        <v>82.81</v>
      </c>
      <c r="H593">
        <v>0</v>
      </c>
    </row>
    <row r="594" spans="1:8" x14ac:dyDescent="0.3">
      <c r="A594" s="1" t="s">
        <v>597</v>
      </c>
      <c r="B594" s="1" t="s">
        <v>642</v>
      </c>
      <c r="C594" s="1" t="s">
        <v>78</v>
      </c>
      <c r="D594">
        <v>12</v>
      </c>
      <c r="E594" s="1" t="s">
        <v>14</v>
      </c>
      <c r="F594">
        <v>42</v>
      </c>
      <c r="G594">
        <v>48.64</v>
      </c>
      <c r="H594">
        <v>0</v>
      </c>
    </row>
    <row r="595" spans="1:8" x14ac:dyDescent="0.3">
      <c r="A595" s="1" t="s">
        <v>597</v>
      </c>
      <c r="B595" s="1" t="s">
        <v>643</v>
      </c>
      <c r="C595" s="1" t="s">
        <v>29</v>
      </c>
      <c r="D595">
        <v>4</v>
      </c>
      <c r="E595" s="1" t="s">
        <v>14</v>
      </c>
      <c r="F595">
        <v>372</v>
      </c>
      <c r="G595">
        <v>26.73</v>
      </c>
      <c r="H595">
        <v>3</v>
      </c>
    </row>
    <row r="596" spans="1:8" x14ac:dyDescent="0.3">
      <c r="A596" s="1" t="s">
        <v>597</v>
      </c>
      <c r="B596" s="1" t="s">
        <v>644</v>
      </c>
      <c r="C596" s="1" t="s">
        <v>89</v>
      </c>
      <c r="D596">
        <v>56</v>
      </c>
      <c r="E596" s="1" t="s">
        <v>11</v>
      </c>
      <c r="F596">
        <v>354</v>
      </c>
      <c r="G596">
        <v>32.08</v>
      </c>
      <c r="H596">
        <v>1</v>
      </c>
    </row>
    <row r="597" spans="1:8" x14ac:dyDescent="0.3">
      <c r="A597" s="1" t="s">
        <v>597</v>
      </c>
      <c r="B597" s="1" t="s">
        <v>645</v>
      </c>
      <c r="C597" s="1" t="s">
        <v>10</v>
      </c>
      <c r="D597">
        <v>2</v>
      </c>
      <c r="E597" s="1" t="s">
        <v>14</v>
      </c>
      <c r="F597">
        <v>481</v>
      </c>
      <c r="G597">
        <v>29.37</v>
      </c>
      <c r="H597">
        <v>4</v>
      </c>
    </row>
    <row r="598" spans="1:8" x14ac:dyDescent="0.3">
      <c r="A598" s="1" t="s">
        <v>597</v>
      </c>
      <c r="B598" s="1" t="s">
        <v>646</v>
      </c>
      <c r="C598" s="1" t="s">
        <v>57</v>
      </c>
      <c r="D598">
        <v>81</v>
      </c>
      <c r="E598" s="1" t="s">
        <v>22</v>
      </c>
      <c r="F598">
        <v>64</v>
      </c>
      <c r="G598">
        <v>43.45</v>
      </c>
      <c r="H598">
        <v>2</v>
      </c>
    </row>
    <row r="599" spans="1:8" x14ac:dyDescent="0.3">
      <c r="A599" s="1" t="s">
        <v>597</v>
      </c>
      <c r="B599" s="1" t="s">
        <v>647</v>
      </c>
      <c r="C599" s="1" t="s">
        <v>60</v>
      </c>
      <c r="D599">
        <v>99</v>
      </c>
      <c r="E599" s="1" t="s">
        <v>22</v>
      </c>
      <c r="F599">
        <v>137</v>
      </c>
      <c r="G599">
        <v>23.05</v>
      </c>
      <c r="H599">
        <v>4</v>
      </c>
    </row>
    <row r="600" spans="1:8" x14ac:dyDescent="0.3">
      <c r="A600" s="1" t="s">
        <v>648</v>
      </c>
      <c r="B600" s="1" t="s">
        <v>649</v>
      </c>
      <c r="C600" s="1" t="s">
        <v>35</v>
      </c>
      <c r="D600">
        <v>18</v>
      </c>
      <c r="E600" s="1" t="s">
        <v>14</v>
      </c>
      <c r="F600">
        <v>75</v>
      </c>
      <c r="G600">
        <v>57.66</v>
      </c>
      <c r="H600">
        <v>1</v>
      </c>
    </row>
    <row r="601" spans="1:8" x14ac:dyDescent="0.3">
      <c r="A601" s="1" t="s">
        <v>648</v>
      </c>
      <c r="B601" s="1" t="s">
        <v>650</v>
      </c>
      <c r="C601" s="1" t="s">
        <v>64</v>
      </c>
      <c r="D601">
        <v>14</v>
      </c>
      <c r="E601" s="1" t="s">
        <v>14</v>
      </c>
      <c r="F601">
        <v>236</v>
      </c>
      <c r="G601">
        <v>54.43</v>
      </c>
      <c r="H601">
        <v>3</v>
      </c>
    </row>
    <row r="602" spans="1:8" x14ac:dyDescent="0.3">
      <c r="A602" s="1" t="s">
        <v>648</v>
      </c>
      <c r="B602" s="1" t="s">
        <v>651</v>
      </c>
      <c r="C602" s="1" t="s">
        <v>16</v>
      </c>
      <c r="D602">
        <v>42</v>
      </c>
      <c r="E602" s="1" t="s">
        <v>19</v>
      </c>
      <c r="F602">
        <v>448</v>
      </c>
      <c r="G602">
        <v>49.02</v>
      </c>
      <c r="H602">
        <v>0</v>
      </c>
    </row>
    <row r="603" spans="1:8" x14ac:dyDescent="0.3">
      <c r="A603" s="1" t="s">
        <v>648</v>
      </c>
      <c r="B603" s="1" t="s">
        <v>652</v>
      </c>
      <c r="C603" s="1" t="s">
        <v>24</v>
      </c>
      <c r="D603">
        <v>111</v>
      </c>
      <c r="E603" s="1" t="s">
        <v>22</v>
      </c>
      <c r="F603">
        <v>54</v>
      </c>
      <c r="G603">
        <v>71.3</v>
      </c>
      <c r="H603">
        <v>0</v>
      </c>
    </row>
    <row r="604" spans="1:8" x14ac:dyDescent="0.3">
      <c r="A604" s="1" t="s">
        <v>648</v>
      </c>
      <c r="B604" s="1" t="s">
        <v>653</v>
      </c>
      <c r="C604" s="1" t="s">
        <v>89</v>
      </c>
      <c r="D604">
        <v>89</v>
      </c>
      <c r="E604" s="1" t="s">
        <v>14</v>
      </c>
      <c r="F604">
        <v>381</v>
      </c>
      <c r="G604">
        <v>68.17</v>
      </c>
      <c r="H604">
        <v>0</v>
      </c>
    </row>
    <row r="605" spans="1:8" x14ac:dyDescent="0.3">
      <c r="A605" s="1" t="s">
        <v>648</v>
      </c>
      <c r="B605" s="1" t="s">
        <v>654</v>
      </c>
      <c r="C605" s="1" t="s">
        <v>64</v>
      </c>
      <c r="D605">
        <v>93</v>
      </c>
      <c r="E605" s="1" t="s">
        <v>14</v>
      </c>
      <c r="F605">
        <v>56</v>
      </c>
      <c r="G605">
        <v>96.31</v>
      </c>
      <c r="H605">
        <v>4</v>
      </c>
    </row>
    <row r="606" spans="1:8" x14ac:dyDescent="0.3">
      <c r="A606" s="1" t="s">
        <v>648</v>
      </c>
      <c r="B606" s="1" t="s">
        <v>655</v>
      </c>
      <c r="C606" s="1" t="s">
        <v>127</v>
      </c>
      <c r="D606">
        <v>56</v>
      </c>
      <c r="E606" s="1" t="s">
        <v>11</v>
      </c>
      <c r="F606">
        <v>123</v>
      </c>
      <c r="G606">
        <v>29.76</v>
      </c>
      <c r="H606">
        <v>5</v>
      </c>
    </row>
    <row r="607" spans="1:8" x14ac:dyDescent="0.3">
      <c r="A607" s="1" t="s">
        <v>648</v>
      </c>
      <c r="B607" s="1" t="s">
        <v>656</v>
      </c>
      <c r="C607" s="1" t="s">
        <v>35</v>
      </c>
      <c r="D607">
        <v>29</v>
      </c>
      <c r="E607" s="1" t="s">
        <v>11</v>
      </c>
      <c r="F607">
        <v>8</v>
      </c>
      <c r="G607">
        <v>14.78</v>
      </c>
      <c r="H607">
        <v>2</v>
      </c>
    </row>
    <row r="608" spans="1:8" x14ac:dyDescent="0.3">
      <c r="A608" s="1" t="s">
        <v>648</v>
      </c>
      <c r="B608" s="1" t="s">
        <v>657</v>
      </c>
      <c r="C608" s="1" t="s">
        <v>44</v>
      </c>
      <c r="D608">
        <v>22</v>
      </c>
      <c r="E608" s="1" t="s">
        <v>14</v>
      </c>
      <c r="F608">
        <v>457</v>
      </c>
      <c r="G608">
        <v>13.21</v>
      </c>
      <c r="H608">
        <v>1</v>
      </c>
    </row>
    <row r="609" spans="1:8" x14ac:dyDescent="0.3">
      <c r="A609" s="1" t="s">
        <v>648</v>
      </c>
      <c r="B609" s="1" t="s">
        <v>658</v>
      </c>
      <c r="C609" s="1" t="s">
        <v>131</v>
      </c>
      <c r="D609">
        <v>12</v>
      </c>
      <c r="E609" s="1" t="s">
        <v>22</v>
      </c>
      <c r="F609">
        <v>235</v>
      </c>
      <c r="G609">
        <v>33.96</v>
      </c>
      <c r="H609">
        <v>4</v>
      </c>
    </row>
    <row r="610" spans="1:8" x14ac:dyDescent="0.3">
      <c r="A610" s="1" t="s">
        <v>648</v>
      </c>
      <c r="B610" s="1" t="s">
        <v>659</v>
      </c>
      <c r="C610" s="1" t="s">
        <v>62</v>
      </c>
      <c r="D610">
        <v>25</v>
      </c>
      <c r="E610" s="1" t="s">
        <v>19</v>
      </c>
      <c r="F610">
        <v>95</v>
      </c>
      <c r="G610">
        <v>15.93</v>
      </c>
      <c r="H610">
        <v>4</v>
      </c>
    </row>
    <row r="611" spans="1:8" x14ac:dyDescent="0.3">
      <c r="A611" s="1" t="s">
        <v>648</v>
      </c>
      <c r="B611" s="1" t="s">
        <v>660</v>
      </c>
      <c r="C611" s="1" t="s">
        <v>60</v>
      </c>
      <c r="D611">
        <v>93</v>
      </c>
      <c r="E611" s="1" t="s">
        <v>11</v>
      </c>
      <c r="F611">
        <v>136</v>
      </c>
      <c r="G611">
        <v>19.09</v>
      </c>
      <c r="H611">
        <v>1</v>
      </c>
    </row>
    <row r="612" spans="1:8" x14ac:dyDescent="0.3">
      <c r="A612" s="1" t="s">
        <v>648</v>
      </c>
      <c r="B612" s="1" t="s">
        <v>661</v>
      </c>
      <c r="C612" s="1" t="s">
        <v>73</v>
      </c>
      <c r="D612">
        <v>116</v>
      </c>
      <c r="E612" s="1" t="s">
        <v>11</v>
      </c>
      <c r="F612">
        <v>14</v>
      </c>
      <c r="G612">
        <v>30.38</v>
      </c>
      <c r="H612">
        <v>1</v>
      </c>
    </row>
    <row r="613" spans="1:8" x14ac:dyDescent="0.3">
      <c r="A613" s="1" t="s">
        <v>648</v>
      </c>
      <c r="B613" s="1" t="s">
        <v>662</v>
      </c>
      <c r="C613" s="1" t="s">
        <v>62</v>
      </c>
      <c r="D613">
        <v>104</v>
      </c>
      <c r="E613" s="1" t="s">
        <v>19</v>
      </c>
      <c r="F613">
        <v>243</v>
      </c>
      <c r="G613">
        <v>65.819999999999993</v>
      </c>
      <c r="H613">
        <v>0</v>
      </c>
    </row>
    <row r="614" spans="1:8" x14ac:dyDescent="0.3">
      <c r="A614" s="1" t="s">
        <v>648</v>
      </c>
      <c r="B614" s="1" t="s">
        <v>663</v>
      </c>
      <c r="C614" s="1" t="s">
        <v>78</v>
      </c>
      <c r="D614">
        <v>48</v>
      </c>
      <c r="E614" s="1" t="s">
        <v>11</v>
      </c>
      <c r="F614">
        <v>338</v>
      </c>
      <c r="G614">
        <v>74.42</v>
      </c>
      <c r="H614">
        <v>0</v>
      </c>
    </row>
    <row r="615" spans="1:8" x14ac:dyDescent="0.3">
      <c r="A615" s="1" t="s">
        <v>648</v>
      </c>
      <c r="B615" s="1" t="s">
        <v>664</v>
      </c>
      <c r="C615" s="1" t="s">
        <v>16</v>
      </c>
      <c r="D615">
        <v>105</v>
      </c>
      <c r="E615" s="1" t="s">
        <v>22</v>
      </c>
      <c r="F615">
        <v>271</v>
      </c>
      <c r="G615">
        <v>45.27</v>
      </c>
      <c r="H615">
        <v>2</v>
      </c>
    </row>
    <row r="616" spans="1:8" x14ac:dyDescent="0.3">
      <c r="A616" s="1" t="s">
        <v>648</v>
      </c>
      <c r="B616" s="1" t="s">
        <v>665</v>
      </c>
      <c r="C616" s="1" t="s">
        <v>64</v>
      </c>
      <c r="D616">
        <v>116</v>
      </c>
      <c r="E616" s="1" t="s">
        <v>22</v>
      </c>
      <c r="F616">
        <v>231</v>
      </c>
      <c r="G616">
        <v>19.12</v>
      </c>
      <c r="H616">
        <v>5</v>
      </c>
    </row>
    <row r="617" spans="1:8" x14ac:dyDescent="0.3">
      <c r="A617" s="1" t="s">
        <v>648</v>
      </c>
      <c r="B617" s="1" t="s">
        <v>666</v>
      </c>
      <c r="C617" s="1" t="s">
        <v>40</v>
      </c>
      <c r="D617">
        <v>69</v>
      </c>
      <c r="E617" s="1" t="s">
        <v>19</v>
      </c>
      <c r="F617">
        <v>180</v>
      </c>
      <c r="G617">
        <v>76.05</v>
      </c>
      <c r="H617">
        <v>2</v>
      </c>
    </row>
    <row r="618" spans="1:8" x14ac:dyDescent="0.3">
      <c r="A618" s="1" t="s">
        <v>648</v>
      </c>
      <c r="B618" s="1" t="s">
        <v>667</v>
      </c>
      <c r="C618" s="1" t="s">
        <v>26</v>
      </c>
      <c r="D618">
        <v>1</v>
      </c>
      <c r="E618" s="1" t="s">
        <v>19</v>
      </c>
      <c r="F618">
        <v>135</v>
      </c>
      <c r="G618">
        <v>89.16</v>
      </c>
      <c r="H618">
        <v>3</v>
      </c>
    </row>
    <row r="619" spans="1:8" x14ac:dyDescent="0.3">
      <c r="A619" s="1" t="s">
        <v>648</v>
      </c>
      <c r="B619" s="1" t="s">
        <v>668</v>
      </c>
      <c r="C619" s="1" t="s">
        <v>51</v>
      </c>
      <c r="D619">
        <v>120</v>
      </c>
      <c r="E619" s="1" t="s">
        <v>14</v>
      </c>
      <c r="F619">
        <v>60</v>
      </c>
      <c r="G619">
        <v>34.14</v>
      </c>
      <c r="H619">
        <v>3</v>
      </c>
    </row>
    <row r="620" spans="1:8" x14ac:dyDescent="0.3">
      <c r="A620" s="1" t="s">
        <v>648</v>
      </c>
      <c r="B620" s="1" t="s">
        <v>669</v>
      </c>
      <c r="C620" s="1" t="s">
        <v>24</v>
      </c>
      <c r="D620">
        <v>89</v>
      </c>
      <c r="E620" s="1" t="s">
        <v>19</v>
      </c>
      <c r="F620">
        <v>474</v>
      </c>
      <c r="G620">
        <v>28.51</v>
      </c>
      <c r="H620">
        <v>5</v>
      </c>
    </row>
    <row r="621" spans="1:8" x14ac:dyDescent="0.3">
      <c r="A621" s="1" t="s">
        <v>648</v>
      </c>
      <c r="B621" s="1" t="s">
        <v>670</v>
      </c>
      <c r="C621" s="1" t="s">
        <v>10</v>
      </c>
      <c r="D621">
        <v>112</v>
      </c>
      <c r="E621" s="1" t="s">
        <v>22</v>
      </c>
      <c r="F621">
        <v>281</v>
      </c>
      <c r="G621">
        <v>80.72</v>
      </c>
      <c r="H621">
        <v>2</v>
      </c>
    </row>
    <row r="622" spans="1:8" x14ac:dyDescent="0.3">
      <c r="A622" s="1" t="s">
        <v>648</v>
      </c>
      <c r="B622" s="1" t="s">
        <v>671</v>
      </c>
      <c r="C622" s="1" t="s">
        <v>18</v>
      </c>
      <c r="D622">
        <v>7</v>
      </c>
      <c r="E622" s="1" t="s">
        <v>19</v>
      </c>
      <c r="F622">
        <v>43</v>
      </c>
      <c r="G622">
        <v>41.29</v>
      </c>
      <c r="H622">
        <v>4</v>
      </c>
    </row>
    <row r="623" spans="1:8" x14ac:dyDescent="0.3">
      <c r="A623" s="1" t="s">
        <v>648</v>
      </c>
      <c r="B623" s="1" t="s">
        <v>672</v>
      </c>
      <c r="C623" s="1" t="s">
        <v>35</v>
      </c>
      <c r="D623">
        <v>34</v>
      </c>
      <c r="E623" s="1" t="s">
        <v>22</v>
      </c>
      <c r="F623">
        <v>181</v>
      </c>
      <c r="G623">
        <v>35.92</v>
      </c>
      <c r="H623">
        <v>2</v>
      </c>
    </row>
    <row r="624" spans="1:8" x14ac:dyDescent="0.3">
      <c r="A624" s="1" t="s">
        <v>648</v>
      </c>
      <c r="B624" s="1" t="s">
        <v>673</v>
      </c>
      <c r="C624" s="1" t="s">
        <v>67</v>
      </c>
      <c r="D624">
        <v>114</v>
      </c>
      <c r="E624" s="1" t="s">
        <v>14</v>
      </c>
      <c r="F624">
        <v>220</v>
      </c>
      <c r="G624">
        <v>63.67</v>
      </c>
      <c r="H624">
        <v>5</v>
      </c>
    </row>
    <row r="625" spans="1:8" x14ac:dyDescent="0.3">
      <c r="A625" s="1" t="s">
        <v>648</v>
      </c>
      <c r="B625" s="1" t="s">
        <v>674</v>
      </c>
      <c r="C625" s="1" t="s">
        <v>78</v>
      </c>
      <c r="D625">
        <v>101</v>
      </c>
      <c r="E625" s="1" t="s">
        <v>14</v>
      </c>
      <c r="F625">
        <v>108</v>
      </c>
      <c r="G625">
        <v>76.05</v>
      </c>
      <c r="H625">
        <v>3</v>
      </c>
    </row>
    <row r="626" spans="1:8" x14ac:dyDescent="0.3">
      <c r="A626" s="1" t="s">
        <v>648</v>
      </c>
      <c r="B626" s="1" t="s">
        <v>675</v>
      </c>
      <c r="C626" s="1" t="s">
        <v>137</v>
      </c>
      <c r="D626">
        <v>6</v>
      </c>
      <c r="E626" s="1" t="s">
        <v>22</v>
      </c>
      <c r="F626">
        <v>77</v>
      </c>
      <c r="G626">
        <v>18.48</v>
      </c>
      <c r="H626">
        <v>2</v>
      </c>
    </row>
    <row r="627" spans="1:8" x14ac:dyDescent="0.3">
      <c r="A627" s="1" t="s">
        <v>648</v>
      </c>
      <c r="B627" s="1" t="s">
        <v>676</v>
      </c>
      <c r="C627" s="1" t="s">
        <v>21</v>
      </c>
      <c r="D627">
        <v>15</v>
      </c>
      <c r="E627" s="1" t="s">
        <v>14</v>
      </c>
      <c r="F627">
        <v>203</v>
      </c>
      <c r="G627">
        <v>55.29</v>
      </c>
      <c r="H627">
        <v>2</v>
      </c>
    </row>
    <row r="628" spans="1:8" x14ac:dyDescent="0.3">
      <c r="A628" s="1" t="s">
        <v>648</v>
      </c>
      <c r="B628" s="1" t="s">
        <v>677</v>
      </c>
      <c r="C628" s="1" t="s">
        <v>131</v>
      </c>
      <c r="D628">
        <v>7</v>
      </c>
      <c r="E628" s="1" t="s">
        <v>19</v>
      </c>
      <c r="F628">
        <v>257</v>
      </c>
      <c r="G628">
        <v>73.040000000000006</v>
      </c>
      <c r="H628">
        <v>3</v>
      </c>
    </row>
    <row r="629" spans="1:8" x14ac:dyDescent="0.3">
      <c r="A629" s="1" t="s">
        <v>648</v>
      </c>
      <c r="B629" s="1" t="s">
        <v>678</v>
      </c>
      <c r="C629" s="1" t="s">
        <v>40</v>
      </c>
      <c r="D629">
        <v>39</v>
      </c>
      <c r="E629" s="1" t="s">
        <v>11</v>
      </c>
      <c r="F629">
        <v>220</v>
      </c>
      <c r="G629">
        <v>52.91</v>
      </c>
      <c r="H629">
        <v>0</v>
      </c>
    </row>
    <row r="630" spans="1:8" x14ac:dyDescent="0.3">
      <c r="A630" s="1" t="s">
        <v>648</v>
      </c>
      <c r="B630" s="1" t="s">
        <v>679</v>
      </c>
      <c r="C630" s="1" t="s">
        <v>60</v>
      </c>
      <c r="D630">
        <v>10</v>
      </c>
      <c r="E630" s="1" t="s">
        <v>22</v>
      </c>
      <c r="F630">
        <v>260</v>
      </c>
      <c r="G630">
        <v>37.479999999999997</v>
      </c>
      <c r="H630">
        <v>2</v>
      </c>
    </row>
    <row r="631" spans="1:8" x14ac:dyDescent="0.3">
      <c r="A631" s="1" t="s">
        <v>648</v>
      </c>
      <c r="B631" s="1" t="s">
        <v>680</v>
      </c>
      <c r="C631" s="1" t="s">
        <v>137</v>
      </c>
      <c r="D631">
        <v>34</v>
      </c>
      <c r="E631" s="1" t="s">
        <v>11</v>
      </c>
      <c r="F631">
        <v>170</v>
      </c>
      <c r="G631">
        <v>91.6</v>
      </c>
      <c r="H631">
        <v>2</v>
      </c>
    </row>
    <row r="632" spans="1:8" x14ac:dyDescent="0.3">
      <c r="A632" s="1" t="s">
        <v>648</v>
      </c>
      <c r="B632" s="1" t="s">
        <v>681</v>
      </c>
      <c r="C632" s="1" t="s">
        <v>78</v>
      </c>
      <c r="D632">
        <v>43</v>
      </c>
      <c r="E632" s="1" t="s">
        <v>11</v>
      </c>
      <c r="F632">
        <v>27</v>
      </c>
      <c r="G632">
        <v>31.48</v>
      </c>
      <c r="H632">
        <v>5</v>
      </c>
    </row>
    <row r="633" spans="1:8" x14ac:dyDescent="0.3">
      <c r="A633" s="1" t="s">
        <v>648</v>
      </c>
      <c r="B633" s="1" t="s">
        <v>682</v>
      </c>
      <c r="C633" s="1" t="s">
        <v>26</v>
      </c>
      <c r="D633">
        <v>89</v>
      </c>
      <c r="E633" s="1" t="s">
        <v>14</v>
      </c>
      <c r="F633">
        <v>225</v>
      </c>
      <c r="G633">
        <v>38.36</v>
      </c>
      <c r="H633">
        <v>2</v>
      </c>
    </row>
    <row r="634" spans="1:8" x14ac:dyDescent="0.3">
      <c r="A634" s="1" t="s">
        <v>648</v>
      </c>
      <c r="B634" s="1" t="s">
        <v>683</v>
      </c>
      <c r="C634" s="1" t="s">
        <v>31</v>
      </c>
      <c r="D634">
        <v>79</v>
      </c>
      <c r="E634" s="1" t="s">
        <v>22</v>
      </c>
      <c r="F634">
        <v>139</v>
      </c>
      <c r="G634">
        <v>16.25</v>
      </c>
      <c r="H634">
        <v>4</v>
      </c>
    </row>
    <row r="635" spans="1:8" x14ac:dyDescent="0.3">
      <c r="A635" s="1" t="s">
        <v>648</v>
      </c>
      <c r="B635" s="1" t="s">
        <v>684</v>
      </c>
      <c r="C635" s="1" t="s">
        <v>62</v>
      </c>
      <c r="D635">
        <v>102</v>
      </c>
      <c r="E635" s="1" t="s">
        <v>19</v>
      </c>
      <c r="F635">
        <v>189</v>
      </c>
      <c r="G635">
        <v>26.86</v>
      </c>
      <c r="H635">
        <v>5</v>
      </c>
    </row>
    <row r="636" spans="1:8" x14ac:dyDescent="0.3">
      <c r="A636" s="1" t="s">
        <v>648</v>
      </c>
      <c r="B636" s="1" t="s">
        <v>685</v>
      </c>
      <c r="C636" s="1" t="s">
        <v>131</v>
      </c>
      <c r="D636">
        <v>104</v>
      </c>
      <c r="E636" s="1" t="s">
        <v>22</v>
      </c>
      <c r="F636">
        <v>50</v>
      </c>
      <c r="G636">
        <v>90.99</v>
      </c>
      <c r="H636">
        <v>4</v>
      </c>
    </row>
    <row r="637" spans="1:8" x14ac:dyDescent="0.3">
      <c r="A637" s="1" t="s">
        <v>648</v>
      </c>
      <c r="B637" s="1" t="s">
        <v>686</v>
      </c>
      <c r="C637" s="1" t="s">
        <v>35</v>
      </c>
      <c r="D637">
        <v>49</v>
      </c>
      <c r="E637" s="1" t="s">
        <v>22</v>
      </c>
      <c r="F637">
        <v>25</v>
      </c>
      <c r="G637">
        <v>22.77</v>
      </c>
      <c r="H637">
        <v>3</v>
      </c>
    </row>
    <row r="638" spans="1:8" x14ac:dyDescent="0.3">
      <c r="A638" s="1" t="s">
        <v>648</v>
      </c>
      <c r="B638" s="1" t="s">
        <v>687</v>
      </c>
      <c r="C638" s="1" t="s">
        <v>37</v>
      </c>
      <c r="D638">
        <v>35</v>
      </c>
      <c r="E638" s="1" t="s">
        <v>11</v>
      </c>
      <c r="F638">
        <v>332</v>
      </c>
      <c r="G638">
        <v>11.15</v>
      </c>
      <c r="H638">
        <v>0</v>
      </c>
    </row>
    <row r="639" spans="1:8" x14ac:dyDescent="0.3">
      <c r="A639" s="1" t="s">
        <v>648</v>
      </c>
      <c r="B639" s="1" t="s">
        <v>688</v>
      </c>
      <c r="C639" s="1" t="s">
        <v>127</v>
      </c>
      <c r="D639">
        <v>90</v>
      </c>
      <c r="E639" s="1" t="s">
        <v>14</v>
      </c>
      <c r="F639">
        <v>195</v>
      </c>
      <c r="G639">
        <v>52.71</v>
      </c>
      <c r="H639">
        <v>2</v>
      </c>
    </row>
    <row r="640" spans="1:8" x14ac:dyDescent="0.3">
      <c r="A640" s="1" t="s">
        <v>648</v>
      </c>
      <c r="B640" s="1" t="s">
        <v>689</v>
      </c>
      <c r="C640" s="1" t="s">
        <v>26</v>
      </c>
      <c r="D640">
        <v>22</v>
      </c>
      <c r="E640" s="1" t="s">
        <v>14</v>
      </c>
      <c r="F640">
        <v>374</v>
      </c>
      <c r="G640">
        <v>40.06</v>
      </c>
      <c r="H640">
        <v>5</v>
      </c>
    </row>
    <row r="641" spans="1:8" x14ac:dyDescent="0.3">
      <c r="A641" s="1" t="s">
        <v>648</v>
      </c>
      <c r="B641" s="1" t="s">
        <v>690</v>
      </c>
      <c r="C641" s="1" t="s">
        <v>16</v>
      </c>
      <c r="D641">
        <v>119</v>
      </c>
      <c r="E641" s="1" t="s">
        <v>22</v>
      </c>
      <c r="F641">
        <v>475</v>
      </c>
      <c r="G641">
        <v>25.98</v>
      </c>
      <c r="H641">
        <v>4</v>
      </c>
    </row>
    <row r="642" spans="1:8" x14ac:dyDescent="0.3">
      <c r="A642" s="1" t="s">
        <v>648</v>
      </c>
      <c r="B642" s="1" t="s">
        <v>691</v>
      </c>
      <c r="C642" s="1" t="s">
        <v>51</v>
      </c>
      <c r="D642">
        <v>18</v>
      </c>
      <c r="E642" s="1" t="s">
        <v>14</v>
      </c>
      <c r="F642">
        <v>216</v>
      </c>
      <c r="G642">
        <v>33.74</v>
      </c>
      <c r="H642">
        <v>5</v>
      </c>
    </row>
    <row r="643" spans="1:8" x14ac:dyDescent="0.3">
      <c r="A643" s="1" t="s">
        <v>648</v>
      </c>
      <c r="B643" s="1" t="s">
        <v>692</v>
      </c>
      <c r="C643" s="1" t="s">
        <v>21</v>
      </c>
      <c r="D643">
        <v>75</v>
      </c>
      <c r="E643" s="1" t="s">
        <v>22</v>
      </c>
      <c r="F643">
        <v>99</v>
      </c>
      <c r="G643">
        <v>16.93</v>
      </c>
      <c r="H643">
        <v>5</v>
      </c>
    </row>
    <row r="644" spans="1:8" x14ac:dyDescent="0.3">
      <c r="A644" s="1" t="s">
        <v>648</v>
      </c>
      <c r="B644" s="1" t="s">
        <v>693</v>
      </c>
      <c r="C644" s="1" t="s">
        <v>31</v>
      </c>
      <c r="D644">
        <v>59</v>
      </c>
      <c r="E644" s="1" t="s">
        <v>19</v>
      </c>
      <c r="F644">
        <v>150</v>
      </c>
      <c r="G644">
        <v>71.13</v>
      </c>
      <c r="H644">
        <v>0</v>
      </c>
    </row>
    <row r="645" spans="1:8" x14ac:dyDescent="0.3">
      <c r="A645" s="1" t="s">
        <v>648</v>
      </c>
      <c r="B645" s="1" t="s">
        <v>694</v>
      </c>
      <c r="C645" s="1" t="s">
        <v>51</v>
      </c>
      <c r="D645">
        <v>16</v>
      </c>
      <c r="E645" s="1" t="s">
        <v>11</v>
      </c>
      <c r="F645">
        <v>96</v>
      </c>
      <c r="G645">
        <v>86.78</v>
      </c>
      <c r="H645">
        <v>1</v>
      </c>
    </row>
    <row r="646" spans="1:8" x14ac:dyDescent="0.3">
      <c r="A646" s="1" t="s">
        <v>648</v>
      </c>
      <c r="B646" s="1" t="s">
        <v>695</v>
      </c>
      <c r="C646" s="1" t="s">
        <v>64</v>
      </c>
      <c r="D646">
        <v>17</v>
      </c>
      <c r="E646" s="1" t="s">
        <v>14</v>
      </c>
      <c r="F646">
        <v>206</v>
      </c>
      <c r="G646">
        <v>63.46</v>
      </c>
      <c r="H646">
        <v>3</v>
      </c>
    </row>
    <row r="647" spans="1:8" x14ac:dyDescent="0.3">
      <c r="A647" s="1" t="s">
        <v>648</v>
      </c>
      <c r="B647" s="1" t="s">
        <v>696</v>
      </c>
      <c r="C647" s="1" t="s">
        <v>57</v>
      </c>
      <c r="D647">
        <v>41</v>
      </c>
      <c r="E647" s="1" t="s">
        <v>22</v>
      </c>
      <c r="F647">
        <v>90</v>
      </c>
      <c r="G647">
        <v>97.26</v>
      </c>
      <c r="H647">
        <v>1</v>
      </c>
    </row>
    <row r="648" spans="1:8" x14ac:dyDescent="0.3">
      <c r="A648" s="1" t="s">
        <v>648</v>
      </c>
      <c r="B648" s="1" t="s">
        <v>697</v>
      </c>
      <c r="C648" s="1" t="s">
        <v>62</v>
      </c>
      <c r="D648">
        <v>111</v>
      </c>
      <c r="E648" s="1" t="s">
        <v>11</v>
      </c>
      <c r="F648">
        <v>304</v>
      </c>
      <c r="G648">
        <v>62.48</v>
      </c>
      <c r="H648">
        <v>5</v>
      </c>
    </row>
    <row r="649" spans="1:8" x14ac:dyDescent="0.3">
      <c r="A649" s="1" t="s">
        <v>648</v>
      </c>
      <c r="B649" s="1" t="s">
        <v>698</v>
      </c>
      <c r="C649" s="1" t="s">
        <v>64</v>
      </c>
      <c r="D649">
        <v>19</v>
      </c>
      <c r="E649" s="1" t="s">
        <v>19</v>
      </c>
      <c r="F649">
        <v>141</v>
      </c>
      <c r="G649">
        <v>53.95</v>
      </c>
      <c r="H649">
        <v>1</v>
      </c>
    </row>
    <row r="650" spans="1:8" x14ac:dyDescent="0.3">
      <c r="A650" s="1" t="s">
        <v>699</v>
      </c>
      <c r="B650" s="1" t="s">
        <v>700</v>
      </c>
      <c r="C650" s="1" t="s">
        <v>18</v>
      </c>
      <c r="D650">
        <v>20</v>
      </c>
      <c r="E650" s="1" t="s">
        <v>19</v>
      </c>
      <c r="F650">
        <v>297</v>
      </c>
      <c r="G650">
        <v>14.77</v>
      </c>
      <c r="H650">
        <v>0</v>
      </c>
    </row>
    <row r="651" spans="1:8" x14ac:dyDescent="0.3">
      <c r="A651" s="1" t="s">
        <v>699</v>
      </c>
      <c r="B651" s="1" t="s">
        <v>701</v>
      </c>
      <c r="C651" s="1" t="s">
        <v>37</v>
      </c>
      <c r="D651">
        <v>67</v>
      </c>
      <c r="E651" s="1" t="s">
        <v>11</v>
      </c>
      <c r="F651">
        <v>262</v>
      </c>
      <c r="G651">
        <v>28.46</v>
      </c>
      <c r="H651">
        <v>3</v>
      </c>
    </row>
    <row r="652" spans="1:8" x14ac:dyDescent="0.3">
      <c r="A652" s="1" t="s">
        <v>699</v>
      </c>
      <c r="B652" s="1" t="s">
        <v>702</v>
      </c>
      <c r="C652" s="1" t="s">
        <v>10</v>
      </c>
      <c r="D652">
        <v>38</v>
      </c>
      <c r="E652" s="1" t="s">
        <v>22</v>
      </c>
      <c r="F652">
        <v>191</v>
      </c>
      <c r="G652">
        <v>22.97</v>
      </c>
      <c r="H652">
        <v>3</v>
      </c>
    </row>
    <row r="653" spans="1:8" x14ac:dyDescent="0.3">
      <c r="A653" s="1" t="s">
        <v>699</v>
      </c>
      <c r="B653" s="1" t="s">
        <v>703</v>
      </c>
      <c r="C653" s="1" t="s">
        <v>21</v>
      </c>
      <c r="D653">
        <v>80</v>
      </c>
      <c r="E653" s="1" t="s">
        <v>19</v>
      </c>
      <c r="F653">
        <v>65</v>
      </c>
      <c r="G653">
        <v>76.64</v>
      </c>
      <c r="H653">
        <v>3</v>
      </c>
    </row>
    <row r="654" spans="1:8" x14ac:dyDescent="0.3">
      <c r="A654" s="1" t="s">
        <v>699</v>
      </c>
      <c r="B654" s="1" t="s">
        <v>704</v>
      </c>
      <c r="C654" s="1" t="s">
        <v>33</v>
      </c>
      <c r="D654">
        <v>72</v>
      </c>
      <c r="E654" s="1" t="s">
        <v>14</v>
      </c>
      <c r="F654">
        <v>317</v>
      </c>
      <c r="G654">
        <v>54.58</v>
      </c>
      <c r="H654">
        <v>1</v>
      </c>
    </row>
    <row r="655" spans="1:8" x14ac:dyDescent="0.3">
      <c r="A655" s="1" t="s">
        <v>699</v>
      </c>
      <c r="B655" s="1" t="s">
        <v>705</v>
      </c>
      <c r="C655" s="1" t="s">
        <v>18</v>
      </c>
      <c r="D655">
        <v>86</v>
      </c>
      <c r="E655" s="1" t="s">
        <v>11</v>
      </c>
      <c r="F655">
        <v>278</v>
      </c>
      <c r="G655">
        <v>30.12</v>
      </c>
      <c r="H655">
        <v>0</v>
      </c>
    </row>
    <row r="656" spans="1:8" x14ac:dyDescent="0.3">
      <c r="A656" s="1" t="s">
        <v>699</v>
      </c>
      <c r="B656" s="1" t="s">
        <v>706</v>
      </c>
      <c r="C656" s="1" t="s">
        <v>40</v>
      </c>
      <c r="D656">
        <v>21</v>
      </c>
      <c r="E656" s="1" t="s">
        <v>22</v>
      </c>
      <c r="F656">
        <v>460</v>
      </c>
      <c r="G656">
        <v>70.81</v>
      </c>
      <c r="H656">
        <v>2</v>
      </c>
    </row>
    <row r="657" spans="1:8" x14ac:dyDescent="0.3">
      <c r="A657" s="1" t="s">
        <v>699</v>
      </c>
      <c r="B657" s="1" t="s">
        <v>707</v>
      </c>
      <c r="C657" s="1" t="s">
        <v>33</v>
      </c>
      <c r="D657">
        <v>39</v>
      </c>
      <c r="E657" s="1" t="s">
        <v>14</v>
      </c>
      <c r="F657">
        <v>289</v>
      </c>
      <c r="G657">
        <v>86.7</v>
      </c>
      <c r="H657">
        <v>3</v>
      </c>
    </row>
    <row r="658" spans="1:8" x14ac:dyDescent="0.3">
      <c r="A658" s="1" t="s">
        <v>699</v>
      </c>
      <c r="B658" s="1" t="s">
        <v>708</v>
      </c>
      <c r="C658" s="1" t="s">
        <v>131</v>
      </c>
      <c r="D658">
        <v>63</v>
      </c>
      <c r="E658" s="1" t="s">
        <v>14</v>
      </c>
      <c r="F658">
        <v>449</v>
      </c>
      <c r="G658">
        <v>37.08</v>
      </c>
      <c r="H658">
        <v>0</v>
      </c>
    </row>
    <row r="659" spans="1:8" x14ac:dyDescent="0.3">
      <c r="A659" s="1" t="s">
        <v>699</v>
      </c>
      <c r="B659" s="1" t="s">
        <v>709</v>
      </c>
      <c r="C659" s="1" t="s">
        <v>16</v>
      </c>
      <c r="D659">
        <v>37</v>
      </c>
      <c r="E659" s="1" t="s">
        <v>14</v>
      </c>
      <c r="F659">
        <v>150</v>
      </c>
      <c r="G659">
        <v>37.979999999999997</v>
      </c>
      <c r="H659">
        <v>4</v>
      </c>
    </row>
    <row r="660" spans="1:8" x14ac:dyDescent="0.3">
      <c r="A660" s="1" t="s">
        <v>699</v>
      </c>
      <c r="B660" s="1" t="s">
        <v>710</v>
      </c>
      <c r="C660" s="1" t="s">
        <v>51</v>
      </c>
      <c r="D660">
        <v>9</v>
      </c>
      <c r="E660" s="1" t="s">
        <v>19</v>
      </c>
      <c r="F660">
        <v>27</v>
      </c>
      <c r="G660">
        <v>99.02</v>
      </c>
      <c r="H660">
        <v>3</v>
      </c>
    </row>
    <row r="661" spans="1:8" x14ac:dyDescent="0.3">
      <c r="A661" s="1" t="s">
        <v>699</v>
      </c>
      <c r="B661" s="1" t="s">
        <v>711</v>
      </c>
      <c r="C661" s="1" t="s">
        <v>67</v>
      </c>
      <c r="D661">
        <v>103</v>
      </c>
      <c r="E661" s="1" t="s">
        <v>11</v>
      </c>
      <c r="F661">
        <v>386</v>
      </c>
      <c r="G661">
        <v>10.58</v>
      </c>
      <c r="H661">
        <v>0</v>
      </c>
    </row>
    <row r="662" spans="1:8" x14ac:dyDescent="0.3">
      <c r="A662" s="1" t="s">
        <v>699</v>
      </c>
      <c r="B662" s="1" t="s">
        <v>712</v>
      </c>
      <c r="C662" s="1" t="s">
        <v>16</v>
      </c>
      <c r="D662">
        <v>38</v>
      </c>
      <c r="E662" s="1" t="s">
        <v>11</v>
      </c>
      <c r="F662">
        <v>432</v>
      </c>
      <c r="G662">
        <v>53.65</v>
      </c>
      <c r="H662">
        <v>4</v>
      </c>
    </row>
    <row r="663" spans="1:8" x14ac:dyDescent="0.3">
      <c r="A663" s="1" t="s">
        <v>699</v>
      </c>
      <c r="B663" s="1" t="s">
        <v>713</v>
      </c>
      <c r="C663" s="1" t="s">
        <v>13</v>
      </c>
      <c r="D663">
        <v>2</v>
      </c>
      <c r="E663" s="1" t="s">
        <v>11</v>
      </c>
      <c r="F663">
        <v>201</v>
      </c>
      <c r="G663">
        <v>71.900000000000006</v>
      </c>
      <c r="H663">
        <v>2</v>
      </c>
    </row>
    <row r="664" spans="1:8" x14ac:dyDescent="0.3">
      <c r="A664" s="1" t="s">
        <v>699</v>
      </c>
      <c r="B664" s="1" t="s">
        <v>714</v>
      </c>
      <c r="C664" s="1" t="s">
        <v>60</v>
      </c>
      <c r="D664">
        <v>59</v>
      </c>
      <c r="E664" s="1" t="s">
        <v>22</v>
      </c>
      <c r="F664">
        <v>64</v>
      </c>
      <c r="G664">
        <v>20.32</v>
      </c>
      <c r="H664">
        <v>0</v>
      </c>
    </row>
    <row r="665" spans="1:8" x14ac:dyDescent="0.3">
      <c r="A665" s="1" t="s">
        <v>699</v>
      </c>
      <c r="B665" s="1" t="s">
        <v>715</v>
      </c>
      <c r="C665" s="1" t="s">
        <v>127</v>
      </c>
      <c r="D665">
        <v>6</v>
      </c>
      <c r="E665" s="1" t="s">
        <v>14</v>
      </c>
      <c r="F665">
        <v>206</v>
      </c>
      <c r="G665">
        <v>10</v>
      </c>
      <c r="H665">
        <v>5</v>
      </c>
    </row>
    <row r="666" spans="1:8" x14ac:dyDescent="0.3">
      <c r="A666" s="1" t="s">
        <v>699</v>
      </c>
      <c r="B666" s="1" t="s">
        <v>716</v>
      </c>
      <c r="C666" s="1" t="s">
        <v>73</v>
      </c>
      <c r="D666">
        <v>28</v>
      </c>
      <c r="E666" s="1" t="s">
        <v>11</v>
      </c>
      <c r="F666">
        <v>343</v>
      </c>
      <c r="G666">
        <v>64.34</v>
      </c>
      <c r="H666">
        <v>5</v>
      </c>
    </row>
    <row r="667" spans="1:8" x14ac:dyDescent="0.3">
      <c r="A667" s="1" t="s">
        <v>699</v>
      </c>
      <c r="B667" s="1" t="s">
        <v>717</v>
      </c>
      <c r="C667" s="1" t="s">
        <v>29</v>
      </c>
      <c r="D667">
        <v>37</v>
      </c>
      <c r="E667" s="1" t="s">
        <v>22</v>
      </c>
      <c r="F667">
        <v>3</v>
      </c>
      <c r="G667">
        <v>20.89</v>
      </c>
      <c r="H667">
        <v>5</v>
      </c>
    </row>
    <row r="668" spans="1:8" x14ac:dyDescent="0.3">
      <c r="A668" s="1" t="s">
        <v>699</v>
      </c>
      <c r="B668" s="1" t="s">
        <v>718</v>
      </c>
      <c r="C668" s="1" t="s">
        <v>67</v>
      </c>
      <c r="D668">
        <v>106</v>
      </c>
      <c r="E668" s="1" t="s">
        <v>22</v>
      </c>
      <c r="F668">
        <v>236</v>
      </c>
      <c r="G668">
        <v>18.72</v>
      </c>
      <c r="H668">
        <v>4</v>
      </c>
    </row>
    <row r="669" spans="1:8" x14ac:dyDescent="0.3">
      <c r="A669" s="1" t="s">
        <v>699</v>
      </c>
      <c r="B669" s="1" t="s">
        <v>719</v>
      </c>
      <c r="C669" s="1" t="s">
        <v>13</v>
      </c>
      <c r="D669">
        <v>76</v>
      </c>
      <c r="E669" s="1" t="s">
        <v>11</v>
      </c>
      <c r="F669">
        <v>413</v>
      </c>
      <c r="G669">
        <v>28.39</v>
      </c>
      <c r="H669">
        <v>3</v>
      </c>
    </row>
    <row r="670" spans="1:8" x14ac:dyDescent="0.3">
      <c r="A670" s="1" t="s">
        <v>699</v>
      </c>
      <c r="B670" s="1" t="s">
        <v>720</v>
      </c>
      <c r="C670" s="1" t="s">
        <v>21</v>
      </c>
      <c r="D670">
        <v>16</v>
      </c>
      <c r="E670" s="1" t="s">
        <v>22</v>
      </c>
      <c r="F670">
        <v>390</v>
      </c>
      <c r="G670">
        <v>52.64</v>
      </c>
      <c r="H670">
        <v>0</v>
      </c>
    </row>
    <row r="671" spans="1:8" x14ac:dyDescent="0.3">
      <c r="A671" s="1" t="s">
        <v>699</v>
      </c>
      <c r="B671" s="1" t="s">
        <v>721</v>
      </c>
      <c r="C671" s="1" t="s">
        <v>78</v>
      </c>
      <c r="D671">
        <v>7</v>
      </c>
      <c r="E671" s="1" t="s">
        <v>14</v>
      </c>
      <c r="F671">
        <v>447</v>
      </c>
      <c r="G671">
        <v>84.95</v>
      </c>
      <c r="H671">
        <v>2</v>
      </c>
    </row>
    <row r="672" spans="1:8" x14ac:dyDescent="0.3">
      <c r="A672" s="1" t="s">
        <v>699</v>
      </c>
      <c r="B672" s="1" t="s">
        <v>722</v>
      </c>
      <c r="C672" s="1" t="s">
        <v>131</v>
      </c>
      <c r="D672">
        <v>63</v>
      </c>
      <c r="E672" s="1" t="s">
        <v>22</v>
      </c>
      <c r="F672">
        <v>265</v>
      </c>
      <c r="G672">
        <v>49.94</v>
      </c>
      <c r="H672">
        <v>1</v>
      </c>
    </row>
    <row r="673" spans="1:8" x14ac:dyDescent="0.3">
      <c r="A673" s="1" t="s">
        <v>699</v>
      </c>
      <c r="B673" s="1" t="s">
        <v>723</v>
      </c>
      <c r="C673" s="1" t="s">
        <v>89</v>
      </c>
      <c r="D673">
        <v>40</v>
      </c>
      <c r="E673" s="1" t="s">
        <v>11</v>
      </c>
      <c r="F673">
        <v>235</v>
      </c>
      <c r="G673">
        <v>15.01</v>
      </c>
      <c r="H673">
        <v>3</v>
      </c>
    </row>
    <row r="674" spans="1:8" x14ac:dyDescent="0.3">
      <c r="A674" s="1" t="s">
        <v>699</v>
      </c>
      <c r="B674" s="1" t="s">
        <v>724</v>
      </c>
      <c r="C674" s="1" t="s">
        <v>10</v>
      </c>
      <c r="D674">
        <v>1</v>
      </c>
      <c r="E674" s="1" t="s">
        <v>11</v>
      </c>
      <c r="F674">
        <v>429</v>
      </c>
      <c r="G674">
        <v>20.96</v>
      </c>
      <c r="H674">
        <v>5</v>
      </c>
    </row>
    <row r="675" spans="1:8" x14ac:dyDescent="0.3">
      <c r="A675" s="1" t="s">
        <v>699</v>
      </c>
      <c r="B675" s="1" t="s">
        <v>725</v>
      </c>
      <c r="C675" s="1" t="s">
        <v>67</v>
      </c>
      <c r="D675">
        <v>56</v>
      </c>
      <c r="E675" s="1" t="s">
        <v>19</v>
      </c>
      <c r="F675">
        <v>27</v>
      </c>
      <c r="G675">
        <v>46.41</v>
      </c>
      <c r="H675">
        <v>3</v>
      </c>
    </row>
    <row r="676" spans="1:8" x14ac:dyDescent="0.3">
      <c r="A676" s="1" t="s">
        <v>699</v>
      </c>
      <c r="B676" s="1" t="s">
        <v>726</v>
      </c>
      <c r="C676" s="1" t="s">
        <v>35</v>
      </c>
      <c r="D676">
        <v>46</v>
      </c>
      <c r="E676" s="1" t="s">
        <v>11</v>
      </c>
      <c r="F676">
        <v>43</v>
      </c>
      <c r="G676">
        <v>98.44</v>
      </c>
      <c r="H676">
        <v>2</v>
      </c>
    </row>
    <row r="677" spans="1:8" x14ac:dyDescent="0.3">
      <c r="A677" s="1" t="s">
        <v>699</v>
      </c>
      <c r="B677" s="1" t="s">
        <v>727</v>
      </c>
      <c r="C677" s="1" t="s">
        <v>33</v>
      </c>
      <c r="D677">
        <v>85</v>
      </c>
      <c r="E677" s="1" t="s">
        <v>14</v>
      </c>
      <c r="F677">
        <v>28</v>
      </c>
      <c r="G677">
        <v>83.82</v>
      </c>
      <c r="H677">
        <v>0</v>
      </c>
    </row>
    <row r="678" spans="1:8" x14ac:dyDescent="0.3">
      <c r="A678" s="1" t="s">
        <v>699</v>
      </c>
      <c r="B678" s="1" t="s">
        <v>728</v>
      </c>
      <c r="C678" s="1" t="s">
        <v>62</v>
      </c>
      <c r="D678">
        <v>107</v>
      </c>
      <c r="E678" s="1" t="s">
        <v>22</v>
      </c>
      <c r="F678">
        <v>138</v>
      </c>
      <c r="G678">
        <v>85.75</v>
      </c>
      <c r="H678">
        <v>1</v>
      </c>
    </row>
    <row r="679" spans="1:8" x14ac:dyDescent="0.3">
      <c r="A679" s="1" t="s">
        <v>699</v>
      </c>
      <c r="B679" s="1" t="s">
        <v>729</v>
      </c>
      <c r="C679" s="1" t="s">
        <v>89</v>
      </c>
      <c r="D679">
        <v>1</v>
      </c>
      <c r="E679" s="1" t="s">
        <v>14</v>
      </c>
      <c r="F679">
        <v>424</v>
      </c>
      <c r="G679">
        <v>59.2</v>
      </c>
      <c r="H679">
        <v>2</v>
      </c>
    </row>
    <row r="680" spans="1:8" x14ac:dyDescent="0.3">
      <c r="A680" s="1" t="s">
        <v>699</v>
      </c>
      <c r="B680" s="1" t="s">
        <v>730</v>
      </c>
      <c r="C680" s="1" t="s">
        <v>73</v>
      </c>
      <c r="D680">
        <v>7</v>
      </c>
      <c r="E680" s="1" t="s">
        <v>14</v>
      </c>
      <c r="F680">
        <v>332</v>
      </c>
      <c r="G680">
        <v>83.95</v>
      </c>
      <c r="H680">
        <v>4</v>
      </c>
    </row>
    <row r="681" spans="1:8" x14ac:dyDescent="0.3">
      <c r="A681" s="1" t="s">
        <v>699</v>
      </c>
      <c r="B681" s="1" t="s">
        <v>731</v>
      </c>
      <c r="C681" s="1" t="s">
        <v>37</v>
      </c>
      <c r="D681">
        <v>33</v>
      </c>
      <c r="E681" s="1" t="s">
        <v>19</v>
      </c>
      <c r="F681">
        <v>54</v>
      </c>
      <c r="G681">
        <v>71.319999999999993</v>
      </c>
      <c r="H681">
        <v>4</v>
      </c>
    </row>
    <row r="682" spans="1:8" x14ac:dyDescent="0.3">
      <c r="A682" s="1" t="s">
        <v>699</v>
      </c>
      <c r="B682" s="1" t="s">
        <v>732</v>
      </c>
      <c r="C682" s="1" t="s">
        <v>78</v>
      </c>
      <c r="D682">
        <v>18</v>
      </c>
      <c r="E682" s="1" t="s">
        <v>22</v>
      </c>
      <c r="F682">
        <v>170</v>
      </c>
      <c r="G682">
        <v>87.34</v>
      </c>
      <c r="H682">
        <v>1</v>
      </c>
    </row>
    <row r="683" spans="1:8" x14ac:dyDescent="0.3">
      <c r="A683" s="1" t="s">
        <v>699</v>
      </c>
      <c r="B683" s="1" t="s">
        <v>733</v>
      </c>
      <c r="C683" s="1" t="s">
        <v>31</v>
      </c>
      <c r="D683">
        <v>45</v>
      </c>
      <c r="E683" s="1" t="s">
        <v>14</v>
      </c>
      <c r="F683">
        <v>304</v>
      </c>
      <c r="G683">
        <v>65.540000000000006</v>
      </c>
      <c r="H683">
        <v>2</v>
      </c>
    </row>
    <row r="684" spans="1:8" x14ac:dyDescent="0.3">
      <c r="A684" s="1" t="s">
        <v>699</v>
      </c>
      <c r="B684" s="1" t="s">
        <v>734</v>
      </c>
      <c r="C684" s="1" t="s">
        <v>51</v>
      </c>
      <c r="D684">
        <v>113</v>
      </c>
      <c r="E684" s="1" t="s">
        <v>11</v>
      </c>
      <c r="F684">
        <v>49</v>
      </c>
      <c r="G684">
        <v>48.91</v>
      </c>
      <c r="H684">
        <v>5</v>
      </c>
    </row>
    <row r="685" spans="1:8" x14ac:dyDescent="0.3">
      <c r="A685" s="1" t="s">
        <v>699</v>
      </c>
      <c r="B685" s="1" t="s">
        <v>735</v>
      </c>
      <c r="C685" s="1" t="s">
        <v>10</v>
      </c>
      <c r="D685">
        <v>37</v>
      </c>
      <c r="E685" s="1" t="s">
        <v>11</v>
      </c>
      <c r="F685">
        <v>420</v>
      </c>
      <c r="G685">
        <v>67.260000000000005</v>
      </c>
      <c r="H685">
        <v>4</v>
      </c>
    </row>
    <row r="686" spans="1:8" x14ac:dyDescent="0.3">
      <c r="A686" s="1" t="s">
        <v>699</v>
      </c>
      <c r="B686" s="1" t="s">
        <v>736</v>
      </c>
      <c r="C686" s="1" t="s">
        <v>24</v>
      </c>
      <c r="D686">
        <v>101</v>
      </c>
      <c r="E686" s="1" t="s">
        <v>14</v>
      </c>
      <c r="F686">
        <v>148</v>
      </c>
      <c r="G686">
        <v>26.63</v>
      </c>
      <c r="H686">
        <v>3</v>
      </c>
    </row>
    <row r="687" spans="1:8" x14ac:dyDescent="0.3">
      <c r="A687" s="1" t="s">
        <v>699</v>
      </c>
      <c r="B687" s="1" t="s">
        <v>737</v>
      </c>
      <c r="C687" s="1" t="s">
        <v>127</v>
      </c>
      <c r="D687">
        <v>110</v>
      </c>
      <c r="E687" s="1" t="s">
        <v>11</v>
      </c>
      <c r="F687">
        <v>289</v>
      </c>
      <c r="G687">
        <v>83.67</v>
      </c>
      <c r="H687">
        <v>4</v>
      </c>
    </row>
    <row r="688" spans="1:8" x14ac:dyDescent="0.3">
      <c r="A688" s="1" t="s">
        <v>699</v>
      </c>
      <c r="B688" s="1" t="s">
        <v>738</v>
      </c>
      <c r="C688" s="1" t="s">
        <v>89</v>
      </c>
      <c r="D688">
        <v>65</v>
      </c>
      <c r="E688" s="1" t="s">
        <v>14</v>
      </c>
      <c r="F688">
        <v>246</v>
      </c>
      <c r="G688">
        <v>69.17</v>
      </c>
      <c r="H688">
        <v>0</v>
      </c>
    </row>
    <row r="689" spans="1:8" x14ac:dyDescent="0.3">
      <c r="A689" s="1" t="s">
        <v>699</v>
      </c>
      <c r="B689" s="1" t="s">
        <v>739</v>
      </c>
      <c r="C689" s="1" t="s">
        <v>24</v>
      </c>
      <c r="D689">
        <v>86</v>
      </c>
      <c r="E689" s="1" t="s">
        <v>14</v>
      </c>
      <c r="F689">
        <v>353</v>
      </c>
      <c r="G689">
        <v>25.37</v>
      </c>
      <c r="H689">
        <v>1</v>
      </c>
    </row>
    <row r="690" spans="1:8" x14ac:dyDescent="0.3">
      <c r="A690" s="1" t="s">
        <v>699</v>
      </c>
      <c r="B690" s="1" t="s">
        <v>740</v>
      </c>
      <c r="C690" s="1" t="s">
        <v>24</v>
      </c>
      <c r="D690">
        <v>99</v>
      </c>
      <c r="E690" s="1" t="s">
        <v>14</v>
      </c>
      <c r="F690">
        <v>169</v>
      </c>
      <c r="G690">
        <v>76.75</v>
      </c>
      <c r="H690">
        <v>5</v>
      </c>
    </row>
    <row r="691" spans="1:8" x14ac:dyDescent="0.3">
      <c r="A691" s="1" t="s">
        <v>699</v>
      </c>
      <c r="B691" s="1" t="s">
        <v>741</v>
      </c>
      <c r="C691" s="1" t="s">
        <v>21</v>
      </c>
      <c r="D691">
        <v>72</v>
      </c>
      <c r="E691" s="1" t="s">
        <v>14</v>
      </c>
      <c r="F691">
        <v>442</v>
      </c>
      <c r="G691">
        <v>59.2</v>
      </c>
      <c r="H691">
        <v>1</v>
      </c>
    </row>
    <row r="692" spans="1:8" x14ac:dyDescent="0.3">
      <c r="A692" s="1" t="s">
        <v>699</v>
      </c>
      <c r="B692" s="1" t="s">
        <v>742</v>
      </c>
      <c r="C692" s="1" t="s">
        <v>35</v>
      </c>
      <c r="D692">
        <v>20</v>
      </c>
      <c r="E692" s="1" t="s">
        <v>14</v>
      </c>
      <c r="F692">
        <v>31</v>
      </c>
      <c r="G692">
        <v>52.85</v>
      </c>
      <c r="H692">
        <v>2</v>
      </c>
    </row>
    <row r="693" spans="1:8" x14ac:dyDescent="0.3">
      <c r="A693" s="1" t="s">
        <v>699</v>
      </c>
      <c r="B693" s="1" t="s">
        <v>743</v>
      </c>
      <c r="C693" s="1" t="s">
        <v>51</v>
      </c>
      <c r="D693">
        <v>12</v>
      </c>
      <c r="E693" s="1" t="s">
        <v>19</v>
      </c>
      <c r="F693">
        <v>62</v>
      </c>
      <c r="G693">
        <v>36.1</v>
      </c>
      <c r="H693">
        <v>5</v>
      </c>
    </row>
    <row r="694" spans="1:8" x14ac:dyDescent="0.3">
      <c r="A694" s="1" t="s">
        <v>699</v>
      </c>
      <c r="B694" s="1" t="s">
        <v>744</v>
      </c>
      <c r="C694" s="1" t="s">
        <v>64</v>
      </c>
      <c r="D694">
        <v>92</v>
      </c>
      <c r="E694" s="1" t="s">
        <v>19</v>
      </c>
      <c r="F694">
        <v>379</v>
      </c>
      <c r="G694">
        <v>70.08</v>
      </c>
      <c r="H694">
        <v>5</v>
      </c>
    </row>
    <row r="695" spans="1:8" x14ac:dyDescent="0.3">
      <c r="A695" s="1" t="s">
        <v>699</v>
      </c>
      <c r="B695" s="1" t="s">
        <v>745</v>
      </c>
      <c r="C695" s="1" t="s">
        <v>26</v>
      </c>
      <c r="D695">
        <v>35</v>
      </c>
      <c r="E695" s="1" t="s">
        <v>14</v>
      </c>
      <c r="F695">
        <v>299</v>
      </c>
      <c r="G695">
        <v>96.32</v>
      </c>
      <c r="H695">
        <v>4</v>
      </c>
    </row>
    <row r="696" spans="1:8" x14ac:dyDescent="0.3">
      <c r="A696" s="1" t="s">
        <v>699</v>
      </c>
      <c r="B696" s="1" t="s">
        <v>746</v>
      </c>
      <c r="C696" s="1" t="s">
        <v>13</v>
      </c>
      <c r="D696">
        <v>19</v>
      </c>
      <c r="E696" s="1" t="s">
        <v>19</v>
      </c>
      <c r="F696">
        <v>345</v>
      </c>
      <c r="G696">
        <v>54.37</v>
      </c>
      <c r="H696">
        <v>2</v>
      </c>
    </row>
    <row r="697" spans="1:8" x14ac:dyDescent="0.3">
      <c r="A697" s="1" t="s">
        <v>699</v>
      </c>
      <c r="B697" s="1" t="s">
        <v>747</v>
      </c>
      <c r="C697" s="1" t="s">
        <v>44</v>
      </c>
      <c r="D697">
        <v>94</v>
      </c>
      <c r="E697" s="1" t="s">
        <v>22</v>
      </c>
      <c r="F697">
        <v>261</v>
      </c>
      <c r="G697">
        <v>70.09</v>
      </c>
      <c r="H697">
        <v>3</v>
      </c>
    </row>
    <row r="698" spans="1:8" x14ac:dyDescent="0.3">
      <c r="A698" s="1" t="s">
        <v>699</v>
      </c>
      <c r="B698" s="1" t="s">
        <v>748</v>
      </c>
      <c r="C698" s="1" t="s">
        <v>127</v>
      </c>
      <c r="D698">
        <v>26</v>
      </c>
      <c r="E698" s="1" t="s">
        <v>11</v>
      </c>
      <c r="F698">
        <v>378</v>
      </c>
      <c r="G698">
        <v>45.21</v>
      </c>
      <c r="H698">
        <v>5</v>
      </c>
    </row>
    <row r="699" spans="1:8" x14ac:dyDescent="0.3">
      <c r="A699" s="1" t="s">
        <v>699</v>
      </c>
      <c r="B699" s="1" t="s">
        <v>749</v>
      </c>
      <c r="C699" s="1" t="s">
        <v>13</v>
      </c>
      <c r="D699">
        <v>56</v>
      </c>
      <c r="E699" s="1" t="s">
        <v>22</v>
      </c>
      <c r="F699">
        <v>367</v>
      </c>
      <c r="G699">
        <v>72.790000000000006</v>
      </c>
      <c r="H699">
        <v>1</v>
      </c>
    </row>
    <row r="700" spans="1:8" x14ac:dyDescent="0.3">
      <c r="A700" s="1" t="s">
        <v>750</v>
      </c>
      <c r="B700" s="1" t="s">
        <v>751</v>
      </c>
      <c r="C700" s="1" t="s">
        <v>35</v>
      </c>
      <c r="D700">
        <v>97</v>
      </c>
      <c r="E700" s="1" t="s">
        <v>19</v>
      </c>
      <c r="F700">
        <v>173</v>
      </c>
      <c r="G700">
        <v>19.37</v>
      </c>
      <c r="H700">
        <v>5</v>
      </c>
    </row>
    <row r="701" spans="1:8" x14ac:dyDescent="0.3">
      <c r="A701" s="1" t="s">
        <v>750</v>
      </c>
      <c r="B701" s="1" t="s">
        <v>752</v>
      </c>
      <c r="C701" s="1" t="s">
        <v>131</v>
      </c>
      <c r="D701">
        <v>54</v>
      </c>
      <c r="E701" s="1" t="s">
        <v>22</v>
      </c>
      <c r="F701">
        <v>215</v>
      </c>
      <c r="G701">
        <v>54.69</v>
      </c>
      <c r="H701">
        <v>0</v>
      </c>
    </row>
    <row r="702" spans="1:8" x14ac:dyDescent="0.3">
      <c r="A702" s="1" t="s">
        <v>750</v>
      </c>
      <c r="B702" s="1" t="s">
        <v>753</v>
      </c>
      <c r="C702" s="1" t="s">
        <v>40</v>
      </c>
      <c r="D702">
        <v>119</v>
      </c>
      <c r="E702" s="1" t="s">
        <v>19</v>
      </c>
      <c r="F702">
        <v>133</v>
      </c>
      <c r="G702">
        <v>30.27</v>
      </c>
      <c r="H702">
        <v>5</v>
      </c>
    </row>
    <row r="703" spans="1:8" x14ac:dyDescent="0.3">
      <c r="A703" s="1" t="s">
        <v>750</v>
      </c>
      <c r="B703" s="1" t="s">
        <v>754</v>
      </c>
      <c r="C703" s="1" t="s">
        <v>16</v>
      </c>
      <c r="D703">
        <v>9</v>
      </c>
      <c r="E703" s="1" t="s">
        <v>22</v>
      </c>
      <c r="F703">
        <v>102</v>
      </c>
      <c r="G703">
        <v>41.52</v>
      </c>
      <c r="H703">
        <v>0</v>
      </c>
    </row>
    <row r="704" spans="1:8" x14ac:dyDescent="0.3">
      <c r="A704" s="1" t="s">
        <v>750</v>
      </c>
      <c r="B704" s="1" t="s">
        <v>755</v>
      </c>
      <c r="C704" s="1" t="s">
        <v>26</v>
      </c>
      <c r="D704">
        <v>8</v>
      </c>
      <c r="E704" s="1" t="s">
        <v>19</v>
      </c>
      <c r="F704">
        <v>171</v>
      </c>
      <c r="G704">
        <v>52.98</v>
      </c>
      <c r="H704">
        <v>0</v>
      </c>
    </row>
    <row r="705" spans="1:8" x14ac:dyDescent="0.3">
      <c r="A705" s="1" t="s">
        <v>750</v>
      </c>
      <c r="B705" s="1" t="s">
        <v>756</v>
      </c>
      <c r="C705" s="1" t="s">
        <v>131</v>
      </c>
      <c r="D705">
        <v>79</v>
      </c>
      <c r="E705" s="1" t="s">
        <v>11</v>
      </c>
      <c r="F705">
        <v>454</v>
      </c>
      <c r="G705">
        <v>80.34</v>
      </c>
      <c r="H705">
        <v>2</v>
      </c>
    </row>
    <row r="706" spans="1:8" x14ac:dyDescent="0.3">
      <c r="A706" s="1" t="s">
        <v>750</v>
      </c>
      <c r="B706" s="1" t="s">
        <v>757</v>
      </c>
      <c r="C706" s="1" t="s">
        <v>26</v>
      </c>
      <c r="D706">
        <v>33</v>
      </c>
      <c r="E706" s="1" t="s">
        <v>14</v>
      </c>
      <c r="F706">
        <v>391</v>
      </c>
      <c r="G706">
        <v>88.88</v>
      </c>
      <c r="H706">
        <v>4</v>
      </c>
    </row>
    <row r="707" spans="1:8" x14ac:dyDescent="0.3">
      <c r="A707" s="1" t="s">
        <v>750</v>
      </c>
      <c r="B707" s="1" t="s">
        <v>758</v>
      </c>
      <c r="C707" s="1" t="s">
        <v>31</v>
      </c>
      <c r="D707">
        <v>15</v>
      </c>
      <c r="E707" s="1" t="s">
        <v>19</v>
      </c>
      <c r="F707">
        <v>30</v>
      </c>
      <c r="G707">
        <v>30.5</v>
      </c>
      <c r="H707">
        <v>1</v>
      </c>
    </row>
    <row r="708" spans="1:8" x14ac:dyDescent="0.3">
      <c r="A708" s="1" t="s">
        <v>750</v>
      </c>
      <c r="B708" s="1" t="s">
        <v>759</v>
      </c>
      <c r="C708" s="1" t="s">
        <v>13</v>
      </c>
      <c r="D708">
        <v>5</v>
      </c>
      <c r="E708" s="1" t="s">
        <v>11</v>
      </c>
      <c r="F708">
        <v>71</v>
      </c>
      <c r="G708">
        <v>93.81</v>
      </c>
      <c r="H708">
        <v>3</v>
      </c>
    </row>
    <row r="709" spans="1:8" x14ac:dyDescent="0.3">
      <c r="A709" s="1" t="s">
        <v>750</v>
      </c>
      <c r="B709" s="1" t="s">
        <v>760</v>
      </c>
      <c r="C709" s="1" t="s">
        <v>29</v>
      </c>
      <c r="D709">
        <v>109</v>
      </c>
      <c r="E709" s="1" t="s">
        <v>22</v>
      </c>
      <c r="F709">
        <v>104</v>
      </c>
      <c r="G709">
        <v>12.37</v>
      </c>
      <c r="H709">
        <v>5</v>
      </c>
    </row>
    <row r="710" spans="1:8" x14ac:dyDescent="0.3">
      <c r="A710" s="1" t="s">
        <v>750</v>
      </c>
      <c r="B710" s="1" t="s">
        <v>761</v>
      </c>
      <c r="C710" s="1" t="s">
        <v>89</v>
      </c>
      <c r="D710">
        <v>96</v>
      </c>
      <c r="E710" s="1" t="s">
        <v>14</v>
      </c>
      <c r="F710">
        <v>280</v>
      </c>
      <c r="G710">
        <v>80.36</v>
      </c>
      <c r="H710">
        <v>5</v>
      </c>
    </row>
    <row r="711" spans="1:8" x14ac:dyDescent="0.3">
      <c r="A711" s="1" t="s">
        <v>750</v>
      </c>
      <c r="B711" s="1" t="s">
        <v>762</v>
      </c>
      <c r="C711" s="1" t="s">
        <v>37</v>
      </c>
      <c r="D711">
        <v>10</v>
      </c>
      <c r="E711" s="1" t="s">
        <v>22</v>
      </c>
      <c r="F711">
        <v>418</v>
      </c>
      <c r="G711">
        <v>27.66</v>
      </c>
      <c r="H711">
        <v>2</v>
      </c>
    </row>
    <row r="712" spans="1:8" x14ac:dyDescent="0.3">
      <c r="A712" s="1" t="s">
        <v>750</v>
      </c>
      <c r="B712" s="1" t="s">
        <v>763</v>
      </c>
      <c r="C712" s="1" t="s">
        <v>73</v>
      </c>
      <c r="D712">
        <v>57</v>
      </c>
      <c r="E712" s="1" t="s">
        <v>22</v>
      </c>
      <c r="F712">
        <v>375</v>
      </c>
      <c r="G712">
        <v>64.73</v>
      </c>
      <c r="H712">
        <v>1</v>
      </c>
    </row>
    <row r="713" spans="1:8" x14ac:dyDescent="0.3">
      <c r="A713" s="1" t="s">
        <v>750</v>
      </c>
      <c r="B713" s="1" t="s">
        <v>764</v>
      </c>
      <c r="C713" s="1" t="s">
        <v>137</v>
      </c>
      <c r="D713">
        <v>98</v>
      </c>
      <c r="E713" s="1" t="s">
        <v>14</v>
      </c>
      <c r="F713">
        <v>168</v>
      </c>
      <c r="G713">
        <v>44.14</v>
      </c>
      <c r="H713">
        <v>3</v>
      </c>
    </row>
    <row r="714" spans="1:8" x14ac:dyDescent="0.3">
      <c r="A714" s="1" t="s">
        <v>750</v>
      </c>
      <c r="B714" s="1" t="s">
        <v>765</v>
      </c>
      <c r="C714" s="1" t="s">
        <v>13</v>
      </c>
      <c r="D714">
        <v>48</v>
      </c>
      <c r="E714" s="1" t="s">
        <v>11</v>
      </c>
      <c r="F714">
        <v>473</v>
      </c>
      <c r="G714">
        <v>71.52</v>
      </c>
      <c r="H714">
        <v>5</v>
      </c>
    </row>
    <row r="715" spans="1:8" x14ac:dyDescent="0.3">
      <c r="A715" s="1" t="s">
        <v>750</v>
      </c>
      <c r="B715" s="1" t="s">
        <v>766</v>
      </c>
      <c r="C715" s="1" t="s">
        <v>73</v>
      </c>
      <c r="D715">
        <v>78</v>
      </c>
      <c r="E715" s="1" t="s">
        <v>11</v>
      </c>
      <c r="F715">
        <v>387</v>
      </c>
      <c r="G715">
        <v>11.63</v>
      </c>
      <c r="H715">
        <v>2</v>
      </c>
    </row>
    <row r="716" spans="1:8" x14ac:dyDescent="0.3">
      <c r="A716" s="1" t="s">
        <v>750</v>
      </c>
      <c r="B716" s="1" t="s">
        <v>767</v>
      </c>
      <c r="C716" s="1" t="s">
        <v>67</v>
      </c>
      <c r="D716">
        <v>81</v>
      </c>
      <c r="E716" s="1" t="s">
        <v>22</v>
      </c>
      <c r="F716">
        <v>339</v>
      </c>
      <c r="G716">
        <v>53.4</v>
      </c>
      <c r="H716">
        <v>2</v>
      </c>
    </row>
    <row r="717" spans="1:8" x14ac:dyDescent="0.3">
      <c r="A717" s="1" t="s">
        <v>750</v>
      </c>
      <c r="B717" s="1" t="s">
        <v>768</v>
      </c>
      <c r="C717" s="1" t="s">
        <v>44</v>
      </c>
      <c r="D717">
        <v>108</v>
      </c>
      <c r="E717" s="1" t="s">
        <v>19</v>
      </c>
      <c r="F717">
        <v>467</v>
      </c>
      <c r="G717">
        <v>44.84</v>
      </c>
      <c r="H717">
        <v>4</v>
      </c>
    </row>
    <row r="718" spans="1:8" x14ac:dyDescent="0.3">
      <c r="A718" s="1" t="s">
        <v>750</v>
      </c>
      <c r="B718" s="1" t="s">
        <v>769</v>
      </c>
      <c r="C718" s="1" t="s">
        <v>37</v>
      </c>
      <c r="D718">
        <v>4</v>
      </c>
      <c r="E718" s="1" t="s">
        <v>14</v>
      </c>
      <c r="F718">
        <v>449</v>
      </c>
      <c r="G718">
        <v>43.95</v>
      </c>
      <c r="H718">
        <v>2</v>
      </c>
    </row>
    <row r="719" spans="1:8" x14ac:dyDescent="0.3">
      <c r="A719" s="1" t="s">
        <v>750</v>
      </c>
      <c r="B719" s="1" t="s">
        <v>770</v>
      </c>
      <c r="C719" s="1" t="s">
        <v>78</v>
      </c>
      <c r="D719">
        <v>119</v>
      </c>
      <c r="E719" s="1" t="s">
        <v>14</v>
      </c>
      <c r="F719">
        <v>31</v>
      </c>
      <c r="G719">
        <v>21.27</v>
      </c>
      <c r="H719">
        <v>5</v>
      </c>
    </row>
    <row r="720" spans="1:8" x14ac:dyDescent="0.3">
      <c r="A720" s="1" t="s">
        <v>750</v>
      </c>
      <c r="B720" s="1" t="s">
        <v>771</v>
      </c>
      <c r="C720" s="1" t="s">
        <v>89</v>
      </c>
      <c r="D720">
        <v>23</v>
      </c>
      <c r="E720" s="1" t="s">
        <v>14</v>
      </c>
      <c r="F720">
        <v>120</v>
      </c>
      <c r="G720">
        <v>73.12</v>
      </c>
      <c r="H720">
        <v>1</v>
      </c>
    </row>
    <row r="721" spans="1:8" x14ac:dyDescent="0.3">
      <c r="A721" s="1" t="s">
        <v>750</v>
      </c>
      <c r="B721" s="1" t="s">
        <v>772</v>
      </c>
      <c r="C721" s="1" t="s">
        <v>89</v>
      </c>
      <c r="D721">
        <v>42</v>
      </c>
      <c r="E721" s="1" t="s">
        <v>19</v>
      </c>
      <c r="F721">
        <v>252</v>
      </c>
      <c r="G721">
        <v>59.46</v>
      </c>
      <c r="H721">
        <v>4</v>
      </c>
    </row>
    <row r="722" spans="1:8" x14ac:dyDescent="0.3">
      <c r="A722" s="1" t="s">
        <v>750</v>
      </c>
      <c r="B722" s="1" t="s">
        <v>773</v>
      </c>
      <c r="C722" s="1" t="s">
        <v>21</v>
      </c>
      <c r="D722">
        <v>14</v>
      </c>
      <c r="E722" s="1" t="s">
        <v>19</v>
      </c>
      <c r="F722">
        <v>37</v>
      </c>
      <c r="G722">
        <v>20.399999999999999</v>
      </c>
      <c r="H722">
        <v>2</v>
      </c>
    </row>
    <row r="723" spans="1:8" x14ac:dyDescent="0.3">
      <c r="A723" s="1" t="s">
        <v>750</v>
      </c>
      <c r="B723" s="1" t="s">
        <v>774</v>
      </c>
      <c r="C723" s="1" t="s">
        <v>89</v>
      </c>
      <c r="D723">
        <v>90</v>
      </c>
      <c r="E723" s="1" t="s">
        <v>22</v>
      </c>
      <c r="F723">
        <v>412</v>
      </c>
      <c r="G723">
        <v>20.62</v>
      </c>
      <c r="H723">
        <v>2</v>
      </c>
    </row>
    <row r="724" spans="1:8" x14ac:dyDescent="0.3">
      <c r="A724" s="1" t="s">
        <v>750</v>
      </c>
      <c r="B724" s="1" t="s">
        <v>775</v>
      </c>
      <c r="C724" s="1" t="s">
        <v>31</v>
      </c>
      <c r="D724">
        <v>58</v>
      </c>
      <c r="E724" s="1" t="s">
        <v>11</v>
      </c>
      <c r="F724">
        <v>485</v>
      </c>
      <c r="G724">
        <v>65.41</v>
      </c>
      <c r="H724">
        <v>5</v>
      </c>
    </row>
    <row r="725" spans="1:8" x14ac:dyDescent="0.3">
      <c r="A725" s="1" t="s">
        <v>750</v>
      </c>
      <c r="B725" s="1" t="s">
        <v>776</v>
      </c>
      <c r="C725" s="1" t="s">
        <v>131</v>
      </c>
      <c r="D725">
        <v>49</v>
      </c>
      <c r="E725" s="1" t="s">
        <v>19</v>
      </c>
      <c r="F725">
        <v>288</v>
      </c>
      <c r="G725">
        <v>91.32</v>
      </c>
      <c r="H725">
        <v>4</v>
      </c>
    </row>
    <row r="726" spans="1:8" x14ac:dyDescent="0.3">
      <c r="A726" s="1" t="s">
        <v>750</v>
      </c>
      <c r="B726" s="1" t="s">
        <v>777</v>
      </c>
      <c r="C726" s="1" t="s">
        <v>40</v>
      </c>
      <c r="D726">
        <v>18</v>
      </c>
      <c r="E726" s="1" t="s">
        <v>19</v>
      </c>
      <c r="F726">
        <v>463</v>
      </c>
      <c r="G726">
        <v>41.66</v>
      </c>
      <c r="H726">
        <v>4</v>
      </c>
    </row>
    <row r="727" spans="1:8" x14ac:dyDescent="0.3">
      <c r="A727" s="1" t="s">
        <v>750</v>
      </c>
      <c r="B727" s="1" t="s">
        <v>778</v>
      </c>
      <c r="C727" s="1" t="s">
        <v>62</v>
      </c>
      <c r="D727">
        <v>82</v>
      </c>
      <c r="E727" s="1" t="s">
        <v>14</v>
      </c>
      <c r="F727">
        <v>312</v>
      </c>
      <c r="G727">
        <v>40.880000000000003</v>
      </c>
      <c r="H727">
        <v>0</v>
      </c>
    </row>
    <row r="728" spans="1:8" x14ac:dyDescent="0.3">
      <c r="A728" s="1" t="s">
        <v>750</v>
      </c>
      <c r="B728" s="1" t="s">
        <v>779</v>
      </c>
      <c r="C728" s="1" t="s">
        <v>64</v>
      </c>
      <c r="D728">
        <v>74</v>
      </c>
      <c r="E728" s="1" t="s">
        <v>22</v>
      </c>
      <c r="F728">
        <v>359</v>
      </c>
      <c r="G728">
        <v>92.63</v>
      </c>
      <c r="H728">
        <v>0</v>
      </c>
    </row>
    <row r="729" spans="1:8" x14ac:dyDescent="0.3">
      <c r="A729" s="1" t="s">
        <v>750</v>
      </c>
      <c r="B729" s="1" t="s">
        <v>780</v>
      </c>
      <c r="C729" s="1" t="s">
        <v>18</v>
      </c>
      <c r="D729">
        <v>72</v>
      </c>
      <c r="E729" s="1" t="s">
        <v>19</v>
      </c>
      <c r="F729">
        <v>427</v>
      </c>
      <c r="G729">
        <v>31.44</v>
      </c>
      <c r="H729">
        <v>2</v>
      </c>
    </row>
    <row r="730" spans="1:8" x14ac:dyDescent="0.3">
      <c r="A730" s="1" t="s">
        <v>750</v>
      </c>
      <c r="B730" s="1" t="s">
        <v>781</v>
      </c>
      <c r="C730" s="1" t="s">
        <v>29</v>
      </c>
      <c r="D730">
        <v>26</v>
      </c>
      <c r="E730" s="1" t="s">
        <v>11</v>
      </c>
      <c r="F730">
        <v>391</v>
      </c>
      <c r="G730">
        <v>18.28</v>
      </c>
      <c r="H730">
        <v>3</v>
      </c>
    </row>
    <row r="731" spans="1:8" x14ac:dyDescent="0.3">
      <c r="A731" s="1" t="s">
        <v>750</v>
      </c>
      <c r="B731" s="1" t="s">
        <v>782</v>
      </c>
      <c r="C731" s="1" t="s">
        <v>57</v>
      </c>
      <c r="D731">
        <v>26</v>
      </c>
      <c r="E731" s="1" t="s">
        <v>19</v>
      </c>
      <c r="F731">
        <v>413</v>
      </c>
      <c r="G731">
        <v>10.9</v>
      </c>
      <c r="H731">
        <v>5</v>
      </c>
    </row>
    <row r="732" spans="1:8" x14ac:dyDescent="0.3">
      <c r="A732" s="1" t="s">
        <v>750</v>
      </c>
      <c r="B732" s="1" t="s">
        <v>783</v>
      </c>
      <c r="C732" s="1" t="s">
        <v>51</v>
      </c>
      <c r="D732">
        <v>33</v>
      </c>
      <c r="E732" s="1" t="s">
        <v>22</v>
      </c>
      <c r="F732">
        <v>18</v>
      </c>
      <c r="G732">
        <v>47.18</v>
      </c>
      <c r="H732">
        <v>4</v>
      </c>
    </row>
    <row r="733" spans="1:8" x14ac:dyDescent="0.3">
      <c r="A733" s="1" t="s">
        <v>750</v>
      </c>
      <c r="B733" s="1" t="s">
        <v>784</v>
      </c>
      <c r="C733" s="1" t="s">
        <v>13</v>
      </c>
      <c r="D733">
        <v>63</v>
      </c>
      <c r="E733" s="1" t="s">
        <v>11</v>
      </c>
      <c r="F733">
        <v>177</v>
      </c>
      <c r="G733">
        <v>77.73</v>
      </c>
      <c r="H733">
        <v>3</v>
      </c>
    </row>
    <row r="734" spans="1:8" x14ac:dyDescent="0.3">
      <c r="A734" s="1" t="s">
        <v>750</v>
      </c>
      <c r="B734" s="1" t="s">
        <v>785</v>
      </c>
      <c r="C734" s="1" t="s">
        <v>51</v>
      </c>
      <c r="D734">
        <v>57</v>
      </c>
      <c r="E734" s="1" t="s">
        <v>11</v>
      </c>
      <c r="F734">
        <v>36</v>
      </c>
      <c r="G734">
        <v>82.7</v>
      </c>
      <c r="H734">
        <v>2</v>
      </c>
    </row>
    <row r="735" spans="1:8" x14ac:dyDescent="0.3">
      <c r="A735" s="1" t="s">
        <v>750</v>
      </c>
      <c r="B735" s="1" t="s">
        <v>786</v>
      </c>
      <c r="C735" s="1" t="s">
        <v>26</v>
      </c>
      <c r="D735">
        <v>87</v>
      </c>
      <c r="E735" s="1" t="s">
        <v>14</v>
      </c>
      <c r="F735">
        <v>486</v>
      </c>
      <c r="G735">
        <v>58.26</v>
      </c>
      <c r="H735">
        <v>0</v>
      </c>
    </row>
    <row r="736" spans="1:8" x14ac:dyDescent="0.3">
      <c r="A736" s="1" t="s">
        <v>750</v>
      </c>
      <c r="B736" s="1" t="s">
        <v>787</v>
      </c>
      <c r="C736" s="1" t="s">
        <v>13</v>
      </c>
      <c r="D736">
        <v>37</v>
      </c>
      <c r="E736" s="1" t="s">
        <v>11</v>
      </c>
      <c r="F736">
        <v>213</v>
      </c>
      <c r="G736">
        <v>14.12</v>
      </c>
      <c r="H736">
        <v>1</v>
      </c>
    </row>
    <row r="737" spans="1:8" x14ac:dyDescent="0.3">
      <c r="A737" s="1" t="s">
        <v>750</v>
      </c>
      <c r="B737" s="1" t="s">
        <v>788</v>
      </c>
      <c r="C737" s="1" t="s">
        <v>26</v>
      </c>
      <c r="D737">
        <v>29</v>
      </c>
      <c r="E737" s="1" t="s">
        <v>19</v>
      </c>
      <c r="F737">
        <v>306</v>
      </c>
      <c r="G737">
        <v>82.16</v>
      </c>
      <c r="H737">
        <v>1</v>
      </c>
    </row>
    <row r="738" spans="1:8" x14ac:dyDescent="0.3">
      <c r="A738" s="1" t="s">
        <v>750</v>
      </c>
      <c r="B738" s="1" t="s">
        <v>789</v>
      </c>
      <c r="C738" s="1" t="s">
        <v>78</v>
      </c>
      <c r="D738">
        <v>26</v>
      </c>
      <c r="E738" s="1" t="s">
        <v>22</v>
      </c>
      <c r="F738">
        <v>378</v>
      </c>
      <c r="G738">
        <v>88.59</v>
      </c>
      <c r="H738">
        <v>4</v>
      </c>
    </row>
    <row r="739" spans="1:8" x14ac:dyDescent="0.3">
      <c r="A739" s="1" t="s">
        <v>750</v>
      </c>
      <c r="B739" s="1" t="s">
        <v>790</v>
      </c>
      <c r="C739" s="1" t="s">
        <v>137</v>
      </c>
      <c r="D739">
        <v>95</v>
      </c>
      <c r="E739" s="1" t="s">
        <v>11</v>
      </c>
      <c r="F739">
        <v>313</v>
      </c>
      <c r="G739">
        <v>32.49</v>
      </c>
      <c r="H739">
        <v>1</v>
      </c>
    </row>
    <row r="740" spans="1:8" x14ac:dyDescent="0.3">
      <c r="A740" s="1" t="s">
        <v>750</v>
      </c>
      <c r="B740" s="1" t="s">
        <v>791</v>
      </c>
      <c r="C740" s="1" t="s">
        <v>57</v>
      </c>
      <c r="D740">
        <v>21</v>
      </c>
      <c r="E740" s="1" t="s">
        <v>19</v>
      </c>
      <c r="F740">
        <v>475</v>
      </c>
      <c r="G740">
        <v>15.12</v>
      </c>
      <c r="H740">
        <v>2</v>
      </c>
    </row>
    <row r="741" spans="1:8" x14ac:dyDescent="0.3">
      <c r="A741" s="1" t="s">
        <v>750</v>
      </c>
      <c r="B741" s="1" t="s">
        <v>792</v>
      </c>
      <c r="C741" s="1" t="s">
        <v>137</v>
      </c>
      <c r="D741">
        <v>56</v>
      </c>
      <c r="E741" s="1" t="s">
        <v>22</v>
      </c>
      <c r="F741">
        <v>41</v>
      </c>
      <c r="G741">
        <v>15.1</v>
      </c>
      <c r="H741">
        <v>5</v>
      </c>
    </row>
    <row r="742" spans="1:8" x14ac:dyDescent="0.3">
      <c r="A742" s="1" t="s">
        <v>750</v>
      </c>
      <c r="B742" s="1" t="s">
        <v>793</v>
      </c>
      <c r="C742" s="1" t="s">
        <v>24</v>
      </c>
      <c r="D742">
        <v>105</v>
      </c>
      <c r="E742" s="1" t="s">
        <v>11</v>
      </c>
      <c r="F742">
        <v>454</v>
      </c>
      <c r="G742">
        <v>49.47</v>
      </c>
      <c r="H742">
        <v>4</v>
      </c>
    </row>
    <row r="743" spans="1:8" x14ac:dyDescent="0.3">
      <c r="A743" s="1" t="s">
        <v>750</v>
      </c>
      <c r="B743" s="1" t="s">
        <v>794</v>
      </c>
      <c r="C743" s="1" t="s">
        <v>18</v>
      </c>
      <c r="D743">
        <v>68</v>
      </c>
      <c r="E743" s="1" t="s">
        <v>14</v>
      </c>
      <c r="F743">
        <v>282</v>
      </c>
      <c r="G743">
        <v>35.43</v>
      </c>
      <c r="H743">
        <v>1</v>
      </c>
    </row>
    <row r="744" spans="1:8" x14ac:dyDescent="0.3">
      <c r="A744" s="1" t="s">
        <v>750</v>
      </c>
      <c r="B744" s="1" t="s">
        <v>795</v>
      </c>
      <c r="C744" s="1" t="s">
        <v>24</v>
      </c>
      <c r="D744">
        <v>104</v>
      </c>
      <c r="E744" s="1" t="s">
        <v>19</v>
      </c>
      <c r="F744">
        <v>245</v>
      </c>
      <c r="G744">
        <v>38.270000000000003</v>
      </c>
      <c r="H744">
        <v>0</v>
      </c>
    </row>
    <row r="745" spans="1:8" x14ac:dyDescent="0.3">
      <c r="A745" s="1" t="s">
        <v>750</v>
      </c>
      <c r="B745" s="1" t="s">
        <v>796</v>
      </c>
      <c r="C745" s="1" t="s">
        <v>57</v>
      </c>
      <c r="D745">
        <v>102</v>
      </c>
      <c r="E745" s="1" t="s">
        <v>19</v>
      </c>
      <c r="F745">
        <v>484</v>
      </c>
      <c r="G745">
        <v>64.22</v>
      </c>
      <c r="H745">
        <v>2</v>
      </c>
    </row>
    <row r="746" spans="1:8" x14ac:dyDescent="0.3">
      <c r="A746" s="1" t="s">
        <v>750</v>
      </c>
      <c r="B746" s="1" t="s">
        <v>797</v>
      </c>
      <c r="C746" s="1" t="s">
        <v>51</v>
      </c>
      <c r="D746">
        <v>25</v>
      </c>
      <c r="E746" s="1" t="s">
        <v>14</v>
      </c>
      <c r="F746">
        <v>66</v>
      </c>
      <c r="G746">
        <v>90.14</v>
      </c>
      <c r="H746">
        <v>5</v>
      </c>
    </row>
    <row r="747" spans="1:8" x14ac:dyDescent="0.3">
      <c r="A747" s="1" t="s">
        <v>750</v>
      </c>
      <c r="B747" s="1" t="s">
        <v>798</v>
      </c>
      <c r="C747" s="1" t="s">
        <v>29</v>
      </c>
      <c r="D747">
        <v>12</v>
      </c>
      <c r="E747" s="1" t="s">
        <v>11</v>
      </c>
      <c r="F747">
        <v>138</v>
      </c>
      <c r="G747">
        <v>99.83</v>
      </c>
      <c r="H747">
        <v>1</v>
      </c>
    </row>
    <row r="748" spans="1:8" x14ac:dyDescent="0.3">
      <c r="A748" s="1" t="s">
        <v>750</v>
      </c>
      <c r="B748" s="1" t="s">
        <v>799</v>
      </c>
      <c r="C748" s="1" t="s">
        <v>18</v>
      </c>
      <c r="D748">
        <v>75</v>
      </c>
      <c r="E748" s="1" t="s">
        <v>19</v>
      </c>
      <c r="F748">
        <v>370</v>
      </c>
      <c r="G748">
        <v>21.67</v>
      </c>
      <c r="H748">
        <v>0</v>
      </c>
    </row>
    <row r="749" spans="1:8" x14ac:dyDescent="0.3">
      <c r="A749" s="1" t="s">
        <v>750</v>
      </c>
      <c r="B749" s="1" t="s">
        <v>800</v>
      </c>
      <c r="C749" s="1" t="s">
        <v>131</v>
      </c>
      <c r="D749">
        <v>4</v>
      </c>
      <c r="E749" s="1" t="s">
        <v>19</v>
      </c>
      <c r="F749">
        <v>21</v>
      </c>
      <c r="G749">
        <v>45.8</v>
      </c>
      <c r="H749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C92F-BA76-456A-8A88-720D4C8F9A08}">
  <dimension ref="A1:F1034"/>
  <sheetViews>
    <sheetView workbookViewId="0">
      <selection sqref="A1:F1034"/>
    </sheetView>
  </sheetViews>
  <sheetFormatPr baseColWidth="10" defaultRowHeight="14.4" x14ac:dyDescent="0.3"/>
  <cols>
    <col min="1" max="1" width="22" bestFit="1" customWidth="1"/>
    <col min="2" max="2" width="18.77734375" bestFit="1" customWidth="1"/>
    <col min="3" max="3" width="9" bestFit="1" customWidth="1"/>
    <col min="4" max="4" width="17.6640625" bestFit="1" customWidth="1"/>
    <col min="5" max="5" width="17.109375" bestFit="1" customWidth="1"/>
    <col min="6" max="6" width="25.5546875" bestFit="1" customWidth="1"/>
  </cols>
  <sheetData>
    <row r="1" spans="1:6" x14ac:dyDescent="0.3">
      <c r="A1" t="s">
        <v>0</v>
      </c>
      <c r="B1" t="s">
        <v>801</v>
      </c>
      <c r="C1" t="s">
        <v>802</v>
      </c>
      <c r="D1" t="s">
        <v>803</v>
      </c>
      <c r="E1" t="s">
        <v>804</v>
      </c>
      <c r="F1" t="s">
        <v>1487</v>
      </c>
    </row>
    <row r="2" spans="1:6" x14ac:dyDescent="0.3">
      <c r="A2" s="1" t="s">
        <v>805</v>
      </c>
      <c r="B2" s="2">
        <v>45208</v>
      </c>
      <c r="C2" s="1" t="s">
        <v>808</v>
      </c>
      <c r="D2">
        <v>38</v>
      </c>
      <c r="E2" s="1" t="s">
        <v>807</v>
      </c>
      <c r="F2" s="3">
        <v>0.30138888888888887</v>
      </c>
    </row>
    <row r="3" spans="1:6" x14ac:dyDescent="0.3">
      <c r="A3" s="1" t="s">
        <v>805</v>
      </c>
      <c r="B3" s="2">
        <v>45204</v>
      </c>
      <c r="C3" s="1" t="s">
        <v>809</v>
      </c>
      <c r="D3">
        <v>100</v>
      </c>
      <c r="E3" s="1" t="s">
        <v>810</v>
      </c>
      <c r="F3" s="3">
        <v>0.96250000000000002</v>
      </c>
    </row>
    <row r="4" spans="1:6" x14ac:dyDescent="0.3">
      <c r="A4" s="1" t="s">
        <v>805</v>
      </c>
      <c r="B4" s="2">
        <v>45221</v>
      </c>
      <c r="C4" s="1" t="s">
        <v>811</v>
      </c>
      <c r="D4">
        <v>79</v>
      </c>
      <c r="E4" s="1" t="s">
        <v>812</v>
      </c>
      <c r="F4" s="3">
        <v>0.99791666666666667</v>
      </c>
    </row>
    <row r="5" spans="1:6" x14ac:dyDescent="0.3">
      <c r="A5" s="1" t="s">
        <v>805</v>
      </c>
      <c r="B5" s="2">
        <v>45217</v>
      </c>
      <c r="C5" s="1" t="s">
        <v>813</v>
      </c>
      <c r="D5">
        <v>59</v>
      </c>
      <c r="E5" s="1" t="s">
        <v>807</v>
      </c>
      <c r="F5" s="3">
        <v>0.10902777777777778</v>
      </c>
    </row>
    <row r="6" spans="1:6" x14ac:dyDescent="0.3">
      <c r="A6" s="1" t="s">
        <v>805</v>
      </c>
      <c r="B6" s="2">
        <v>45213</v>
      </c>
      <c r="C6" s="1" t="s">
        <v>814</v>
      </c>
      <c r="D6">
        <v>119</v>
      </c>
      <c r="E6" s="1" t="s">
        <v>810</v>
      </c>
      <c r="F6" s="3">
        <v>4.2361111111111113E-2</v>
      </c>
    </row>
    <row r="7" spans="1:6" x14ac:dyDescent="0.3">
      <c r="A7" s="1" t="s">
        <v>805</v>
      </c>
      <c r="B7" s="2">
        <v>45202</v>
      </c>
      <c r="C7" s="1" t="s">
        <v>815</v>
      </c>
      <c r="D7">
        <v>79</v>
      </c>
      <c r="E7" s="1" t="s">
        <v>807</v>
      </c>
      <c r="F7" s="3">
        <v>0.25972222222222224</v>
      </c>
    </row>
    <row r="8" spans="1:6" x14ac:dyDescent="0.3">
      <c r="A8" s="1" t="s">
        <v>805</v>
      </c>
      <c r="B8" s="2">
        <v>45216</v>
      </c>
      <c r="C8" s="1" t="s">
        <v>816</v>
      </c>
      <c r="D8">
        <v>56</v>
      </c>
      <c r="E8" s="1" t="s">
        <v>807</v>
      </c>
      <c r="F8" s="3">
        <v>0.79236111111111107</v>
      </c>
    </row>
    <row r="9" spans="1:6" x14ac:dyDescent="0.3">
      <c r="A9" s="1" t="s">
        <v>805</v>
      </c>
      <c r="B9" s="2">
        <v>45217</v>
      </c>
      <c r="C9" s="1" t="s">
        <v>817</v>
      </c>
      <c r="D9">
        <v>51</v>
      </c>
      <c r="E9" s="1" t="s">
        <v>810</v>
      </c>
      <c r="F9" s="3">
        <v>0.28125</v>
      </c>
    </row>
    <row r="10" spans="1:6" x14ac:dyDescent="0.3">
      <c r="A10" s="1" t="s">
        <v>805</v>
      </c>
      <c r="B10" s="2">
        <v>45220</v>
      </c>
      <c r="C10" s="1" t="s">
        <v>818</v>
      </c>
      <c r="D10">
        <v>33</v>
      </c>
      <c r="E10" s="1" t="s">
        <v>812</v>
      </c>
      <c r="F10" s="3">
        <v>0.94027777777777777</v>
      </c>
    </row>
    <row r="11" spans="1:6" x14ac:dyDescent="0.3">
      <c r="A11" s="1" t="s">
        <v>805</v>
      </c>
      <c r="B11" s="2">
        <v>45213</v>
      </c>
      <c r="C11" s="1" t="s">
        <v>819</v>
      </c>
      <c r="D11">
        <v>22</v>
      </c>
      <c r="E11" s="1" t="s">
        <v>810</v>
      </c>
      <c r="F11" s="3">
        <v>0.31111111111111112</v>
      </c>
    </row>
    <row r="12" spans="1:6" x14ac:dyDescent="0.3">
      <c r="A12" s="1" t="s">
        <v>805</v>
      </c>
      <c r="B12" s="2">
        <v>45218</v>
      </c>
      <c r="C12" s="1" t="s">
        <v>820</v>
      </c>
      <c r="D12">
        <v>70</v>
      </c>
      <c r="E12" s="1" t="s">
        <v>807</v>
      </c>
      <c r="F12" s="3">
        <v>0.36875000000000002</v>
      </c>
    </row>
    <row r="13" spans="1:6" x14ac:dyDescent="0.3">
      <c r="A13" s="1" t="s">
        <v>805</v>
      </c>
      <c r="B13" s="2">
        <v>45225</v>
      </c>
      <c r="C13" s="1" t="s">
        <v>822</v>
      </c>
      <c r="D13">
        <v>16</v>
      </c>
      <c r="E13" s="1" t="s">
        <v>810</v>
      </c>
      <c r="F13" s="3">
        <v>0.2388888888888889</v>
      </c>
    </row>
    <row r="14" spans="1:6" x14ac:dyDescent="0.3">
      <c r="A14" s="1" t="s">
        <v>805</v>
      </c>
      <c r="B14" s="2">
        <v>45213</v>
      </c>
      <c r="C14" s="1" t="s">
        <v>823</v>
      </c>
      <c r="D14">
        <v>101</v>
      </c>
      <c r="E14" s="1" t="s">
        <v>810</v>
      </c>
      <c r="F14" s="3">
        <v>0.4284722222222222</v>
      </c>
    </row>
    <row r="15" spans="1:6" x14ac:dyDescent="0.3">
      <c r="A15" s="1" t="s">
        <v>805</v>
      </c>
      <c r="B15" s="2">
        <v>45204</v>
      </c>
      <c r="C15" s="1" t="s">
        <v>824</v>
      </c>
      <c r="D15">
        <v>11</v>
      </c>
      <c r="E15" s="1" t="s">
        <v>812</v>
      </c>
      <c r="F15" s="3">
        <v>0.28333333333333333</v>
      </c>
    </row>
    <row r="16" spans="1:6" x14ac:dyDescent="0.3">
      <c r="A16" s="1" t="s">
        <v>805</v>
      </c>
      <c r="B16" s="2">
        <v>45210</v>
      </c>
      <c r="C16" s="1" t="s">
        <v>825</v>
      </c>
      <c r="D16">
        <v>115</v>
      </c>
      <c r="E16" s="1" t="s">
        <v>807</v>
      </c>
      <c r="F16" s="3">
        <v>0.12847222222222221</v>
      </c>
    </row>
    <row r="17" spans="1:6" x14ac:dyDescent="0.3">
      <c r="A17" s="1" t="s">
        <v>805</v>
      </c>
      <c r="B17" s="2">
        <v>45212</v>
      </c>
      <c r="C17" s="1" t="s">
        <v>826</v>
      </c>
      <c r="D17">
        <v>19</v>
      </c>
      <c r="E17" s="1" t="s">
        <v>810</v>
      </c>
      <c r="F17" s="3">
        <v>0.14027777777777778</v>
      </c>
    </row>
    <row r="18" spans="1:6" x14ac:dyDescent="0.3">
      <c r="A18" s="1" t="s">
        <v>805</v>
      </c>
      <c r="B18" s="2">
        <v>45227</v>
      </c>
      <c r="C18" s="1" t="s">
        <v>827</v>
      </c>
      <c r="D18">
        <v>24</v>
      </c>
      <c r="E18" s="1" t="s">
        <v>810</v>
      </c>
      <c r="F18" s="3">
        <v>0.48472222222222222</v>
      </c>
    </row>
    <row r="19" spans="1:6" x14ac:dyDescent="0.3">
      <c r="A19" s="1" t="s">
        <v>805</v>
      </c>
      <c r="B19" s="2">
        <v>45208</v>
      </c>
      <c r="C19" s="1" t="s">
        <v>820</v>
      </c>
      <c r="D19">
        <v>85</v>
      </c>
      <c r="E19" s="1" t="s">
        <v>810</v>
      </c>
      <c r="F19" s="3">
        <v>7.3611111111111113E-2</v>
      </c>
    </row>
    <row r="20" spans="1:6" x14ac:dyDescent="0.3">
      <c r="A20" s="1" t="s">
        <v>805</v>
      </c>
      <c r="B20" s="2">
        <v>45214</v>
      </c>
      <c r="C20" s="1" t="s">
        <v>828</v>
      </c>
      <c r="D20">
        <v>25</v>
      </c>
      <c r="E20" s="1" t="s">
        <v>807</v>
      </c>
      <c r="F20" s="3">
        <v>0.71319444444444446</v>
      </c>
    </row>
    <row r="21" spans="1:6" x14ac:dyDescent="0.3">
      <c r="A21" s="1" t="s">
        <v>805</v>
      </c>
      <c r="B21" s="2">
        <v>45229</v>
      </c>
      <c r="C21" s="1" t="s">
        <v>829</v>
      </c>
      <c r="D21">
        <v>106</v>
      </c>
      <c r="E21" s="1" t="s">
        <v>810</v>
      </c>
      <c r="F21" s="3">
        <v>0.50347222222222221</v>
      </c>
    </row>
    <row r="22" spans="1:6" x14ac:dyDescent="0.3">
      <c r="A22" s="1" t="s">
        <v>805</v>
      </c>
      <c r="B22" s="2">
        <v>45217</v>
      </c>
      <c r="C22" s="1" t="s">
        <v>830</v>
      </c>
      <c r="D22">
        <v>92</v>
      </c>
      <c r="E22" s="1" t="s">
        <v>812</v>
      </c>
      <c r="F22" s="3">
        <v>0.41180555555555554</v>
      </c>
    </row>
    <row r="23" spans="1:6" x14ac:dyDescent="0.3">
      <c r="A23" s="1" t="s">
        <v>805</v>
      </c>
      <c r="B23" s="2">
        <v>45220</v>
      </c>
      <c r="C23" s="1" t="s">
        <v>831</v>
      </c>
      <c r="D23">
        <v>59</v>
      </c>
      <c r="E23" s="1" t="s">
        <v>812</v>
      </c>
      <c r="F23" s="3">
        <v>0.8305555555555556</v>
      </c>
    </row>
    <row r="24" spans="1:6" x14ac:dyDescent="0.3">
      <c r="A24" s="1" t="s">
        <v>805</v>
      </c>
      <c r="B24" s="2">
        <v>45227</v>
      </c>
      <c r="C24" s="1" t="s">
        <v>818</v>
      </c>
      <c r="D24">
        <v>81</v>
      </c>
      <c r="E24" s="1" t="s">
        <v>810</v>
      </c>
      <c r="F24" s="3">
        <v>0.48333333333333334</v>
      </c>
    </row>
    <row r="25" spans="1:6" x14ac:dyDescent="0.3">
      <c r="A25" s="1" t="s">
        <v>805</v>
      </c>
      <c r="B25" s="2">
        <v>45206</v>
      </c>
      <c r="C25" s="1" t="s">
        <v>832</v>
      </c>
      <c r="D25">
        <v>13</v>
      </c>
      <c r="E25" s="1" t="s">
        <v>810</v>
      </c>
      <c r="F25" s="3">
        <v>0.9194444444444444</v>
      </c>
    </row>
    <row r="26" spans="1:6" x14ac:dyDescent="0.3">
      <c r="A26" s="1" t="s">
        <v>805</v>
      </c>
      <c r="B26" s="2">
        <v>45201</v>
      </c>
      <c r="C26" s="1" t="s">
        <v>833</v>
      </c>
      <c r="D26">
        <v>54</v>
      </c>
      <c r="E26" s="1" t="s">
        <v>812</v>
      </c>
      <c r="F26" s="3">
        <v>0.88472222222222219</v>
      </c>
    </row>
    <row r="27" spans="1:6" x14ac:dyDescent="0.3">
      <c r="A27" s="1" t="s">
        <v>805</v>
      </c>
      <c r="B27" s="2">
        <v>45224</v>
      </c>
      <c r="C27" s="1" t="s">
        <v>809</v>
      </c>
      <c r="D27">
        <v>53</v>
      </c>
      <c r="E27" s="1" t="s">
        <v>812</v>
      </c>
      <c r="F27" s="3">
        <v>0.37847222222222221</v>
      </c>
    </row>
    <row r="28" spans="1:6" x14ac:dyDescent="0.3">
      <c r="A28" s="1" t="s">
        <v>805</v>
      </c>
      <c r="B28" s="2">
        <v>45227</v>
      </c>
      <c r="C28" s="1" t="s">
        <v>834</v>
      </c>
      <c r="D28">
        <v>81</v>
      </c>
      <c r="E28" s="1" t="s">
        <v>810</v>
      </c>
      <c r="F28" s="3">
        <v>0.3298611111111111</v>
      </c>
    </row>
    <row r="29" spans="1:6" x14ac:dyDescent="0.3">
      <c r="A29" s="1" t="s">
        <v>805</v>
      </c>
      <c r="B29" s="2">
        <v>45203</v>
      </c>
      <c r="C29" s="1" t="s">
        <v>835</v>
      </c>
      <c r="D29">
        <v>64</v>
      </c>
      <c r="E29" s="1" t="s">
        <v>812</v>
      </c>
      <c r="F29" s="3">
        <v>0.51180555555555551</v>
      </c>
    </row>
    <row r="30" spans="1:6" x14ac:dyDescent="0.3">
      <c r="A30" s="1" t="s">
        <v>805</v>
      </c>
      <c r="B30" s="2">
        <v>45214</v>
      </c>
      <c r="C30" s="1" t="s">
        <v>836</v>
      </c>
      <c r="D30">
        <v>72</v>
      </c>
      <c r="E30" s="1" t="s">
        <v>807</v>
      </c>
      <c r="F30" s="3">
        <v>0.87013888888888891</v>
      </c>
    </row>
    <row r="31" spans="1:6" x14ac:dyDescent="0.3">
      <c r="A31" s="1" t="s">
        <v>805</v>
      </c>
      <c r="B31" s="2">
        <v>45211</v>
      </c>
      <c r="C31" s="1" t="s">
        <v>837</v>
      </c>
      <c r="D31">
        <v>37</v>
      </c>
      <c r="E31" s="1" t="s">
        <v>807</v>
      </c>
      <c r="F31" s="3">
        <v>0.22430555555555556</v>
      </c>
    </row>
    <row r="32" spans="1:6" x14ac:dyDescent="0.3">
      <c r="A32" s="1" t="s">
        <v>805</v>
      </c>
      <c r="B32" s="2">
        <v>45211</v>
      </c>
      <c r="C32" s="1" t="s">
        <v>838</v>
      </c>
      <c r="D32">
        <v>75</v>
      </c>
      <c r="E32" s="1" t="s">
        <v>807</v>
      </c>
      <c r="F32" s="3">
        <v>0.27916666666666667</v>
      </c>
    </row>
    <row r="33" spans="1:6" x14ac:dyDescent="0.3">
      <c r="A33" s="1" t="s">
        <v>805</v>
      </c>
      <c r="B33" s="2">
        <v>45208</v>
      </c>
      <c r="C33" s="1" t="s">
        <v>839</v>
      </c>
      <c r="D33">
        <v>115</v>
      </c>
      <c r="E33" s="1" t="s">
        <v>807</v>
      </c>
      <c r="F33" s="3">
        <v>0.95763888888888893</v>
      </c>
    </row>
    <row r="34" spans="1:6" x14ac:dyDescent="0.3">
      <c r="A34" s="1" t="s">
        <v>805</v>
      </c>
      <c r="B34" s="2">
        <v>45221</v>
      </c>
      <c r="C34" s="1" t="s">
        <v>840</v>
      </c>
      <c r="D34">
        <v>6</v>
      </c>
      <c r="E34" s="1" t="s">
        <v>812</v>
      </c>
      <c r="F34" s="3">
        <v>0.83611111111111114</v>
      </c>
    </row>
    <row r="35" spans="1:6" x14ac:dyDescent="0.3">
      <c r="A35" s="1" t="s">
        <v>805</v>
      </c>
      <c r="B35" s="2">
        <v>45219</v>
      </c>
      <c r="C35" s="1" t="s">
        <v>841</v>
      </c>
      <c r="D35">
        <v>92</v>
      </c>
      <c r="E35" s="1" t="s">
        <v>807</v>
      </c>
      <c r="F35" s="3">
        <v>0.84027777777777779</v>
      </c>
    </row>
    <row r="36" spans="1:6" x14ac:dyDescent="0.3">
      <c r="A36" s="1" t="s">
        <v>805</v>
      </c>
      <c r="B36" s="2">
        <v>45217</v>
      </c>
      <c r="C36" s="1" t="s">
        <v>842</v>
      </c>
      <c r="D36">
        <v>97</v>
      </c>
      <c r="E36" s="1" t="s">
        <v>810</v>
      </c>
      <c r="F36" s="3">
        <v>0.96875</v>
      </c>
    </row>
    <row r="37" spans="1:6" x14ac:dyDescent="0.3">
      <c r="A37" s="1" t="s">
        <v>805</v>
      </c>
      <c r="B37" s="2">
        <v>45205</v>
      </c>
      <c r="C37" s="1" t="s">
        <v>843</v>
      </c>
      <c r="D37">
        <v>19</v>
      </c>
      <c r="E37" s="1" t="s">
        <v>810</v>
      </c>
      <c r="F37" s="3">
        <v>0.6</v>
      </c>
    </row>
    <row r="38" spans="1:6" x14ac:dyDescent="0.3">
      <c r="A38" s="1" t="s">
        <v>805</v>
      </c>
      <c r="B38" s="2">
        <v>45208</v>
      </c>
      <c r="C38" s="1" t="s">
        <v>844</v>
      </c>
      <c r="D38">
        <v>92</v>
      </c>
      <c r="E38" s="1" t="s">
        <v>807</v>
      </c>
      <c r="F38" s="3">
        <v>0.86388888888888893</v>
      </c>
    </row>
    <row r="39" spans="1:6" x14ac:dyDescent="0.3">
      <c r="A39" s="1" t="s">
        <v>805</v>
      </c>
      <c r="B39" s="2">
        <v>45217</v>
      </c>
      <c r="C39" s="1" t="s">
        <v>845</v>
      </c>
      <c r="D39">
        <v>118</v>
      </c>
      <c r="E39" s="1" t="s">
        <v>810</v>
      </c>
      <c r="F39" s="3">
        <v>0.3215277777777778</v>
      </c>
    </row>
    <row r="40" spans="1:6" x14ac:dyDescent="0.3">
      <c r="A40" s="1" t="s">
        <v>805</v>
      </c>
      <c r="B40" s="2">
        <v>45210</v>
      </c>
      <c r="C40" s="1" t="s">
        <v>846</v>
      </c>
      <c r="D40">
        <v>73</v>
      </c>
      <c r="E40" s="1" t="s">
        <v>807</v>
      </c>
      <c r="F40" s="3">
        <v>5.1388888888888887E-2</v>
      </c>
    </row>
    <row r="41" spans="1:6" x14ac:dyDescent="0.3">
      <c r="A41" s="1" t="s">
        <v>805</v>
      </c>
      <c r="B41" s="2">
        <v>45226</v>
      </c>
      <c r="C41" s="1" t="s">
        <v>847</v>
      </c>
      <c r="D41">
        <v>101</v>
      </c>
      <c r="E41" s="1" t="s">
        <v>807</v>
      </c>
      <c r="F41" s="3">
        <v>7.7083333333333337E-2</v>
      </c>
    </row>
    <row r="42" spans="1:6" x14ac:dyDescent="0.3">
      <c r="A42" s="1" t="s">
        <v>805</v>
      </c>
      <c r="B42" s="2">
        <v>45202</v>
      </c>
      <c r="C42" s="1" t="s">
        <v>848</v>
      </c>
      <c r="D42">
        <v>103</v>
      </c>
      <c r="E42" s="1" t="s">
        <v>810</v>
      </c>
      <c r="F42" s="3">
        <v>0.2902777777777778</v>
      </c>
    </row>
    <row r="43" spans="1:6" x14ac:dyDescent="0.3">
      <c r="A43" s="1" t="s">
        <v>805</v>
      </c>
      <c r="B43" s="2">
        <v>45230</v>
      </c>
      <c r="C43" s="1" t="s">
        <v>849</v>
      </c>
      <c r="D43">
        <v>87</v>
      </c>
      <c r="E43" s="1" t="s">
        <v>810</v>
      </c>
      <c r="F43" s="3">
        <v>0.78888888888888886</v>
      </c>
    </row>
    <row r="44" spans="1:6" x14ac:dyDescent="0.3">
      <c r="A44" s="1" t="s">
        <v>805</v>
      </c>
      <c r="B44" s="2">
        <v>45222</v>
      </c>
      <c r="C44" s="1" t="s">
        <v>850</v>
      </c>
      <c r="D44">
        <v>48</v>
      </c>
      <c r="E44" s="1" t="s">
        <v>807</v>
      </c>
      <c r="F44" s="3">
        <v>0.42569444444444443</v>
      </c>
    </row>
    <row r="45" spans="1:6" x14ac:dyDescent="0.3">
      <c r="A45" s="1" t="s">
        <v>805</v>
      </c>
      <c r="B45" s="2">
        <v>45220</v>
      </c>
      <c r="C45" s="1" t="s">
        <v>851</v>
      </c>
      <c r="D45">
        <v>19</v>
      </c>
      <c r="E45" s="1" t="s">
        <v>807</v>
      </c>
      <c r="F45" s="3">
        <v>0.64236111111111116</v>
      </c>
    </row>
    <row r="46" spans="1:6" x14ac:dyDescent="0.3">
      <c r="A46" s="1" t="s">
        <v>805</v>
      </c>
      <c r="B46" s="2">
        <v>45228</v>
      </c>
      <c r="C46" s="1" t="s">
        <v>846</v>
      </c>
      <c r="D46">
        <v>42</v>
      </c>
      <c r="E46" s="1" t="s">
        <v>807</v>
      </c>
      <c r="F46" s="3">
        <v>0.85347222222222219</v>
      </c>
    </row>
    <row r="47" spans="1:6" x14ac:dyDescent="0.3">
      <c r="A47" s="1" t="s">
        <v>805</v>
      </c>
      <c r="B47" s="2">
        <v>45204</v>
      </c>
      <c r="C47" s="1" t="s">
        <v>852</v>
      </c>
      <c r="D47">
        <v>60</v>
      </c>
      <c r="E47" s="1" t="s">
        <v>807</v>
      </c>
      <c r="F47" s="3">
        <v>0.33888888888888891</v>
      </c>
    </row>
    <row r="48" spans="1:6" x14ac:dyDescent="0.3">
      <c r="A48" s="1" t="s">
        <v>805</v>
      </c>
      <c r="B48" s="2">
        <v>45207</v>
      </c>
      <c r="C48" s="1" t="s">
        <v>853</v>
      </c>
      <c r="D48">
        <v>25</v>
      </c>
      <c r="E48" s="1" t="s">
        <v>812</v>
      </c>
      <c r="F48" s="3">
        <v>0.98263888888888884</v>
      </c>
    </row>
    <row r="49" spans="1:6" x14ac:dyDescent="0.3">
      <c r="A49" s="1" t="s">
        <v>854</v>
      </c>
      <c r="B49" s="2">
        <v>45218</v>
      </c>
      <c r="C49" s="1" t="s">
        <v>855</v>
      </c>
      <c r="D49">
        <v>17</v>
      </c>
      <c r="E49" s="1" t="s">
        <v>812</v>
      </c>
      <c r="F49" s="3">
        <v>0.63541666666666663</v>
      </c>
    </row>
    <row r="50" spans="1:6" x14ac:dyDescent="0.3">
      <c r="A50" s="1" t="s">
        <v>854</v>
      </c>
      <c r="B50" s="2">
        <v>45225</v>
      </c>
      <c r="C50" s="1" t="s">
        <v>856</v>
      </c>
      <c r="D50">
        <v>14</v>
      </c>
      <c r="E50" s="1" t="s">
        <v>807</v>
      </c>
      <c r="F50" s="3">
        <v>0.66041666666666665</v>
      </c>
    </row>
    <row r="51" spans="1:6" x14ac:dyDescent="0.3">
      <c r="A51" s="1" t="s">
        <v>854</v>
      </c>
      <c r="B51" s="2">
        <v>45213</v>
      </c>
      <c r="C51" s="1" t="s">
        <v>857</v>
      </c>
      <c r="D51">
        <v>73</v>
      </c>
      <c r="E51" s="1" t="s">
        <v>812</v>
      </c>
      <c r="F51" s="3">
        <v>0.25416666666666665</v>
      </c>
    </row>
    <row r="52" spans="1:6" x14ac:dyDescent="0.3">
      <c r="A52" s="1" t="s">
        <v>854</v>
      </c>
      <c r="B52" s="2">
        <v>45203</v>
      </c>
      <c r="C52" s="1" t="s">
        <v>858</v>
      </c>
      <c r="D52">
        <v>32</v>
      </c>
      <c r="E52" s="1" t="s">
        <v>807</v>
      </c>
      <c r="F52" s="3">
        <v>0.89375000000000004</v>
      </c>
    </row>
    <row r="53" spans="1:6" x14ac:dyDescent="0.3">
      <c r="A53" s="1" t="s">
        <v>854</v>
      </c>
      <c r="B53" s="2">
        <v>45211</v>
      </c>
      <c r="C53" s="1" t="s">
        <v>841</v>
      </c>
      <c r="D53">
        <v>69</v>
      </c>
      <c r="E53" s="1" t="s">
        <v>810</v>
      </c>
      <c r="F53" s="3">
        <v>0.55972222222222223</v>
      </c>
    </row>
    <row r="54" spans="1:6" x14ac:dyDescent="0.3">
      <c r="A54" s="1" t="s">
        <v>854</v>
      </c>
      <c r="B54" s="2">
        <v>45214</v>
      </c>
      <c r="C54" s="1" t="s">
        <v>859</v>
      </c>
      <c r="D54">
        <v>38</v>
      </c>
      <c r="E54" s="1" t="s">
        <v>807</v>
      </c>
      <c r="F54" s="3">
        <v>0.9604166666666667</v>
      </c>
    </row>
    <row r="55" spans="1:6" x14ac:dyDescent="0.3">
      <c r="A55" s="1" t="s">
        <v>854</v>
      </c>
      <c r="B55" s="2">
        <v>45221</v>
      </c>
      <c r="C55" s="1" t="s">
        <v>860</v>
      </c>
      <c r="D55">
        <v>21</v>
      </c>
      <c r="E55" s="1" t="s">
        <v>810</v>
      </c>
      <c r="F55" s="3">
        <v>0.8618055555555556</v>
      </c>
    </row>
    <row r="56" spans="1:6" x14ac:dyDescent="0.3">
      <c r="A56" s="1" t="s">
        <v>854</v>
      </c>
      <c r="B56" s="2">
        <v>45203</v>
      </c>
      <c r="C56" s="1" t="s">
        <v>861</v>
      </c>
      <c r="D56">
        <v>49</v>
      </c>
      <c r="E56" s="1" t="s">
        <v>807</v>
      </c>
      <c r="F56" s="3">
        <v>5.9027777777777776E-2</v>
      </c>
    </row>
    <row r="57" spans="1:6" x14ac:dyDescent="0.3">
      <c r="A57" s="1" t="s">
        <v>854</v>
      </c>
      <c r="B57" s="2">
        <v>45223</v>
      </c>
      <c r="C57" s="1" t="s">
        <v>862</v>
      </c>
      <c r="D57">
        <v>117</v>
      </c>
      <c r="E57" s="1" t="s">
        <v>812</v>
      </c>
      <c r="F57" s="3">
        <v>0.45208333333333334</v>
      </c>
    </row>
    <row r="58" spans="1:6" x14ac:dyDescent="0.3">
      <c r="A58" s="1" t="s">
        <v>854</v>
      </c>
      <c r="B58" s="2">
        <v>45227</v>
      </c>
      <c r="C58" s="1" t="s">
        <v>863</v>
      </c>
      <c r="D58">
        <v>13</v>
      </c>
      <c r="E58" s="1" t="s">
        <v>810</v>
      </c>
      <c r="F58" s="3">
        <v>0.13541666666666666</v>
      </c>
    </row>
    <row r="59" spans="1:6" x14ac:dyDescent="0.3">
      <c r="A59" s="1" t="s">
        <v>854</v>
      </c>
      <c r="B59" s="2">
        <v>45206</v>
      </c>
      <c r="C59" s="1" t="s">
        <v>864</v>
      </c>
      <c r="D59">
        <v>117</v>
      </c>
      <c r="E59" s="1" t="s">
        <v>812</v>
      </c>
      <c r="F59" s="3">
        <v>0.27361111111111114</v>
      </c>
    </row>
    <row r="60" spans="1:6" x14ac:dyDescent="0.3">
      <c r="A60" s="1" t="s">
        <v>854</v>
      </c>
      <c r="B60" s="2">
        <v>45214</v>
      </c>
      <c r="C60" s="1" t="s">
        <v>855</v>
      </c>
      <c r="D60">
        <v>36</v>
      </c>
      <c r="E60" s="1" t="s">
        <v>810</v>
      </c>
      <c r="F60" s="3">
        <v>0.18541666666666667</v>
      </c>
    </row>
    <row r="61" spans="1:6" x14ac:dyDescent="0.3">
      <c r="A61" s="1" t="s">
        <v>854</v>
      </c>
      <c r="B61" s="2">
        <v>45205</v>
      </c>
      <c r="C61" s="1" t="s">
        <v>865</v>
      </c>
      <c r="D61">
        <v>52</v>
      </c>
      <c r="E61" s="1" t="s">
        <v>810</v>
      </c>
      <c r="F61" s="3">
        <v>0.35347222222222224</v>
      </c>
    </row>
    <row r="62" spans="1:6" x14ac:dyDescent="0.3">
      <c r="A62" s="1" t="s">
        <v>854</v>
      </c>
      <c r="B62" s="2">
        <v>45207</v>
      </c>
      <c r="C62" s="1" t="s">
        <v>866</v>
      </c>
      <c r="D62">
        <v>41</v>
      </c>
      <c r="E62" s="1" t="s">
        <v>807</v>
      </c>
      <c r="F62" s="3">
        <v>0.10277777777777777</v>
      </c>
    </row>
    <row r="63" spans="1:6" x14ac:dyDescent="0.3">
      <c r="A63" s="1" t="s">
        <v>854</v>
      </c>
      <c r="B63" s="2">
        <v>45225</v>
      </c>
      <c r="C63" s="1" t="s">
        <v>867</v>
      </c>
      <c r="D63">
        <v>25</v>
      </c>
      <c r="E63" s="1" t="s">
        <v>807</v>
      </c>
      <c r="F63" s="3">
        <v>0.71250000000000002</v>
      </c>
    </row>
    <row r="64" spans="1:6" x14ac:dyDescent="0.3">
      <c r="A64" s="1" t="s">
        <v>854</v>
      </c>
      <c r="B64" s="2">
        <v>45201</v>
      </c>
      <c r="C64" s="1" t="s">
        <v>868</v>
      </c>
      <c r="D64">
        <v>61</v>
      </c>
      <c r="E64" s="1" t="s">
        <v>807</v>
      </c>
      <c r="F64" s="3">
        <v>0.8569444444444444</v>
      </c>
    </row>
    <row r="65" spans="1:6" x14ac:dyDescent="0.3">
      <c r="A65" s="1" t="s">
        <v>854</v>
      </c>
      <c r="B65" s="2">
        <v>45229</v>
      </c>
      <c r="C65" s="1" t="s">
        <v>869</v>
      </c>
      <c r="D65">
        <v>74</v>
      </c>
      <c r="E65" s="1" t="s">
        <v>812</v>
      </c>
      <c r="F65" s="3">
        <v>0.2986111111111111</v>
      </c>
    </row>
    <row r="66" spans="1:6" x14ac:dyDescent="0.3">
      <c r="A66" s="1" t="s">
        <v>854</v>
      </c>
      <c r="B66" s="2">
        <v>45213</v>
      </c>
      <c r="C66" s="1" t="s">
        <v>870</v>
      </c>
      <c r="D66">
        <v>95</v>
      </c>
      <c r="E66" s="1" t="s">
        <v>807</v>
      </c>
      <c r="F66" s="3">
        <v>0.64583333333333337</v>
      </c>
    </row>
    <row r="67" spans="1:6" x14ac:dyDescent="0.3">
      <c r="A67" s="1" t="s">
        <v>854</v>
      </c>
      <c r="B67" s="2">
        <v>45206</v>
      </c>
      <c r="C67" s="1" t="s">
        <v>871</v>
      </c>
      <c r="D67">
        <v>43</v>
      </c>
      <c r="E67" s="1" t="s">
        <v>807</v>
      </c>
      <c r="F67" s="3">
        <v>0.5395833333333333</v>
      </c>
    </row>
    <row r="68" spans="1:6" x14ac:dyDescent="0.3">
      <c r="A68" s="1" t="s">
        <v>854</v>
      </c>
      <c r="B68" s="2">
        <v>45201</v>
      </c>
      <c r="C68" s="1" t="s">
        <v>872</v>
      </c>
      <c r="D68">
        <v>83</v>
      </c>
      <c r="E68" s="1" t="s">
        <v>810</v>
      </c>
      <c r="F68" s="3">
        <v>0.22500000000000001</v>
      </c>
    </row>
    <row r="69" spans="1:6" x14ac:dyDescent="0.3">
      <c r="A69" s="1" t="s">
        <v>854</v>
      </c>
      <c r="B69" s="2">
        <v>45200</v>
      </c>
      <c r="C69" s="1" t="s">
        <v>873</v>
      </c>
      <c r="D69">
        <v>108</v>
      </c>
      <c r="E69" s="1" t="s">
        <v>812</v>
      </c>
      <c r="F69" s="3">
        <v>0.51111111111111107</v>
      </c>
    </row>
    <row r="70" spans="1:6" x14ac:dyDescent="0.3">
      <c r="A70" s="1" t="s">
        <v>854</v>
      </c>
      <c r="B70" s="2">
        <v>45229</v>
      </c>
      <c r="C70" s="1" t="s">
        <v>832</v>
      </c>
      <c r="D70">
        <v>88</v>
      </c>
      <c r="E70" s="1" t="s">
        <v>812</v>
      </c>
      <c r="F70" s="3">
        <v>0.59583333333333333</v>
      </c>
    </row>
    <row r="71" spans="1:6" x14ac:dyDescent="0.3">
      <c r="A71" s="1" t="s">
        <v>854</v>
      </c>
      <c r="B71" s="2">
        <v>45213</v>
      </c>
      <c r="C71" s="1" t="s">
        <v>874</v>
      </c>
      <c r="D71">
        <v>72</v>
      </c>
      <c r="E71" s="1" t="s">
        <v>810</v>
      </c>
      <c r="F71" s="3">
        <v>0.94861111111111107</v>
      </c>
    </row>
    <row r="72" spans="1:6" x14ac:dyDescent="0.3">
      <c r="A72" s="1" t="s">
        <v>854</v>
      </c>
      <c r="B72" s="2">
        <v>45225</v>
      </c>
      <c r="C72" s="1" t="s">
        <v>875</v>
      </c>
      <c r="D72">
        <v>6</v>
      </c>
      <c r="E72" s="1" t="s">
        <v>810</v>
      </c>
      <c r="F72" s="3">
        <v>0.73750000000000004</v>
      </c>
    </row>
    <row r="73" spans="1:6" x14ac:dyDescent="0.3">
      <c r="A73" s="1" t="s">
        <v>854</v>
      </c>
      <c r="B73" s="2">
        <v>45222</v>
      </c>
      <c r="C73" s="1" t="s">
        <v>876</v>
      </c>
      <c r="D73">
        <v>90</v>
      </c>
      <c r="E73" s="1" t="s">
        <v>807</v>
      </c>
      <c r="F73" s="3">
        <v>0.63124999999999998</v>
      </c>
    </row>
    <row r="74" spans="1:6" x14ac:dyDescent="0.3">
      <c r="A74" s="1" t="s">
        <v>854</v>
      </c>
      <c r="B74" s="2">
        <v>45206</v>
      </c>
      <c r="C74" s="1" t="s">
        <v>877</v>
      </c>
      <c r="D74">
        <v>109</v>
      </c>
      <c r="E74" s="1" t="s">
        <v>812</v>
      </c>
      <c r="F74" s="3">
        <v>0.3840277777777778</v>
      </c>
    </row>
    <row r="75" spans="1:6" x14ac:dyDescent="0.3">
      <c r="A75" s="1" t="s">
        <v>854</v>
      </c>
      <c r="B75" s="2">
        <v>45230</v>
      </c>
      <c r="C75" s="1" t="s">
        <v>878</v>
      </c>
      <c r="D75">
        <v>75</v>
      </c>
      <c r="E75" s="1" t="s">
        <v>807</v>
      </c>
      <c r="F75" s="3">
        <v>6.7361111111111108E-2</v>
      </c>
    </row>
    <row r="76" spans="1:6" x14ac:dyDescent="0.3">
      <c r="A76" s="1" t="s">
        <v>854</v>
      </c>
      <c r="B76" s="2">
        <v>45223</v>
      </c>
      <c r="C76" s="1" t="s">
        <v>879</v>
      </c>
      <c r="D76">
        <v>43</v>
      </c>
      <c r="E76" s="1" t="s">
        <v>810</v>
      </c>
      <c r="F76" s="3">
        <v>0.7104166666666667</v>
      </c>
    </row>
    <row r="77" spans="1:6" x14ac:dyDescent="0.3">
      <c r="A77" s="1" t="s">
        <v>854</v>
      </c>
      <c r="B77" s="2">
        <v>45223</v>
      </c>
      <c r="C77" s="1" t="s">
        <v>880</v>
      </c>
      <c r="D77">
        <v>89</v>
      </c>
      <c r="E77" s="1" t="s">
        <v>807</v>
      </c>
      <c r="F77" s="3">
        <v>0.41875000000000001</v>
      </c>
    </row>
    <row r="78" spans="1:6" x14ac:dyDescent="0.3">
      <c r="A78" s="1" t="s">
        <v>854</v>
      </c>
      <c r="B78" s="2">
        <v>45201</v>
      </c>
      <c r="C78" s="1" t="s">
        <v>843</v>
      </c>
      <c r="D78">
        <v>18</v>
      </c>
      <c r="E78" s="1" t="s">
        <v>812</v>
      </c>
      <c r="F78" s="3">
        <v>0.77083333333333337</v>
      </c>
    </row>
    <row r="79" spans="1:6" x14ac:dyDescent="0.3">
      <c r="A79" s="1" t="s">
        <v>854</v>
      </c>
      <c r="B79" s="2">
        <v>45216</v>
      </c>
      <c r="C79" s="1" t="s">
        <v>881</v>
      </c>
      <c r="D79">
        <v>117</v>
      </c>
      <c r="E79" s="1" t="s">
        <v>807</v>
      </c>
      <c r="F79" s="3">
        <v>0.67361111111111116</v>
      </c>
    </row>
    <row r="80" spans="1:6" x14ac:dyDescent="0.3">
      <c r="A80" s="1" t="s">
        <v>854</v>
      </c>
      <c r="B80" s="2">
        <v>45201</v>
      </c>
      <c r="C80" s="1" t="s">
        <v>882</v>
      </c>
      <c r="D80">
        <v>22</v>
      </c>
      <c r="E80" s="1" t="s">
        <v>812</v>
      </c>
      <c r="F80" s="3">
        <v>0.67013888888888884</v>
      </c>
    </row>
    <row r="81" spans="1:6" x14ac:dyDescent="0.3">
      <c r="A81" s="1" t="s">
        <v>854</v>
      </c>
      <c r="B81" s="2">
        <v>45227</v>
      </c>
      <c r="C81" s="1" t="s">
        <v>883</v>
      </c>
      <c r="D81">
        <v>38</v>
      </c>
      <c r="E81" s="1" t="s">
        <v>807</v>
      </c>
      <c r="F81" s="3">
        <v>0.21111111111111111</v>
      </c>
    </row>
    <row r="82" spans="1:6" x14ac:dyDescent="0.3">
      <c r="A82" s="1" t="s">
        <v>854</v>
      </c>
      <c r="B82" s="2">
        <v>45219</v>
      </c>
      <c r="C82" s="1" t="s">
        <v>884</v>
      </c>
      <c r="D82">
        <v>19</v>
      </c>
      <c r="E82" s="1" t="s">
        <v>807</v>
      </c>
      <c r="F82" s="3">
        <v>0.11319444444444444</v>
      </c>
    </row>
    <row r="83" spans="1:6" x14ac:dyDescent="0.3">
      <c r="A83" s="1" t="s">
        <v>854</v>
      </c>
      <c r="B83" s="2">
        <v>45227</v>
      </c>
      <c r="C83" s="1" t="s">
        <v>885</v>
      </c>
      <c r="D83">
        <v>118</v>
      </c>
      <c r="E83" s="1" t="s">
        <v>812</v>
      </c>
      <c r="F83" s="3">
        <v>0.30902777777777779</v>
      </c>
    </row>
    <row r="84" spans="1:6" x14ac:dyDescent="0.3">
      <c r="A84" s="1" t="s">
        <v>854</v>
      </c>
      <c r="B84" s="2">
        <v>45203</v>
      </c>
      <c r="C84" s="1" t="s">
        <v>886</v>
      </c>
      <c r="D84">
        <v>18</v>
      </c>
      <c r="E84" s="1" t="s">
        <v>812</v>
      </c>
      <c r="F84" s="3">
        <v>0.76041666666666663</v>
      </c>
    </row>
    <row r="85" spans="1:6" x14ac:dyDescent="0.3">
      <c r="A85" s="1" t="s">
        <v>854</v>
      </c>
      <c r="B85" s="2">
        <v>45218</v>
      </c>
      <c r="C85" s="1" t="s">
        <v>887</v>
      </c>
      <c r="D85">
        <v>100</v>
      </c>
      <c r="E85" s="1" t="s">
        <v>812</v>
      </c>
      <c r="F85" s="3">
        <v>0.79305555555555551</v>
      </c>
    </row>
    <row r="86" spans="1:6" x14ac:dyDescent="0.3">
      <c r="A86" s="1" t="s">
        <v>854</v>
      </c>
      <c r="B86" s="2">
        <v>45219</v>
      </c>
      <c r="C86" s="1" t="s">
        <v>888</v>
      </c>
      <c r="D86">
        <v>75</v>
      </c>
      <c r="E86" s="1" t="s">
        <v>807</v>
      </c>
      <c r="F86" s="3">
        <v>0.10138888888888889</v>
      </c>
    </row>
    <row r="87" spans="1:6" x14ac:dyDescent="0.3">
      <c r="A87" s="1" t="s">
        <v>854</v>
      </c>
      <c r="B87" s="2">
        <v>45221</v>
      </c>
      <c r="C87" s="1" t="s">
        <v>889</v>
      </c>
      <c r="D87">
        <v>24</v>
      </c>
      <c r="E87" s="1" t="s">
        <v>807</v>
      </c>
      <c r="F87" s="3">
        <v>0.77500000000000002</v>
      </c>
    </row>
    <row r="88" spans="1:6" x14ac:dyDescent="0.3">
      <c r="A88" s="1" t="s">
        <v>854</v>
      </c>
      <c r="B88" s="2">
        <v>45216</v>
      </c>
      <c r="C88" s="1" t="s">
        <v>890</v>
      </c>
      <c r="D88">
        <v>39</v>
      </c>
      <c r="E88" s="1" t="s">
        <v>807</v>
      </c>
      <c r="F88" s="3">
        <v>0.45763888888888887</v>
      </c>
    </row>
    <row r="89" spans="1:6" x14ac:dyDescent="0.3">
      <c r="A89" s="1" t="s">
        <v>854</v>
      </c>
      <c r="B89" s="2">
        <v>45208</v>
      </c>
      <c r="C89" s="1" t="s">
        <v>891</v>
      </c>
      <c r="D89">
        <v>41</v>
      </c>
      <c r="E89" s="1" t="s">
        <v>810</v>
      </c>
      <c r="F89" s="3">
        <v>0.27916666666666667</v>
      </c>
    </row>
    <row r="90" spans="1:6" x14ac:dyDescent="0.3">
      <c r="A90" s="1" t="s">
        <v>854</v>
      </c>
      <c r="B90" s="2">
        <v>45222</v>
      </c>
      <c r="C90" s="1" t="s">
        <v>892</v>
      </c>
      <c r="D90">
        <v>82</v>
      </c>
      <c r="E90" s="1" t="s">
        <v>807</v>
      </c>
      <c r="F90" s="3">
        <v>0.42708333333333331</v>
      </c>
    </row>
    <row r="91" spans="1:6" x14ac:dyDescent="0.3">
      <c r="A91" s="1" t="s">
        <v>854</v>
      </c>
      <c r="B91" s="2">
        <v>45208</v>
      </c>
      <c r="C91" s="1" t="s">
        <v>893</v>
      </c>
      <c r="D91">
        <v>31</v>
      </c>
      <c r="E91" s="1" t="s">
        <v>812</v>
      </c>
      <c r="F91" s="3">
        <v>0.50555555555555554</v>
      </c>
    </row>
    <row r="92" spans="1:6" x14ac:dyDescent="0.3">
      <c r="A92" s="1" t="s">
        <v>854</v>
      </c>
      <c r="B92" s="2">
        <v>45221</v>
      </c>
      <c r="C92" s="1" t="s">
        <v>894</v>
      </c>
      <c r="D92">
        <v>96</v>
      </c>
      <c r="E92" s="1" t="s">
        <v>812</v>
      </c>
      <c r="F92" s="3">
        <v>0.84652777777777777</v>
      </c>
    </row>
    <row r="93" spans="1:6" x14ac:dyDescent="0.3">
      <c r="A93" s="1" t="s">
        <v>854</v>
      </c>
      <c r="B93" s="2">
        <v>45214</v>
      </c>
      <c r="C93" s="1" t="s">
        <v>895</v>
      </c>
      <c r="D93">
        <v>48</v>
      </c>
      <c r="E93" s="1" t="s">
        <v>812</v>
      </c>
      <c r="F93" s="3">
        <v>0.45763888888888887</v>
      </c>
    </row>
    <row r="94" spans="1:6" x14ac:dyDescent="0.3">
      <c r="A94" s="1" t="s">
        <v>854</v>
      </c>
      <c r="B94" s="2">
        <v>45224</v>
      </c>
      <c r="C94" s="1" t="s">
        <v>896</v>
      </c>
      <c r="D94">
        <v>31</v>
      </c>
      <c r="E94" s="1" t="s">
        <v>807</v>
      </c>
      <c r="F94" s="3">
        <v>8.3333333333333329E-2</v>
      </c>
    </row>
    <row r="95" spans="1:6" x14ac:dyDescent="0.3">
      <c r="A95" s="1" t="s">
        <v>854</v>
      </c>
      <c r="B95" s="2">
        <v>45214</v>
      </c>
      <c r="C95" s="1" t="s">
        <v>897</v>
      </c>
      <c r="D95">
        <v>92</v>
      </c>
      <c r="E95" s="1" t="s">
        <v>812</v>
      </c>
      <c r="F95" s="3">
        <v>0.81666666666666665</v>
      </c>
    </row>
    <row r="96" spans="1:6" x14ac:dyDescent="0.3">
      <c r="A96" s="1" t="s">
        <v>898</v>
      </c>
      <c r="B96" s="2">
        <v>45228</v>
      </c>
      <c r="C96" s="1" t="s">
        <v>900</v>
      </c>
      <c r="D96">
        <v>118</v>
      </c>
      <c r="E96" s="1" t="s">
        <v>812</v>
      </c>
      <c r="F96" s="3">
        <v>0.34097222222222223</v>
      </c>
    </row>
    <row r="97" spans="1:6" x14ac:dyDescent="0.3">
      <c r="A97" s="1" t="s">
        <v>898</v>
      </c>
      <c r="B97" s="2">
        <v>45218</v>
      </c>
      <c r="C97" s="1" t="s">
        <v>901</v>
      </c>
      <c r="D97">
        <v>85</v>
      </c>
      <c r="E97" s="1" t="s">
        <v>812</v>
      </c>
      <c r="F97" s="3">
        <v>0.3347222222222222</v>
      </c>
    </row>
    <row r="98" spans="1:6" x14ac:dyDescent="0.3">
      <c r="A98" s="1" t="s">
        <v>898</v>
      </c>
      <c r="B98" s="2">
        <v>45203</v>
      </c>
      <c r="C98" s="1" t="s">
        <v>902</v>
      </c>
      <c r="D98">
        <v>78</v>
      </c>
      <c r="E98" s="1" t="s">
        <v>812</v>
      </c>
      <c r="F98" s="3">
        <v>0.81041666666666667</v>
      </c>
    </row>
    <row r="99" spans="1:6" x14ac:dyDescent="0.3">
      <c r="A99" s="1" t="s">
        <v>898</v>
      </c>
      <c r="B99" s="2">
        <v>45211</v>
      </c>
      <c r="C99" s="1" t="s">
        <v>903</v>
      </c>
      <c r="D99">
        <v>29</v>
      </c>
      <c r="E99" s="1" t="s">
        <v>810</v>
      </c>
      <c r="F99" s="3">
        <v>0.99305555555555558</v>
      </c>
    </row>
    <row r="100" spans="1:6" x14ac:dyDescent="0.3">
      <c r="A100" s="1" t="s">
        <v>898</v>
      </c>
      <c r="B100" s="2">
        <v>45210</v>
      </c>
      <c r="C100" s="1" t="s">
        <v>904</v>
      </c>
      <c r="D100">
        <v>96</v>
      </c>
      <c r="E100" s="1" t="s">
        <v>807</v>
      </c>
      <c r="F100" s="3">
        <v>0.56805555555555554</v>
      </c>
    </row>
    <row r="101" spans="1:6" x14ac:dyDescent="0.3">
      <c r="A101" s="1" t="s">
        <v>898</v>
      </c>
      <c r="B101" s="2">
        <v>45216</v>
      </c>
      <c r="C101" s="1" t="s">
        <v>905</v>
      </c>
      <c r="D101">
        <v>94</v>
      </c>
      <c r="E101" s="1" t="s">
        <v>807</v>
      </c>
      <c r="F101" s="3">
        <v>0.14166666666666666</v>
      </c>
    </row>
    <row r="102" spans="1:6" x14ac:dyDescent="0.3">
      <c r="A102" s="1" t="s">
        <v>898</v>
      </c>
      <c r="B102" s="2">
        <v>45228</v>
      </c>
      <c r="C102" s="1" t="s">
        <v>906</v>
      </c>
      <c r="D102">
        <v>54</v>
      </c>
      <c r="E102" s="1" t="s">
        <v>807</v>
      </c>
      <c r="F102" s="3">
        <v>0.7583333333333333</v>
      </c>
    </row>
    <row r="103" spans="1:6" x14ac:dyDescent="0.3">
      <c r="A103" s="1" t="s">
        <v>898</v>
      </c>
      <c r="B103" s="2">
        <v>45208</v>
      </c>
      <c r="C103" s="1" t="s">
        <v>907</v>
      </c>
      <c r="D103">
        <v>68</v>
      </c>
      <c r="E103" s="1" t="s">
        <v>807</v>
      </c>
      <c r="F103" s="3">
        <v>7.2916666666666671E-2</v>
      </c>
    </row>
    <row r="104" spans="1:6" x14ac:dyDescent="0.3">
      <c r="A104" s="1" t="s">
        <v>898</v>
      </c>
      <c r="B104" s="2">
        <v>45229</v>
      </c>
      <c r="C104" s="1" t="s">
        <v>908</v>
      </c>
      <c r="D104">
        <v>36</v>
      </c>
      <c r="E104" s="1" t="s">
        <v>810</v>
      </c>
      <c r="F104" s="3">
        <v>0.73819444444444449</v>
      </c>
    </row>
    <row r="105" spans="1:6" x14ac:dyDescent="0.3">
      <c r="A105" s="1" t="s">
        <v>898</v>
      </c>
      <c r="B105" s="2">
        <v>45223</v>
      </c>
      <c r="C105" s="1" t="s">
        <v>909</v>
      </c>
      <c r="D105">
        <v>23</v>
      </c>
      <c r="E105" s="1" t="s">
        <v>807</v>
      </c>
      <c r="F105" s="3">
        <v>0.99097222222222225</v>
      </c>
    </row>
    <row r="106" spans="1:6" x14ac:dyDescent="0.3">
      <c r="A106" s="1" t="s">
        <v>898</v>
      </c>
      <c r="B106" s="2">
        <v>45221</v>
      </c>
      <c r="C106" s="1" t="s">
        <v>910</v>
      </c>
      <c r="D106">
        <v>88</v>
      </c>
      <c r="E106" s="1" t="s">
        <v>810</v>
      </c>
      <c r="F106" s="3">
        <v>0.26597222222222222</v>
      </c>
    </row>
    <row r="107" spans="1:6" x14ac:dyDescent="0.3">
      <c r="A107" s="1" t="s">
        <v>898</v>
      </c>
      <c r="B107" s="2">
        <v>45213</v>
      </c>
      <c r="C107" s="1" t="s">
        <v>911</v>
      </c>
      <c r="D107">
        <v>93</v>
      </c>
      <c r="E107" s="1" t="s">
        <v>807</v>
      </c>
      <c r="F107" s="3">
        <v>0.1125</v>
      </c>
    </row>
    <row r="108" spans="1:6" x14ac:dyDescent="0.3">
      <c r="A108" s="1" t="s">
        <v>898</v>
      </c>
      <c r="B108" s="2">
        <v>45229</v>
      </c>
      <c r="C108" s="1" t="s">
        <v>912</v>
      </c>
      <c r="D108">
        <v>5</v>
      </c>
      <c r="E108" s="1" t="s">
        <v>807</v>
      </c>
      <c r="F108" s="3">
        <v>0.44374999999999998</v>
      </c>
    </row>
    <row r="109" spans="1:6" x14ac:dyDescent="0.3">
      <c r="A109" s="1" t="s">
        <v>898</v>
      </c>
      <c r="B109" s="2">
        <v>45210</v>
      </c>
      <c r="C109" s="1" t="s">
        <v>913</v>
      </c>
      <c r="D109">
        <v>119</v>
      </c>
      <c r="E109" s="1" t="s">
        <v>812</v>
      </c>
      <c r="F109" s="3">
        <v>0.91249999999999998</v>
      </c>
    </row>
    <row r="110" spans="1:6" x14ac:dyDescent="0.3">
      <c r="A110" s="1" t="s">
        <v>898</v>
      </c>
      <c r="B110" s="2">
        <v>45203</v>
      </c>
      <c r="C110" s="1" t="s">
        <v>914</v>
      </c>
      <c r="D110">
        <v>101</v>
      </c>
      <c r="E110" s="1" t="s">
        <v>812</v>
      </c>
      <c r="F110" s="3">
        <v>0.99791666666666667</v>
      </c>
    </row>
    <row r="111" spans="1:6" x14ac:dyDescent="0.3">
      <c r="A111" s="1" t="s">
        <v>898</v>
      </c>
      <c r="B111" s="2">
        <v>45209</v>
      </c>
      <c r="C111" s="1" t="s">
        <v>915</v>
      </c>
      <c r="D111">
        <v>115</v>
      </c>
      <c r="E111" s="1" t="s">
        <v>812</v>
      </c>
      <c r="F111" s="3">
        <v>0.67986111111111114</v>
      </c>
    </row>
    <row r="112" spans="1:6" x14ac:dyDescent="0.3">
      <c r="A112" s="1" t="s">
        <v>898</v>
      </c>
      <c r="B112" s="2">
        <v>45221</v>
      </c>
      <c r="C112" s="1" t="s">
        <v>916</v>
      </c>
      <c r="D112">
        <v>103</v>
      </c>
      <c r="E112" s="1" t="s">
        <v>810</v>
      </c>
      <c r="F112" s="3">
        <v>0.55555555555555558</v>
      </c>
    </row>
    <row r="113" spans="1:6" x14ac:dyDescent="0.3">
      <c r="A113" s="1" t="s">
        <v>898</v>
      </c>
      <c r="B113" s="2">
        <v>45212</v>
      </c>
      <c r="C113" s="1" t="s">
        <v>917</v>
      </c>
      <c r="D113">
        <v>118</v>
      </c>
      <c r="E113" s="1" t="s">
        <v>812</v>
      </c>
      <c r="F113" s="3">
        <v>0.9291666666666667</v>
      </c>
    </row>
    <row r="114" spans="1:6" x14ac:dyDescent="0.3">
      <c r="A114" s="1" t="s">
        <v>898</v>
      </c>
      <c r="B114" s="2">
        <v>45217</v>
      </c>
      <c r="C114" s="1" t="s">
        <v>918</v>
      </c>
      <c r="D114">
        <v>18</v>
      </c>
      <c r="E114" s="1" t="s">
        <v>812</v>
      </c>
      <c r="F114" s="3">
        <v>0.17499999999999999</v>
      </c>
    </row>
    <row r="115" spans="1:6" x14ac:dyDescent="0.3">
      <c r="A115" s="1" t="s">
        <v>898</v>
      </c>
      <c r="B115" s="2">
        <v>45213</v>
      </c>
      <c r="C115" s="1" t="s">
        <v>919</v>
      </c>
      <c r="D115">
        <v>104</v>
      </c>
      <c r="E115" s="1" t="s">
        <v>807</v>
      </c>
      <c r="F115" s="3">
        <v>0.89166666666666672</v>
      </c>
    </row>
    <row r="116" spans="1:6" x14ac:dyDescent="0.3">
      <c r="A116" s="1" t="s">
        <v>898</v>
      </c>
      <c r="B116" s="2">
        <v>45221</v>
      </c>
      <c r="C116" s="1" t="s">
        <v>920</v>
      </c>
      <c r="D116">
        <v>59</v>
      </c>
      <c r="E116" s="1" t="s">
        <v>807</v>
      </c>
      <c r="F116" s="3">
        <v>0.99791666666666667</v>
      </c>
    </row>
    <row r="117" spans="1:6" x14ac:dyDescent="0.3">
      <c r="A117" s="1" t="s">
        <v>898</v>
      </c>
      <c r="B117" s="2">
        <v>45205</v>
      </c>
      <c r="C117" s="1" t="s">
        <v>921</v>
      </c>
      <c r="D117">
        <v>33</v>
      </c>
      <c r="E117" s="1" t="s">
        <v>812</v>
      </c>
      <c r="F117" s="3">
        <v>0.81666666666666665</v>
      </c>
    </row>
    <row r="118" spans="1:6" x14ac:dyDescent="0.3">
      <c r="A118" s="1" t="s">
        <v>898</v>
      </c>
      <c r="B118" s="2">
        <v>45209</v>
      </c>
      <c r="C118" s="1" t="s">
        <v>922</v>
      </c>
      <c r="D118">
        <v>27</v>
      </c>
      <c r="E118" s="1" t="s">
        <v>812</v>
      </c>
      <c r="F118" s="3">
        <v>0.52430555555555558</v>
      </c>
    </row>
    <row r="119" spans="1:6" x14ac:dyDescent="0.3">
      <c r="A119" s="1" t="s">
        <v>898</v>
      </c>
      <c r="B119" s="2">
        <v>45209</v>
      </c>
      <c r="C119" s="1" t="s">
        <v>924</v>
      </c>
      <c r="D119">
        <v>94</v>
      </c>
      <c r="E119" s="1" t="s">
        <v>810</v>
      </c>
      <c r="F119" s="3">
        <v>0.26874999999999999</v>
      </c>
    </row>
    <row r="120" spans="1:6" x14ac:dyDescent="0.3">
      <c r="A120" s="1" t="s">
        <v>898</v>
      </c>
      <c r="B120" s="2">
        <v>45225</v>
      </c>
      <c r="C120" s="1" t="s">
        <v>872</v>
      </c>
      <c r="D120">
        <v>71</v>
      </c>
      <c r="E120" s="1" t="s">
        <v>807</v>
      </c>
      <c r="F120" s="3">
        <v>0.77638888888888891</v>
      </c>
    </row>
    <row r="121" spans="1:6" x14ac:dyDescent="0.3">
      <c r="A121" s="1" t="s">
        <v>898</v>
      </c>
      <c r="B121" s="2">
        <v>45220</v>
      </c>
      <c r="C121" s="1" t="s">
        <v>867</v>
      </c>
      <c r="D121">
        <v>64</v>
      </c>
      <c r="E121" s="1" t="s">
        <v>810</v>
      </c>
      <c r="F121" s="3">
        <v>0.43680555555555556</v>
      </c>
    </row>
    <row r="122" spans="1:6" x14ac:dyDescent="0.3">
      <c r="A122" s="1" t="s">
        <v>898</v>
      </c>
      <c r="B122" s="2">
        <v>45214</v>
      </c>
      <c r="C122" s="1" t="s">
        <v>925</v>
      </c>
      <c r="D122">
        <v>11</v>
      </c>
      <c r="E122" s="1" t="s">
        <v>812</v>
      </c>
      <c r="F122" s="3">
        <v>0.61319444444444449</v>
      </c>
    </row>
    <row r="123" spans="1:6" x14ac:dyDescent="0.3">
      <c r="A123" s="1" t="s">
        <v>898</v>
      </c>
      <c r="B123" s="2">
        <v>45206</v>
      </c>
      <c r="C123" s="1" t="s">
        <v>926</v>
      </c>
      <c r="D123">
        <v>76</v>
      </c>
      <c r="E123" s="1" t="s">
        <v>812</v>
      </c>
      <c r="F123" s="3">
        <v>0.6875</v>
      </c>
    </row>
    <row r="124" spans="1:6" x14ac:dyDescent="0.3">
      <c r="A124" s="1" t="s">
        <v>898</v>
      </c>
      <c r="B124" s="2">
        <v>45225</v>
      </c>
      <c r="C124" s="1" t="s">
        <v>927</v>
      </c>
      <c r="D124">
        <v>36</v>
      </c>
      <c r="E124" s="1" t="s">
        <v>807</v>
      </c>
      <c r="F124" s="3">
        <v>0.96527777777777779</v>
      </c>
    </row>
    <row r="125" spans="1:6" x14ac:dyDescent="0.3">
      <c r="A125" s="1" t="s">
        <v>898</v>
      </c>
      <c r="B125" s="2">
        <v>45221</v>
      </c>
      <c r="C125" s="1" t="s">
        <v>928</v>
      </c>
      <c r="D125">
        <v>113</v>
      </c>
      <c r="E125" s="1" t="s">
        <v>812</v>
      </c>
      <c r="F125" s="3">
        <v>9.583333333333334E-2</v>
      </c>
    </row>
    <row r="126" spans="1:6" x14ac:dyDescent="0.3">
      <c r="A126" s="1" t="s">
        <v>898</v>
      </c>
      <c r="B126" s="2">
        <v>45216</v>
      </c>
      <c r="C126" s="1" t="s">
        <v>929</v>
      </c>
      <c r="D126">
        <v>20</v>
      </c>
      <c r="E126" s="1" t="s">
        <v>812</v>
      </c>
      <c r="F126" s="3">
        <v>0.90277777777777779</v>
      </c>
    </row>
    <row r="127" spans="1:6" x14ac:dyDescent="0.3">
      <c r="A127" s="1" t="s">
        <v>898</v>
      </c>
      <c r="B127" s="2">
        <v>45219</v>
      </c>
      <c r="C127" s="1" t="s">
        <v>930</v>
      </c>
      <c r="D127">
        <v>63</v>
      </c>
      <c r="E127" s="1" t="s">
        <v>812</v>
      </c>
      <c r="F127" s="3">
        <v>0.4201388888888889</v>
      </c>
    </row>
    <row r="128" spans="1:6" x14ac:dyDescent="0.3">
      <c r="A128" s="1" t="s">
        <v>898</v>
      </c>
      <c r="B128" s="2">
        <v>45226</v>
      </c>
      <c r="C128" s="1" t="s">
        <v>931</v>
      </c>
      <c r="D128">
        <v>22</v>
      </c>
      <c r="E128" s="1" t="s">
        <v>812</v>
      </c>
      <c r="F128" s="3">
        <v>0.3215277777777778</v>
      </c>
    </row>
    <row r="129" spans="1:6" x14ac:dyDescent="0.3">
      <c r="A129" s="1" t="s">
        <v>898</v>
      </c>
      <c r="B129" s="2">
        <v>45209</v>
      </c>
      <c r="C129" s="1" t="s">
        <v>932</v>
      </c>
      <c r="D129">
        <v>107</v>
      </c>
      <c r="E129" s="1" t="s">
        <v>810</v>
      </c>
      <c r="F129" s="3">
        <v>0.32708333333333334</v>
      </c>
    </row>
    <row r="130" spans="1:6" x14ac:dyDescent="0.3">
      <c r="A130" s="1" t="s">
        <v>898</v>
      </c>
      <c r="B130" s="2">
        <v>45206</v>
      </c>
      <c r="C130" s="1" t="s">
        <v>933</v>
      </c>
      <c r="D130">
        <v>64</v>
      </c>
      <c r="E130" s="1" t="s">
        <v>810</v>
      </c>
      <c r="F130" s="3">
        <v>0.1673611111111111</v>
      </c>
    </row>
    <row r="131" spans="1:6" x14ac:dyDescent="0.3">
      <c r="A131" s="1" t="s">
        <v>898</v>
      </c>
      <c r="B131" s="2">
        <v>45201</v>
      </c>
      <c r="C131" s="1" t="s">
        <v>934</v>
      </c>
      <c r="D131">
        <v>90</v>
      </c>
      <c r="E131" s="1" t="s">
        <v>810</v>
      </c>
      <c r="F131" s="3">
        <v>0.3125</v>
      </c>
    </row>
    <row r="132" spans="1:6" x14ac:dyDescent="0.3">
      <c r="A132" s="1" t="s">
        <v>898</v>
      </c>
      <c r="B132" s="2">
        <v>45219</v>
      </c>
      <c r="C132" s="1" t="s">
        <v>935</v>
      </c>
      <c r="D132">
        <v>72</v>
      </c>
      <c r="E132" s="1" t="s">
        <v>810</v>
      </c>
      <c r="F132" s="3">
        <v>0.10347222222222222</v>
      </c>
    </row>
    <row r="133" spans="1:6" x14ac:dyDescent="0.3">
      <c r="A133" s="1" t="s">
        <v>936</v>
      </c>
      <c r="B133" s="2">
        <v>45200</v>
      </c>
      <c r="C133" s="1" t="s">
        <v>937</v>
      </c>
      <c r="D133">
        <v>24</v>
      </c>
      <c r="E133" s="1" t="s">
        <v>812</v>
      </c>
      <c r="F133" s="3">
        <v>0.51458333333333328</v>
      </c>
    </row>
    <row r="134" spans="1:6" x14ac:dyDescent="0.3">
      <c r="A134" s="1" t="s">
        <v>936</v>
      </c>
      <c r="B134" s="2">
        <v>45221</v>
      </c>
      <c r="C134" s="1" t="s">
        <v>938</v>
      </c>
      <c r="D134">
        <v>60</v>
      </c>
      <c r="E134" s="1" t="s">
        <v>810</v>
      </c>
      <c r="F134" s="3">
        <v>0.91041666666666665</v>
      </c>
    </row>
    <row r="135" spans="1:6" x14ac:dyDescent="0.3">
      <c r="A135" s="1" t="s">
        <v>936</v>
      </c>
      <c r="B135" s="2">
        <v>45212</v>
      </c>
      <c r="C135" s="1" t="s">
        <v>939</v>
      </c>
      <c r="D135">
        <v>27</v>
      </c>
      <c r="E135" s="1" t="s">
        <v>812</v>
      </c>
      <c r="F135" s="3">
        <v>0.96527777777777779</v>
      </c>
    </row>
    <row r="136" spans="1:6" x14ac:dyDescent="0.3">
      <c r="A136" s="1" t="s">
        <v>936</v>
      </c>
      <c r="B136" s="2">
        <v>45226</v>
      </c>
      <c r="C136" s="1" t="s">
        <v>940</v>
      </c>
      <c r="D136">
        <v>98</v>
      </c>
      <c r="E136" s="1" t="s">
        <v>812</v>
      </c>
      <c r="F136" s="3">
        <v>0.62361111111111112</v>
      </c>
    </row>
    <row r="137" spans="1:6" x14ac:dyDescent="0.3">
      <c r="A137" s="1" t="s">
        <v>936</v>
      </c>
      <c r="B137" s="2">
        <v>45204</v>
      </c>
      <c r="C137" s="1" t="s">
        <v>938</v>
      </c>
      <c r="D137">
        <v>71</v>
      </c>
      <c r="E137" s="1" t="s">
        <v>812</v>
      </c>
      <c r="F137" s="3">
        <v>0.81527777777777777</v>
      </c>
    </row>
    <row r="138" spans="1:6" x14ac:dyDescent="0.3">
      <c r="A138" s="1" t="s">
        <v>936</v>
      </c>
      <c r="B138" s="2">
        <v>45200</v>
      </c>
      <c r="C138" s="1" t="s">
        <v>941</v>
      </c>
      <c r="D138">
        <v>88</v>
      </c>
      <c r="E138" s="1" t="s">
        <v>812</v>
      </c>
      <c r="F138" s="3">
        <v>0.52569444444444446</v>
      </c>
    </row>
    <row r="139" spans="1:6" x14ac:dyDescent="0.3">
      <c r="A139" s="1" t="s">
        <v>936</v>
      </c>
      <c r="B139" s="2">
        <v>45218</v>
      </c>
      <c r="C139" s="1" t="s">
        <v>942</v>
      </c>
      <c r="D139">
        <v>39</v>
      </c>
      <c r="E139" s="1" t="s">
        <v>807</v>
      </c>
      <c r="F139" s="3">
        <v>0.87569444444444444</v>
      </c>
    </row>
    <row r="140" spans="1:6" x14ac:dyDescent="0.3">
      <c r="A140" s="1" t="s">
        <v>936</v>
      </c>
      <c r="B140" s="2">
        <v>45202</v>
      </c>
      <c r="C140" s="1" t="s">
        <v>943</v>
      </c>
      <c r="D140">
        <v>83</v>
      </c>
      <c r="E140" s="1" t="s">
        <v>807</v>
      </c>
      <c r="F140" s="3">
        <v>0.8520833333333333</v>
      </c>
    </row>
    <row r="141" spans="1:6" x14ac:dyDescent="0.3">
      <c r="A141" s="1" t="s">
        <v>936</v>
      </c>
      <c r="B141" s="2">
        <v>45204</v>
      </c>
      <c r="C141" s="1" t="s">
        <v>944</v>
      </c>
      <c r="D141">
        <v>108</v>
      </c>
      <c r="E141" s="1" t="s">
        <v>810</v>
      </c>
      <c r="F141" s="3">
        <v>0.59097222222222223</v>
      </c>
    </row>
    <row r="142" spans="1:6" x14ac:dyDescent="0.3">
      <c r="A142" s="1" t="s">
        <v>936</v>
      </c>
      <c r="B142" s="2">
        <v>45201</v>
      </c>
      <c r="C142" s="1" t="s">
        <v>945</v>
      </c>
      <c r="D142">
        <v>73</v>
      </c>
      <c r="E142" s="1" t="s">
        <v>807</v>
      </c>
      <c r="F142" s="3">
        <v>0.35</v>
      </c>
    </row>
    <row r="143" spans="1:6" x14ac:dyDescent="0.3">
      <c r="A143" s="1" t="s">
        <v>936</v>
      </c>
      <c r="B143" s="2">
        <v>45210</v>
      </c>
      <c r="C143" s="1" t="s">
        <v>946</v>
      </c>
      <c r="D143">
        <v>104</v>
      </c>
      <c r="E143" s="1" t="s">
        <v>812</v>
      </c>
      <c r="F143" s="3">
        <v>0.27013888888888887</v>
      </c>
    </row>
    <row r="144" spans="1:6" x14ac:dyDescent="0.3">
      <c r="A144" s="1" t="s">
        <v>936</v>
      </c>
      <c r="B144" s="2">
        <v>45210</v>
      </c>
      <c r="C144" s="1" t="s">
        <v>947</v>
      </c>
      <c r="D144">
        <v>66</v>
      </c>
      <c r="E144" s="1" t="s">
        <v>807</v>
      </c>
      <c r="F144" s="3">
        <v>0.45</v>
      </c>
    </row>
    <row r="145" spans="1:6" x14ac:dyDescent="0.3">
      <c r="A145" s="1" t="s">
        <v>936</v>
      </c>
      <c r="B145" s="2">
        <v>45228</v>
      </c>
      <c r="C145" s="1" t="s">
        <v>948</v>
      </c>
      <c r="D145">
        <v>64</v>
      </c>
      <c r="E145" s="1" t="s">
        <v>810</v>
      </c>
      <c r="F145" s="3">
        <v>0.51180555555555551</v>
      </c>
    </row>
    <row r="146" spans="1:6" x14ac:dyDescent="0.3">
      <c r="A146" s="1" t="s">
        <v>936</v>
      </c>
      <c r="B146" s="2">
        <v>45224</v>
      </c>
      <c r="C146" s="1" t="s">
        <v>949</v>
      </c>
      <c r="D146">
        <v>60</v>
      </c>
      <c r="E146" s="1" t="s">
        <v>810</v>
      </c>
      <c r="F146" s="3">
        <v>0.55277777777777781</v>
      </c>
    </row>
    <row r="147" spans="1:6" x14ac:dyDescent="0.3">
      <c r="A147" s="1" t="s">
        <v>936</v>
      </c>
      <c r="B147" s="2">
        <v>45226</v>
      </c>
      <c r="C147" s="1" t="s">
        <v>950</v>
      </c>
      <c r="D147">
        <v>110</v>
      </c>
      <c r="E147" s="1" t="s">
        <v>810</v>
      </c>
      <c r="F147" s="3">
        <v>0.10416666666666667</v>
      </c>
    </row>
    <row r="148" spans="1:6" x14ac:dyDescent="0.3">
      <c r="A148" s="1" t="s">
        <v>936</v>
      </c>
      <c r="B148" s="2">
        <v>45200</v>
      </c>
      <c r="C148" s="1" t="s">
        <v>841</v>
      </c>
      <c r="D148">
        <v>98</v>
      </c>
      <c r="E148" s="1" t="s">
        <v>807</v>
      </c>
      <c r="F148" s="3">
        <v>0.9819444444444444</v>
      </c>
    </row>
    <row r="149" spans="1:6" x14ac:dyDescent="0.3">
      <c r="A149" s="1" t="s">
        <v>936</v>
      </c>
      <c r="B149" s="2">
        <v>45201</v>
      </c>
      <c r="C149" s="1" t="s">
        <v>951</v>
      </c>
      <c r="D149">
        <v>80</v>
      </c>
      <c r="E149" s="1" t="s">
        <v>807</v>
      </c>
      <c r="F149" s="3">
        <v>0.46805555555555556</v>
      </c>
    </row>
    <row r="150" spans="1:6" x14ac:dyDescent="0.3">
      <c r="A150" s="1" t="s">
        <v>936</v>
      </c>
      <c r="B150" s="2">
        <v>45220</v>
      </c>
      <c r="C150" s="1" t="s">
        <v>952</v>
      </c>
      <c r="D150">
        <v>39</v>
      </c>
      <c r="E150" s="1" t="s">
        <v>807</v>
      </c>
      <c r="F150" s="3">
        <v>0.11736111111111111</v>
      </c>
    </row>
    <row r="151" spans="1:6" x14ac:dyDescent="0.3">
      <c r="A151" s="1" t="s">
        <v>936</v>
      </c>
      <c r="B151" s="2">
        <v>45230</v>
      </c>
      <c r="C151" s="1" t="s">
        <v>851</v>
      </c>
      <c r="D151">
        <v>46</v>
      </c>
      <c r="E151" s="1" t="s">
        <v>810</v>
      </c>
      <c r="F151" s="3">
        <v>0.83472222222222225</v>
      </c>
    </row>
    <row r="152" spans="1:6" x14ac:dyDescent="0.3">
      <c r="A152" s="1" t="s">
        <v>936</v>
      </c>
      <c r="B152" s="2">
        <v>45204</v>
      </c>
      <c r="C152" s="1" t="s">
        <v>954</v>
      </c>
      <c r="D152">
        <v>111</v>
      </c>
      <c r="E152" s="1" t="s">
        <v>810</v>
      </c>
      <c r="F152" s="3">
        <v>0.29722222222222222</v>
      </c>
    </row>
    <row r="153" spans="1:6" x14ac:dyDescent="0.3">
      <c r="A153" s="1" t="s">
        <v>936</v>
      </c>
      <c r="B153" s="2">
        <v>45215</v>
      </c>
      <c r="C153" s="1" t="s">
        <v>955</v>
      </c>
      <c r="D153">
        <v>16</v>
      </c>
      <c r="E153" s="1" t="s">
        <v>810</v>
      </c>
      <c r="F153" s="3">
        <v>0.87986111111111109</v>
      </c>
    </row>
    <row r="154" spans="1:6" x14ac:dyDescent="0.3">
      <c r="A154" s="1" t="s">
        <v>936</v>
      </c>
      <c r="B154" s="2">
        <v>45218</v>
      </c>
      <c r="C154" s="1" t="s">
        <v>956</v>
      </c>
      <c r="D154">
        <v>40</v>
      </c>
      <c r="E154" s="1" t="s">
        <v>810</v>
      </c>
      <c r="F154" s="3">
        <v>0.27013888888888887</v>
      </c>
    </row>
    <row r="155" spans="1:6" x14ac:dyDescent="0.3">
      <c r="A155" s="1" t="s">
        <v>936</v>
      </c>
      <c r="B155" s="2">
        <v>45222</v>
      </c>
      <c r="C155" s="1" t="s">
        <v>957</v>
      </c>
      <c r="D155">
        <v>117</v>
      </c>
      <c r="E155" s="1" t="s">
        <v>810</v>
      </c>
      <c r="F155" s="3">
        <v>0.36736111111111114</v>
      </c>
    </row>
    <row r="156" spans="1:6" x14ac:dyDescent="0.3">
      <c r="A156" s="1" t="s">
        <v>936</v>
      </c>
      <c r="B156" s="2">
        <v>45211</v>
      </c>
      <c r="C156" s="1" t="s">
        <v>958</v>
      </c>
      <c r="D156">
        <v>62</v>
      </c>
      <c r="E156" s="1" t="s">
        <v>812</v>
      </c>
      <c r="F156" s="3">
        <v>0.23472222222222222</v>
      </c>
    </row>
    <row r="157" spans="1:6" x14ac:dyDescent="0.3">
      <c r="A157" s="1" t="s">
        <v>936</v>
      </c>
      <c r="B157" s="2">
        <v>45219</v>
      </c>
      <c r="C157" s="1" t="s">
        <v>959</v>
      </c>
      <c r="D157">
        <v>36</v>
      </c>
      <c r="E157" s="1" t="s">
        <v>807</v>
      </c>
      <c r="F157" s="3">
        <v>0.98958333333333337</v>
      </c>
    </row>
    <row r="158" spans="1:6" x14ac:dyDescent="0.3">
      <c r="A158" s="1" t="s">
        <v>936</v>
      </c>
      <c r="B158" s="2">
        <v>45203</v>
      </c>
      <c r="C158" s="1" t="s">
        <v>960</v>
      </c>
      <c r="D158">
        <v>101</v>
      </c>
      <c r="E158" s="1" t="s">
        <v>807</v>
      </c>
      <c r="F158" s="3">
        <v>0.22152777777777777</v>
      </c>
    </row>
    <row r="159" spans="1:6" x14ac:dyDescent="0.3">
      <c r="A159" s="1" t="s">
        <v>936</v>
      </c>
      <c r="B159" s="2">
        <v>45203</v>
      </c>
      <c r="C159" s="1" t="s">
        <v>961</v>
      </c>
      <c r="D159">
        <v>64</v>
      </c>
      <c r="E159" s="1" t="s">
        <v>812</v>
      </c>
      <c r="F159" s="3">
        <v>0.75069444444444444</v>
      </c>
    </row>
    <row r="160" spans="1:6" x14ac:dyDescent="0.3">
      <c r="A160" s="1" t="s">
        <v>936</v>
      </c>
      <c r="B160" s="2">
        <v>45229</v>
      </c>
      <c r="C160" s="1" t="s">
        <v>962</v>
      </c>
      <c r="D160">
        <v>77</v>
      </c>
      <c r="E160" s="1" t="s">
        <v>807</v>
      </c>
      <c r="F160" s="3">
        <v>0.4</v>
      </c>
    </row>
    <row r="161" spans="1:6" x14ac:dyDescent="0.3">
      <c r="A161" s="1" t="s">
        <v>936</v>
      </c>
      <c r="B161" s="2">
        <v>45221</v>
      </c>
      <c r="C161" s="1" t="s">
        <v>963</v>
      </c>
      <c r="D161">
        <v>83</v>
      </c>
      <c r="E161" s="1" t="s">
        <v>812</v>
      </c>
      <c r="F161" s="3">
        <v>0.51736111111111116</v>
      </c>
    </row>
    <row r="162" spans="1:6" x14ac:dyDescent="0.3">
      <c r="A162" s="1" t="s">
        <v>936</v>
      </c>
      <c r="B162" s="2">
        <v>45230</v>
      </c>
      <c r="C162" s="1" t="s">
        <v>964</v>
      </c>
      <c r="D162">
        <v>90</v>
      </c>
      <c r="E162" s="1" t="s">
        <v>807</v>
      </c>
      <c r="F162" s="3">
        <v>0.92500000000000004</v>
      </c>
    </row>
    <row r="163" spans="1:6" x14ac:dyDescent="0.3">
      <c r="A163" s="1" t="s">
        <v>936</v>
      </c>
      <c r="B163" s="2">
        <v>45202</v>
      </c>
      <c r="C163" s="1" t="s">
        <v>965</v>
      </c>
      <c r="D163">
        <v>53</v>
      </c>
      <c r="E163" s="1" t="s">
        <v>812</v>
      </c>
      <c r="F163" s="3">
        <v>0.78055555555555556</v>
      </c>
    </row>
    <row r="164" spans="1:6" x14ac:dyDescent="0.3">
      <c r="A164" s="1" t="s">
        <v>936</v>
      </c>
      <c r="B164" s="2">
        <v>45226</v>
      </c>
      <c r="C164" s="1" t="s">
        <v>966</v>
      </c>
      <c r="D164">
        <v>48</v>
      </c>
      <c r="E164" s="1" t="s">
        <v>807</v>
      </c>
      <c r="F164" s="3">
        <v>0.84375</v>
      </c>
    </row>
    <row r="165" spans="1:6" x14ac:dyDescent="0.3">
      <c r="A165" s="1" t="s">
        <v>936</v>
      </c>
      <c r="B165" s="2">
        <v>45203</v>
      </c>
      <c r="C165" s="1" t="s">
        <v>967</v>
      </c>
      <c r="D165">
        <v>8</v>
      </c>
      <c r="E165" s="1" t="s">
        <v>810</v>
      </c>
      <c r="F165" s="3">
        <v>0.9506944444444444</v>
      </c>
    </row>
    <row r="166" spans="1:6" x14ac:dyDescent="0.3">
      <c r="A166" s="1" t="s">
        <v>936</v>
      </c>
      <c r="B166" s="2">
        <v>45209</v>
      </c>
      <c r="C166" s="1" t="s">
        <v>968</v>
      </c>
      <c r="D166">
        <v>68</v>
      </c>
      <c r="E166" s="1" t="s">
        <v>810</v>
      </c>
      <c r="F166" s="3">
        <v>0.90138888888888891</v>
      </c>
    </row>
    <row r="167" spans="1:6" x14ac:dyDescent="0.3">
      <c r="A167" s="1" t="s">
        <v>936</v>
      </c>
      <c r="B167" s="2">
        <v>45225</v>
      </c>
      <c r="C167" s="1" t="s">
        <v>969</v>
      </c>
      <c r="D167">
        <v>113</v>
      </c>
      <c r="E167" s="1" t="s">
        <v>807</v>
      </c>
      <c r="F167" s="3">
        <v>0.15972222222222221</v>
      </c>
    </row>
    <row r="168" spans="1:6" x14ac:dyDescent="0.3">
      <c r="A168" s="1" t="s">
        <v>936</v>
      </c>
      <c r="B168" s="2">
        <v>45218</v>
      </c>
      <c r="C168" s="1" t="s">
        <v>970</v>
      </c>
      <c r="D168">
        <v>46</v>
      </c>
      <c r="E168" s="1" t="s">
        <v>812</v>
      </c>
      <c r="F168" s="3">
        <v>5.6944444444444443E-2</v>
      </c>
    </row>
    <row r="169" spans="1:6" x14ac:dyDescent="0.3">
      <c r="A169" s="1" t="s">
        <v>936</v>
      </c>
      <c r="B169" s="2">
        <v>45217</v>
      </c>
      <c r="C169" s="1" t="s">
        <v>971</v>
      </c>
      <c r="D169">
        <v>28</v>
      </c>
      <c r="E169" s="1" t="s">
        <v>807</v>
      </c>
      <c r="F169" s="3">
        <v>0.5708333333333333</v>
      </c>
    </row>
    <row r="170" spans="1:6" x14ac:dyDescent="0.3">
      <c r="A170" s="1" t="s">
        <v>936</v>
      </c>
      <c r="B170" s="2">
        <v>45211</v>
      </c>
      <c r="C170" s="1" t="s">
        <v>836</v>
      </c>
      <c r="D170">
        <v>67</v>
      </c>
      <c r="E170" s="1" t="s">
        <v>807</v>
      </c>
      <c r="F170" s="3">
        <v>0.10555555555555556</v>
      </c>
    </row>
    <row r="171" spans="1:6" x14ac:dyDescent="0.3">
      <c r="A171" s="1" t="s">
        <v>936</v>
      </c>
      <c r="B171" s="2">
        <v>45220</v>
      </c>
      <c r="C171" s="1" t="s">
        <v>972</v>
      </c>
      <c r="D171">
        <v>32</v>
      </c>
      <c r="E171" s="1" t="s">
        <v>810</v>
      </c>
      <c r="F171" s="3">
        <v>0.41666666666666669</v>
      </c>
    </row>
    <row r="172" spans="1:6" x14ac:dyDescent="0.3">
      <c r="A172" s="1" t="s">
        <v>936</v>
      </c>
      <c r="B172" s="2">
        <v>45227</v>
      </c>
      <c r="C172" s="1" t="s">
        <v>973</v>
      </c>
      <c r="D172">
        <v>50</v>
      </c>
      <c r="E172" s="1" t="s">
        <v>812</v>
      </c>
      <c r="F172" s="3">
        <v>0.57777777777777772</v>
      </c>
    </row>
    <row r="173" spans="1:6" x14ac:dyDescent="0.3">
      <c r="A173" s="1" t="s">
        <v>936</v>
      </c>
      <c r="B173" s="2">
        <v>45215</v>
      </c>
      <c r="C173" s="1" t="s">
        <v>974</v>
      </c>
      <c r="D173">
        <v>107</v>
      </c>
      <c r="E173" s="1" t="s">
        <v>810</v>
      </c>
      <c r="F173" s="3">
        <v>0.14374999999999999</v>
      </c>
    </row>
    <row r="174" spans="1:6" x14ac:dyDescent="0.3">
      <c r="A174" s="1" t="s">
        <v>936</v>
      </c>
      <c r="B174" s="2">
        <v>45230</v>
      </c>
      <c r="C174" s="1" t="s">
        <v>975</v>
      </c>
      <c r="D174">
        <v>38</v>
      </c>
      <c r="E174" s="1" t="s">
        <v>807</v>
      </c>
      <c r="F174" s="3">
        <v>0.4861111111111111</v>
      </c>
    </row>
    <row r="175" spans="1:6" x14ac:dyDescent="0.3">
      <c r="A175" s="1" t="s">
        <v>936</v>
      </c>
      <c r="B175" s="2">
        <v>45228</v>
      </c>
      <c r="C175" s="1" t="s">
        <v>976</v>
      </c>
      <c r="D175">
        <v>48</v>
      </c>
      <c r="E175" s="1" t="s">
        <v>810</v>
      </c>
      <c r="F175" s="3">
        <v>0.61458333333333337</v>
      </c>
    </row>
    <row r="176" spans="1:6" x14ac:dyDescent="0.3">
      <c r="A176" s="1" t="s">
        <v>977</v>
      </c>
      <c r="B176" s="2">
        <v>45215</v>
      </c>
      <c r="C176" s="1" t="s">
        <v>978</v>
      </c>
      <c r="D176">
        <v>7</v>
      </c>
      <c r="E176" s="1" t="s">
        <v>812</v>
      </c>
      <c r="F176" s="3">
        <v>0.59791666666666665</v>
      </c>
    </row>
    <row r="177" spans="1:6" x14ac:dyDescent="0.3">
      <c r="A177" s="1" t="s">
        <v>977</v>
      </c>
      <c r="B177" s="2">
        <v>45205</v>
      </c>
      <c r="C177" s="1" t="s">
        <v>840</v>
      </c>
      <c r="D177">
        <v>102</v>
      </c>
      <c r="E177" s="1" t="s">
        <v>810</v>
      </c>
      <c r="F177" s="3">
        <v>5.2777777777777778E-2</v>
      </c>
    </row>
    <row r="178" spans="1:6" x14ac:dyDescent="0.3">
      <c r="A178" s="1" t="s">
        <v>977</v>
      </c>
      <c r="B178" s="2">
        <v>45230</v>
      </c>
      <c r="C178" s="1" t="s">
        <v>979</v>
      </c>
      <c r="D178">
        <v>91</v>
      </c>
      <c r="E178" s="1" t="s">
        <v>807</v>
      </c>
      <c r="F178" s="3">
        <v>0.62986111111111109</v>
      </c>
    </row>
    <row r="179" spans="1:6" x14ac:dyDescent="0.3">
      <c r="A179" s="1" t="s">
        <v>977</v>
      </c>
      <c r="B179" s="2">
        <v>45226</v>
      </c>
      <c r="C179" s="1" t="s">
        <v>980</v>
      </c>
      <c r="D179">
        <v>110</v>
      </c>
      <c r="E179" s="1" t="s">
        <v>810</v>
      </c>
      <c r="F179" s="3">
        <v>0.10069444444444445</v>
      </c>
    </row>
    <row r="180" spans="1:6" x14ac:dyDescent="0.3">
      <c r="A180" s="1" t="s">
        <v>977</v>
      </c>
      <c r="B180" s="2">
        <v>45215</v>
      </c>
      <c r="C180" s="1" t="s">
        <v>981</v>
      </c>
      <c r="D180">
        <v>39</v>
      </c>
      <c r="E180" s="1" t="s">
        <v>812</v>
      </c>
      <c r="F180" s="3">
        <v>0.10833333333333334</v>
      </c>
    </row>
    <row r="181" spans="1:6" x14ac:dyDescent="0.3">
      <c r="A181" s="1" t="s">
        <v>977</v>
      </c>
      <c r="B181" s="2">
        <v>45220</v>
      </c>
      <c r="C181" s="1" t="s">
        <v>982</v>
      </c>
      <c r="D181">
        <v>78</v>
      </c>
      <c r="E181" s="1" t="s">
        <v>807</v>
      </c>
      <c r="F181" s="3">
        <v>0.87708333333333333</v>
      </c>
    </row>
    <row r="182" spans="1:6" x14ac:dyDescent="0.3">
      <c r="A182" s="1" t="s">
        <v>977</v>
      </c>
      <c r="B182" s="2">
        <v>45204</v>
      </c>
      <c r="C182" s="1" t="s">
        <v>983</v>
      </c>
      <c r="D182">
        <v>10</v>
      </c>
      <c r="E182" s="1" t="s">
        <v>807</v>
      </c>
      <c r="F182" s="3">
        <v>0.20208333333333334</v>
      </c>
    </row>
    <row r="183" spans="1:6" x14ac:dyDescent="0.3">
      <c r="A183" s="1" t="s">
        <v>977</v>
      </c>
      <c r="B183" s="2">
        <v>45218</v>
      </c>
      <c r="C183" s="1" t="s">
        <v>984</v>
      </c>
      <c r="D183">
        <v>102</v>
      </c>
      <c r="E183" s="1" t="s">
        <v>807</v>
      </c>
      <c r="F183" s="3">
        <v>0.37847222222222221</v>
      </c>
    </row>
    <row r="184" spans="1:6" x14ac:dyDescent="0.3">
      <c r="A184" s="1" t="s">
        <v>977</v>
      </c>
      <c r="B184" s="2">
        <v>45207</v>
      </c>
      <c r="C184" s="1" t="s">
        <v>985</v>
      </c>
      <c r="D184">
        <v>101</v>
      </c>
      <c r="E184" s="1" t="s">
        <v>812</v>
      </c>
      <c r="F184" s="3">
        <v>0.14930555555555555</v>
      </c>
    </row>
    <row r="185" spans="1:6" x14ac:dyDescent="0.3">
      <c r="A185" s="1" t="s">
        <v>977</v>
      </c>
      <c r="B185" s="2">
        <v>45224</v>
      </c>
      <c r="C185" s="1" t="s">
        <v>986</v>
      </c>
      <c r="D185">
        <v>27</v>
      </c>
      <c r="E185" s="1" t="s">
        <v>807</v>
      </c>
      <c r="F185" s="3">
        <v>0.56805555555555554</v>
      </c>
    </row>
    <row r="186" spans="1:6" x14ac:dyDescent="0.3">
      <c r="A186" s="1" t="s">
        <v>977</v>
      </c>
      <c r="B186" s="2">
        <v>45219</v>
      </c>
      <c r="C186" s="1" t="s">
        <v>987</v>
      </c>
      <c r="D186">
        <v>65</v>
      </c>
      <c r="E186" s="1" t="s">
        <v>810</v>
      </c>
      <c r="F186" s="3">
        <v>0.80138888888888893</v>
      </c>
    </row>
    <row r="187" spans="1:6" x14ac:dyDescent="0.3">
      <c r="A187" s="1" t="s">
        <v>977</v>
      </c>
      <c r="B187" s="2">
        <v>45224</v>
      </c>
      <c r="C187" s="1" t="s">
        <v>988</v>
      </c>
      <c r="D187">
        <v>71</v>
      </c>
      <c r="E187" s="1" t="s">
        <v>807</v>
      </c>
      <c r="F187" s="3">
        <v>0.68333333333333335</v>
      </c>
    </row>
    <row r="188" spans="1:6" x14ac:dyDescent="0.3">
      <c r="A188" s="1" t="s">
        <v>977</v>
      </c>
      <c r="B188" s="2">
        <v>45214</v>
      </c>
      <c r="C188" s="1" t="s">
        <v>989</v>
      </c>
      <c r="D188">
        <v>88</v>
      </c>
      <c r="E188" s="1" t="s">
        <v>812</v>
      </c>
      <c r="F188" s="3">
        <v>0.59652777777777777</v>
      </c>
    </row>
    <row r="189" spans="1:6" x14ac:dyDescent="0.3">
      <c r="A189" s="1" t="s">
        <v>977</v>
      </c>
      <c r="B189" s="2">
        <v>45227</v>
      </c>
      <c r="C189" s="1" t="s">
        <v>990</v>
      </c>
      <c r="D189">
        <v>61</v>
      </c>
      <c r="E189" s="1" t="s">
        <v>810</v>
      </c>
      <c r="F189" s="3">
        <v>0.76875000000000004</v>
      </c>
    </row>
    <row r="190" spans="1:6" x14ac:dyDescent="0.3">
      <c r="A190" s="1" t="s">
        <v>977</v>
      </c>
      <c r="B190" s="2">
        <v>45209</v>
      </c>
      <c r="C190" s="1" t="s">
        <v>991</v>
      </c>
      <c r="D190">
        <v>40</v>
      </c>
      <c r="E190" s="1" t="s">
        <v>812</v>
      </c>
      <c r="F190" s="3">
        <v>0.77708333333333335</v>
      </c>
    </row>
    <row r="191" spans="1:6" x14ac:dyDescent="0.3">
      <c r="A191" s="1" t="s">
        <v>977</v>
      </c>
      <c r="B191" s="2">
        <v>45201</v>
      </c>
      <c r="C191" s="1" t="s">
        <v>992</v>
      </c>
      <c r="D191">
        <v>28</v>
      </c>
      <c r="E191" s="1" t="s">
        <v>810</v>
      </c>
      <c r="F191" s="3">
        <v>0.82430555555555551</v>
      </c>
    </row>
    <row r="192" spans="1:6" x14ac:dyDescent="0.3">
      <c r="A192" s="1" t="s">
        <v>977</v>
      </c>
      <c r="B192" s="2">
        <v>45203</v>
      </c>
      <c r="C192" s="1" t="s">
        <v>993</v>
      </c>
      <c r="D192">
        <v>79</v>
      </c>
      <c r="E192" s="1" t="s">
        <v>810</v>
      </c>
      <c r="F192" s="3">
        <v>0.27777777777777779</v>
      </c>
    </row>
    <row r="193" spans="1:6" x14ac:dyDescent="0.3">
      <c r="A193" s="1" t="s">
        <v>977</v>
      </c>
      <c r="B193" s="2">
        <v>45206</v>
      </c>
      <c r="C193" s="1" t="s">
        <v>994</v>
      </c>
      <c r="D193">
        <v>60</v>
      </c>
      <c r="E193" s="1" t="s">
        <v>812</v>
      </c>
      <c r="F193" s="3">
        <v>0.36249999999999999</v>
      </c>
    </row>
    <row r="194" spans="1:6" x14ac:dyDescent="0.3">
      <c r="A194" s="1" t="s">
        <v>977</v>
      </c>
      <c r="B194" s="2">
        <v>45202</v>
      </c>
      <c r="C194" s="1" t="s">
        <v>995</v>
      </c>
      <c r="D194">
        <v>86</v>
      </c>
      <c r="E194" s="1" t="s">
        <v>812</v>
      </c>
      <c r="F194" s="3">
        <v>0.21875</v>
      </c>
    </row>
    <row r="195" spans="1:6" x14ac:dyDescent="0.3">
      <c r="A195" s="1" t="s">
        <v>977</v>
      </c>
      <c r="B195" s="2">
        <v>45205</v>
      </c>
      <c r="C195" s="1" t="s">
        <v>996</v>
      </c>
      <c r="D195">
        <v>109</v>
      </c>
      <c r="E195" s="1" t="s">
        <v>812</v>
      </c>
      <c r="F195" s="3">
        <v>0.71111111111111114</v>
      </c>
    </row>
    <row r="196" spans="1:6" x14ac:dyDescent="0.3">
      <c r="A196" s="1" t="s">
        <v>977</v>
      </c>
      <c r="B196" s="2">
        <v>45214</v>
      </c>
      <c r="C196" s="1" t="s">
        <v>998</v>
      </c>
      <c r="D196">
        <v>16</v>
      </c>
      <c r="E196" s="1" t="s">
        <v>807</v>
      </c>
      <c r="F196" s="3">
        <v>0.94305555555555554</v>
      </c>
    </row>
    <row r="197" spans="1:6" x14ac:dyDescent="0.3">
      <c r="A197" s="1" t="s">
        <v>977</v>
      </c>
      <c r="B197" s="2">
        <v>45215</v>
      </c>
      <c r="C197" s="1" t="s">
        <v>824</v>
      </c>
      <c r="D197">
        <v>65</v>
      </c>
      <c r="E197" s="1" t="s">
        <v>812</v>
      </c>
      <c r="F197" s="3">
        <v>0.37638888888888888</v>
      </c>
    </row>
    <row r="198" spans="1:6" x14ac:dyDescent="0.3">
      <c r="A198" s="1" t="s">
        <v>977</v>
      </c>
      <c r="B198" s="2">
        <v>45207</v>
      </c>
      <c r="C198" s="1" t="s">
        <v>875</v>
      </c>
      <c r="D198">
        <v>49</v>
      </c>
      <c r="E198" s="1" t="s">
        <v>810</v>
      </c>
      <c r="F198" s="3">
        <v>0.40625</v>
      </c>
    </row>
    <row r="199" spans="1:6" x14ac:dyDescent="0.3">
      <c r="A199" s="1" t="s">
        <v>977</v>
      </c>
      <c r="B199" s="2">
        <v>45209</v>
      </c>
      <c r="C199" s="1" t="s">
        <v>999</v>
      </c>
      <c r="D199">
        <v>57</v>
      </c>
      <c r="E199" s="1" t="s">
        <v>807</v>
      </c>
      <c r="F199" s="3">
        <v>0.95486111111111116</v>
      </c>
    </row>
    <row r="200" spans="1:6" x14ac:dyDescent="0.3">
      <c r="A200" s="1" t="s">
        <v>977</v>
      </c>
      <c r="B200" s="2">
        <v>45214</v>
      </c>
      <c r="C200" s="1" t="s">
        <v>863</v>
      </c>
      <c r="D200">
        <v>47</v>
      </c>
      <c r="E200" s="1" t="s">
        <v>812</v>
      </c>
      <c r="F200" s="3">
        <v>0.11319444444444444</v>
      </c>
    </row>
    <row r="201" spans="1:6" x14ac:dyDescent="0.3">
      <c r="A201" s="1" t="s">
        <v>977</v>
      </c>
      <c r="B201" s="2">
        <v>45207</v>
      </c>
      <c r="C201" s="1" t="s">
        <v>1000</v>
      </c>
      <c r="D201">
        <v>46</v>
      </c>
      <c r="E201" s="1" t="s">
        <v>807</v>
      </c>
      <c r="F201" s="3">
        <v>0.36805555555555558</v>
      </c>
    </row>
    <row r="202" spans="1:6" x14ac:dyDescent="0.3">
      <c r="A202" s="1" t="s">
        <v>977</v>
      </c>
      <c r="B202" s="2">
        <v>45225</v>
      </c>
      <c r="C202" s="1" t="s">
        <v>1001</v>
      </c>
      <c r="D202">
        <v>90</v>
      </c>
      <c r="E202" s="1" t="s">
        <v>810</v>
      </c>
      <c r="F202" s="3">
        <v>0.85902777777777772</v>
      </c>
    </row>
    <row r="203" spans="1:6" x14ac:dyDescent="0.3">
      <c r="A203" s="1" t="s">
        <v>977</v>
      </c>
      <c r="B203" s="2">
        <v>45221</v>
      </c>
      <c r="C203" s="1" t="s">
        <v>1002</v>
      </c>
      <c r="D203">
        <v>18</v>
      </c>
      <c r="E203" s="1" t="s">
        <v>810</v>
      </c>
      <c r="F203" s="3">
        <v>0.26874999999999999</v>
      </c>
    </row>
    <row r="204" spans="1:6" x14ac:dyDescent="0.3">
      <c r="A204" s="1" t="s">
        <v>977</v>
      </c>
      <c r="B204" s="2">
        <v>45203</v>
      </c>
      <c r="C204" s="1" t="s">
        <v>1003</v>
      </c>
      <c r="D204">
        <v>114</v>
      </c>
      <c r="E204" s="1" t="s">
        <v>810</v>
      </c>
      <c r="F204" s="3">
        <v>0.71805555555555556</v>
      </c>
    </row>
    <row r="205" spans="1:6" x14ac:dyDescent="0.3">
      <c r="A205" s="1" t="s">
        <v>977</v>
      </c>
      <c r="B205" s="2">
        <v>45220</v>
      </c>
      <c r="C205" s="1" t="s">
        <v>1004</v>
      </c>
      <c r="D205">
        <v>25</v>
      </c>
      <c r="E205" s="1" t="s">
        <v>807</v>
      </c>
      <c r="F205" s="3">
        <v>0.20694444444444443</v>
      </c>
    </row>
    <row r="206" spans="1:6" x14ac:dyDescent="0.3">
      <c r="A206" s="1" t="s">
        <v>977</v>
      </c>
      <c r="B206" s="2">
        <v>45208</v>
      </c>
      <c r="C206" s="1" t="s">
        <v>1005</v>
      </c>
      <c r="D206">
        <v>47</v>
      </c>
      <c r="E206" s="1" t="s">
        <v>807</v>
      </c>
      <c r="F206" s="3">
        <v>0.16944444444444445</v>
      </c>
    </row>
    <row r="207" spans="1:6" x14ac:dyDescent="0.3">
      <c r="A207" s="1" t="s">
        <v>977</v>
      </c>
      <c r="B207" s="2">
        <v>45201</v>
      </c>
      <c r="C207" s="1" t="s">
        <v>1006</v>
      </c>
      <c r="D207">
        <v>57</v>
      </c>
      <c r="E207" s="1" t="s">
        <v>812</v>
      </c>
      <c r="F207" s="3">
        <v>0.24305555555555555</v>
      </c>
    </row>
    <row r="208" spans="1:6" x14ac:dyDescent="0.3">
      <c r="A208" s="1" t="s">
        <v>977</v>
      </c>
      <c r="B208" s="2">
        <v>45209</v>
      </c>
      <c r="C208" s="1" t="s">
        <v>938</v>
      </c>
      <c r="D208">
        <v>93</v>
      </c>
      <c r="E208" s="1" t="s">
        <v>812</v>
      </c>
      <c r="F208" s="3">
        <v>0.82430555555555551</v>
      </c>
    </row>
    <row r="209" spans="1:6" x14ac:dyDescent="0.3">
      <c r="A209" s="1" t="s">
        <v>977</v>
      </c>
      <c r="B209" s="2">
        <v>45226</v>
      </c>
      <c r="C209" s="1" t="s">
        <v>1007</v>
      </c>
      <c r="D209">
        <v>68</v>
      </c>
      <c r="E209" s="1" t="s">
        <v>812</v>
      </c>
      <c r="F209" s="3">
        <v>0.79027777777777775</v>
      </c>
    </row>
    <row r="210" spans="1:6" x14ac:dyDescent="0.3">
      <c r="A210" s="1" t="s">
        <v>977</v>
      </c>
      <c r="B210" s="2">
        <v>45209</v>
      </c>
      <c r="C210" s="1" t="s">
        <v>928</v>
      </c>
      <c r="D210">
        <v>41</v>
      </c>
      <c r="E210" s="1" t="s">
        <v>810</v>
      </c>
      <c r="F210" s="3">
        <v>0.58819444444444446</v>
      </c>
    </row>
    <row r="211" spans="1:6" x14ac:dyDescent="0.3">
      <c r="A211" s="1" t="s">
        <v>977</v>
      </c>
      <c r="B211" s="2">
        <v>45214</v>
      </c>
      <c r="C211" s="1" t="s">
        <v>1008</v>
      </c>
      <c r="D211">
        <v>89</v>
      </c>
      <c r="E211" s="1" t="s">
        <v>812</v>
      </c>
      <c r="F211" s="3">
        <v>0.92986111111111114</v>
      </c>
    </row>
    <row r="212" spans="1:6" x14ac:dyDescent="0.3">
      <c r="A212" s="1" t="s">
        <v>977</v>
      </c>
      <c r="B212" s="2">
        <v>45222</v>
      </c>
      <c r="C212" s="1" t="s">
        <v>1009</v>
      </c>
      <c r="D212">
        <v>56</v>
      </c>
      <c r="E212" s="1" t="s">
        <v>807</v>
      </c>
      <c r="F212" s="3">
        <v>0.51180555555555551</v>
      </c>
    </row>
    <row r="213" spans="1:6" x14ac:dyDescent="0.3">
      <c r="A213" s="1" t="s">
        <v>977</v>
      </c>
      <c r="B213" s="2">
        <v>45216</v>
      </c>
      <c r="C213" s="1" t="s">
        <v>1010</v>
      </c>
      <c r="D213">
        <v>109</v>
      </c>
      <c r="E213" s="1" t="s">
        <v>812</v>
      </c>
      <c r="F213" s="3">
        <v>0.72986111111111107</v>
      </c>
    </row>
    <row r="214" spans="1:6" x14ac:dyDescent="0.3">
      <c r="A214" s="1" t="s">
        <v>977</v>
      </c>
      <c r="B214" s="2">
        <v>45214</v>
      </c>
      <c r="C214" s="1" t="s">
        <v>1011</v>
      </c>
      <c r="D214">
        <v>102</v>
      </c>
      <c r="E214" s="1" t="s">
        <v>810</v>
      </c>
      <c r="F214" s="3">
        <v>0.10972222222222222</v>
      </c>
    </row>
    <row r="215" spans="1:6" x14ac:dyDescent="0.3">
      <c r="A215" s="1" t="s">
        <v>977</v>
      </c>
      <c r="B215" s="2">
        <v>45201</v>
      </c>
      <c r="C215" s="1" t="s">
        <v>828</v>
      </c>
      <c r="D215">
        <v>75</v>
      </c>
      <c r="E215" s="1" t="s">
        <v>812</v>
      </c>
      <c r="F215" s="3">
        <v>0.57430555555555551</v>
      </c>
    </row>
    <row r="216" spans="1:6" x14ac:dyDescent="0.3">
      <c r="A216" s="1" t="s">
        <v>977</v>
      </c>
      <c r="B216" s="2">
        <v>45210</v>
      </c>
      <c r="C216" s="1" t="s">
        <v>1012</v>
      </c>
      <c r="D216">
        <v>9</v>
      </c>
      <c r="E216" s="1" t="s">
        <v>810</v>
      </c>
      <c r="F216" s="3">
        <v>0.80277777777777781</v>
      </c>
    </row>
    <row r="217" spans="1:6" x14ac:dyDescent="0.3">
      <c r="A217" s="1" t="s">
        <v>977</v>
      </c>
      <c r="B217" s="2">
        <v>45200</v>
      </c>
      <c r="C217" s="1" t="s">
        <v>849</v>
      </c>
      <c r="D217">
        <v>63</v>
      </c>
      <c r="E217" s="1" t="s">
        <v>810</v>
      </c>
      <c r="F217" s="3">
        <v>9.3055555555555558E-2</v>
      </c>
    </row>
    <row r="218" spans="1:6" x14ac:dyDescent="0.3">
      <c r="A218" s="1" t="s">
        <v>977</v>
      </c>
      <c r="B218" s="2">
        <v>45230</v>
      </c>
      <c r="C218" s="1" t="s">
        <v>1013</v>
      </c>
      <c r="D218">
        <v>16</v>
      </c>
      <c r="E218" s="1" t="s">
        <v>810</v>
      </c>
      <c r="F218" s="3">
        <v>0.91180555555555554</v>
      </c>
    </row>
    <row r="219" spans="1:6" x14ac:dyDescent="0.3">
      <c r="A219" s="1" t="s">
        <v>977</v>
      </c>
      <c r="B219" s="2">
        <v>45227</v>
      </c>
      <c r="C219" s="1" t="s">
        <v>916</v>
      </c>
      <c r="D219">
        <v>45</v>
      </c>
      <c r="E219" s="1" t="s">
        <v>812</v>
      </c>
      <c r="F219" s="3">
        <v>0.77569444444444446</v>
      </c>
    </row>
    <row r="220" spans="1:6" x14ac:dyDescent="0.3">
      <c r="A220" s="1" t="s">
        <v>1014</v>
      </c>
      <c r="B220" s="2">
        <v>45212</v>
      </c>
      <c r="C220" s="1" t="s">
        <v>1015</v>
      </c>
      <c r="D220">
        <v>113</v>
      </c>
      <c r="E220" s="1" t="s">
        <v>812</v>
      </c>
      <c r="F220" s="3">
        <v>0.62430555555555556</v>
      </c>
    </row>
    <row r="221" spans="1:6" x14ac:dyDescent="0.3">
      <c r="A221" s="1" t="s">
        <v>1014</v>
      </c>
      <c r="B221" s="2">
        <v>45210</v>
      </c>
      <c r="C221" s="1" t="s">
        <v>1016</v>
      </c>
      <c r="D221">
        <v>43</v>
      </c>
      <c r="E221" s="1" t="s">
        <v>810</v>
      </c>
      <c r="F221" s="3">
        <v>0.28055555555555556</v>
      </c>
    </row>
    <row r="222" spans="1:6" x14ac:dyDescent="0.3">
      <c r="A222" s="1" t="s">
        <v>1014</v>
      </c>
      <c r="B222" s="2">
        <v>45207</v>
      </c>
      <c r="C222" s="1" t="s">
        <v>1017</v>
      </c>
      <c r="D222">
        <v>54</v>
      </c>
      <c r="E222" s="1" t="s">
        <v>807</v>
      </c>
      <c r="F222" s="3">
        <v>0.54305555555555551</v>
      </c>
    </row>
    <row r="223" spans="1:6" x14ac:dyDescent="0.3">
      <c r="A223" s="1" t="s">
        <v>1014</v>
      </c>
      <c r="B223" s="2">
        <v>45210</v>
      </c>
      <c r="C223" s="1" t="s">
        <v>1018</v>
      </c>
      <c r="D223">
        <v>114</v>
      </c>
      <c r="E223" s="1" t="s">
        <v>812</v>
      </c>
      <c r="F223" s="3">
        <v>0.97916666666666663</v>
      </c>
    </row>
    <row r="224" spans="1:6" x14ac:dyDescent="0.3">
      <c r="A224" s="1" t="s">
        <v>1014</v>
      </c>
      <c r="B224" s="2">
        <v>45222</v>
      </c>
      <c r="C224" s="1" t="s">
        <v>1019</v>
      </c>
      <c r="D224">
        <v>66</v>
      </c>
      <c r="E224" s="1" t="s">
        <v>807</v>
      </c>
      <c r="F224" s="3">
        <v>0.51666666666666672</v>
      </c>
    </row>
    <row r="225" spans="1:6" x14ac:dyDescent="0.3">
      <c r="A225" s="1" t="s">
        <v>1014</v>
      </c>
      <c r="B225" s="2">
        <v>45221</v>
      </c>
      <c r="C225" s="1" t="s">
        <v>1020</v>
      </c>
      <c r="D225">
        <v>18</v>
      </c>
      <c r="E225" s="1" t="s">
        <v>807</v>
      </c>
      <c r="F225" s="3">
        <v>0.83958333333333335</v>
      </c>
    </row>
    <row r="226" spans="1:6" x14ac:dyDescent="0.3">
      <c r="A226" s="1" t="s">
        <v>1014</v>
      </c>
      <c r="B226" s="2">
        <v>45215</v>
      </c>
      <c r="C226" s="1" t="s">
        <v>1021</v>
      </c>
      <c r="D226">
        <v>35</v>
      </c>
      <c r="E226" s="1" t="s">
        <v>807</v>
      </c>
      <c r="F226" s="3">
        <v>4.7222222222222221E-2</v>
      </c>
    </row>
    <row r="227" spans="1:6" x14ac:dyDescent="0.3">
      <c r="A227" s="1" t="s">
        <v>1014</v>
      </c>
      <c r="B227" s="2">
        <v>45216</v>
      </c>
      <c r="C227" s="1" t="s">
        <v>885</v>
      </c>
      <c r="D227">
        <v>53</v>
      </c>
      <c r="E227" s="1" t="s">
        <v>810</v>
      </c>
      <c r="F227" s="3">
        <v>0.76458333333333328</v>
      </c>
    </row>
    <row r="228" spans="1:6" x14ac:dyDescent="0.3">
      <c r="A228" s="1" t="s">
        <v>1014</v>
      </c>
      <c r="B228" s="2">
        <v>45227</v>
      </c>
      <c r="C228" s="1" t="s">
        <v>1022</v>
      </c>
      <c r="D228">
        <v>78</v>
      </c>
      <c r="E228" s="1" t="s">
        <v>810</v>
      </c>
      <c r="F228" s="3">
        <v>0.16319444444444445</v>
      </c>
    </row>
    <row r="229" spans="1:6" x14ac:dyDescent="0.3">
      <c r="A229" s="1" t="s">
        <v>1014</v>
      </c>
      <c r="B229" s="2">
        <v>45227</v>
      </c>
      <c r="C229" s="1" t="s">
        <v>954</v>
      </c>
      <c r="D229">
        <v>50</v>
      </c>
      <c r="E229" s="1" t="s">
        <v>810</v>
      </c>
      <c r="F229" s="3">
        <v>0.58750000000000002</v>
      </c>
    </row>
    <row r="230" spans="1:6" x14ac:dyDescent="0.3">
      <c r="A230" s="1" t="s">
        <v>1014</v>
      </c>
      <c r="B230" s="2">
        <v>45216</v>
      </c>
      <c r="C230" s="1" t="s">
        <v>1023</v>
      </c>
      <c r="D230">
        <v>78</v>
      </c>
      <c r="E230" s="1" t="s">
        <v>812</v>
      </c>
      <c r="F230" s="3">
        <v>0.58333333333333337</v>
      </c>
    </row>
    <row r="231" spans="1:6" x14ac:dyDescent="0.3">
      <c r="A231" s="1" t="s">
        <v>1014</v>
      </c>
      <c r="B231" s="2">
        <v>45223</v>
      </c>
      <c r="C231" s="1" t="s">
        <v>1024</v>
      </c>
      <c r="D231">
        <v>42</v>
      </c>
      <c r="E231" s="1" t="s">
        <v>810</v>
      </c>
      <c r="F231" s="3">
        <v>0.18472222222222223</v>
      </c>
    </row>
    <row r="232" spans="1:6" x14ac:dyDescent="0.3">
      <c r="A232" s="1" t="s">
        <v>1014</v>
      </c>
      <c r="B232" s="2">
        <v>45227</v>
      </c>
      <c r="C232" s="1" t="s">
        <v>1025</v>
      </c>
      <c r="D232">
        <v>94</v>
      </c>
      <c r="E232" s="1" t="s">
        <v>812</v>
      </c>
      <c r="F232" s="3">
        <v>0.83958333333333335</v>
      </c>
    </row>
    <row r="233" spans="1:6" x14ac:dyDescent="0.3">
      <c r="A233" s="1" t="s">
        <v>1014</v>
      </c>
      <c r="B233" s="2">
        <v>45202</v>
      </c>
      <c r="C233" s="1" t="s">
        <v>1026</v>
      </c>
      <c r="D233">
        <v>42</v>
      </c>
      <c r="E233" s="1" t="s">
        <v>807</v>
      </c>
      <c r="F233" s="3">
        <v>0.65972222222222221</v>
      </c>
    </row>
    <row r="234" spans="1:6" x14ac:dyDescent="0.3">
      <c r="A234" s="1" t="s">
        <v>1014</v>
      </c>
      <c r="B234" s="2">
        <v>45208</v>
      </c>
      <c r="C234" s="1" t="s">
        <v>1027</v>
      </c>
      <c r="D234">
        <v>7</v>
      </c>
      <c r="E234" s="1" t="s">
        <v>812</v>
      </c>
      <c r="F234" s="3">
        <v>0.44374999999999998</v>
      </c>
    </row>
    <row r="235" spans="1:6" x14ac:dyDescent="0.3">
      <c r="A235" s="1" t="s">
        <v>1014</v>
      </c>
      <c r="B235" s="2">
        <v>45222</v>
      </c>
      <c r="C235" s="1" t="s">
        <v>1028</v>
      </c>
      <c r="D235">
        <v>111</v>
      </c>
      <c r="E235" s="1" t="s">
        <v>807</v>
      </c>
      <c r="F235" s="3">
        <v>0.52847222222222223</v>
      </c>
    </row>
    <row r="236" spans="1:6" x14ac:dyDescent="0.3">
      <c r="A236" s="1" t="s">
        <v>1014</v>
      </c>
      <c r="B236" s="2">
        <v>45202</v>
      </c>
      <c r="C236" s="1" t="s">
        <v>1029</v>
      </c>
      <c r="D236">
        <v>89</v>
      </c>
      <c r="E236" s="1" t="s">
        <v>812</v>
      </c>
      <c r="F236" s="3">
        <v>0.45416666666666666</v>
      </c>
    </row>
    <row r="237" spans="1:6" x14ac:dyDescent="0.3">
      <c r="A237" s="1" t="s">
        <v>1014</v>
      </c>
      <c r="B237" s="2">
        <v>45221</v>
      </c>
      <c r="C237" s="1" t="s">
        <v>1030</v>
      </c>
      <c r="D237">
        <v>55</v>
      </c>
      <c r="E237" s="1" t="s">
        <v>810</v>
      </c>
      <c r="F237" s="3">
        <v>0.72499999999999998</v>
      </c>
    </row>
    <row r="238" spans="1:6" x14ac:dyDescent="0.3">
      <c r="A238" s="1" t="s">
        <v>1014</v>
      </c>
      <c r="B238" s="2">
        <v>45230</v>
      </c>
      <c r="C238" s="1" t="s">
        <v>1003</v>
      </c>
      <c r="D238">
        <v>40</v>
      </c>
      <c r="E238" s="1" t="s">
        <v>807</v>
      </c>
      <c r="F238" s="3">
        <v>0.44444444444444442</v>
      </c>
    </row>
    <row r="239" spans="1:6" x14ac:dyDescent="0.3">
      <c r="A239" s="1" t="s">
        <v>1014</v>
      </c>
      <c r="B239" s="2">
        <v>45222</v>
      </c>
      <c r="C239" s="1" t="s">
        <v>1031</v>
      </c>
      <c r="D239">
        <v>6</v>
      </c>
      <c r="E239" s="1" t="s">
        <v>812</v>
      </c>
      <c r="F239" s="3">
        <v>0.66319444444444442</v>
      </c>
    </row>
    <row r="240" spans="1:6" x14ac:dyDescent="0.3">
      <c r="A240" s="1" t="s">
        <v>1014</v>
      </c>
      <c r="B240" s="2">
        <v>45217</v>
      </c>
      <c r="C240" s="1" t="s">
        <v>1032</v>
      </c>
      <c r="D240">
        <v>77</v>
      </c>
      <c r="E240" s="1" t="s">
        <v>812</v>
      </c>
      <c r="F240" s="3">
        <v>6.8750000000000006E-2</v>
      </c>
    </row>
    <row r="241" spans="1:6" x14ac:dyDescent="0.3">
      <c r="A241" s="1" t="s">
        <v>1014</v>
      </c>
      <c r="B241" s="2">
        <v>45202</v>
      </c>
      <c r="C241" s="1" t="s">
        <v>1033</v>
      </c>
      <c r="D241">
        <v>115</v>
      </c>
      <c r="E241" s="1" t="s">
        <v>810</v>
      </c>
      <c r="F241" s="3">
        <v>0.31944444444444442</v>
      </c>
    </row>
    <row r="242" spans="1:6" x14ac:dyDescent="0.3">
      <c r="A242" s="1" t="s">
        <v>1014</v>
      </c>
      <c r="B242" s="2">
        <v>45221</v>
      </c>
      <c r="C242" s="1" t="s">
        <v>1034</v>
      </c>
      <c r="D242">
        <v>92</v>
      </c>
      <c r="E242" s="1" t="s">
        <v>810</v>
      </c>
      <c r="F242" s="3">
        <v>0.38472222222222224</v>
      </c>
    </row>
    <row r="243" spans="1:6" x14ac:dyDescent="0.3">
      <c r="A243" s="1" t="s">
        <v>1014</v>
      </c>
      <c r="B243" s="2">
        <v>45223</v>
      </c>
      <c r="C243" s="1" t="s">
        <v>1035</v>
      </c>
      <c r="D243">
        <v>104</v>
      </c>
      <c r="E243" s="1" t="s">
        <v>810</v>
      </c>
      <c r="F243" s="3">
        <v>0.10208333333333333</v>
      </c>
    </row>
    <row r="244" spans="1:6" x14ac:dyDescent="0.3">
      <c r="A244" s="1" t="s">
        <v>1014</v>
      </c>
      <c r="B244" s="2">
        <v>45203</v>
      </c>
      <c r="C244" s="1" t="s">
        <v>1036</v>
      </c>
      <c r="D244">
        <v>100</v>
      </c>
      <c r="E244" s="1" t="s">
        <v>812</v>
      </c>
      <c r="F244" s="3">
        <v>0.86458333333333337</v>
      </c>
    </row>
    <row r="245" spans="1:6" x14ac:dyDescent="0.3">
      <c r="A245" s="1" t="s">
        <v>1014</v>
      </c>
      <c r="B245" s="2">
        <v>45227</v>
      </c>
      <c r="C245" s="1" t="s">
        <v>1037</v>
      </c>
      <c r="D245">
        <v>11</v>
      </c>
      <c r="E245" s="1" t="s">
        <v>810</v>
      </c>
      <c r="F245" s="3">
        <v>0.14444444444444443</v>
      </c>
    </row>
    <row r="246" spans="1:6" x14ac:dyDescent="0.3">
      <c r="A246" s="1" t="s">
        <v>1014</v>
      </c>
      <c r="B246" s="2">
        <v>45205</v>
      </c>
      <c r="C246" s="1" t="s">
        <v>1038</v>
      </c>
      <c r="D246">
        <v>82</v>
      </c>
      <c r="E246" s="1" t="s">
        <v>812</v>
      </c>
      <c r="F246" s="3">
        <v>0.92986111111111114</v>
      </c>
    </row>
    <row r="247" spans="1:6" x14ac:dyDescent="0.3">
      <c r="A247" s="1" t="s">
        <v>1014</v>
      </c>
      <c r="B247" s="2">
        <v>45210</v>
      </c>
      <c r="C247" s="1" t="s">
        <v>1040</v>
      </c>
      <c r="D247">
        <v>68</v>
      </c>
      <c r="E247" s="1" t="s">
        <v>812</v>
      </c>
      <c r="F247" s="3">
        <v>5.4166666666666669E-2</v>
      </c>
    </row>
    <row r="248" spans="1:6" x14ac:dyDescent="0.3">
      <c r="A248" s="1" t="s">
        <v>1014</v>
      </c>
      <c r="B248" s="2">
        <v>45211</v>
      </c>
      <c r="C248" s="1" t="s">
        <v>833</v>
      </c>
      <c r="D248">
        <v>111</v>
      </c>
      <c r="E248" s="1" t="s">
        <v>807</v>
      </c>
      <c r="F248" s="3">
        <v>0.47708333333333336</v>
      </c>
    </row>
    <row r="249" spans="1:6" x14ac:dyDescent="0.3">
      <c r="A249" s="1" t="s">
        <v>1014</v>
      </c>
      <c r="B249" s="2">
        <v>45204</v>
      </c>
      <c r="C249" s="1" t="s">
        <v>1041</v>
      </c>
      <c r="D249">
        <v>120</v>
      </c>
      <c r="E249" s="1" t="s">
        <v>810</v>
      </c>
      <c r="F249" s="3">
        <v>0.31458333333333333</v>
      </c>
    </row>
    <row r="250" spans="1:6" x14ac:dyDescent="0.3">
      <c r="A250" s="1" t="s">
        <v>1014</v>
      </c>
      <c r="B250" s="2">
        <v>45213</v>
      </c>
      <c r="C250" s="1" t="s">
        <v>1042</v>
      </c>
      <c r="D250">
        <v>120</v>
      </c>
      <c r="E250" s="1" t="s">
        <v>807</v>
      </c>
      <c r="F250" s="3">
        <v>0.77986111111111112</v>
      </c>
    </row>
    <row r="251" spans="1:6" x14ac:dyDescent="0.3">
      <c r="A251" s="1" t="s">
        <v>1014</v>
      </c>
      <c r="B251" s="2">
        <v>45225</v>
      </c>
      <c r="C251" s="1" t="s">
        <v>1043</v>
      </c>
      <c r="D251">
        <v>41</v>
      </c>
      <c r="E251" s="1" t="s">
        <v>812</v>
      </c>
      <c r="F251" s="3">
        <v>0.21527777777777779</v>
      </c>
    </row>
    <row r="252" spans="1:6" x14ac:dyDescent="0.3">
      <c r="A252" s="1" t="s">
        <v>1014</v>
      </c>
      <c r="B252" s="2">
        <v>45205</v>
      </c>
      <c r="C252" s="1" t="s">
        <v>836</v>
      </c>
      <c r="D252">
        <v>104</v>
      </c>
      <c r="E252" s="1" t="s">
        <v>807</v>
      </c>
      <c r="F252" s="3">
        <v>0.11041666666666666</v>
      </c>
    </row>
    <row r="253" spans="1:6" x14ac:dyDescent="0.3">
      <c r="A253" s="1" t="s">
        <v>1014</v>
      </c>
      <c r="B253" s="2">
        <v>45227</v>
      </c>
      <c r="C253" s="1" t="s">
        <v>1044</v>
      </c>
      <c r="D253">
        <v>107</v>
      </c>
      <c r="E253" s="1" t="s">
        <v>810</v>
      </c>
      <c r="F253" s="3">
        <v>0.52708333333333335</v>
      </c>
    </row>
    <row r="254" spans="1:6" x14ac:dyDescent="0.3">
      <c r="A254" s="1" t="s">
        <v>1014</v>
      </c>
      <c r="B254" s="2">
        <v>45221</v>
      </c>
      <c r="C254" s="1" t="s">
        <v>1045</v>
      </c>
      <c r="D254">
        <v>34</v>
      </c>
      <c r="E254" s="1" t="s">
        <v>810</v>
      </c>
      <c r="F254" s="3">
        <v>0.31319444444444444</v>
      </c>
    </row>
    <row r="255" spans="1:6" x14ac:dyDescent="0.3">
      <c r="A255" s="1" t="s">
        <v>1014</v>
      </c>
      <c r="B255" s="2">
        <v>45229</v>
      </c>
      <c r="C255" s="1" t="s">
        <v>1046</v>
      </c>
      <c r="D255">
        <v>82</v>
      </c>
      <c r="E255" s="1" t="s">
        <v>812</v>
      </c>
      <c r="F255" s="3">
        <v>0.75624999999999998</v>
      </c>
    </row>
    <row r="256" spans="1:6" x14ac:dyDescent="0.3">
      <c r="A256" s="1" t="s">
        <v>1014</v>
      </c>
      <c r="B256" s="2">
        <v>45207</v>
      </c>
      <c r="C256" s="1" t="s">
        <v>911</v>
      </c>
      <c r="D256">
        <v>107</v>
      </c>
      <c r="E256" s="1" t="s">
        <v>810</v>
      </c>
      <c r="F256" s="3">
        <v>0.61111111111111116</v>
      </c>
    </row>
    <row r="257" spans="1:6" x14ac:dyDescent="0.3">
      <c r="A257" s="1" t="s">
        <v>1014</v>
      </c>
      <c r="B257" s="2">
        <v>45208</v>
      </c>
      <c r="C257" s="1" t="s">
        <v>1047</v>
      </c>
      <c r="D257">
        <v>50</v>
      </c>
      <c r="E257" s="1" t="s">
        <v>807</v>
      </c>
      <c r="F257" s="3">
        <v>0.59444444444444444</v>
      </c>
    </row>
    <row r="258" spans="1:6" x14ac:dyDescent="0.3">
      <c r="A258" s="1" t="s">
        <v>1014</v>
      </c>
      <c r="B258" s="2">
        <v>45225</v>
      </c>
      <c r="C258" s="1" t="s">
        <v>1045</v>
      </c>
      <c r="D258">
        <v>86</v>
      </c>
      <c r="E258" s="1" t="s">
        <v>807</v>
      </c>
      <c r="F258" s="3">
        <v>0.62291666666666667</v>
      </c>
    </row>
    <row r="259" spans="1:6" x14ac:dyDescent="0.3">
      <c r="A259" s="1" t="s">
        <v>1014</v>
      </c>
      <c r="B259" s="2">
        <v>45209</v>
      </c>
      <c r="C259" s="1" t="s">
        <v>985</v>
      </c>
      <c r="D259">
        <v>29</v>
      </c>
      <c r="E259" s="1" t="s">
        <v>810</v>
      </c>
      <c r="F259" s="3">
        <v>0.89861111111111114</v>
      </c>
    </row>
    <row r="260" spans="1:6" x14ac:dyDescent="0.3">
      <c r="A260" s="1" t="s">
        <v>1014</v>
      </c>
      <c r="B260" s="2">
        <v>45205</v>
      </c>
      <c r="C260" s="1" t="s">
        <v>1049</v>
      </c>
      <c r="D260">
        <v>84</v>
      </c>
      <c r="E260" s="1" t="s">
        <v>812</v>
      </c>
      <c r="F260" s="3">
        <v>0.10277777777777777</v>
      </c>
    </row>
    <row r="261" spans="1:6" x14ac:dyDescent="0.3">
      <c r="A261" s="1" t="s">
        <v>1014</v>
      </c>
      <c r="B261" s="2">
        <v>45230</v>
      </c>
      <c r="C261" s="1" t="s">
        <v>1050</v>
      </c>
      <c r="D261">
        <v>37</v>
      </c>
      <c r="E261" s="1" t="s">
        <v>810</v>
      </c>
      <c r="F261" s="3">
        <v>0.48402777777777778</v>
      </c>
    </row>
    <row r="262" spans="1:6" x14ac:dyDescent="0.3">
      <c r="A262" s="1" t="s">
        <v>1014</v>
      </c>
      <c r="B262" s="2">
        <v>45209</v>
      </c>
      <c r="C262" s="1" t="s">
        <v>1051</v>
      </c>
      <c r="D262">
        <v>91</v>
      </c>
      <c r="E262" s="1" t="s">
        <v>812</v>
      </c>
      <c r="F262" s="3">
        <v>0.8520833333333333</v>
      </c>
    </row>
    <row r="263" spans="1:6" x14ac:dyDescent="0.3">
      <c r="A263" s="1" t="s">
        <v>1014</v>
      </c>
      <c r="B263" s="2">
        <v>45222</v>
      </c>
      <c r="C263" s="1" t="s">
        <v>1052</v>
      </c>
      <c r="D263">
        <v>101</v>
      </c>
      <c r="E263" s="1" t="s">
        <v>810</v>
      </c>
      <c r="F263" s="3">
        <v>0.35347222222222224</v>
      </c>
    </row>
    <row r="264" spans="1:6" x14ac:dyDescent="0.3">
      <c r="A264" s="1" t="s">
        <v>1053</v>
      </c>
      <c r="B264" s="2">
        <v>45207</v>
      </c>
      <c r="C264" s="1" t="s">
        <v>1054</v>
      </c>
      <c r="D264">
        <v>99</v>
      </c>
      <c r="E264" s="1" t="s">
        <v>810</v>
      </c>
      <c r="F264" s="3">
        <v>0.71388888888888891</v>
      </c>
    </row>
    <row r="265" spans="1:6" x14ac:dyDescent="0.3">
      <c r="A265" s="1" t="s">
        <v>1053</v>
      </c>
      <c r="B265" s="2">
        <v>45212</v>
      </c>
      <c r="C265" s="1" t="s">
        <v>956</v>
      </c>
      <c r="D265">
        <v>58</v>
      </c>
      <c r="E265" s="1" t="s">
        <v>810</v>
      </c>
      <c r="F265" s="3">
        <v>0.59930555555555554</v>
      </c>
    </row>
    <row r="266" spans="1:6" x14ac:dyDescent="0.3">
      <c r="A266" s="1" t="s">
        <v>1053</v>
      </c>
      <c r="B266" s="2">
        <v>45221</v>
      </c>
      <c r="C266" s="1" t="s">
        <v>1055</v>
      </c>
      <c r="D266">
        <v>72</v>
      </c>
      <c r="E266" s="1" t="s">
        <v>810</v>
      </c>
      <c r="F266" s="3">
        <v>0.98888888888888893</v>
      </c>
    </row>
    <row r="267" spans="1:6" x14ac:dyDescent="0.3">
      <c r="A267" s="1" t="s">
        <v>1053</v>
      </c>
      <c r="B267" s="2">
        <v>45230</v>
      </c>
      <c r="C267" s="1" t="s">
        <v>1032</v>
      </c>
      <c r="D267">
        <v>19</v>
      </c>
      <c r="E267" s="1" t="s">
        <v>810</v>
      </c>
      <c r="F267" s="3">
        <v>0.72638888888888886</v>
      </c>
    </row>
    <row r="268" spans="1:6" x14ac:dyDescent="0.3">
      <c r="A268" s="1" t="s">
        <v>1053</v>
      </c>
      <c r="B268" s="2">
        <v>45218</v>
      </c>
      <c r="C268" s="1" t="s">
        <v>1056</v>
      </c>
      <c r="D268">
        <v>100</v>
      </c>
      <c r="E268" s="1" t="s">
        <v>807</v>
      </c>
      <c r="F268" s="3">
        <v>0.99027777777777781</v>
      </c>
    </row>
    <row r="269" spans="1:6" x14ac:dyDescent="0.3">
      <c r="A269" s="1" t="s">
        <v>1053</v>
      </c>
      <c r="B269" s="2">
        <v>45204</v>
      </c>
      <c r="C269" s="1" t="s">
        <v>1057</v>
      </c>
      <c r="D269">
        <v>13</v>
      </c>
      <c r="E269" s="1" t="s">
        <v>812</v>
      </c>
      <c r="F269" s="3">
        <v>0.57013888888888886</v>
      </c>
    </row>
    <row r="270" spans="1:6" x14ac:dyDescent="0.3">
      <c r="A270" s="1" t="s">
        <v>1053</v>
      </c>
      <c r="B270" s="2">
        <v>45203</v>
      </c>
      <c r="C270" s="1" t="s">
        <v>1058</v>
      </c>
      <c r="D270">
        <v>65</v>
      </c>
      <c r="E270" s="1" t="s">
        <v>812</v>
      </c>
      <c r="F270" s="3">
        <v>0.65208333333333335</v>
      </c>
    </row>
    <row r="271" spans="1:6" x14ac:dyDescent="0.3">
      <c r="A271" s="1" t="s">
        <v>1053</v>
      </c>
      <c r="B271" s="2">
        <v>45213</v>
      </c>
      <c r="C271" s="1" t="s">
        <v>1059</v>
      </c>
      <c r="D271">
        <v>62</v>
      </c>
      <c r="E271" s="1" t="s">
        <v>807</v>
      </c>
      <c r="F271" s="3">
        <v>0.3347222222222222</v>
      </c>
    </row>
    <row r="272" spans="1:6" x14ac:dyDescent="0.3">
      <c r="A272" s="1" t="s">
        <v>1053</v>
      </c>
      <c r="B272" s="2">
        <v>45222</v>
      </c>
      <c r="C272" s="1" t="s">
        <v>1060</v>
      </c>
      <c r="D272">
        <v>104</v>
      </c>
      <c r="E272" s="1" t="s">
        <v>812</v>
      </c>
      <c r="F272" s="3">
        <v>0.46736111111111112</v>
      </c>
    </row>
    <row r="273" spans="1:6" x14ac:dyDescent="0.3">
      <c r="A273" s="1" t="s">
        <v>1053</v>
      </c>
      <c r="B273" s="2">
        <v>45214</v>
      </c>
      <c r="C273" s="1" t="s">
        <v>1061</v>
      </c>
      <c r="D273">
        <v>51</v>
      </c>
      <c r="E273" s="1" t="s">
        <v>812</v>
      </c>
      <c r="F273" s="3">
        <v>0.59375</v>
      </c>
    </row>
    <row r="274" spans="1:6" x14ac:dyDescent="0.3">
      <c r="A274" s="1" t="s">
        <v>1053</v>
      </c>
      <c r="B274" s="2">
        <v>45227</v>
      </c>
      <c r="C274" s="1" t="s">
        <v>893</v>
      </c>
      <c r="D274">
        <v>70</v>
      </c>
      <c r="E274" s="1" t="s">
        <v>812</v>
      </c>
      <c r="F274" s="3">
        <v>0.46250000000000002</v>
      </c>
    </row>
    <row r="275" spans="1:6" x14ac:dyDescent="0.3">
      <c r="A275" s="1" t="s">
        <v>1053</v>
      </c>
      <c r="B275" s="2">
        <v>45221</v>
      </c>
      <c r="C275" s="1" t="s">
        <v>1062</v>
      </c>
      <c r="D275">
        <v>80</v>
      </c>
      <c r="E275" s="1" t="s">
        <v>812</v>
      </c>
      <c r="F275" s="3">
        <v>0.48194444444444445</v>
      </c>
    </row>
    <row r="276" spans="1:6" x14ac:dyDescent="0.3">
      <c r="A276" s="1" t="s">
        <v>1053</v>
      </c>
      <c r="B276" s="2">
        <v>45228</v>
      </c>
      <c r="C276" s="1" t="s">
        <v>1063</v>
      </c>
      <c r="D276">
        <v>18</v>
      </c>
      <c r="E276" s="1" t="s">
        <v>812</v>
      </c>
      <c r="F276" s="3">
        <v>0.84861111111111109</v>
      </c>
    </row>
    <row r="277" spans="1:6" x14ac:dyDescent="0.3">
      <c r="A277" s="1" t="s">
        <v>1053</v>
      </c>
      <c r="B277" s="2">
        <v>45201</v>
      </c>
      <c r="C277" s="1" t="s">
        <v>931</v>
      </c>
      <c r="D277">
        <v>62</v>
      </c>
      <c r="E277" s="1" t="s">
        <v>810</v>
      </c>
      <c r="F277" s="3">
        <v>0.51180555555555551</v>
      </c>
    </row>
    <row r="278" spans="1:6" x14ac:dyDescent="0.3">
      <c r="A278" s="1" t="s">
        <v>1053</v>
      </c>
      <c r="B278" s="2">
        <v>45206</v>
      </c>
      <c r="C278" s="1" t="s">
        <v>1064</v>
      </c>
      <c r="D278">
        <v>69</v>
      </c>
      <c r="E278" s="1" t="s">
        <v>807</v>
      </c>
      <c r="F278" s="3">
        <v>0.16250000000000001</v>
      </c>
    </row>
    <row r="279" spans="1:6" x14ac:dyDescent="0.3">
      <c r="A279" s="1" t="s">
        <v>1053</v>
      </c>
      <c r="B279" s="2">
        <v>45226</v>
      </c>
      <c r="C279" s="1" t="s">
        <v>1065</v>
      </c>
      <c r="D279">
        <v>33</v>
      </c>
      <c r="E279" s="1" t="s">
        <v>812</v>
      </c>
      <c r="F279" s="3">
        <v>0.58680555555555558</v>
      </c>
    </row>
    <row r="280" spans="1:6" x14ac:dyDescent="0.3">
      <c r="A280" s="1" t="s">
        <v>1053</v>
      </c>
      <c r="B280" s="2">
        <v>45221</v>
      </c>
      <c r="C280" s="1" t="s">
        <v>1066</v>
      </c>
      <c r="D280">
        <v>83</v>
      </c>
      <c r="E280" s="1" t="s">
        <v>812</v>
      </c>
      <c r="F280" s="3">
        <v>0.27847222222222223</v>
      </c>
    </row>
    <row r="281" spans="1:6" x14ac:dyDescent="0.3">
      <c r="A281" s="1" t="s">
        <v>1053</v>
      </c>
      <c r="B281" s="2">
        <v>45220</v>
      </c>
      <c r="C281" s="1" t="s">
        <v>913</v>
      </c>
      <c r="D281">
        <v>10</v>
      </c>
      <c r="E281" s="1" t="s">
        <v>812</v>
      </c>
      <c r="F281" s="3">
        <v>0.79236111111111107</v>
      </c>
    </row>
    <row r="282" spans="1:6" x14ac:dyDescent="0.3">
      <c r="A282" s="1" t="s">
        <v>1053</v>
      </c>
      <c r="B282" s="2">
        <v>45201</v>
      </c>
      <c r="C282" s="1" t="s">
        <v>1055</v>
      </c>
      <c r="D282">
        <v>98</v>
      </c>
      <c r="E282" s="1" t="s">
        <v>810</v>
      </c>
      <c r="F282" s="3">
        <v>0.42708333333333331</v>
      </c>
    </row>
    <row r="283" spans="1:6" x14ac:dyDescent="0.3">
      <c r="A283" s="1" t="s">
        <v>1053</v>
      </c>
      <c r="B283" s="2">
        <v>45204</v>
      </c>
      <c r="C283" s="1" t="s">
        <v>1067</v>
      </c>
      <c r="D283">
        <v>105</v>
      </c>
      <c r="E283" s="1" t="s">
        <v>812</v>
      </c>
      <c r="F283" s="3">
        <v>0.75902777777777775</v>
      </c>
    </row>
    <row r="284" spans="1:6" x14ac:dyDescent="0.3">
      <c r="A284" s="1" t="s">
        <v>1053</v>
      </c>
      <c r="B284" s="2">
        <v>45202</v>
      </c>
      <c r="C284" s="1" t="s">
        <v>1068</v>
      </c>
      <c r="D284">
        <v>115</v>
      </c>
      <c r="E284" s="1" t="s">
        <v>812</v>
      </c>
      <c r="F284" s="3">
        <v>0.71736111111111112</v>
      </c>
    </row>
    <row r="285" spans="1:6" x14ac:dyDescent="0.3">
      <c r="A285" s="1" t="s">
        <v>1053</v>
      </c>
      <c r="B285" s="2">
        <v>45218</v>
      </c>
      <c r="C285" s="1" t="s">
        <v>1069</v>
      </c>
      <c r="D285">
        <v>89</v>
      </c>
      <c r="E285" s="1" t="s">
        <v>807</v>
      </c>
      <c r="F285" s="3">
        <v>0.28611111111111109</v>
      </c>
    </row>
    <row r="286" spans="1:6" x14ac:dyDescent="0.3">
      <c r="A286" s="1" t="s">
        <v>1053</v>
      </c>
      <c r="B286" s="2">
        <v>45227</v>
      </c>
      <c r="C286" s="1" t="s">
        <v>836</v>
      </c>
      <c r="D286">
        <v>71</v>
      </c>
      <c r="E286" s="1" t="s">
        <v>810</v>
      </c>
      <c r="F286" s="3">
        <v>0.30625000000000002</v>
      </c>
    </row>
    <row r="287" spans="1:6" x14ac:dyDescent="0.3">
      <c r="A287" s="1" t="s">
        <v>1053</v>
      </c>
      <c r="B287" s="2">
        <v>45224</v>
      </c>
      <c r="C287" s="1" t="s">
        <v>961</v>
      </c>
      <c r="D287">
        <v>43</v>
      </c>
      <c r="E287" s="1" t="s">
        <v>812</v>
      </c>
      <c r="F287" s="3">
        <v>0.2013888888888889</v>
      </c>
    </row>
    <row r="288" spans="1:6" x14ac:dyDescent="0.3">
      <c r="A288" s="1" t="s">
        <v>1053</v>
      </c>
      <c r="B288" s="2">
        <v>45228</v>
      </c>
      <c r="C288" s="1" t="s">
        <v>806</v>
      </c>
      <c r="D288">
        <v>63</v>
      </c>
      <c r="E288" s="1" t="s">
        <v>807</v>
      </c>
      <c r="F288" s="3">
        <v>0.79166666666666663</v>
      </c>
    </row>
    <row r="289" spans="1:6" x14ac:dyDescent="0.3">
      <c r="A289" s="1" t="s">
        <v>1053</v>
      </c>
      <c r="B289" s="2">
        <v>45208</v>
      </c>
      <c r="C289" s="1" t="s">
        <v>858</v>
      </c>
      <c r="D289">
        <v>87</v>
      </c>
      <c r="E289" s="1" t="s">
        <v>807</v>
      </c>
      <c r="F289" s="3">
        <v>0.17222222222222222</v>
      </c>
    </row>
    <row r="290" spans="1:6" x14ac:dyDescent="0.3">
      <c r="A290" s="1" t="s">
        <v>1053</v>
      </c>
      <c r="B290" s="2">
        <v>45217</v>
      </c>
      <c r="C290" s="1" t="s">
        <v>1070</v>
      </c>
      <c r="D290">
        <v>8</v>
      </c>
      <c r="E290" s="1" t="s">
        <v>807</v>
      </c>
      <c r="F290" s="3">
        <v>0.36875000000000002</v>
      </c>
    </row>
    <row r="291" spans="1:6" x14ac:dyDescent="0.3">
      <c r="A291" s="1" t="s">
        <v>1053</v>
      </c>
      <c r="B291" s="2">
        <v>45205</v>
      </c>
      <c r="C291" s="1" t="s">
        <v>894</v>
      </c>
      <c r="D291">
        <v>12</v>
      </c>
      <c r="E291" s="1" t="s">
        <v>807</v>
      </c>
      <c r="F291" s="3">
        <v>0.15416666666666667</v>
      </c>
    </row>
    <row r="292" spans="1:6" x14ac:dyDescent="0.3">
      <c r="A292" s="1" t="s">
        <v>1053</v>
      </c>
      <c r="B292" s="2">
        <v>45200</v>
      </c>
      <c r="C292" s="1" t="s">
        <v>1071</v>
      </c>
      <c r="D292">
        <v>113</v>
      </c>
      <c r="E292" s="1" t="s">
        <v>807</v>
      </c>
      <c r="F292" s="3">
        <v>0.49305555555555558</v>
      </c>
    </row>
    <row r="293" spans="1:6" x14ac:dyDescent="0.3">
      <c r="A293" s="1" t="s">
        <v>1053</v>
      </c>
      <c r="B293" s="2">
        <v>45225</v>
      </c>
      <c r="C293" s="1" t="s">
        <v>940</v>
      </c>
      <c r="D293">
        <v>56</v>
      </c>
      <c r="E293" s="1" t="s">
        <v>810</v>
      </c>
      <c r="F293" s="3">
        <v>0.31736111111111109</v>
      </c>
    </row>
    <row r="294" spans="1:6" x14ac:dyDescent="0.3">
      <c r="A294" s="1" t="s">
        <v>1053</v>
      </c>
      <c r="B294" s="2">
        <v>45208</v>
      </c>
      <c r="C294" s="1" t="s">
        <v>856</v>
      </c>
      <c r="D294">
        <v>92</v>
      </c>
      <c r="E294" s="1" t="s">
        <v>812</v>
      </c>
      <c r="F294" s="3">
        <v>4.7222222222222221E-2</v>
      </c>
    </row>
    <row r="295" spans="1:6" x14ac:dyDescent="0.3">
      <c r="A295" s="1" t="s">
        <v>1073</v>
      </c>
      <c r="B295" s="2">
        <v>45221</v>
      </c>
      <c r="C295" s="1" t="s">
        <v>1013</v>
      </c>
      <c r="D295">
        <v>43</v>
      </c>
      <c r="E295" s="1" t="s">
        <v>807</v>
      </c>
      <c r="F295" s="3">
        <v>0.14305555555555555</v>
      </c>
    </row>
    <row r="296" spans="1:6" x14ac:dyDescent="0.3">
      <c r="A296" s="1" t="s">
        <v>1073</v>
      </c>
      <c r="B296" s="2">
        <v>45211</v>
      </c>
      <c r="C296" s="1" t="s">
        <v>1074</v>
      </c>
      <c r="D296">
        <v>32</v>
      </c>
      <c r="E296" s="1" t="s">
        <v>810</v>
      </c>
      <c r="F296" s="3">
        <v>0.90833333333333333</v>
      </c>
    </row>
    <row r="297" spans="1:6" x14ac:dyDescent="0.3">
      <c r="A297" s="1" t="s">
        <v>1073</v>
      </c>
      <c r="B297" s="2">
        <v>45213</v>
      </c>
      <c r="C297" s="1" t="s">
        <v>1075</v>
      </c>
      <c r="D297">
        <v>103</v>
      </c>
      <c r="E297" s="1" t="s">
        <v>810</v>
      </c>
      <c r="F297" s="3">
        <v>0.9604166666666667</v>
      </c>
    </row>
    <row r="298" spans="1:6" x14ac:dyDescent="0.3">
      <c r="A298" s="1" t="s">
        <v>1073</v>
      </c>
      <c r="B298" s="2">
        <v>45209</v>
      </c>
      <c r="C298" s="1" t="s">
        <v>1072</v>
      </c>
      <c r="D298">
        <v>102</v>
      </c>
      <c r="E298" s="1" t="s">
        <v>812</v>
      </c>
      <c r="F298" s="3">
        <v>0.46250000000000002</v>
      </c>
    </row>
    <row r="299" spans="1:6" x14ac:dyDescent="0.3">
      <c r="A299" s="1" t="s">
        <v>1073</v>
      </c>
      <c r="B299" s="2">
        <v>45218</v>
      </c>
      <c r="C299" s="1" t="s">
        <v>963</v>
      </c>
      <c r="D299">
        <v>37</v>
      </c>
      <c r="E299" s="1" t="s">
        <v>812</v>
      </c>
      <c r="F299" s="3">
        <v>0.67569444444444449</v>
      </c>
    </row>
    <row r="300" spans="1:6" x14ac:dyDescent="0.3">
      <c r="A300" s="1" t="s">
        <v>1073</v>
      </c>
      <c r="B300" s="2">
        <v>45204</v>
      </c>
      <c r="C300" s="1" t="s">
        <v>1076</v>
      </c>
      <c r="D300">
        <v>42</v>
      </c>
      <c r="E300" s="1" t="s">
        <v>810</v>
      </c>
      <c r="F300" s="3">
        <v>0.89583333333333337</v>
      </c>
    </row>
    <row r="301" spans="1:6" x14ac:dyDescent="0.3">
      <c r="A301" s="1" t="s">
        <v>1073</v>
      </c>
      <c r="B301" s="2">
        <v>45207</v>
      </c>
      <c r="C301" s="1" t="s">
        <v>1077</v>
      </c>
      <c r="D301">
        <v>46</v>
      </c>
      <c r="E301" s="1" t="s">
        <v>810</v>
      </c>
      <c r="F301" s="3">
        <v>0.14027777777777778</v>
      </c>
    </row>
    <row r="302" spans="1:6" x14ac:dyDescent="0.3">
      <c r="A302" s="1" t="s">
        <v>1073</v>
      </c>
      <c r="B302" s="2">
        <v>45227</v>
      </c>
      <c r="C302" s="1" t="s">
        <v>1067</v>
      </c>
      <c r="D302">
        <v>20</v>
      </c>
      <c r="E302" s="1" t="s">
        <v>807</v>
      </c>
      <c r="F302" s="3">
        <v>0.72430555555555554</v>
      </c>
    </row>
    <row r="303" spans="1:6" x14ac:dyDescent="0.3">
      <c r="A303" s="1" t="s">
        <v>1073</v>
      </c>
      <c r="B303" s="2">
        <v>45203</v>
      </c>
      <c r="C303" s="1" t="s">
        <v>1078</v>
      </c>
      <c r="D303">
        <v>5</v>
      </c>
      <c r="E303" s="1" t="s">
        <v>807</v>
      </c>
      <c r="F303" s="3">
        <v>0.35833333333333334</v>
      </c>
    </row>
    <row r="304" spans="1:6" x14ac:dyDescent="0.3">
      <c r="A304" s="1" t="s">
        <v>1073</v>
      </c>
      <c r="B304" s="2">
        <v>45207</v>
      </c>
      <c r="C304" s="1" t="s">
        <v>1079</v>
      </c>
      <c r="D304">
        <v>68</v>
      </c>
      <c r="E304" s="1" t="s">
        <v>807</v>
      </c>
      <c r="F304" s="3">
        <v>0.57916666666666672</v>
      </c>
    </row>
    <row r="305" spans="1:6" x14ac:dyDescent="0.3">
      <c r="A305" s="1" t="s">
        <v>1073</v>
      </c>
      <c r="B305" s="2">
        <v>45217</v>
      </c>
      <c r="C305" s="1" t="s">
        <v>945</v>
      </c>
      <c r="D305">
        <v>100</v>
      </c>
      <c r="E305" s="1" t="s">
        <v>807</v>
      </c>
      <c r="F305" s="3">
        <v>0.81874999999999998</v>
      </c>
    </row>
    <row r="306" spans="1:6" x14ac:dyDescent="0.3">
      <c r="A306" s="1" t="s">
        <v>1073</v>
      </c>
      <c r="B306" s="2">
        <v>45221</v>
      </c>
      <c r="C306" s="1" t="s">
        <v>1080</v>
      </c>
      <c r="D306">
        <v>60</v>
      </c>
      <c r="E306" s="1" t="s">
        <v>812</v>
      </c>
      <c r="F306" s="3">
        <v>0.85763888888888884</v>
      </c>
    </row>
    <row r="307" spans="1:6" x14ac:dyDescent="0.3">
      <c r="A307" s="1" t="s">
        <v>1073</v>
      </c>
      <c r="B307" s="2">
        <v>45200</v>
      </c>
      <c r="C307" s="1" t="s">
        <v>1081</v>
      </c>
      <c r="D307">
        <v>27</v>
      </c>
      <c r="E307" s="1" t="s">
        <v>807</v>
      </c>
      <c r="F307" s="3">
        <v>0.83263888888888893</v>
      </c>
    </row>
    <row r="308" spans="1:6" x14ac:dyDescent="0.3">
      <c r="A308" s="1" t="s">
        <v>1073</v>
      </c>
      <c r="B308" s="2">
        <v>45221</v>
      </c>
      <c r="C308" s="1" t="s">
        <v>847</v>
      </c>
      <c r="D308">
        <v>21</v>
      </c>
      <c r="E308" s="1" t="s">
        <v>807</v>
      </c>
      <c r="F308" s="3">
        <v>0.92847222222222225</v>
      </c>
    </row>
    <row r="309" spans="1:6" x14ac:dyDescent="0.3">
      <c r="A309" s="1" t="s">
        <v>1073</v>
      </c>
      <c r="B309" s="2">
        <v>45200</v>
      </c>
      <c r="C309" s="1" t="s">
        <v>1082</v>
      </c>
      <c r="D309">
        <v>53</v>
      </c>
      <c r="E309" s="1" t="s">
        <v>810</v>
      </c>
      <c r="F309" s="3">
        <v>0.22013888888888888</v>
      </c>
    </row>
    <row r="310" spans="1:6" x14ac:dyDescent="0.3">
      <c r="A310" s="1" t="s">
        <v>1073</v>
      </c>
      <c r="B310" s="2">
        <v>45222</v>
      </c>
      <c r="C310" s="1" t="s">
        <v>1083</v>
      </c>
      <c r="D310">
        <v>73</v>
      </c>
      <c r="E310" s="1" t="s">
        <v>807</v>
      </c>
      <c r="F310" s="3">
        <v>0.4152777777777778</v>
      </c>
    </row>
    <row r="311" spans="1:6" x14ac:dyDescent="0.3">
      <c r="A311" s="1" t="s">
        <v>1073</v>
      </c>
      <c r="B311" s="2">
        <v>45210</v>
      </c>
      <c r="C311" s="1" t="s">
        <v>995</v>
      </c>
      <c r="D311">
        <v>95</v>
      </c>
      <c r="E311" s="1" t="s">
        <v>810</v>
      </c>
      <c r="F311" s="3">
        <v>0.45833333333333331</v>
      </c>
    </row>
    <row r="312" spans="1:6" x14ac:dyDescent="0.3">
      <c r="A312" s="1" t="s">
        <v>1073</v>
      </c>
      <c r="B312" s="2">
        <v>45205</v>
      </c>
      <c r="C312" s="1" t="s">
        <v>1084</v>
      </c>
      <c r="D312">
        <v>34</v>
      </c>
      <c r="E312" s="1" t="s">
        <v>807</v>
      </c>
      <c r="F312" s="3">
        <v>0.19166666666666668</v>
      </c>
    </row>
    <row r="313" spans="1:6" x14ac:dyDescent="0.3">
      <c r="A313" s="1" t="s">
        <v>1073</v>
      </c>
      <c r="B313" s="2">
        <v>45221</v>
      </c>
      <c r="C313" s="1" t="s">
        <v>1085</v>
      </c>
      <c r="D313">
        <v>69</v>
      </c>
      <c r="E313" s="1" t="s">
        <v>807</v>
      </c>
      <c r="F313" s="3">
        <v>0.50277777777777777</v>
      </c>
    </row>
    <row r="314" spans="1:6" x14ac:dyDescent="0.3">
      <c r="A314" s="1" t="s">
        <v>1073</v>
      </c>
      <c r="B314" s="2">
        <v>45204</v>
      </c>
      <c r="C314" s="1" t="s">
        <v>1086</v>
      </c>
      <c r="D314">
        <v>76</v>
      </c>
      <c r="E314" s="1" t="s">
        <v>810</v>
      </c>
      <c r="F314" s="3">
        <v>0.98611111111111116</v>
      </c>
    </row>
    <row r="315" spans="1:6" x14ac:dyDescent="0.3">
      <c r="A315" s="1" t="s">
        <v>1073</v>
      </c>
      <c r="B315" s="2">
        <v>45200</v>
      </c>
      <c r="C315" s="1" t="s">
        <v>822</v>
      </c>
      <c r="D315">
        <v>111</v>
      </c>
      <c r="E315" s="1" t="s">
        <v>812</v>
      </c>
      <c r="F315" s="3">
        <v>0.11597222222222223</v>
      </c>
    </row>
    <row r="316" spans="1:6" x14ac:dyDescent="0.3">
      <c r="A316" s="1" t="s">
        <v>1073</v>
      </c>
      <c r="B316" s="2">
        <v>45216</v>
      </c>
      <c r="C316" s="1" t="s">
        <v>965</v>
      </c>
      <c r="D316">
        <v>90</v>
      </c>
      <c r="E316" s="1" t="s">
        <v>812</v>
      </c>
      <c r="F316" s="3">
        <v>0.26666666666666666</v>
      </c>
    </row>
    <row r="317" spans="1:6" x14ac:dyDescent="0.3">
      <c r="A317" s="1" t="s">
        <v>1073</v>
      </c>
      <c r="B317" s="2">
        <v>45213</v>
      </c>
      <c r="C317" s="1" t="s">
        <v>1087</v>
      </c>
      <c r="D317">
        <v>108</v>
      </c>
      <c r="E317" s="1" t="s">
        <v>810</v>
      </c>
      <c r="F317" s="3">
        <v>0.59791666666666665</v>
      </c>
    </row>
    <row r="318" spans="1:6" x14ac:dyDescent="0.3">
      <c r="A318" s="1" t="s">
        <v>1073</v>
      </c>
      <c r="B318" s="2">
        <v>45205</v>
      </c>
      <c r="C318" s="1" t="s">
        <v>1088</v>
      </c>
      <c r="D318">
        <v>50</v>
      </c>
      <c r="E318" s="1" t="s">
        <v>810</v>
      </c>
      <c r="F318" s="3">
        <v>0.47152777777777777</v>
      </c>
    </row>
    <row r="319" spans="1:6" x14ac:dyDescent="0.3">
      <c r="A319" s="1" t="s">
        <v>1073</v>
      </c>
      <c r="B319" s="2">
        <v>45223</v>
      </c>
      <c r="C319" s="1" t="s">
        <v>1089</v>
      </c>
      <c r="D319">
        <v>14</v>
      </c>
      <c r="E319" s="1" t="s">
        <v>812</v>
      </c>
      <c r="F319" s="3">
        <v>0.45069444444444445</v>
      </c>
    </row>
    <row r="320" spans="1:6" x14ac:dyDescent="0.3">
      <c r="A320" s="1" t="s">
        <v>1073</v>
      </c>
      <c r="B320" s="2">
        <v>45230</v>
      </c>
      <c r="C320" s="1" t="s">
        <v>1090</v>
      </c>
      <c r="D320">
        <v>55</v>
      </c>
      <c r="E320" s="1" t="s">
        <v>810</v>
      </c>
      <c r="F320" s="3">
        <v>0.77638888888888891</v>
      </c>
    </row>
    <row r="321" spans="1:6" x14ac:dyDescent="0.3">
      <c r="A321" s="1" t="s">
        <v>1073</v>
      </c>
      <c r="B321" s="2">
        <v>45202</v>
      </c>
      <c r="C321" s="1" t="s">
        <v>1091</v>
      </c>
      <c r="D321">
        <v>115</v>
      </c>
      <c r="E321" s="1" t="s">
        <v>810</v>
      </c>
      <c r="F321" s="3">
        <v>4.791666666666667E-2</v>
      </c>
    </row>
    <row r="322" spans="1:6" x14ac:dyDescent="0.3">
      <c r="A322" s="1" t="s">
        <v>1073</v>
      </c>
      <c r="B322" s="2">
        <v>45205</v>
      </c>
      <c r="C322" s="1" t="s">
        <v>1092</v>
      </c>
      <c r="D322">
        <v>99</v>
      </c>
      <c r="E322" s="1" t="s">
        <v>810</v>
      </c>
      <c r="F322" s="3">
        <v>0.79374999999999996</v>
      </c>
    </row>
    <row r="323" spans="1:6" x14ac:dyDescent="0.3">
      <c r="A323" s="1" t="s">
        <v>1073</v>
      </c>
      <c r="B323" s="2">
        <v>45214</v>
      </c>
      <c r="C323" s="1" t="s">
        <v>1093</v>
      </c>
      <c r="D323">
        <v>60</v>
      </c>
      <c r="E323" s="1" t="s">
        <v>810</v>
      </c>
      <c r="F323" s="3">
        <v>0.89375000000000004</v>
      </c>
    </row>
    <row r="324" spans="1:6" x14ac:dyDescent="0.3">
      <c r="A324" s="1" t="s">
        <v>1073</v>
      </c>
      <c r="B324" s="2">
        <v>45215</v>
      </c>
      <c r="C324" s="1" t="s">
        <v>974</v>
      </c>
      <c r="D324">
        <v>7</v>
      </c>
      <c r="E324" s="1" t="s">
        <v>812</v>
      </c>
      <c r="F324" s="3">
        <v>0.81111111111111112</v>
      </c>
    </row>
    <row r="325" spans="1:6" x14ac:dyDescent="0.3">
      <c r="A325" s="1" t="s">
        <v>1073</v>
      </c>
      <c r="B325" s="2">
        <v>45213</v>
      </c>
      <c r="C325" s="1" t="s">
        <v>1094</v>
      </c>
      <c r="D325">
        <v>63</v>
      </c>
      <c r="E325" s="1" t="s">
        <v>810</v>
      </c>
      <c r="F325" s="3">
        <v>0.34236111111111112</v>
      </c>
    </row>
    <row r="326" spans="1:6" x14ac:dyDescent="0.3">
      <c r="A326" s="1" t="s">
        <v>1073</v>
      </c>
      <c r="B326" s="2">
        <v>45224</v>
      </c>
      <c r="C326" s="1" t="s">
        <v>962</v>
      </c>
      <c r="D326">
        <v>14</v>
      </c>
      <c r="E326" s="1" t="s">
        <v>812</v>
      </c>
      <c r="F326" s="3">
        <v>0.67152777777777772</v>
      </c>
    </row>
    <row r="327" spans="1:6" x14ac:dyDescent="0.3">
      <c r="A327" s="1" t="s">
        <v>1073</v>
      </c>
      <c r="B327" s="2">
        <v>45211</v>
      </c>
      <c r="C327" s="1" t="s">
        <v>869</v>
      </c>
      <c r="D327">
        <v>115</v>
      </c>
      <c r="E327" s="1" t="s">
        <v>807</v>
      </c>
      <c r="F327" s="3">
        <v>0.54652777777777772</v>
      </c>
    </row>
    <row r="328" spans="1:6" x14ac:dyDescent="0.3">
      <c r="A328" s="1" t="s">
        <v>1073</v>
      </c>
      <c r="B328" s="2">
        <v>45209</v>
      </c>
      <c r="C328" s="1" t="s">
        <v>834</v>
      </c>
      <c r="D328">
        <v>45</v>
      </c>
      <c r="E328" s="1" t="s">
        <v>812</v>
      </c>
      <c r="F328" s="3">
        <v>0.90486111111111112</v>
      </c>
    </row>
    <row r="329" spans="1:6" x14ac:dyDescent="0.3">
      <c r="A329" s="1" t="s">
        <v>1073</v>
      </c>
      <c r="B329" s="2">
        <v>45218</v>
      </c>
      <c r="C329" s="1" t="s">
        <v>1095</v>
      </c>
      <c r="D329">
        <v>78</v>
      </c>
      <c r="E329" s="1" t="s">
        <v>807</v>
      </c>
      <c r="F329" s="3">
        <v>0.6479166666666667</v>
      </c>
    </row>
    <row r="330" spans="1:6" x14ac:dyDescent="0.3">
      <c r="A330" s="1" t="s">
        <v>1073</v>
      </c>
      <c r="B330" s="2">
        <v>45221</v>
      </c>
      <c r="C330" s="1" t="s">
        <v>1096</v>
      </c>
      <c r="D330">
        <v>59</v>
      </c>
      <c r="E330" s="1" t="s">
        <v>812</v>
      </c>
      <c r="F330" s="3">
        <v>0.37638888888888888</v>
      </c>
    </row>
    <row r="331" spans="1:6" x14ac:dyDescent="0.3">
      <c r="A331" s="1" t="s">
        <v>1073</v>
      </c>
      <c r="B331" s="2">
        <v>45207</v>
      </c>
      <c r="C331" s="1" t="s">
        <v>1097</v>
      </c>
      <c r="D331">
        <v>78</v>
      </c>
      <c r="E331" s="1" t="s">
        <v>812</v>
      </c>
      <c r="F331" s="3">
        <v>0.52638888888888891</v>
      </c>
    </row>
    <row r="332" spans="1:6" x14ac:dyDescent="0.3">
      <c r="A332" s="1" t="s">
        <v>1098</v>
      </c>
      <c r="B332" s="2">
        <v>45201</v>
      </c>
      <c r="C332" s="1" t="s">
        <v>1099</v>
      </c>
      <c r="D332">
        <v>103</v>
      </c>
      <c r="E332" s="1" t="s">
        <v>807</v>
      </c>
      <c r="F332" s="3">
        <v>5.7638888888888892E-2</v>
      </c>
    </row>
    <row r="333" spans="1:6" x14ac:dyDescent="0.3">
      <c r="A333" s="1" t="s">
        <v>1098</v>
      </c>
      <c r="B333" s="2">
        <v>45226</v>
      </c>
      <c r="C333" s="1" t="s">
        <v>1100</v>
      </c>
      <c r="D333">
        <v>74</v>
      </c>
      <c r="E333" s="1" t="s">
        <v>812</v>
      </c>
      <c r="F333" s="3">
        <v>0.37777777777777777</v>
      </c>
    </row>
    <row r="334" spans="1:6" x14ac:dyDescent="0.3">
      <c r="A334" s="1" t="s">
        <v>1098</v>
      </c>
      <c r="B334" s="2">
        <v>45220</v>
      </c>
      <c r="C334" s="1" t="s">
        <v>1101</v>
      </c>
      <c r="D334">
        <v>111</v>
      </c>
      <c r="E334" s="1" t="s">
        <v>812</v>
      </c>
      <c r="F334" s="3">
        <v>0.11041666666666666</v>
      </c>
    </row>
    <row r="335" spans="1:6" x14ac:dyDescent="0.3">
      <c r="A335" s="1" t="s">
        <v>1098</v>
      </c>
      <c r="B335" s="2">
        <v>45219</v>
      </c>
      <c r="C335" s="1" t="s">
        <v>1102</v>
      </c>
      <c r="D335">
        <v>99</v>
      </c>
      <c r="E335" s="1" t="s">
        <v>810</v>
      </c>
      <c r="F335" s="3">
        <v>0.68333333333333335</v>
      </c>
    </row>
    <row r="336" spans="1:6" x14ac:dyDescent="0.3">
      <c r="A336" s="1" t="s">
        <v>1098</v>
      </c>
      <c r="B336" s="2">
        <v>45214</v>
      </c>
      <c r="C336" s="1" t="s">
        <v>885</v>
      </c>
      <c r="D336">
        <v>118</v>
      </c>
      <c r="E336" s="1" t="s">
        <v>807</v>
      </c>
      <c r="F336" s="3">
        <v>0.77430555555555558</v>
      </c>
    </row>
    <row r="337" spans="1:6" x14ac:dyDescent="0.3">
      <c r="A337" s="1" t="s">
        <v>1098</v>
      </c>
      <c r="B337" s="2">
        <v>45230</v>
      </c>
      <c r="C337" s="1" t="s">
        <v>1103</v>
      </c>
      <c r="D337">
        <v>72</v>
      </c>
      <c r="E337" s="1" t="s">
        <v>812</v>
      </c>
      <c r="F337" s="3">
        <v>0.99791666666666667</v>
      </c>
    </row>
    <row r="338" spans="1:6" x14ac:dyDescent="0.3">
      <c r="A338" s="1" t="s">
        <v>1098</v>
      </c>
      <c r="B338" s="2">
        <v>45201</v>
      </c>
      <c r="C338" s="1" t="s">
        <v>1104</v>
      </c>
      <c r="D338">
        <v>9</v>
      </c>
      <c r="E338" s="1" t="s">
        <v>807</v>
      </c>
      <c r="F338" s="3">
        <v>0.62361111111111112</v>
      </c>
    </row>
    <row r="339" spans="1:6" x14ac:dyDescent="0.3">
      <c r="A339" s="1" t="s">
        <v>1098</v>
      </c>
      <c r="B339" s="2">
        <v>45225</v>
      </c>
      <c r="C339" s="1" t="s">
        <v>1105</v>
      </c>
      <c r="D339">
        <v>89</v>
      </c>
      <c r="E339" s="1" t="s">
        <v>807</v>
      </c>
      <c r="F339" s="3">
        <v>0.77847222222222223</v>
      </c>
    </row>
    <row r="340" spans="1:6" x14ac:dyDescent="0.3">
      <c r="A340" s="1" t="s">
        <v>1098</v>
      </c>
      <c r="B340" s="2">
        <v>45206</v>
      </c>
      <c r="C340" s="1" t="s">
        <v>1106</v>
      </c>
      <c r="D340">
        <v>48</v>
      </c>
      <c r="E340" s="1" t="s">
        <v>812</v>
      </c>
      <c r="F340" s="3">
        <v>0.44305555555555554</v>
      </c>
    </row>
    <row r="341" spans="1:6" x14ac:dyDescent="0.3">
      <c r="A341" s="1" t="s">
        <v>1098</v>
      </c>
      <c r="B341" s="2">
        <v>45215</v>
      </c>
      <c r="C341" s="1" t="s">
        <v>853</v>
      </c>
      <c r="D341">
        <v>117</v>
      </c>
      <c r="E341" s="1" t="s">
        <v>812</v>
      </c>
      <c r="F341" s="3">
        <v>0.67291666666666672</v>
      </c>
    </row>
    <row r="342" spans="1:6" x14ac:dyDescent="0.3">
      <c r="A342" s="1" t="s">
        <v>1098</v>
      </c>
      <c r="B342" s="2">
        <v>45230</v>
      </c>
      <c r="C342" s="1" t="s">
        <v>1107</v>
      </c>
      <c r="D342">
        <v>103</v>
      </c>
      <c r="E342" s="1" t="s">
        <v>807</v>
      </c>
      <c r="F342" s="3">
        <v>6.1111111111111109E-2</v>
      </c>
    </row>
    <row r="343" spans="1:6" x14ac:dyDescent="0.3">
      <c r="A343" s="1" t="s">
        <v>1098</v>
      </c>
      <c r="B343" s="2">
        <v>45203</v>
      </c>
      <c r="C343" s="1" t="s">
        <v>1026</v>
      </c>
      <c r="D343">
        <v>84</v>
      </c>
      <c r="E343" s="1" t="s">
        <v>812</v>
      </c>
      <c r="F343" s="3">
        <v>0.44791666666666669</v>
      </c>
    </row>
    <row r="344" spans="1:6" x14ac:dyDescent="0.3">
      <c r="A344" s="1" t="s">
        <v>1098</v>
      </c>
      <c r="B344" s="2">
        <v>45202</v>
      </c>
      <c r="C344" s="1" t="s">
        <v>1108</v>
      </c>
      <c r="D344">
        <v>21</v>
      </c>
      <c r="E344" s="1" t="s">
        <v>807</v>
      </c>
      <c r="F344" s="3">
        <v>0.69513888888888886</v>
      </c>
    </row>
    <row r="345" spans="1:6" x14ac:dyDescent="0.3">
      <c r="A345" s="1" t="s">
        <v>1098</v>
      </c>
      <c r="B345" s="2">
        <v>45205</v>
      </c>
      <c r="C345" s="1" t="s">
        <v>1109</v>
      </c>
      <c r="D345">
        <v>81</v>
      </c>
      <c r="E345" s="1" t="s">
        <v>812</v>
      </c>
      <c r="F345" s="3">
        <v>5.2083333333333336E-2</v>
      </c>
    </row>
    <row r="346" spans="1:6" x14ac:dyDescent="0.3">
      <c r="A346" s="1" t="s">
        <v>1098</v>
      </c>
      <c r="B346" s="2">
        <v>45222</v>
      </c>
      <c r="C346" s="1" t="s">
        <v>1110</v>
      </c>
      <c r="D346">
        <v>53</v>
      </c>
      <c r="E346" s="1" t="s">
        <v>810</v>
      </c>
      <c r="F346" s="3">
        <v>0.60277777777777775</v>
      </c>
    </row>
    <row r="347" spans="1:6" x14ac:dyDescent="0.3">
      <c r="A347" s="1" t="s">
        <v>1098</v>
      </c>
      <c r="B347" s="2">
        <v>45216</v>
      </c>
      <c r="C347" s="1" t="s">
        <v>926</v>
      </c>
      <c r="D347">
        <v>24</v>
      </c>
      <c r="E347" s="1" t="s">
        <v>812</v>
      </c>
      <c r="F347" s="3">
        <v>0.69374999999999998</v>
      </c>
    </row>
    <row r="348" spans="1:6" x14ac:dyDescent="0.3">
      <c r="A348" s="1" t="s">
        <v>1098</v>
      </c>
      <c r="B348" s="2">
        <v>45205</v>
      </c>
      <c r="C348" s="1" t="s">
        <v>1111</v>
      </c>
      <c r="D348">
        <v>25</v>
      </c>
      <c r="E348" s="1" t="s">
        <v>807</v>
      </c>
      <c r="F348" s="3">
        <v>0.47430555555555554</v>
      </c>
    </row>
    <row r="349" spans="1:6" x14ac:dyDescent="0.3">
      <c r="A349" s="1" t="s">
        <v>1098</v>
      </c>
      <c r="B349" s="2">
        <v>45229</v>
      </c>
      <c r="C349" s="1" t="s">
        <v>1112</v>
      </c>
      <c r="D349">
        <v>28</v>
      </c>
      <c r="E349" s="1" t="s">
        <v>812</v>
      </c>
      <c r="F349" s="3">
        <v>0.39166666666666666</v>
      </c>
    </row>
    <row r="350" spans="1:6" x14ac:dyDescent="0.3">
      <c r="A350" s="1" t="s">
        <v>1098</v>
      </c>
      <c r="B350" s="2">
        <v>45213</v>
      </c>
      <c r="C350" s="1" t="s">
        <v>1113</v>
      </c>
      <c r="D350">
        <v>111</v>
      </c>
      <c r="E350" s="1" t="s">
        <v>807</v>
      </c>
      <c r="F350" s="3">
        <v>0.4465277777777778</v>
      </c>
    </row>
    <row r="351" spans="1:6" x14ac:dyDescent="0.3">
      <c r="A351" s="1" t="s">
        <v>1098</v>
      </c>
      <c r="B351" s="2">
        <v>45219</v>
      </c>
      <c r="C351" s="1" t="s">
        <v>1114</v>
      </c>
      <c r="D351">
        <v>93</v>
      </c>
      <c r="E351" s="1" t="s">
        <v>812</v>
      </c>
      <c r="F351" s="3">
        <v>7.6388888888888895E-2</v>
      </c>
    </row>
    <row r="352" spans="1:6" x14ac:dyDescent="0.3">
      <c r="A352" s="1" t="s">
        <v>1098</v>
      </c>
      <c r="B352" s="2">
        <v>45220</v>
      </c>
      <c r="C352" s="1" t="s">
        <v>1077</v>
      </c>
      <c r="D352">
        <v>103</v>
      </c>
      <c r="E352" s="1" t="s">
        <v>807</v>
      </c>
      <c r="F352" s="3">
        <v>0.84791666666666665</v>
      </c>
    </row>
    <row r="353" spans="1:6" x14ac:dyDescent="0.3">
      <c r="A353" s="1" t="s">
        <v>1098</v>
      </c>
      <c r="B353" s="2">
        <v>45202</v>
      </c>
      <c r="C353" s="1" t="s">
        <v>832</v>
      </c>
      <c r="D353">
        <v>84</v>
      </c>
      <c r="E353" s="1" t="s">
        <v>807</v>
      </c>
      <c r="F353" s="3">
        <v>0.42083333333333334</v>
      </c>
    </row>
    <row r="354" spans="1:6" x14ac:dyDescent="0.3">
      <c r="A354" s="1" t="s">
        <v>1098</v>
      </c>
      <c r="B354" s="2">
        <v>45217</v>
      </c>
      <c r="C354" s="1" t="s">
        <v>1115</v>
      </c>
      <c r="D354">
        <v>108</v>
      </c>
      <c r="E354" s="1" t="s">
        <v>812</v>
      </c>
      <c r="F354" s="3">
        <v>0.89166666666666672</v>
      </c>
    </row>
    <row r="355" spans="1:6" x14ac:dyDescent="0.3">
      <c r="A355" s="1" t="s">
        <v>1098</v>
      </c>
      <c r="B355" s="2">
        <v>45209</v>
      </c>
      <c r="C355" s="1" t="s">
        <v>1116</v>
      </c>
      <c r="D355">
        <v>120</v>
      </c>
      <c r="E355" s="1" t="s">
        <v>807</v>
      </c>
      <c r="F355" s="3">
        <v>0.36527777777777776</v>
      </c>
    </row>
    <row r="356" spans="1:6" x14ac:dyDescent="0.3">
      <c r="A356" s="1" t="s">
        <v>1098</v>
      </c>
      <c r="B356" s="2">
        <v>45227</v>
      </c>
      <c r="C356" s="1" t="s">
        <v>1079</v>
      </c>
      <c r="D356">
        <v>26</v>
      </c>
      <c r="E356" s="1" t="s">
        <v>810</v>
      </c>
      <c r="F356" s="3">
        <v>0.91527777777777775</v>
      </c>
    </row>
    <row r="357" spans="1:6" x14ac:dyDescent="0.3">
      <c r="A357" s="1" t="s">
        <v>1098</v>
      </c>
      <c r="B357" s="2">
        <v>45219</v>
      </c>
      <c r="C357" s="1" t="s">
        <v>1070</v>
      </c>
      <c r="D357">
        <v>97</v>
      </c>
      <c r="E357" s="1" t="s">
        <v>810</v>
      </c>
      <c r="F357" s="3">
        <v>0.18124999999999999</v>
      </c>
    </row>
    <row r="358" spans="1:6" x14ac:dyDescent="0.3">
      <c r="A358" s="1" t="s">
        <v>1098</v>
      </c>
      <c r="B358" s="2">
        <v>45202</v>
      </c>
      <c r="C358" s="1" t="s">
        <v>1117</v>
      </c>
      <c r="D358">
        <v>61</v>
      </c>
      <c r="E358" s="1" t="s">
        <v>812</v>
      </c>
      <c r="F358" s="3">
        <v>0.77916666666666667</v>
      </c>
    </row>
    <row r="359" spans="1:6" x14ac:dyDescent="0.3">
      <c r="A359" s="1" t="s">
        <v>1098</v>
      </c>
      <c r="B359" s="2">
        <v>45204</v>
      </c>
      <c r="C359" s="1" t="s">
        <v>1118</v>
      </c>
      <c r="D359">
        <v>10</v>
      </c>
      <c r="E359" s="1" t="s">
        <v>807</v>
      </c>
      <c r="F359" s="3">
        <v>0.47152777777777777</v>
      </c>
    </row>
    <row r="360" spans="1:6" x14ac:dyDescent="0.3">
      <c r="A360" s="1" t="s">
        <v>1098</v>
      </c>
      <c r="B360" s="2">
        <v>45230</v>
      </c>
      <c r="C360" s="1" t="s">
        <v>1119</v>
      </c>
      <c r="D360">
        <v>57</v>
      </c>
      <c r="E360" s="1" t="s">
        <v>807</v>
      </c>
      <c r="F360" s="3">
        <v>0.86388888888888893</v>
      </c>
    </row>
    <row r="361" spans="1:6" x14ac:dyDescent="0.3">
      <c r="A361" s="1" t="s">
        <v>1098</v>
      </c>
      <c r="B361" s="2">
        <v>45221</v>
      </c>
      <c r="C361" s="1" t="s">
        <v>1120</v>
      </c>
      <c r="D361">
        <v>51</v>
      </c>
      <c r="E361" s="1" t="s">
        <v>807</v>
      </c>
      <c r="F361" s="3">
        <v>0.50555555555555554</v>
      </c>
    </row>
    <row r="362" spans="1:6" x14ac:dyDescent="0.3">
      <c r="A362" s="1" t="s">
        <v>1098</v>
      </c>
      <c r="B362" s="2">
        <v>45219</v>
      </c>
      <c r="C362" s="1" t="s">
        <v>1121</v>
      </c>
      <c r="D362">
        <v>91</v>
      </c>
      <c r="E362" s="1" t="s">
        <v>812</v>
      </c>
      <c r="F362" s="3">
        <v>0.92013888888888884</v>
      </c>
    </row>
    <row r="363" spans="1:6" x14ac:dyDescent="0.3">
      <c r="A363" s="1" t="s">
        <v>1098</v>
      </c>
      <c r="B363" s="2">
        <v>45209</v>
      </c>
      <c r="C363" s="1" t="s">
        <v>1122</v>
      </c>
      <c r="D363">
        <v>97</v>
      </c>
      <c r="E363" s="1" t="s">
        <v>812</v>
      </c>
      <c r="F363" s="3">
        <v>0.72499999999999998</v>
      </c>
    </row>
    <row r="364" spans="1:6" x14ac:dyDescent="0.3">
      <c r="A364" s="1" t="s">
        <v>1098</v>
      </c>
      <c r="B364" s="2">
        <v>45220</v>
      </c>
      <c r="C364" s="1" t="s">
        <v>1123</v>
      </c>
      <c r="D364">
        <v>35</v>
      </c>
      <c r="E364" s="1" t="s">
        <v>810</v>
      </c>
      <c r="F364" s="3">
        <v>0.45277777777777778</v>
      </c>
    </row>
    <row r="365" spans="1:6" x14ac:dyDescent="0.3">
      <c r="A365" s="1" t="s">
        <v>1098</v>
      </c>
      <c r="B365" s="2">
        <v>45204</v>
      </c>
      <c r="C365" s="1" t="s">
        <v>1124</v>
      </c>
      <c r="D365">
        <v>61</v>
      </c>
      <c r="E365" s="1" t="s">
        <v>807</v>
      </c>
      <c r="F365" s="3">
        <v>0.90555555555555556</v>
      </c>
    </row>
    <row r="366" spans="1:6" x14ac:dyDescent="0.3">
      <c r="A366" s="1" t="s">
        <v>1098</v>
      </c>
      <c r="B366" s="2">
        <v>45226</v>
      </c>
      <c r="C366" s="1" t="s">
        <v>1125</v>
      </c>
      <c r="D366">
        <v>83</v>
      </c>
      <c r="E366" s="1" t="s">
        <v>810</v>
      </c>
      <c r="F366" s="3">
        <v>0.98819444444444449</v>
      </c>
    </row>
    <row r="367" spans="1:6" x14ac:dyDescent="0.3">
      <c r="A367" s="1" t="s">
        <v>1098</v>
      </c>
      <c r="B367" s="2">
        <v>45229</v>
      </c>
      <c r="C367" s="1" t="s">
        <v>1126</v>
      </c>
      <c r="D367">
        <v>41</v>
      </c>
      <c r="E367" s="1" t="s">
        <v>812</v>
      </c>
      <c r="F367" s="3">
        <v>0.67013888888888884</v>
      </c>
    </row>
    <row r="368" spans="1:6" x14ac:dyDescent="0.3">
      <c r="A368" s="1" t="s">
        <v>1098</v>
      </c>
      <c r="B368" s="2">
        <v>45220</v>
      </c>
      <c r="C368" s="1" t="s">
        <v>1127</v>
      </c>
      <c r="D368">
        <v>101</v>
      </c>
      <c r="E368" s="1" t="s">
        <v>812</v>
      </c>
      <c r="F368" s="3">
        <v>0.89375000000000004</v>
      </c>
    </row>
    <row r="369" spans="1:6" x14ac:dyDescent="0.3">
      <c r="A369" s="1" t="s">
        <v>1098</v>
      </c>
      <c r="B369" s="2">
        <v>45216</v>
      </c>
      <c r="C369" s="1" t="s">
        <v>955</v>
      </c>
      <c r="D369">
        <v>100</v>
      </c>
      <c r="E369" s="1" t="s">
        <v>810</v>
      </c>
      <c r="F369" s="3">
        <v>0.45902777777777776</v>
      </c>
    </row>
    <row r="370" spans="1:6" x14ac:dyDescent="0.3">
      <c r="A370" s="1" t="s">
        <v>1098</v>
      </c>
      <c r="B370" s="2">
        <v>45211</v>
      </c>
      <c r="C370" s="1" t="s">
        <v>862</v>
      </c>
      <c r="D370">
        <v>105</v>
      </c>
      <c r="E370" s="1" t="s">
        <v>807</v>
      </c>
      <c r="F370" s="3">
        <v>0.38263888888888886</v>
      </c>
    </row>
    <row r="371" spans="1:6" x14ac:dyDescent="0.3">
      <c r="A371" s="1" t="s">
        <v>1098</v>
      </c>
      <c r="B371" s="2">
        <v>45230</v>
      </c>
      <c r="C371" s="1" t="s">
        <v>1128</v>
      </c>
      <c r="D371">
        <v>62</v>
      </c>
      <c r="E371" s="1" t="s">
        <v>807</v>
      </c>
      <c r="F371" s="3">
        <v>0.26458333333333334</v>
      </c>
    </row>
    <row r="372" spans="1:6" x14ac:dyDescent="0.3">
      <c r="A372" s="1" t="s">
        <v>1098</v>
      </c>
      <c r="B372" s="2">
        <v>45230</v>
      </c>
      <c r="C372" s="1" t="s">
        <v>1129</v>
      </c>
      <c r="D372">
        <v>34</v>
      </c>
      <c r="E372" s="1" t="s">
        <v>807</v>
      </c>
      <c r="F372" s="3">
        <v>0.6333333333333333</v>
      </c>
    </row>
    <row r="373" spans="1:6" x14ac:dyDescent="0.3">
      <c r="A373" s="1" t="s">
        <v>1098</v>
      </c>
      <c r="B373" s="2">
        <v>45207</v>
      </c>
      <c r="C373" s="1" t="s">
        <v>1130</v>
      </c>
      <c r="D373">
        <v>73</v>
      </c>
      <c r="E373" s="1" t="s">
        <v>812</v>
      </c>
      <c r="F373" s="3">
        <v>0.17291666666666666</v>
      </c>
    </row>
    <row r="374" spans="1:6" x14ac:dyDescent="0.3">
      <c r="A374" s="1" t="s">
        <v>1098</v>
      </c>
      <c r="B374" s="2">
        <v>45202</v>
      </c>
      <c r="C374" s="1" t="s">
        <v>1131</v>
      </c>
      <c r="D374">
        <v>35</v>
      </c>
      <c r="E374" s="1" t="s">
        <v>807</v>
      </c>
      <c r="F374" s="3">
        <v>0.41249999999999998</v>
      </c>
    </row>
    <row r="375" spans="1:6" x14ac:dyDescent="0.3">
      <c r="A375" s="1" t="s">
        <v>1098</v>
      </c>
      <c r="B375" s="2">
        <v>45225</v>
      </c>
      <c r="C375" s="1" t="s">
        <v>1132</v>
      </c>
      <c r="D375">
        <v>44</v>
      </c>
      <c r="E375" s="1" t="s">
        <v>807</v>
      </c>
      <c r="F375" s="3">
        <v>0.14722222222222223</v>
      </c>
    </row>
    <row r="376" spans="1:6" x14ac:dyDescent="0.3">
      <c r="A376" s="1" t="s">
        <v>1133</v>
      </c>
      <c r="B376" s="2">
        <v>45207</v>
      </c>
      <c r="C376" s="1" t="s">
        <v>1056</v>
      </c>
      <c r="D376">
        <v>118</v>
      </c>
      <c r="E376" s="1" t="s">
        <v>812</v>
      </c>
      <c r="F376" s="3">
        <v>0.37986111111111109</v>
      </c>
    </row>
    <row r="377" spans="1:6" x14ac:dyDescent="0.3">
      <c r="A377" s="1" t="s">
        <v>1133</v>
      </c>
      <c r="B377" s="2">
        <v>45201</v>
      </c>
      <c r="C377" s="1" t="s">
        <v>1134</v>
      </c>
      <c r="D377">
        <v>56</v>
      </c>
      <c r="E377" s="1" t="s">
        <v>812</v>
      </c>
      <c r="F377" s="3">
        <v>0.30972222222222223</v>
      </c>
    </row>
    <row r="378" spans="1:6" x14ac:dyDescent="0.3">
      <c r="A378" s="1" t="s">
        <v>1133</v>
      </c>
      <c r="B378" s="2">
        <v>45220</v>
      </c>
      <c r="C378" s="1" t="s">
        <v>1135</v>
      </c>
      <c r="D378">
        <v>100</v>
      </c>
      <c r="E378" s="1" t="s">
        <v>812</v>
      </c>
      <c r="F378" s="3">
        <v>0.81180555555555556</v>
      </c>
    </row>
    <row r="379" spans="1:6" x14ac:dyDescent="0.3">
      <c r="A379" s="1" t="s">
        <v>1133</v>
      </c>
      <c r="B379" s="2">
        <v>45202</v>
      </c>
      <c r="C379" s="1" t="s">
        <v>1136</v>
      </c>
      <c r="D379">
        <v>61</v>
      </c>
      <c r="E379" s="1" t="s">
        <v>810</v>
      </c>
      <c r="F379" s="3">
        <v>0.16180555555555556</v>
      </c>
    </row>
    <row r="380" spans="1:6" x14ac:dyDescent="0.3">
      <c r="A380" s="1" t="s">
        <v>1133</v>
      </c>
      <c r="B380" s="2">
        <v>45228</v>
      </c>
      <c r="C380" s="1" t="s">
        <v>1137</v>
      </c>
      <c r="D380">
        <v>119</v>
      </c>
      <c r="E380" s="1" t="s">
        <v>807</v>
      </c>
      <c r="F380" s="3">
        <v>0.65138888888888891</v>
      </c>
    </row>
    <row r="381" spans="1:6" x14ac:dyDescent="0.3">
      <c r="A381" s="1" t="s">
        <v>1133</v>
      </c>
      <c r="B381" s="2">
        <v>45216</v>
      </c>
      <c r="C381" s="1" t="s">
        <v>1138</v>
      </c>
      <c r="D381">
        <v>48</v>
      </c>
      <c r="E381" s="1" t="s">
        <v>807</v>
      </c>
      <c r="F381" s="3">
        <v>0.76041666666666663</v>
      </c>
    </row>
    <row r="382" spans="1:6" x14ac:dyDescent="0.3">
      <c r="A382" s="1" t="s">
        <v>1133</v>
      </c>
      <c r="B382" s="2">
        <v>45222</v>
      </c>
      <c r="C382" s="1" t="s">
        <v>1139</v>
      </c>
      <c r="D382">
        <v>28</v>
      </c>
      <c r="E382" s="1" t="s">
        <v>810</v>
      </c>
      <c r="F382" s="3">
        <v>0.17916666666666667</v>
      </c>
    </row>
    <row r="383" spans="1:6" x14ac:dyDescent="0.3">
      <c r="A383" s="1" t="s">
        <v>1133</v>
      </c>
      <c r="B383" s="2">
        <v>45211</v>
      </c>
      <c r="C383" s="1" t="s">
        <v>1141</v>
      </c>
      <c r="D383">
        <v>93</v>
      </c>
      <c r="E383" s="1" t="s">
        <v>812</v>
      </c>
      <c r="F383" s="3">
        <v>0.31666666666666665</v>
      </c>
    </row>
    <row r="384" spans="1:6" x14ac:dyDescent="0.3">
      <c r="A384" s="1" t="s">
        <v>1133</v>
      </c>
      <c r="B384" s="2">
        <v>45213</v>
      </c>
      <c r="C384" s="1" t="s">
        <v>931</v>
      </c>
      <c r="D384">
        <v>68</v>
      </c>
      <c r="E384" s="1" t="s">
        <v>812</v>
      </c>
      <c r="F384" s="3">
        <v>0.23749999999999999</v>
      </c>
    </row>
    <row r="385" spans="1:6" x14ac:dyDescent="0.3">
      <c r="A385" s="1" t="s">
        <v>1133</v>
      </c>
      <c r="B385" s="2">
        <v>45221</v>
      </c>
      <c r="C385" s="1" t="s">
        <v>827</v>
      </c>
      <c r="D385">
        <v>52</v>
      </c>
      <c r="E385" s="1" t="s">
        <v>812</v>
      </c>
      <c r="F385" s="3">
        <v>0.10625</v>
      </c>
    </row>
    <row r="386" spans="1:6" x14ac:dyDescent="0.3">
      <c r="A386" s="1" t="s">
        <v>1133</v>
      </c>
      <c r="B386" s="2">
        <v>45211</v>
      </c>
      <c r="C386" s="1" t="s">
        <v>1142</v>
      </c>
      <c r="D386">
        <v>107</v>
      </c>
      <c r="E386" s="1" t="s">
        <v>807</v>
      </c>
      <c r="F386" s="3">
        <v>0.10625</v>
      </c>
    </row>
    <row r="387" spans="1:6" x14ac:dyDescent="0.3">
      <c r="A387" s="1" t="s">
        <v>1133</v>
      </c>
      <c r="B387" s="2">
        <v>45217</v>
      </c>
      <c r="C387" s="1" t="s">
        <v>945</v>
      </c>
      <c r="D387">
        <v>71</v>
      </c>
      <c r="E387" s="1" t="s">
        <v>810</v>
      </c>
      <c r="F387" s="3">
        <v>0.70138888888888884</v>
      </c>
    </row>
    <row r="388" spans="1:6" x14ac:dyDescent="0.3">
      <c r="A388" s="1" t="s">
        <v>1133</v>
      </c>
      <c r="B388" s="2">
        <v>45216</v>
      </c>
      <c r="C388" s="1" t="s">
        <v>1143</v>
      </c>
      <c r="D388">
        <v>39</v>
      </c>
      <c r="E388" s="1" t="s">
        <v>807</v>
      </c>
      <c r="F388" s="3">
        <v>0.70902777777777781</v>
      </c>
    </row>
    <row r="389" spans="1:6" x14ac:dyDescent="0.3">
      <c r="A389" s="1" t="s">
        <v>1133</v>
      </c>
      <c r="B389" s="2">
        <v>45212</v>
      </c>
      <c r="C389" s="1" t="s">
        <v>1144</v>
      </c>
      <c r="D389">
        <v>107</v>
      </c>
      <c r="E389" s="1" t="s">
        <v>810</v>
      </c>
      <c r="F389" s="3">
        <v>0.62638888888888888</v>
      </c>
    </row>
    <row r="390" spans="1:6" x14ac:dyDescent="0.3">
      <c r="A390" s="1" t="s">
        <v>1133</v>
      </c>
      <c r="B390" s="2">
        <v>45220</v>
      </c>
      <c r="C390" s="1" t="s">
        <v>1145</v>
      </c>
      <c r="D390">
        <v>15</v>
      </c>
      <c r="E390" s="1" t="s">
        <v>812</v>
      </c>
      <c r="F390" s="3">
        <v>0.51597222222222228</v>
      </c>
    </row>
    <row r="391" spans="1:6" x14ac:dyDescent="0.3">
      <c r="A391" s="1" t="s">
        <v>1133</v>
      </c>
      <c r="B391" s="2">
        <v>45208</v>
      </c>
      <c r="C391" s="1" t="s">
        <v>872</v>
      </c>
      <c r="D391">
        <v>98</v>
      </c>
      <c r="E391" s="1" t="s">
        <v>812</v>
      </c>
      <c r="F391" s="3">
        <v>0.95902777777777781</v>
      </c>
    </row>
    <row r="392" spans="1:6" x14ac:dyDescent="0.3">
      <c r="A392" s="1" t="s">
        <v>1133</v>
      </c>
      <c r="B392" s="2">
        <v>45211</v>
      </c>
      <c r="C392" s="1" t="s">
        <v>1146</v>
      </c>
      <c r="D392">
        <v>59</v>
      </c>
      <c r="E392" s="1" t="s">
        <v>812</v>
      </c>
      <c r="F392" s="3">
        <v>9.8611111111111108E-2</v>
      </c>
    </row>
    <row r="393" spans="1:6" x14ac:dyDescent="0.3">
      <c r="A393" s="1" t="s">
        <v>1133</v>
      </c>
      <c r="B393" s="2">
        <v>45207</v>
      </c>
      <c r="C393" s="1" t="s">
        <v>1147</v>
      </c>
      <c r="D393">
        <v>15</v>
      </c>
      <c r="E393" s="1" t="s">
        <v>810</v>
      </c>
      <c r="F393" s="3">
        <v>0.98750000000000004</v>
      </c>
    </row>
    <row r="394" spans="1:6" x14ac:dyDescent="0.3">
      <c r="A394" s="1" t="s">
        <v>1133</v>
      </c>
      <c r="B394" s="2">
        <v>45220</v>
      </c>
      <c r="C394" s="1" t="s">
        <v>1148</v>
      </c>
      <c r="D394">
        <v>60</v>
      </c>
      <c r="E394" s="1" t="s">
        <v>812</v>
      </c>
      <c r="F394" s="3">
        <v>0.15902777777777777</v>
      </c>
    </row>
    <row r="395" spans="1:6" x14ac:dyDescent="0.3">
      <c r="A395" s="1" t="s">
        <v>1133</v>
      </c>
      <c r="B395" s="2">
        <v>45218</v>
      </c>
      <c r="C395" s="1" t="s">
        <v>1079</v>
      </c>
      <c r="D395">
        <v>82</v>
      </c>
      <c r="E395" s="1" t="s">
        <v>807</v>
      </c>
      <c r="F395" s="3">
        <v>0.9916666666666667</v>
      </c>
    </row>
    <row r="396" spans="1:6" x14ac:dyDescent="0.3">
      <c r="A396" s="1" t="s">
        <v>1133</v>
      </c>
      <c r="B396" s="2">
        <v>45210</v>
      </c>
      <c r="C396" s="1" t="s">
        <v>1149</v>
      </c>
      <c r="D396">
        <v>110</v>
      </c>
      <c r="E396" s="1" t="s">
        <v>807</v>
      </c>
      <c r="F396" s="3">
        <v>0.16805555555555557</v>
      </c>
    </row>
    <row r="397" spans="1:6" x14ac:dyDescent="0.3">
      <c r="A397" s="1" t="s">
        <v>1133</v>
      </c>
      <c r="B397" s="2">
        <v>45211</v>
      </c>
      <c r="C397" s="1" t="s">
        <v>1150</v>
      </c>
      <c r="D397">
        <v>28</v>
      </c>
      <c r="E397" s="1" t="s">
        <v>807</v>
      </c>
      <c r="F397" s="3">
        <v>0.72291666666666665</v>
      </c>
    </row>
    <row r="398" spans="1:6" x14ac:dyDescent="0.3">
      <c r="A398" s="1" t="s">
        <v>1133</v>
      </c>
      <c r="B398" s="2">
        <v>45226</v>
      </c>
      <c r="C398" s="1" t="s">
        <v>1151</v>
      </c>
      <c r="D398">
        <v>74</v>
      </c>
      <c r="E398" s="1" t="s">
        <v>810</v>
      </c>
      <c r="F398" s="3">
        <v>0.84097222222222223</v>
      </c>
    </row>
    <row r="399" spans="1:6" x14ac:dyDescent="0.3">
      <c r="A399" s="1" t="s">
        <v>1133</v>
      </c>
      <c r="B399" s="2">
        <v>45226</v>
      </c>
      <c r="C399" s="1" t="s">
        <v>1152</v>
      </c>
      <c r="D399">
        <v>42</v>
      </c>
      <c r="E399" s="1" t="s">
        <v>807</v>
      </c>
      <c r="F399" s="3">
        <v>0.89513888888888893</v>
      </c>
    </row>
    <row r="400" spans="1:6" x14ac:dyDescent="0.3">
      <c r="A400" s="1" t="s">
        <v>1133</v>
      </c>
      <c r="B400" s="2">
        <v>45222</v>
      </c>
      <c r="C400" s="1" t="s">
        <v>1153</v>
      </c>
      <c r="D400">
        <v>46</v>
      </c>
      <c r="E400" s="1" t="s">
        <v>812</v>
      </c>
      <c r="F400" s="3">
        <v>0.65277777777777779</v>
      </c>
    </row>
    <row r="401" spans="1:6" x14ac:dyDescent="0.3">
      <c r="A401" s="1" t="s">
        <v>1133</v>
      </c>
      <c r="B401" s="2">
        <v>45205</v>
      </c>
      <c r="C401" s="1" t="s">
        <v>1154</v>
      </c>
      <c r="D401">
        <v>18</v>
      </c>
      <c r="E401" s="1" t="s">
        <v>810</v>
      </c>
      <c r="F401" s="3">
        <v>0.16944444444444445</v>
      </c>
    </row>
    <row r="402" spans="1:6" x14ac:dyDescent="0.3">
      <c r="A402" s="1" t="s">
        <v>1133</v>
      </c>
      <c r="B402" s="2">
        <v>45222</v>
      </c>
      <c r="C402" s="1" t="s">
        <v>1155</v>
      </c>
      <c r="D402">
        <v>15</v>
      </c>
      <c r="E402" s="1" t="s">
        <v>812</v>
      </c>
      <c r="F402" s="3">
        <v>0.58472222222222225</v>
      </c>
    </row>
    <row r="403" spans="1:6" x14ac:dyDescent="0.3">
      <c r="A403" s="1" t="s">
        <v>1133</v>
      </c>
      <c r="B403" s="2">
        <v>45209</v>
      </c>
      <c r="C403" s="1" t="s">
        <v>1061</v>
      </c>
      <c r="D403">
        <v>46</v>
      </c>
      <c r="E403" s="1" t="s">
        <v>810</v>
      </c>
      <c r="F403" s="3">
        <v>0.25138888888888888</v>
      </c>
    </row>
    <row r="404" spans="1:6" x14ac:dyDescent="0.3">
      <c r="A404" s="1" t="s">
        <v>1133</v>
      </c>
      <c r="B404" s="2">
        <v>45225</v>
      </c>
      <c r="C404" s="1" t="s">
        <v>1106</v>
      </c>
      <c r="D404">
        <v>89</v>
      </c>
      <c r="E404" s="1" t="s">
        <v>807</v>
      </c>
      <c r="F404" s="3">
        <v>0.28888888888888886</v>
      </c>
    </row>
    <row r="405" spans="1:6" x14ac:dyDescent="0.3">
      <c r="A405" s="1" t="s">
        <v>1133</v>
      </c>
      <c r="B405" s="2">
        <v>45201</v>
      </c>
      <c r="C405" s="1" t="s">
        <v>1156</v>
      </c>
      <c r="D405">
        <v>42</v>
      </c>
      <c r="E405" s="1" t="s">
        <v>812</v>
      </c>
      <c r="F405" s="3">
        <v>0.45763888888888887</v>
      </c>
    </row>
    <row r="406" spans="1:6" x14ac:dyDescent="0.3">
      <c r="A406" s="1" t="s">
        <v>1133</v>
      </c>
      <c r="B406" s="2">
        <v>45209</v>
      </c>
      <c r="C406" s="1" t="s">
        <v>1006</v>
      </c>
      <c r="D406">
        <v>44</v>
      </c>
      <c r="E406" s="1" t="s">
        <v>812</v>
      </c>
      <c r="F406" s="3">
        <v>0.68402777777777779</v>
      </c>
    </row>
    <row r="407" spans="1:6" x14ac:dyDescent="0.3">
      <c r="A407" s="1" t="s">
        <v>1133</v>
      </c>
      <c r="B407" s="2">
        <v>45226</v>
      </c>
      <c r="C407" s="1" t="s">
        <v>1157</v>
      </c>
      <c r="D407">
        <v>62</v>
      </c>
      <c r="E407" s="1" t="s">
        <v>810</v>
      </c>
      <c r="F407" s="3">
        <v>0.72916666666666663</v>
      </c>
    </row>
    <row r="408" spans="1:6" x14ac:dyDescent="0.3">
      <c r="A408" s="1" t="s">
        <v>1133</v>
      </c>
      <c r="B408" s="2">
        <v>45208</v>
      </c>
      <c r="C408" s="1" t="s">
        <v>1063</v>
      </c>
      <c r="D408">
        <v>82</v>
      </c>
      <c r="E408" s="1" t="s">
        <v>812</v>
      </c>
      <c r="F408" s="3">
        <v>7.4999999999999997E-2</v>
      </c>
    </row>
    <row r="409" spans="1:6" x14ac:dyDescent="0.3">
      <c r="A409" s="1" t="s">
        <v>1133</v>
      </c>
      <c r="B409" s="2">
        <v>45220</v>
      </c>
      <c r="C409" s="1" t="s">
        <v>1158</v>
      </c>
      <c r="D409">
        <v>96</v>
      </c>
      <c r="E409" s="1" t="s">
        <v>807</v>
      </c>
      <c r="F409" s="3">
        <v>0.26250000000000001</v>
      </c>
    </row>
    <row r="410" spans="1:6" x14ac:dyDescent="0.3">
      <c r="A410" s="1" t="s">
        <v>1133</v>
      </c>
      <c r="B410" s="2">
        <v>45211</v>
      </c>
      <c r="C410" s="1" t="s">
        <v>1159</v>
      </c>
      <c r="D410">
        <v>59</v>
      </c>
      <c r="E410" s="1" t="s">
        <v>810</v>
      </c>
      <c r="F410" s="3">
        <v>7.9861111111111105E-2</v>
      </c>
    </row>
    <row r="411" spans="1:6" x14ac:dyDescent="0.3">
      <c r="A411" s="1" t="s">
        <v>1133</v>
      </c>
      <c r="B411" s="2">
        <v>45220</v>
      </c>
      <c r="C411" s="1" t="s">
        <v>834</v>
      </c>
      <c r="D411">
        <v>26</v>
      </c>
      <c r="E411" s="1" t="s">
        <v>812</v>
      </c>
      <c r="F411" s="3">
        <v>0.4284722222222222</v>
      </c>
    </row>
    <row r="412" spans="1:6" x14ac:dyDescent="0.3">
      <c r="A412" s="1" t="s">
        <v>1133</v>
      </c>
      <c r="B412" s="2">
        <v>45203</v>
      </c>
      <c r="C412" s="1" t="s">
        <v>1160</v>
      </c>
      <c r="D412">
        <v>93</v>
      </c>
      <c r="E412" s="1" t="s">
        <v>810</v>
      </c>
      <c r="F412" s="3">
        <v>0.47708333333333336</v>
      </c>
    </row>
    <row r="413" spans="1:6" x14ac:dyDescent="0.3">
      <c r="A413" s="1" t="s">
        <v>1161</v>
      </c>
      <c r="B413" s="2">
        <v>45202</v>
      </c>
      <c r="C413" s="1" t="s">
        <v>1162</v>
      </c>
      <c r="D413">
        <v>68</v>
      </c>
      <c r="E413" s="1" t="s">
        <v>812</v>
      </c>
      <c r="F413" s="3">
        <v>0.91249999999999998</v>
      </c>
    </row>
    <row r="414" spans="1:6" x14ac:dyDescent="0.3">
      <c r="A414" s="1" t="s">
        <v>1161</v>
      </c>
      <c r="B414" s="2">
        <v>45210</v>
      </c>
      <c r="C414" s="1" t="s">
        <v>1001</v>
      </c>
      <c r="D414">
        <v>118</v>
      </c>
      <c r="E414" s="1" t="s">
        <v>807</v>
      </c>
      <c r="F414" s="3">
        <v>0.89027777777777772</v>
      </c>
    </row>
    <row r="415" spans="1:6" x14ac:dyDescent="0.3">
      <c r="A415" s="1" t="s">
        <v>1161</v>
      </c>
      <c r="B415" s="2">
        <v>45222</v>
      </c>
      <c r="C415" s="1" t="s">
        <v>920</v>
      </c>
      <c r="D415">
        <v>85</v>
      </c>
      <c r="E415" s="1" t="s">
        <v>807</v>
      </c>
      <c r="F415" s="3">
        <v>0.1076388888888889</v>
      </c>
    </row>
    <row r="416" spans="1:6" x14ac:dyDescent="0.3">
      <c r="A416" s="1" t="s">
        <v>1161</v>
      </c>
      <c r="B416" s="2">
        <v>45217</v>
      </c>
      <c r="C416" s="1" t="s">
        <v>923</v>
      </c>
      <c r="D416">
        <v>74</v>
      </c>
      <c r="E416" s="1" t="s">
        <v>812</v>
      </c>
      <c r="F416" s="3">
        <v>0.41458333333333336</v>
      </c>
    </row>
    <row r="417" spans="1:6" x14ac:dyDescent="0.3">
      <c r="A417" s="1" t="s">
        <v>1161</v>
      </c>
      <c r="B417" s="2">
        <v>45209</v>
      </c>
      <c r="C417" s="1" t="s">
        <v>1163</v>
      </c>
      <c r="D417">
        <v>42</v>
      </c>
      <c r="E417" s="1" t="s">
        <v>812</v>
      </c>
      <c r="F417" s="3">
        <v>0.23958333333333334</v>
      </c>
    </row>
    <row r="418" spans="1:6" x14ac:dyDescent="0.3">
      <c r="A418" s="1" t="s">
        <v>1161</v>
      </c>
      <c r="B418" s="2">
        <v>45222</v>
      </c>
      <c r="C418" s="1" t="s">
        <v>1021</v>
      </c>
      <c r="D418">
        <v>87</v>
      </c>
      <c r="E418" s="1" t="s">
        <v>810</v>
      </c>
      <c r="F418" s="3">
        <v>0.94444444444444442</v>
      </c>
    </row>
    <row r="419" spans="1:6" x14ac:dyDescent="0.3">
      <c r="A419" s="1" t="s">
        <v>1161</v>
      </c>
      <c r="B419" s="2">
        <v>45205</v>
      </c>
      <c r="C419" s="1" t="s">
        <v>1164</v>
      </c>
      <c r="D419">
        <v>43</v>
      </c>
      <c r="E419" s="1" t="s">
        <v>810</v>
      </c>
      <c r="F419" s="3">
        <v>0.48055555555555557</v>
      </c>
    </row>
    <row r="420" spans="1:6" x14ac:dyDescent="0.3">
      <c r="A420" s="1" t="s">
        <v>1161</v>
      </c>
      <c r="B420" s="2">
        <v>45207</v>
      </c>
      <c r="C420" s="1" t="s">
        <v>1165</v>
      </c>
      <c r="D420">
        <v>66</v>
      </c>
      <c r="E420" s="1" t="s">
        <v>810</v>
      </c>
      <c r="F420" s="3">
        <v>0.13333333333333333</v>
      </c>
    </row>
    <row r="421" spans="1:6" x14ac:dyDescent="0.3">
      <c r="A421" s="1" t="s">
        <v>1161</v>
      </c>
      <c r="B421" s="2">
        <v>45225</v>
      </c>
      <c r="C421" s="1" t="s">
        <v>1166</v>
      </c>
      <c r="D421">
        <v>36</v>
      </c>
      <c r="E421" s="1" t="s">
        <v>812</v>
      </c>
      <c r="F421" s="3">
        <v>0.17708333333333334</v>
      </c>
    </row>
    <row r="422" spans="1:6" x14ac:dyDescent="0.3">
      <c r="A422" s="1" t="s">
        <v>1161</v>
      </c>
      <c r="B422" s="2">
        <v>45225</v>
      </c>
      <c r="C422" s="1" t="s">
        <v>1167</v>
      </c>
      <c r="D422">
        <v>108</v>
      </c>
      <c r="E422" s="1" t="s">
        <v>812</v>
      </c>
      <c r="F422" s="3">
        <v>0.62569444444444444</v>
      </c>
    </row>
    <row r="423" spans="1:6" x14ac:dyDescent="0.3">
      <c r="A423" s="1" t="s">
        <v>1161</v>
      </c>
      <c r="B423" s="2">
        <v>45211</v>
      </c>
      <c r="C423" s="1" t="s">
        <v>1168</v>
      </c>
      <c r="D423">
        <v>108</v>
      </c>
      <c r="E423" s="1" t="s">
        <v>810</v>
      </c>
      <c r="F423" s="3">
        <v>0.73333333333333328</v>
      </c>
    </row>
    <row r="424" spans="1:6" x14ac:dyDescent="0.3">
      <c r="A424" s="1" t="s">
        <v>1161</v>
      </c>
      <c r="B424" s="2">
        <v>45211</v>
      </c>
      <c r="C424" s="1" t="s">
        <v>1169</v>
      </c>
      <c r="D424">
        <v>92</v>
      </c>
      <c r="E424" s="1" t="s">
        <v>807</v>
      </c>
      <c r="F424" s="3">
        <v>0.61875000000000002</v>
      </c>
    </row>
    <row r="425" spans="1:6" x14ac:dyDescent="0.3">
      <c r="A425" s="1" t="s">
        <v>1161</v>
      </c>
      <c r="B425" s="2">
        <v>45217</v>
      </c>
      <c r="C425" s="1" t="s">
        <v>1114</v>
      </c>
      <c r="D425">
        <v>56</v>
      </c>
      <c r="E425" s="1" t="s">
        <v>807</v>
      </c>
      <c r="F425" s="3">
        <v>0.19375000000000001</v>
      </c>
    </row>
    <row r="426" spans="1:6" x14ac:dyDescent="0.3">
      <c r="A426" s="1" t="s">
        <v>1161</v>
      </c>
      <c r="B426" s="2">
        <v>45228</v>
      </c>
      <c r="C426" s="1" t="s">
        <v>1170</v>
      </c>
      <c r="D426">
        <v>43</v>
      </c>
      <c r="E426" s="1" t="s">
        <v>812</v>
      </c>
      <c r="F426" s="3">
        <v>8.611111111111111E-2</v>
      </c>
    </row>
    <row r="427" spans="1:6" x14ac:dyDescent="0.3">
      <c r="A427" s="1" t="s">
        <v>1161</v>
      </c>
      <c r="B427" s="2">
        <v>45209</v>
      </c>
      <c r="C427" s="1" t="s">
        <v>1171</v>
      </c>
      <c r="D427">
        <v>63</v>
      </c>
      <c r="E427" s="1" t="s">
        <v>807</v>
      </c>
      <c r="F427" s="3">
        <v>0.53125</v>
      </c>
    </row>
    <row r="428" spans="1:6" x14ac:dyDescent="0.3">
      <c r="A428" s="1" t="s">
        <v>1161</v>
      </c>
      <c r="B428" s="2">
        <v>45223</v>
      </c>
      <c r="C428" s="1" t="s">
        <v>1172</v>
      </c>
      <c r="D428">
        <v>14</v>
      </c>
      <c r="E428" s="1" t="s">
        <v>812</v>
      </c>
      <c r="F428" s="3">
        <v>0.6479166666666667</v>
      </c>
    </row>
    <row r="429" spans="1:6" x14ac:dyDescent="0.3">
      <c r="A429" s="1" t="s">
        <v>1161</v>
      </c>
      <c r="B429" s="2">
        <v>45213</v>
      </c>
      <c r="C429" s="1" t="s">
        <v>1173</v>
      </c>
      <c r="D429">
        <v>93</v>
      </c>
      <c r="E429" s="1" t="s">
        <v>810</v>
      </c>
      <c r="F429" s="3">
        <v>0.57777777777777772</v>
      </c>
    </row>
    <row r="430" spans="1:6" x14ac:dyDescent="0.3">
      <c r="A430" s="1" t="s">
        <v>1161</v>
      </c>
      <c r="B430" s="2">
        <v>45218</v>
      </c>
      <c r="C430" s="1" t="s">
        <v>1151</v>
      </c>
      <c r="D430">
        <v>12</v>
      </c>
      <c r="E430" s="1" t="s">
        <v>812</v>
      </c>
      <c r="F430" s="3">
        <v>8.8888888888888892E-2</v>
      </c>
    </row>
    <row r="431" spans="1:6" x14ac:dyDescent="0.3">
      <c r="A431" s="1" t="s">
        <v>1161</v>
      </c>
      <c r="B431" s="2">
        <v>45210</v>
      </c>
      <c r="C431" s="1" t="s">
        <v>1174</v>
      </c>
      <c r="D431">
        <v>25</v>
      </c>
      <c r="E431" s="1" t="s">
        <v>812</v>
      </c>
      <c r="F431" s="3">
        <v>0.83611111111111114</v>
      </c>
    </row>
    <row r="432" spans="1:6" x14ac:dyDescent="0.3">
      <c r="A432" s="1" t="s">
        <v>1161</v>
      </c>
      <c r="B432" s="2">
        <v>45214</v>
      </c>
      <c r="C432" s="1" t="s">
        <v>1175</v>
      </c>
      <c r="D432">
        <v>61</v>
      </c>
      <c r="E432" s="1" t="s">
        <v>812</v>
      </c>
      <c r="F432" s="3">
        <v>0.61319444444444449</v>
      </c>
    </row>
    <row r="433" spans="1:6" x14ac:dyDescent="0.3">
      <c r="A433" s="1" t="s">
        <v>1161</v>
      </c>
      <c r="B433" s="2">
        <v>45216</v>
      </c>
      <c r="C433" s="1" t="s">
        <v>1126</v>
      </c>
      <c r="D433">
        <v>58</v>
      </c>
      <c r="E433" s="1" t="s">
        <v>807</v>
      </c>
      <c r="F433" s="3">
        <v>0.46388888888888891</v>
      </c>
    </row>
    <row r="434" spans="1:6" x14ac:dyDescent="0.3">
      <c r="A434" s="1" t="s">
        <v>1161</v>
      </c>
      <c r="B434" s="2">
        <v>45228</v>
      </c>
      <c r="C434" s="1" t="s">
        <v>1176</v>
      </c>
      <c r="D434">
        <v>66</v>
      </c>
      <c r="E434" s="1" t="s">
        <v>812</v>
      </c>
      <c r="F434" s="3">
        <v>0.73611111111111116</v>
      </c>
    </row>
    <row r="435" spans="1:6" x14ac:dyDescent="0.3">
      <c r="A435" s="1" t="s">
        <v>1161</v>
      </c>
      <c r="B435" s="2">
        <v>45218</v>
      </c>
      <c r="C435" s="1" t="s">
        <v>1015</v>
      </c>
      <c r="D435">
        <v>64</v>
      </c>
      <c r="E435" s="1" t="s">
        <v>807</v>
      </c>
      <c r="F435" s="3">
        <v>0.24236111111111111</v>
      </c>
    </row>
    <row r="436" spans="1:6" x14ac:dyDescent="0.3">
      <c r="A436" s="1" t="s">
        <v>1161</v>
      </c>
      <c r="B436" s="2">
        <v>45230</v>
      </c>
      <c r="C436" s="1" t="s">
        <v>1177</v>
      </c>
      <c r="D436">
        <v>31</v>
      </c>
      <c r="E436" s="1" t="s">
        <v>810</v>
      </c>
      <c r="F436" s="3">
        <v>0.18541666666666667</v>
      </c>
    </row>
    <row r="437" spans="1:6" x14ac:dyDescent="0.3">
      <c r="A437" s="1" t="s">
        <v>1161</v>
      </c>
      <c r="B437" s="2">
        <v>45216</v>
      </c>
      <c r="C437" s="1" t="s">
        <v>1178</v>
      </c>
      <c r="D437">
        <v>48</v>
      </c>
      <c r="E437" s="1" t="s">
        <v>810</v>
      </c>
      <c r="F437" s="3">
        <v>7.8472222222222221E-2</v>
      </c>
    </row>
    <row r="438" spans="1:6" x14ac:dyDescent="0.3">
      <c r="A438" s="1" t="s">
        <v>1161</v>
      </c>
      <c r="B438" s="2">
        <v>45203</v>
      </c>
      <c r="C438" s="1" t="s">
        <v>1179</v>
      </c>
      <c r="D438">
        <v>82</v>
      </c>
      <c r="E438" s="1" t="s">
        <v>807</v>
      </c>
      <c r="F438" s="3">
        <v>0.67291666666666672</v>
      </c>
    </row>
    <row r="439" spans="1:6" x14ac:dyDescent="0.3">
      <c r="A439" s="1" t="s">
        <v>1161</v>
      </c>
      <c r="B439" s="2">
        <v>45209</v>
      </c>
      <c r="C439" s="1" t="s">
        <v>1151</v>
      </c>
      <c r="D439">
        <v>23</v>
      </c>
      <c r="E439" s="1" t="s">
        <v>812</v>
      </c>
      <c r="F439" s="3">
        <v>0.21527777777777779</v>
      </c>
    </row>
    <row r="440" spans="1:6" x14ac:dyDescent="0.3">
      <c r="A440" s="1" t="s">
        <v>1161</v>
      </c>
      <c r="B440" s="2">
        <v>45210</v>
      </c>
      <c r="C440" s="1" t="s">
        <v>998</v>
      </c>
      <c r="D440">
        <v>45</v>
      </c>
      <c r="E440" s="1" t="s">
        <v>810</v>
      </c>
      <c r="F440" s="3">
        <v>0.92638888888888893</v>
      </c>
    </row>
    <row r="441" spans="1:6" x14ac:dyDescent="0.3">
      <c r="A441" s="1" t="s">
        <v>1161</v>
      </c>
      <c r="B441" s="2">
        <v>45211</v>
      </c>
      <c r="C441" s="1" t="s">
        <v>1180</v>
      </c>
      <c r="D441">
        <v>115</v>
      </c>
      <c r="E441" s="1" t="s">
        <v>812</v>
      </c>
      <c r="F441" s="3">
        <v>0.70625000000000004</v>
      </c>
    </row>
    <row r="442" spans="1:6" x14ac:dyDescent="0.3">
      <c r="A442" s="1" t="s">
        <v>1161</v>
      </c>
      <c r="B442" s="2">
        <v>45209</v>
      </c>
      <c r="C442" s="1" t="s">
        <v>1181</v>
      </c>
      <c r="D442">
        <v>96</v>
      </c>
      <c r="E442" s="1" t="s">
        <v>807</v>
      </c>
      <c r="F442" s="3">
        <v>9.4444444444444442E-2</v>
      </c>
    </row>
    <row r="443" spans="1:6" x14ac:dyDescent="0.3">
      <c r="A443" s="1" t="s">
        <v>1161</v>
      </c>
      <c r="B443" s="2">
        <v>45206</v>
      </c>
      <c r="C443" s="1" t="s">
        <v>998</v>
      </c>
      <c r="D443">
        <v>45</v>
      </c>
      <c r="E443" s="1" t="s">
        <v>812</v>
      </c>
      <c r="F443" s="3">
        <v>0.85763888888888884</v>
      </c>
    </row>
    <row r="444" spans="1:6" x14ac:dyDescent="0.3">
      <c r="A444" s="1" t="s">
        <v>1161</v>
      </c>
      <c r="B444" s="2">
        <v>45208</v>
      </c>
      <c r="C444" s="1" t="s">
        <v>1182</v>
      </c>
      <c r="D444">
        <v>98</v>
      </c>
      <c r="E444" s="1" t="s">
        <v>810</v>
      </c>
      <c r="F444" s="3">
        <v>0.19444444444444445</v>
      </c>
    </row>
    <row r="445" spans="1:6" x14ac:dyDescent="0.3">
      <c r="A445" s="1" t="s">
        <v>1161</v>
      </c>
      <c r="B445" s="2">
        <v>45209</v>
      </c>
      <c r="C445" s="1" t="s">
        <v>897</v>
      </c>
      <c r="D445">
        <v>115</v>
      </c>
      <c r="E445" s="1" t="s">
        <v>812</v>
      </c>
      <c r="F445" s="3">
        <v>0.81527777777777777</v>
      </c>
    </row>
    <row r="446" spans="1:6" x14ac:dyDescent="0.3">
      <c r="A446" s="1" t="s">
        <v>1161</v>
      </c>
      <c r="B446" s="2">
        <v>45202</v>
      </c>
      <c r="C446" s="1" t="s">
        <v>1183</v>
      </c>
      <c r="D446">
        <v>49</v>
      </c>
      <c r="E446" s="1" t="s">
        <v>810</v>
      </c>
      <c r="F446" s="3">
        <v>0.69513888888888886</v>
      </c>
    </row>
    <row r="447" spans="1:6" x14ac:dyDescent="0.3">
      <c r="A447" s="1" t="s">
        <v>1161</v>
      </c>
      <c r="B447" s="2">
        <v>45205</v>
      </c>
      <c r="C447" s="1" t="s">
        <v>1184</v>
      </c>
      <c r="D447">
        <v>56</v>
      </c>
      <c r="E447" s="1" t="s">
        <v>812</v>
      </c>
      <c r="F447" s="3">
        <v>0.77569444444444446</v>
      </c>
    </row>
    <row r="448" spans="1:6" x14ac:dyDescent="0.3">
      <c r="A448" s="1" t="s">
        <v>1161</v>
      </c>
      <c r="B448" s="2">
        <v>45204</v>
      </c>
      <c r="C448" s="1" t="s">
        <v>1031</v>
      </c>
      <c r="D448">
        <v>21</v>
      </c>
      <c r="E448" s="1" t="s">
        <v>810</v>
      </c>
      <c r="F448" s="3">
        <v>0.23749999999999999</v>
      </c>
    </row>
    <row r="449" spans="1:6" x14ac:dyDescent="0.3">
      <c r="A449" s="1" t="s">
        <v>1161</v>
      </c>
      <c r="B449" s="2">
        <v>45219</v>
      </c>
      <c r="C449" s="1" t="s">
        <v>882</v>
      </c>
      <c r="D449">
        <v>102</v>
      </c>
      <c r="E449" s="1" t="s">
        <v>810</v>
      </c>
      <c r="F449" s="3">
        <v>0.99791666666666667</v>
      </c>
    </row>
    <row r="450" spans="1:6" x14ac:dyDescent="0.3">
      <c r="A450" s="1" t="s">
        <v>1161</v>
      </c>
      <c r="B450" s="2">
        <v>45219</v>
      </c>
      <c r="C450" s="1" t="s">
        <v>1185</v>
      </c>
      <c r="D450">
        <v>52</v>
      </c>
      <c r="E450" s="1" t="s">
        <v>810</v>
      </c>
      <c r="F450" s="3">
        <v>0.45347222222222222</v>
      </c>
    </row>
    <row r="451" spans="1:6" x14ac:dyDescent="0.3">
      <c r="A451" s="1" t="s">
        <v>1161</v>
      </c>
      <c r="B451" s="2">
        <v>45229</v>
      </c>
      <c r="C451" s="1" t="s">
        <v>1186</v>
      </c>
      <c r="D451">
        <v>70</v>
      </c>
      <c r="E451" s="1" t="s">
        <v>807</v>
      </c>
      <c r="F451" s="3">
        <v>0.75138888888888888</v>
      </c>
    </row>
    <row r="452" spans="1:6" x14ac:dyDescent="0.3">
      <c r="A452" s="1" t="s">
        <v>1161</v>
      </c>
      <c r="B452" s="2">
        <v>45201</v>
      </c>
      <c r="C452" s="1" t="s">
        <v>1077</v>
      </c>
      <c r="D452">
        <v>18</v>
      </c>
      <c r="E452" s="1" t="s">
        <v>807</v>
      </c>
      <c r="F452" s="3">
        <v>0.86736111111111114</v>
      </c>
    </row>
    <row r="453" spans="1:6" x14ac:dyDescent="0.3">
      <c r="A453" s="1" t="s">
        <v>1161</v>
      </c>
      <c r="B453" s="2">
        <v>45218</v>
      </c>
      <c r="C453" s="1" t="s">
        <v>851</v>
      </c>
      <c r="D453">
        <v>45</v>
      </c>
      <c r="E453" s="1" t="s">
        <v>812</v>
      </c>
      <c r="F453" s="3">
        <v>0.36180555555555555</v>
      </c>
    </row>
    <row r="454" spans="1:6" x14ac:dyDescent="0.3">
      <c r="A454" s="1" t="s">
        <v>1161</v>
      </c>
      <c r="B454" s="2">
        <v>45206</v>
      </c>
      <c r="C454" s="1" t="s">
        <v>1188</v>
      </c>
      <c r="D454">
        <v>35</v>
      </c>
      <c r="E454" s="1" t="s">
        <v>812</v>
      </c>
      <c r="F454" s="3">
        <v>0.7680555555555556</v>
      </c>
    </row>
    <row r="455" spans="1:6" x14ac:dyDescent="0.3">
      <c r="A455" s="1" t="s">
        <v>1161</v>
      </c>
      <c r="B455" s="2">
        <v>45219</v>
      </c>
      <c r="C455" s="1" t="s">
        <v>1189</v>
      </c>
      <c r="D455">
        <v>64</v>
      </c>
      <c r="E455" s="1" t="s">
        <v>812</v>
      </c>
      <c r="F455" s="3">
        <v>0.83402777777777781</v>
      </c>
    </row>
    <row r="456" spans="1:6" x14ac:dyDescent="0.3">
      <c r="A456" s="1" t="s">
        <v>1190</v>
      </c>
      <c r="B456" s="2">
        <v>45201</v>
      </c>
      <c r="C456" s="1" t="s">
        <v>1164</v>
      </c>
      <c r="D456">
        <v>45</v>
      </c>
      <c r="E456" s="1" t="s">
        <v>810</v>
      </c>
      <c r="F456" s="3">
        <v>4.3055555555555555E-2</v>
      </c>
    </row>
    <row r="457" spans="1:6" x14ac:dyDescent="0.3">
      <c r="A457" s="1" t="s">
        <v>1190</v>
      </c>
      <c r="B457" s="2">
        <v>45204</v>
      </c>
      <c r="C457" s="1" t="s">
        <v>1191</v>
      </c>
      <c r="D457">
        <v>66</v>
      </c>
      <c r="E457" s="1" t="s">
        <v>807</v>
      </c>
      <c r="F457" s="3">
        <v>0.93125000000000002</v>
      </c>
    </row>
    <row r="458" spans="1:6" x14ac:dyDescent="0.3">
      <c r="A458" s="1" t="s">
        <v>1190</v>
      </c>
      <c r="B458" s="2">
        <v>45225</v>
      </c>
      <c r="C458" s="1" t="s">
        <v>1192</v>
      </c>
      <c r="D458">
        <v>49</v>
      </c>
      <c r="E458" s="1" t="s">
        <v>807</v>
      </c>
      <c r="F458" s="3">
        <v>0.6479166666666667</v>
      </c>
    </row>
    <row r="459" spans="1:6" x14ac:dyDescent="0.3">
      <c r="A459" s="1" t="s">
        <v>1190</v>
      </c>
      <c r="B459" s="2">
        <v>45214</v>
      </c>
      <c r="C459" s="1" t="s">
        <v>836</v>
      </c>
      <c r="D459">
        <v>76</v>
      </c>
      <c r="E459" s="1" t="s">
        <v>812</v>
      </c>
      <c r="F459" s="3">
        <v>0.19305555555555556</v>
      </c>
    </row>
    <row r="460" spans="1:6" x14ac:dyDescent="0.3">
      <c r="A460" s="1" t="s">
        <v>1190</v>
      </c>
      <c r="B460" s="2">
        <v>45228</v>
      </c>
      <c r="C460" s="1" t="s">
        <v>1193</v>
      </c>
      <c r="D460">
        <v>106</v>
      </c>
      <c r="E460" s="1" t="s">
        <v>807</v>
      </c>
      <c r="F460" s="3">
        <v>0.67222222222222228</v>
      </c>
    </row>
    <row r="461" spans="1:6" x14ac:dyDescent="0.3">
      <c r="A461" s="1" t="s">
        <v>1190</v>
      </c>
      <c r="B461" s="2">
        <v>45210</v>
      </c>
      <c r="C461" s="1" t="s">
        <v>1194</v>
      </c>
      <c r="D461">
        <v>97</v>
      </c>
      <c r="E461" s="1" t="s">
        <v>807</v>
      </c>
      <c r="F461" s="3">
        <v>0.80555555555555558</v>
      </c>
    </row>
    <row r="462" spans="1:6" x14ac:dyDescent="0.3">
      <c r="A462" s="1" t="s">
        <v>1190</v>
      </c>
      <c r="B462" s="2">
        <v>45205</v>
      </c>
      <c r="C462" s="1" t="s">
        <v>1195</v>
      </c>
      <c r="D462">
        <v>40</v>
      </c>
      <c r="E462" s="1" t="s">
        <v>812</v>
      </c>
      <c r="F462" s="3">
        <v>0.52708333333333335</v>
      </c>
    </row>
    <row r="463" spans="1:6" x14ac:dyDescent="0.3">
      <c r="A463" s="1" t="s">
        <v>1190</v>
      </c>
      <c r="B463" s="2">
        <v>45223</v>
      </c>
      <c r="C463" s="1" t="s">
        <v>1120</v>
      </c>
      <c r="D463">
        <v>41</v>
      </c>
      <c r="E463" s="1" t="s">
        <v>812</v>
      </c>
      <c r="F463" s="3">
        <v>0.40069444444444446</v>
      </c>
    </row>
    <row r="464" spans="1:6" x14ac:dyDescent="0.3">
      <c r="A464" s="1" t="s">
        <v>1190</v>
      </c>
      <c r="B464" s="2">
        <v>45210</v>
      </c>
      <c r="C464" s="1" t="s">
        <v>1196</v>
      </c>
      <c r="D464">
        <v>20</v>
      </c>
      <c r="E464" s="1" t="s">
        <v>807</v>
      </c>
      <c r="F464" s="3">
        <v>0.70347222222222228</v>
      </c>
    </row>
    <row r="465" spans="1:6" x14ac:dyDescent="0.3">
      <c r="A465" s="1" t="s">
        <v>1190</v>
      </c>
      <c r="B465" s="2">
        <v>45216</v>
      </c>
      <c r="C465" s="1" t="s">
        <v>991</v>
      </c>
      <c r="D465">
        <v>78</v>
      </c>
      <c r="E465" s="1" t="s">
        <v>810</v>
      </c>
      <c r="F465" s="3">
        <v>0.72986111111111107</v>
      </c>
    </row>
    <row r="466" spans="1:6" x14ac:dyDescent="0.3">
      <c r="A466" s="1" t="s">
        <v>1190</v>
      </c>
      <c r="B466" s="2">
        <v>45222</v>
      </c>
      <c r="C466" s="1" t="s">
        <v>976</v>
      </c>
      <c r="D466">
        <v>91</v>
      </c>
      <c r="E466" s="1" t="s">
        <v>812</v>
      </c>
      <c r="F466" s="3">
        <v>0.7631944444444444</v>
      </c>
    </row>
    <row r="467" spans="1:6" x14ac:dyDescent="0.3">
      <c r="A467" s="1" t="s">
        <v>1190</v>
      </c>
      <c r="B467" s="2">
        <v>45210</v>
      </c>
      <c r="C467" s="1" t="s">
        <v>1198</v>
      </c>
      <c r="D467">
        <v>53</v>
      </c>
      <c r="E467" s="1" t="s">
        <v>807</v>
      </c>
      <c r="F467" s="3">
        <v>0.87986111111111109</v>
      </c>
    </row>
    <row r="468" spans="1:6" x14ac:dyDescent="0.3">
      <c r="A468" s="1" t="s">
        <v>1190</v>
      </c>
      <c r="B468" s="2">
        <v>45213</v>
      </c>
      <c r="C468" s="1" t="s">
        <v>1196</v>
      </c>
      <c r="D468">
        <v>119</v>
      </c>
      <c r="E468" s="1" t="s">
        <v>812</v>
      </c>
      <c r="F468" s="3">
        <v>0.7631944444444444</v>
      </c>
    </row>
    <row r="469" spans="1:6" x14ac:dyDescent="0.3">
      <c r="A469" s="1" t="s">
        <v>1190</v>
      </c>
      <c r="B469" s="2">
        <v>45225</v>
      </c>
      <c r="C469" s="1" t="s">
        <v>1017</v>
      </c>
      <c r="D469">
        <v>55</v>
      </c>
      <c r="E469" s="1" t="s">
        <v>810</v>
      </c>
      <c r="F469" s="3">
        <v>0.99652777777777779</v>
      </c>
    </row>
    <row r="470" spans="1:6" x14ac:dyDescent="0.3">
      <c r="A470" s="1" t="s">
        <v>1190</v>
      </c>
      <c r="B470" s="2">
        <v>45222</v>
      </c>
      <c r="C470" s="1" t="s">
        <v>870</v>
      </c>
      <c r="D470">
        <v>109</v>
      </c>
      <c r="E470" s="1" t="s">
        <v>810</v>
      </c>
      <c r="F470" s="3">
        <v>0.83402777777777781</v>
      </c>
    </row>
    <row r="471" spans="1:6" x14ac:dyDescent="0.3">
      <c r="A471" s="1" t="s">
        <v>1190</v>
      </c>
      <c r="B471" s="2">
        <v>45219</v>
      </c>
      <c r="C471" s="1" t="s">
        <v>1019</v>
      </c>
      <c r="D471">
        <v>49</v>
      </c>
      <c r="E471" s="1" t="s">
        <v>807</v>
      </c>
      <c r="F471" s="3">
        <v>0.63611111111111107</v>
      </c>
    </row>
    <row r="472" spans="1:6" x14ac:dyDescent="0.3">
      <c r="A472" s="1" t="s">
        <v>1190</v>
      </c>
      <c r="B472" s="2">
        <v>45230</v>
      </c>
      <c r="C472" s="1" t="s">
        <v>1199</v>
      </c>
      <c r="D472">
        <v>103</v>
      </c>
      <c r="E472" s="1" t="s">
        <v>812</v>
      </c>
      <c r="F472" s="3">
        <v>0.86805555555555558</v>
      </c>
    </row>
    <row r="473" spans="1:6" x14ac:dyDescent="0.3">
      <c r="A473" s="1" t="s">
        <v>1190</v>
      </c>
      <c r="B473" s="2">
        <v>45224</v>
      </c>
      <c r="C473" s="1" t="s">
        <v>1200</v>
      </c>
      <c r="D473">
        <v>107</v>
      </c>
      <c r="E473" s="1" t="s">
        <v>812</v>
      </c>
      <c r="F473" s="3">
        <v>0.77500000000000002</v>
      </c>
    </row>
    <row r="474" spans="1:6" x14ac:dyDescent="0.3">
      <c r="A474" s="1" t="s">
        <v>1190</v>
      </c>
      <c r="B474" s="2">
        <v>45207</v>
      </c>
      <c r="C474" s="1" t="s">
        <v>975</v>
      </c>
      <c r="D474">
        <v>23</v>
      </c>
      <c r="E474" s="1" t="s">
        <v>812</v>
      </c>
      <c r="F474" s="3">
        <v>0.9604166666666667</v>
      </c>
    </row>
    <row r="475" spans="1:6" x14ac:dyDescent="0.3">
      <c r="A475" s="1" t="s">
        <v>1190</v>
      </c>
      <c r="B475" s="2">
        <v>45218</v>
      </c>
      <c r="C475" s="1" t="s">
        <v>844</v>
      </c>
      <c r="D475">
        <v>42</v>
      </c>
      <c r="E475" s="1" t="s">
        <v>810</v>
      </c>
      <c r="F475" s="3">
        <v>0.63194444444444442</v>
      </c>
    </row>
    <row r="476" spans="1:6" x14ac:dyDescent="0.3">
      <c r="A476" s="1" t="s">
        <v>1190</v>
      </c>
      <c r="B476" s="2">
        <v>45216</v>
      </c>
      <c r="C476" s="1" t="s">
        <v>1201</v>
      </c>
      <c r="D476">
        <v>10</v>
      </c>
      <c r="E476" s="1" t="s">
        <v>810</v>
      </c>
      <c r="F476" s="3">
        <v>0.86527777777777781</v>
      </c>
    </row>
    <row r="477" spans="1:6" x14ac:dyDescent="0.3">
      <c r="A477" s="1" t="s">
        <v>1190</v>
      </c>
      <c r="B477" s="2">
        <v>45219</v>
      </c>
      <c r="C477" s="1" t="s">
        <v>950</v>
      </c>
      <c r="D477">
        <v>41</v>
      </c>
      <c r="E477" s="1" t="s">
        <v>810</v>
      </c>
      <c r="F477" s="3">
        <v>0.50624999999999998</v>
      </c>
    </row>
    <row r="478" spans="1:6" x14ac:dyDescent="0.3">
      <c r="A478" s="1" t="s">
        <v>1190</v>
      </c>
      <c r="B478" s="2">
        <v>45226</v>
      </c>
      <c r="C478" s="1" t="s">
        <v>1202</v>
      </c>
      <c r="D478">
        <v>96</v>
      </c>
      <c r="E478" s="1" t="s">
        <v>812</v>
      </c>
      <c r="F478" s="3">
        <v>0.88541666666666663</v>
      </c>
    </row>
    <row r="479" spans="1:6" x14ac:dyDescent="0.3">
      <c r="A479" s="1" t="s">
        <v>1190</v>
      </c>
      <c r="B479" s="2">
        <v>45201</v>
      </c>
      <c r="C479" s="1" t="s">
        <v>1203</v>
      </c>
      <c r="D479">
        <v>15</v>
      </c>
      <c r="E479" s="1" t="s">
        <v>807</v>
      </c>
      <c r="F479" s="3">
        <v>0.78055555555555556</v>
      </c>
    </row>
    <row r="480" spans="1:6" x14ac:dyDescent="0.3">
      <c r="A480" s="1" t="s">
        <v>1190</v>
      </c>
      <c r="B480" s="2">
        <v>45203</v>
      </c>
      <c r="C480" s="1" t="s">
        <v>938</v>
      </c>
      <c r="D480">
        <v>49</v>
      </c>
      <c r="E480" s="1" t="s">
        <v>810</v>
      </c>
      <c r="F480" s="3">
        <v>0.25069444444444444</v>
      </c>
    </row>
    <row r="481" spans="1:6" x14ac:dyDescent="0.3">
      <c r="A481" s="1" t="s">
        <v>1190</v>
      </c>
      <c r="B481" s="2">
        <v>45214</v>
      </c>
      <c r="C481" s="1" t="s">
        <v>846</v>
      </c>
      <c r="D481">
        <v>61</v>
      </c>
      <c r="E481" s="1" t="s">
        <v>812</v>
      </c>
      <c r="F481" s="3">
        <v>0.43472222222222223</v>
      </c>
    </row>
    <row r="482" spans="1:6" x14ac:dyDescent="0.3">
      <c r="A482" s="1" t="s">
        <v>1190</v>
      </c>
      <c r="B482" s="2">
        <v>45204</v>
      </c>
      <c r="C482" s="1" t="s">
        <v>953</v>
      </c>
      <c r="D482">
        <v>88</v>
      </c>
      <c r="E482" s="1" t="s">
        <v>812</v>
      </c>
      <c r="F482" s="3">
        <v>0.57222222222222219</v>
      </c>
    </row>
    <row r="483" spans="1:6" x14ac:dyDescent="0.3">
      <c r="A483" s="1" t="s">
        <v>1190</v>
      </c>
      <c r="B483" s="2">
        <v>45206</v>
      </c>
      <c r="C483" s="1" t="s">
        <v>1204</v>
      </c>
      <c r="D483">
        <v>37</v>
      </c>
      <c r="E483" s="1" t="s">
        <v>807</v>
      </c>
      <c r="F483" s="3">
        <v>0.56388888888888888</v>
      </c>
    </row>
    <row r="484" spans="1:6" x14ac:dyDescent="0.3">
      <c r="A484" s="1" t="s">
        <v>1190</v>
      </c>
      <c r="B484" s="2">
        <v>45224</v>
      </c>
      <c r="C484" s="1" t="s">
        <v>1205</v>
      </c>
      <c r="D484">
        <v>100</v>
      </c>
      <c r="E484" s="1" t="s">
        <v>807</v>
      </c>
      <c r="F484" s="3">
        <v>0.83194444444444449</v>
      </c>
    </row>
    <row r="485" spans="1:6" x14ac:dyDescent="0.3">
      <c r="A485" s="1" t="s">
        <v>1190</v>
      </c>
      <c r="B485" s="2">
        <v>45215</v>
      </c>
      <c r="C485" s="1" t="s">
        <v>1116</v>
      </c>
      <c r="D485">
        <v>66</v>
      </c>
      <c r="E485" s="1" t="s">
        <v>812</v>
      </c>
      <c r="F485" s="3">
        <v>0.99027777777777781</v>
      </c>
    </row>
    <row r="486" spans="1:6" x14ac:dyDescent="0.3">
      <c r="A486" s="1" t="s">
        <v>1190</v>
      </c>
      <c r="B486" s="2">
        <v>45201</v>
      </c>
      <c r="C486" s="1" t="s">
        <v>997</v>
      </c>
      <c r="D486">
        <v>32</v>
      </c>
      <c r="E486" s="1" t="s">
        <v>807</v>
      </c>
      <c r="F486" s="3">
        <v>0.92222222222222228</v>
      </c>
    </row>
    <row r="487" spans="1:6" x14ac:dyDescent="0.3">
      <c r="A487" s="1" t="s">
        <v>1190</v>
      </c>
      <c r="B487" s="2">
        <v>45216</v>
      </c>
      <c r="C487" s="1" t="s">
        <v>1200</v>
      </c>
      <c r="D487">
        <v>30</v>
      </c>
      <c r="E487" s="1" t="s">
        <v>810</v>
      </c>
      <c r="F487" s="3">
        <v>0.27430555555555558</v>
      </c>
    </row>
    <row r="488" spans="1:6" x14ac:dyDescent="0.3">
      <c r="A488" s="1" t="s">
        <v>1190</v>
      </c>
      <c r="B488" s="2">
        <v>45210</v>
      </c>
      <c r="C488" s="1" t="s">
        <v>1005</v>
      </c>
      <c r="D488">
        <v>110</v>
      </c>
      <c r="E488" s="1" t="s">
        <v>812</v>
      </c>
      <c r="F488" s="3">
        <v>0.89583333333333337</v>
      </c>
    </row>
    <row r="489" spans="1:6" x14ac:dyDescent="0.3">
      <c r="A489" s="1" t="s">
        <v>1190</v>
      </c>
      <c r="B489" s="2">
        <v>45216</v>
      </c>
      <c r="C489" s="1" t="s">
        <v>1206</v>
      </c>
      <c r="D489">
        <v>73</v>
      </c>
      <c r="E489" s="1" t="s">
        <v>810</v>
      </c>
      <c r="F489" s="3">
        <v>0.51388888888888884</v>
      </c>
    </row>
    <row r="490" spans="1:6" x14ac:dyDescent="0.3">
      <c r="A490" s="1" t="s">
        <v>1190</v>
      </c>
      <c r="B490" s="2">
        <v>45230</v>
      </c>
      <c r="C490" s="1" t="s">
        <v>935</v>
      </c>
      <c r="D490">
        <v>39</v>
      </c>
      <c r="E490" s="1" t="s">
        <v>812</v>
      </c>
      <c r="F490" s="3">
        <v>0.22847222222222222</v>
      </c>
    </row>
    <row r="491" spans="1:6" x14ac:dyDescent="0.3">
      <c r="A491" s="1" t="s">
        <v>1190</v>
      </c>
      <c r="B491" s="2">
        <v>45229</v>
      </c>
      <c r="C491" s="1" t="s">
        <v>954</v>
      </c>
      <c r="D491">
        <v>76</v>
      </c>
      <c r="E491" s="1" t="s">
        <v>810</v>
      </c>
      <c r="F491" s="3">
        <v>0.72291666666666665</v>
      </c>
    </row>
    <row r="492" spans="1:6" x14ac:dyDescent="0.3">
      <c r="A492" s="1" t="s">
        <v>1190</v>
      </c>
      <c r="B492" s="2">
        <v>45217</v>
      </c>
      <c r="C492" s="1" t="s">
        <v>1207</v>
      </c>
      <c r="D492">
        <v>94</v>
      </c>
      <c r="E492" s="1" t="s">
        <v>807</v>
      </c>
      <c r="F492" s="3">
        <v>0.48819444444444443</v>
      </c>
    </row>
    <row r="493" spans="1:6" x14ac:dyDescent="0.3">
      <c r="A493" s="1" t="s">
        <v>1190</v>
      </c>
      <c r="B493" s="2">
        <v>45224</v>
      </c>
      <c r="C493" s="1" t="s">
        <v>861</v>
      </c>
      <c r="D493">
        <v>39</v>
      </c>
      <c r="E493" s="1" t="s">
        <v>807</v>
      </c>
      <c r="F493" s="3">
        <v>0.98819444444444449</v>
      </c>
    </row>
    <row r="494" spans="1:6" x14ac:dyDescent="0.3">
      <c r="A494" s="1" t="s">
        <v>1190</v>
      </c>
      <c r="B494" s="2">
        <v>45220</v>
      </c>
      <c r="C494" s="1" t="s">
        <v>1109</v>
      </c>
      <c r="D494">
        <v>22</v>
      </c>
      <c r="E494" s="1" t="s">
        <v>810</v>
      </c>
      <c r="F494" s="3">
        <v>0.92777777777777781</v>
      </c>
    </row>
    <row r="495" spans="1:6" x14ac:dyDescent="0.3">
      <c r="A495" s="1" t="s">
        <v>1190</v>
      </c>
      <c r="B495" s="2">
        <v>45219</v>
      </c>
      <c r="C495" s="1" t="s">
        <v>1208</v>
      </c>
      <c r="D495">
        <v>18</v>
      </c>
      <c r="E495" s="1" t="s">
        <v>812</v>
      </c>
      <c r="F495" s="3">
        <v>0.6333333333333333</v>
      </c>
    </row>
    <row r="496" spans="1:6" x14ac:dyDescent="0.3">
      <c r="A496" s="1" t="s">
        <v>1190</v>
      </c>
      <c r="B496" s="2">
        <v>45230</v>
      </c>
      <c r="C496" s="1" t="s">
        <v>1209</v>
      </c>
      <c r="D496">
        <v>83</v>
      </c>
      <c r="E496" s="1" t="s">
        <v>812</v>
      </c>
      <c r="F496" s="3">
        <v>0.3034722222222222</v>
      </c>
    </row>
    <row r="497" spans="1:6" x14ac:dyDescent="0.3">
      <c r="A497" s="1" t="s">
        <v>1190</v>
      </c>
      <c r="B497" s="2">
        <v>45217</v>
      </c>
      <c r="C497" s="1" t="s">
        <v>1210</v>
      </c>
      <c r="D497">
        <v>99</v>
      </c>
      <c r="E497" s="1" t="s">
        <v>810</v>
      </c>
      <c r="F497" s="3">
        <v>0.38472222222222224</v>
      </c>
    </row>
    <row r="498" spans="1:6" x14ac:dyDescent="0.3">
      <c r="A498" s="1" t="s">
        <v>1190</v>
      </c>
      <c r="B498" s="2">
        <v>45230</v>
      </c>
      <c r="C498" s="1" t="s">
        <v>1211</v>
      </c>
      <c r="D498">
        <v>80</v>
      </c>
      <c r="E498" s="1" t="s">
        <v>810</v>
      </c>
      <c r="F498" s="3">
        <v>0.40902777777777777</v>
      </c>
    </row>
    <row r="499" spans="1:6" x14ac:dyDescent="0.3">
      <c r="A499" s="1" t="s">
        <v>1190</v>
      </c>
      <c r="B499" s="2">
        <v>45209</v>
      </c>
      <c r="C499" s="1" t="s">
        <v>1212</v>
      </c>
      <c r="D499">
        <v>35</v>
      </c>
      <c r="E499" s="1" t="s">
        <v>807</v>
      </c>
      <c r="F499" s="3">
        <v>0.92569444444444449</v>
      </c>
    </row>
    <row r="500" spans="1:6" x14ac:dyDescent="0.3">
      <c r="A500" s="1" t="s">
        <v>1190</v>
      </c>
      <c r="B500" s="2">
        <v>45222</v>
      </c>
      <c r="C500" s="1" t="s">
        <v>1213</v>
      </c>
      <c r="D500">
        <v>36</v>
      </c>
      <c r="E500" s="1" t="s">
        <v>807</v>
      </c>
      <c r="F500" s="3">
        <v>0.93819444444444444</v>
      </c>
    </row>
    <row r="501" spans="1:6" x14ac:dyDescent="0.3">
      <c r="A501" s="1" t="s">
        <v>1214</v>
      </c>
      <c r="B501" s="2">
        <v>45202</v>
      </c>
      <c r="C501" s="1" t="s">
        <v>1215</v>
      </c>
      <c r="D501">
        <v>109</v>
      </c>
      <c r="E501" s="1" t="s">
        <v>810</v>
      </c>
      <c r="F501" s="3">
        <v>0.52916666666666667</v>
      </c>
    </row>
    <row r="502" spans="1:6" x14ac:dyDescent="0.3">
      <c r="A502" s="1" t="s">
        <v>1214</v>
      </c>
      <c r="B502" s="2">
        <v>45203</v>
      </c>
      <c r="C502" s="1" t="s">
        <v>1216</v>
      </c>
      <c r="D502">
        <v>5</v>
      </c>
      <c r="E502" s="1" t="s">
        <v>807</v>
      </c>
      <c r="F502" s="3">
        <v>0.21388888888888888</v>
      </c>
    </row>
    <row r="503" spans="1:6" x14ac:dyDescent="0.3">
      <c r="A503" s="1" t="s">
        <v>1214</v>
      </c>
      <c r="B503" s="2">
        <v>45215</v>
      </c>
      <c r="C503" s="1" t="s">
        <v>1217</v>
      </c>
      <c r="D503">
        <v>100</v>
      </c>
      <c r="E503" s="1" t="s">
        <v>807</v>
      </c>
      <c r="F503" s="3">
        <v>0.45763888888888887</v>
      </c>
    </row>
    <row r="504" spans="1:6" x14ac:dyDescent="0.3">
      <c r="A504" s="1" t="s">
        <v>1214</v>
      </c>
      <c r="B504" s="2">
        <v>45212</v>
      </c>
      <c r="C504" s="1" t="s">
        <v>819</v>
      </c>
      <c r="D504">
        <v>79</v>
      </c>
      <c r="E504" s="1" t="s">
        <v>807</v>
      </c>
      <c r="F504" s="3">
        <v>0.31111111111111112</v>
      </c>
    </row>
    <row r="505" spans="1:6" x14ac:dyDescent="0.3">
      <c r="A505" s="1" t="s">
        <v>1214</v>
      </c>
      <c r="B505" s="2">
        <v>45224</v>
      </c>
      <c r="C505" s="1" t="s">
        <v>1219</v>
      </c>
      <c r="D505">
        <v>14</v>
      </c>
      <c r="E505" s="1" t="s">
        <v>807</v>
      </c>
      <c r="F505" s="3">
        <v>0.34791666666666665</v>
      </c>
    </row>
    <row r="506" spans="1:6" x14ac:dyDescent="0.3">
      <c r="A506" s="1" t="s">
        <v>1214</v>
      </c>
      <c r="B506" s="2">
        <v>45209</v>
      </c>
      <c r="C506" s="1" t="s">
        <v>1185</v>
      </c>
      <c r="D506">
        <v>10</v>
      </c>
      <c r="E506" s="1" t="s">
        <v>810</v>
      </c>
      <c r="F506" s="3">
        <v>0.78194444444444444</v>
      </c>
    </row>
    <row r="507" spans="1:6" x14ac:dyDescent="0.3">
      <c r="A507" s="1" t="s">
        <v>1214</v>
      </c>
      <c r="B507" s="2">
        <v>45220</v>
      </c>
      <c r="C507" s="1" t="s">
        <v>895</v>
      </c>
      <c r="D507">
        <v>49</v>
      </c>
      <c r="E507" s="1" t="s">
        <v>812</v>
      </c>
      <c r="F507" s="3">
        <v>0.48888888888888887</v>
      </c>
    </row>
    <row r="508" spans="1:6" x14ac:dyDescent="0.3">
      <c r="A508" s="1" t="s">
        <v>1214</v>
      </c>
      <c r="B508" s="2">
        <v>45207</v>
      </c>
      <c r="C508" s="1" t="s">
        <v>1220</v>
      </c>
      <c r="D508">
        <v>94</v>
      </c>
      <c r="E508" s="1" t="s">
        <v>810</v>
      </c>
      <c r="F508" s="3">
        <v>7.0833333333333331E-2</v>
      </c>
    </row>
    <row r="509" spans="1:6" x14ac:dyDescent="0.3">
      <c r="A509" s="1" t="s">
        <v>1214</v>
      </c>
      <c r="B509" s="2">
        <v>45203</v>
      </c>
      <c r="C509" s="1" t="s">
        <v>1221</v>
      </c>
      <c r="D509">
        <v>13</v>
      </c>
      <c r="E509" s="1" t="s">
        <v>810</v>
      </c>
      <c r="F509" s="3">
        <v>0.59652777777777777</v>
      </c>
    </row>
    <row r="510" spans="1:6" x14ac:dyDescent="0.3">
      <c r="A510" s="1" t="s">
        <v>1214</v>
      </c>
      <c r="B510" s="2">
        <v>45205</v>
      </c>
      <c r="C510" s="1" t="s">
        <v>889</v>
      </c>
      <c r="D510">
        <v>74</v>
      </c>
      <c r="E510" s="1" t="s">
        <v>810</v>
      </c>
      <c r="F510" s="3">
        <v>0.52986111111111112</v>
      </c>
    </row>
    <row r="511" spans="1:6" x14ac:dyDescent="0.3">
      <c r="A511" s="1" t="s">
        <v>1214</v>
      </c>
      <c r="B511" s="2">
        <v>45216</v>
      </c>
      <c r="C511" s="1" t="s">
        <v>808</v>
      </c>
      <c r="D511">
        <v>12</v>
      </c>
      <c r="E511" s="1" t="s">
        <v>807</v>
      </c>
      <c r="F511" s="3">
        <v>0.9506944444444444</v>
      </c>
    </row>
    <row r="512" spans="1:6" x14ac:dyDescent="0.3">
      <c r="A512" s="1" t="s">
        <v>1214</v>
      </c>
      <c r="B512" s="2">
        <v>45209</v>
      </c>
      <c r="C512" s="1" t="s">
        <v>997</v>
      </c>
      <c r="D512">
        <v>119</v>
      </c>
      <c r="E512" s="1" t="s">
        <v>807</v>
      </c>
      <c r="F512" s="3">
        <v>0.92152777777777772</v>
      </c>
    </row>
    <row r="513" spans="1:6" x14ac:dyDescent="0.3">
      <c r="A513" s="1" t="s">
        <v>1214</v>
      </c>
      <c r="B513" s="2">
        <v>45220</v>
      </c>
      <c r="C513" s="1" t="s">
        <v>1184</v>
      </c>
      <c r="D513">
        <v>13</v>
      </c>
      <c r="E513" s="1" t="s">
        <v>810</v>
      </c>
      <c r="F513" s="3">
        <v>0.39097222222222222</v>
      </c>
    </row>
    <row r="514" spans="1:6" x14ac:dyDescent="0.3">
      <c r="A514" s="1" t="s">
        <v>1214</v>
      </c>
      <c r="B514" s="2">
        <v>45219</v>
      </c>
      <c r="C514" s="1" t="s">
        <v>825</v>
      </c>
      <c r="D514">
        <v>65</v>
      </c>
      <c r="E514" s="1" t="s">
        <v>807</v>
      </c>
      <c r="F514" s="3">
        <v>0.30138888888888887</v>
      </c>
    </row>
    <row r="515" spans="1:6" x14ac:dyDescent="0.3">
      <c r="A515" s="1" t="s">
        <v>1214</v>
      </c>
      <c r="B515" s="2">
        <v>45230</v>
      </c>
      <c r="C515" s="1" t="s">
        <v>1222</v>
      </c>
      <c r="D515">
        <v>9</v>
      </c>
      <c r="E515" s="1" t="s">
        <v>812</v>
      </c>
      <c r="F515" s="3">
        <v>0.1875</v>
      </c>
    </row>
    <row r="516" spans="1:6" x14ac:dyDescent="0.3">
      <c r="A516" s="1" t="s">
        <v>1214</v>
      </c>
      <c r="B516" s="2">
        <v>45204</v>
      </c>
      <c r="C516" s="1" t="s">
        <v>1223</v>
      </c>
      <c r="D516">
        <v>41</v>
      </c>
      <c r="E516" s="1" t="s">
        <v>812</v>
      </c>
      <c r="F516" s="3">
        <v>0.61597222222222225</v>
      </c>
    </row>
    <row r="517" spans="1:6" x14ac:dyDescent="0.3">
      <c r="A517" s="1" t="s">
        <v>1214</v>
      </c>
      <c r="B517" s="2">
        <v>45219</v>
      </c>
      <c r="C517" s="1" t="s">
        <v>814</v>
      </c>
      <c r="D517">
        <v>57</v>
      </c>
      <c r="E517" s="1" t="s">
        <v>807</v>
      </c>
      <c r="F517" s="3">
        <v>0.47638888888888886</v>
      </c>
    </row>
    <row r="518" spans="1:6" x14ac:dyDescent="0.3">
      <c r="A518" s="1" t="s">
        <v>1214</v>
      </c>
      <c r="B518" s="2">
        <v>45222</v>
      </c>
      <c r="C518" s="1" t="s">
        <v>1224</v>
      </c>
      <c r="D518">
        <v>28</v>
      </c>
      <c r="E518" s="1" t="s">
        <v>810</v>
      </c>
      <c r="F518" s="3">
        <v>0.74861111111111112</v>
      </c>
    </row>
    <row r="519" spans="1:6" x14ac:dyDescent="0.3">
      <c r="A519" s="1" t="s">
        <v>1214</v>
      </c>
      <c r="B519" s="2">
        <v>45215</v>
      </c>
      <c r="C519" s="1" t="s">
        <v>1225</v>
      </c>
      <c r="D519">
        <v>103</v>
      </c>
      <c r="E519" s="1" t="s">
        <v>807</v>
      </c>
      <c r="F519" s="3">
        <v>0.74375000000000002</v>
      </c>
    </row>
    <row r="520" spans="1:6" x14ac:dyDescent="0.3">
      <c r="A520" s="1" t="s">
        <v>1214</v>
      </c>
      <c r="B520" s="2">
        <v>45221</v>
      </c>
      <c r="C520" s="1" t="s">
        <v>1226</v>
      </c>
      <c r="D520">
        <v>22</v>
      </c>
      <c r="E520" s="1" t="s">
        <v>807</v>
      </c>
      <c r="F520" s="3">
        <v>0.28333333333333333</v>
      </c>
    </row>
    <row r="521" spans="1:6" x14ac:dyDescent="0.3">
      <c r="A521" s="1" t="s">
        <v>1214</v>
      </c>
      <c r="B521" s="2">
        <v>45207</v>
      </c>
      <c r="C521" s="1" t="s">
        <v>1227</v>
      </c>
      <c r="D521">
        <v>103</v>
      </c>
      <c r="E521" s="1" t="s">
        <v>807</v>
      </c>
      <c r="F521" s="3">
        <v>0.90833333333333333</v>
      </c>
    </row>
    <row r="522" spans="1:6" x14ac:dyDescent="0.3">
      <c r="A522" s="1" t="s">
        <v>1214</v>
      </c>
      <c r="B522" s="2">
        <v>45219</v>
      </c>
      <c r="C522" s="1" t="s">
        <v>1228</v>
      </c>
      <c r="D522">
        <v>87</v>
      </c>
      <c r="E522" s="1" t="s">
        <v>810</v>
      </c>
      <c r="F522" s="3">
        <v>0.10625</v>
      </c>
    </row>
    <row r="523" spans="1:6" x14ac:dyDescent="0.3">
      <c r="A523" s="1" t="s">
        <v>1214</v>
      </c>
      <c r="B523" s="2">
        <v>45214</v>
      </c>
      <c r="C523" s="1" t="s">
        <v>1229</v>
      </c>
      <c r="D523">
        <v>98</v>
      </c>
      <c r="E523" s="1" t="s">
        <v>812</v>
      </c>
      <c r="F523" s="3">
        <v>0.69791666666666663</v>
      </c>
    </row>
    <row r="524" spans="1:6" x14ac:dyDescent="0.3">
      <c r="A524" s="1" t="s">
        <v>1214</v>
      </c>
      <c r="B524" s="2">
        <v>45211</v>
      </c>
      <c r="C524" s="1" t="s">
        <v>923</v>
      </c>
      <c r="D524">
        <v>87</v>
      </c>
      <c r="E524" s="1" t="s">
        <v>807</v>
      </c>
      <c r="F524" s="3">
        <v>0.12361111111111112</v>
      </c>
    </row>
    <row r="525" spans="1:6" x14ac:dyDescent="0.3">
      <c r="A525" s="1" t="s">
        <v>1214</v>
      </c>
      <c r="B525" s="2">
        <v>45218</v>
      </c>
      <c r="C525" s="1" t="s">
        <v>1081</v>
      </c>
      <c r="D525">
        <v>58</v>
      </c>
      <c r="E525" s="1" t="s">
        <v>810</v>
      </c>
      <c r="F525" s="3">
        <v>0.12708333333333333</v>
      </c>
    </row>
    <row r="526" spans="1:6" x14ac:dyDescent="0.3">
      <c r="A526" s="1" t="s">
        <v>1214</v>
      </c>
      <c r="B526" s="2">
        <v>45226</v>
      </c>
      <c r="C526" s="1" t="s">
        <v>1230</v>
      </c>
      <c r="D526">
        <v>52</v>
      </c>
      <c r="E526" s="1" t="s">
        <v>810</v>
      </c>
      <c r="F526" s="3">
        <v>0.74791666666666667</v>
      </c>
    </row>
    <row r="527" spans="1:6" x14ac:dyDescent="0.3">
      <c r="A527" s="1" t="s">
        <v>1214</v>
      </c>
      <c r="B527" s="2">
        <v>45216</v>
      </c>
      <c r="C527" s="1" t="s">
        <v>1231</v>
      </c>
      <c r="D527">
        <v>119</v>
      </c>
      <c r="E527" s="1" t="s">
        <v>812</v>
      </c>
      <c r="F527" s="3">
        <v>0.27500000000000002</v>
      </c>
    </row>
    <row r="528" spans="1:6" x14ac:dyDescent="0.3">
      <c r="A528" s="1" t="s">
        <v>1214</v>
      </c>
      <c r="B528" s="2">
        <v>45217</v>
      </c>
      <c r="C528" s="1" t="s">
        <v>941</v>
      </c>
      <c r="D528">
        <v>53</v>
      </c>
      <c r="E528" s="1" t="s">
        <v>810</v>
      </c>
      <c r="F528" s="3">
        <v>0.1736111111111111</v>
      </c>
    </row>
    <row r="529" spans="1:6" x14ac:dyDescent="0.3">
      <c r="A529" s="1" t="s">
        <v>1214</v>
      </c>
      <c r="B529" s="2">
        <v>45210</v>
      </c>
      <c r="C529" s="1" t="s">
        <v>1232</v>
      </c>
      <c r="D529">
        <v>62</v>
      </c>
      <c r="E529" s="1" t="s">
        <v>810</v>
      </c>
      <c r="F529" s="3">
        <v>0.68611111111111112</v>
      </c>
    </row>
    <row r="530" spans="1:6" x14ac:dyDescent="0.3">
      <c r="A530" s="1" t="s">
        <v>1214</v>
      </c>
      <c r="B530" s="2">
        <v>45203</v>
      </c>
      <c r="C530" s="1" t="s">
        <v>1233</v>
      </c>
      <c r="D530">
        <v>116</v>
      </c>
      <c r="E530" s="1" t="s">
        <v>810</v>
      </c>
      <c r="F530" s="3">
        <v>0.88402777777777775</v>
      </c>
    </row>
    <row r="531" spans="1:6" x14ac:dyDescent="0.3">
      <c r="A531" s="1" t="s">
        <v>1214</v>
      </c>
      <c r="B531" s="2">
        <v>45222</v>
      </c>
      <c r="C531" s="1" t="s">
        <v>813</v>
      </c>
      <c r="D531">
        <v>53</v>
      </c>
      <c r="E531" s="1" t="s">
        <v>812</v>
      </c>
      <c r="F531" s="3">
        <v>0.77152777777777781</v>
      </c>
    </row>
    <row r="532" spans="1:6" x14ac:dyDescent="0.3">
      <c r="A532" s="1" t="s">
        <v>1214</v>
      </c>
      <c r="B532" s="2">
        <v>45202</v>
      </c>
      <c r="C532" s="1" t="s">
        <v>1234</v>
      </c>
      <c r="D532">
        <v>53</v>
      </c>
      <c r="E532" s="1" t="s">
        <v>807</v>
      </c>
      <c r="F532" s="3">
        <v>0.68611111111111112</v>
      </c>
    </row>
    <row r="533" spans="1:6" x14ac:dyDescent="0.3">
      <c r="A533" s="1" t="s">
        <v>1214</v>
      </c>
      <c r="B533" s="2">
        <v>45225</v>
      </c>
      <c r="C533" s="1" t="s">
        <v>1235</v>
      </c>
      <c r="D533">
        <v>15</v>
      </c>
      <c r="E533" s="1" t="s">
        <v>812</v>
      </c>
      <c r="F533" s="3">
        <v>6.1805555555555558E-2</v>
      </c>
    </row>
    <row r="534" spans="1:6" x14ac:dyDescent="0.3">
      <c r="A534" s="1" t="s">
        <v>1214</v>
      </c>
      <c r="B534" s="2">
        <v>45204</v>
      </c>
      <c r="C534" s="1" t="s">
        <v>1236</v>
      </c>
      <c r="D534">
        <v>92</v>
      </c>
      <c r="E534" s="1" t="s">
        <v>807</v>
      </c>
      <c r="F534" s="3">
        <v>0.68472222222222223</v>
      </c>
    </row>
    <row r="535" spans="1:6" x14ac:dyDescent="0.3">
      <c r="A535" s="1" t="s">
        <v>1214</v>
      </c>
      <c r="B535" s="2">
        <v>45214</v>
      </c>
      <c r="C535" s="1" t="s">
        <v>1237</v>
      </c>
      <c r="D535">
        <v>89</v>
      </c>
      <c r="E535" s="1" t="s">
        <v>810</v>
      </c>
      <c r="F535" s="3">
        <v>0.75208333333333333</v>
      </c>
    </row>
    <row r="536" spans="1:6" x14ac:dyDescent="0.3">
      <c r="A536" s="1" t="s">
        <v>1214</v>
      </c>
      <c r="B536" s="2">
        <v>45225</v>
      </c>
      <c r="C536" s="1" t="s">
        <v>1238</v>
      </c>
      <c r="D536">
        <v>74</v>
      </c>
      <c r="E536" s="1" t="s">
        <v>807</v>
      </c>
      <c r="F536" s="3">
        <v>0.40694444444444444</v>
      </c>
    </row>
    <row r="537" spans="1:6" x14ac:dyDescent="0.3">
      <c r="A537" s="1" t="s">
        <v>1214</v>
      </c>
      <c r="B537" s="2">
        <v>45200</v>
      </c>
      <c r="C537" s="1" t="s">
        <v>1239</v>
      </c>
      <c r="D537">
        <v>22</v>
      </c>
      <c r="E537" s="1" t="s">
        <v>812</v>
      </c>
      <c r="F537" s="3">
        <v>0.51111111111111107</v>
      </c>
    </row>
    <row r="538" spans="1:6" x14ac:dyDescent="0.3">
      <c r="A538" s="1" t="s">
        <v>1240</v>
      </c>
      <c r="B538" s="2">
        <v>45221</v>
      </c>
      <c r="C538" s="1" t="s">
        <v>1241</v>
      </c>
      <c r="D538">
        <v>87</v>
      </c>
      <c r="E538" s="1" t="s">
        <v>810</v>
      </c>
      <c r="F538" s="3">
        <v>0.56597222222222221</v>
      </c>
    </row>
    <row r="539" spans="1:6" x14ac:dyDescent="0.3">
      <c r="A539" s="1" t="s">
        <v>1240</v>
      </c>
      <c r="B539" s="2">
        <v>45215</v>
      </c>
      <c r="C539" s="1" t="s">
        <v>1226</v>
      </c>
      <c r="D539">
        <v>99</v>
      </c>
      <c r="E539" s="1" t="s">
        <v>810</v>
      </c>
      <c r="F539" s="3">
        <v>5.6944444444444443E-2</v>
      </c>
    </row>
    <row r="540" spans="1:6" x14ac:dyDescent="0.3">
      <c r="A540" s="1" t="s">
        <v>1240</v>
      </c>
      <c r="B540" s="2">
        <v>45230</v>
      </c>
      <c r="C540" s="1" t="s">
        <v>876</v>
      </c>
      <c r="D540">
        <v>67</v>
      </c>
      <c r="E540" s="1" t="s">
        <v>807</v>
      </c>
      <c r="F540" s="3">
        <v>0.86250000000000004</v>
      </c>
    </row>
    <row r="541" spans="1:6" x14ac:dyDescent="0.3">
      <c r="A541" s="1" t="s">
        <v>1240</v>
      </c>
      <c r="B541" s="2">
        <v>45212</v>
      </c>
      <c r="C541" s="1" t="s">
        <v>1242</v>
      </c>
      <c r="D541">
        <v>63</v>
      </c>
      <c r="E541" s="1" t="s">
        <v>807</v>
      </c>
      <c r="F541" s="3">
        <v>0.68055555555555558</v>
      </c>
    </row>
    <row r="542" spans="1:6" x14ac:dyDescent="0.3">
      <c r="A542" s="1" t="s">
        <v>1240</v>
      </c>
      <c r="B542" s="2">
        <v>45222</v>
      </c>
      <c r="C542" s="1" t="s">
        <v>1243</v>
      </c>
      <c r="D542">
        <v>26</v>
      </c>
      <c r="E542" s="1" t="s">
        <v>812</v>
      </c>
      <c r="F542" s="3">
        <v>0.55972222222222223</v>
      </c>
    </row>
    <row r="543" spans="1:6" x14ac:dyDescent="0.3">
      <c r="A543" s="1" t="s">
        <v>1240</v>
      </c>
      <c r="B543" s="2">
        <v>45204</v>
      </c>
      <c r="C543" s="1" t="s">
        <v>959</v>
      </c>
      <c r="D543">
        <v>98</v>
      </c>
      <c r="E543" s="1" t="s">
        <v>812</v>
      </c>
      <c r="F543" s="3">
        <v>0.39166666666666666</v>
      </c>
    </row>
    <row r="544" spans="1:6" x14ac:dyDescent="0.3">
      <c r="A544" s="1" t="s">
        <v>1240</v>
      </c>
      <c r="B544" s="2">
        <v>45205</v>
      </c>
      <c r="C544" s="1" t="s">
        <v>1244</v>
      </c>
      <c r="D544">
        <v>106</v>
      </c>
      <c r="E544" s="1" t="s">
        <v>812</v>
      </c>
      <c r="F544" s="3">
        <v>0.72916666666666663</v>
      </c>
    </row>
    <row r="545" spans="1:6" x14ac:dyDescent="0.3">
      <c r="A545" s="1" t="s">
        <v>1240</v>
      </c>
      <c r="B545" s="2">
        <v>45207</v>
      </c>
      <c r="C545" s="1" t="s">
        <v>811</v>
      </c>
      <c r="D545">
        <v>50</v>
      </c>
      <c r="E545" s="1" t="s">
        <v>810</v>
      </c>
      <c r="F545" s="3">
        <v>0.30486111111111114</v>
      </c>
    </row>
    <row r="546" spans="1:6" x14ac:dyDescent="0.3">
      <c r="A546" s="1" t="s">
        <v>1240</v>
      </c>
      <c r="B546" s="2">
        <v>45227</v>
      </c>
      <c r="C546" s="1" t="s">
        <v>931</v>
      </c>
      <c r="D546">
        <v>26</v>
      </c>
      <c r="E546" s="1" t="s">
        <v>812</v>
      </c>
      <c r="F546" s="3">
        <v>0.92291666666666672</v>
      </c>
    </row>
    <row r="547" spans="1:6" x14ac:dyDescent="0.3">
      <c r="A547" s="1" t="s">
        <v>1240</v>
      </c>
      <c r="B547" s="2">
        <v>45225</v>
      </c>
      <c r="C547" s="1" t="s">
        <v>1245</v>
      </c>
      <c r="D547">
        <v>22</v>
      </c>
      <c r="E547" s="1" t="s">
        <v>807</v>
      </c>
      <c r="F547" s="3">
        <v>0.62361111111111112</v>
      </c>
    </row>
    <row r="548" spans="1:6" x14ac:dyDescent="0.3">
      <c r="A548" s="1" t="s">
        <v>1240</v>
      </c>
      <c r="B548" s="2">
        <v>45201</v>
      </c>
      <c r="C548" s="1" t="s">
        <v>1246</v>
      </c>
      <c r="D548">
        <v>97</v>
      </c>
      <c r="E548" s="1" t="s">
        <v>810</v>
      </c>
      <c r="F548" s="3">
        <v>0.72638888888888886</v>
      </c>
    </row>
    <row r="549" spans="1:6" x14ac:dyDescent="0.3">
      <c r="A549" s="1" t="s">
        <v>1240</v>
      </c>
      <c r="B549" s="2">
        <v>45230</v>
      </c>
      <c r="C549" s="1" t="s">
        <v>959</v>
      </c>
      <c r="D549">
        <v>74</v>
      </c>
      <c r="E549" s="1" t="s">
        <v>807</v>
      </c>
      <c r="F549" s="3">
        <v>0.56597222222222221</v>
      </c>
    </row>
    <row r="550" spans="1:6" x14ac:dyDescent="0.3">
      <c r="A550" s="1" t="s">
        <v>1240</v>
      </c>
      <c r="B550" s="2">
        <v>45216</v>
      </c>
      <c r="C550" s="1" t="s">
        <v>1112</v>
      </c>
      <c r="D550">
        <v>67</v>
      </c>
      <c r="E550" s="1" t="s">
        <v>810</v>
      </c>
      <c r="F550" s="3">
        <v>0.18333333333333332</v>
      </c>
    </row>
    <row r="551" spans="1:6" x14ac:dyDescent="0.3">
      <c r="A551" s="1" t="s">
        <v>1240</v>
      </c>
      <c r="B551" s="2">
        <v>45207</v>
      </c>
      <c r="C551" s="1" t="s">
        <v>1247</v>
      </c>
      <c r="D551">
        <v>28</v>
      </c>
      <c r="E551" s="1" t="s">
        <v>807</v>
      </c>
      <c r="F551" s="3">
        <v>0.34236111111111112</v>
      </c>
    </row>
    <row r="552" spans="1:6" x14ac:dyDescent="0.3">
      <c r="A552" s="1" t="s">
        <v>1240</v>
      </c>
      <c r="B552" s="2">
        <v>45210</v>
      </c>
      <c r="C552" s="1" t="s">
        <v>1248</v>
      </c>
      <c r="D552">
        <v>118</v>
      </c>
      <c r="E552" s="1" t="s">
        <v>807</v>
      </c>
      <c r="F552" s="3">
        <v>0.83680555555555558</v>
      </c>
    </row>
    <row r="553" spans="1:6" x14ac:dyDescent="0.3">
      <c r="A553" s="1" t="s">
        <v>1240</v>
      </c>
      <c r="B553" s="2">
        <v>45229</v>
      </c>
      <c r="C553" s="1" t="s">
        <v>1249</v>
      </c>
      <c r="D553">
        <v>74</v>
      </c>
      <c r="E553" s="1" t="s">
        <v>812</v>
      </c>
      <c r="F553" s="3">
        <v>0.62083333333333335</v>
      </c>
    </row>
    <row r="554" spans="1:6" x14ac:dyDescent="0.3">
      <c r="A554" s="1" t="s">
        <v>1240</v>
      </c>
      <c r="B554" s="2">
        <v>45211</v>
      </c>
      <c r="C554" s="1" t="s">
        <v>894</v>
      </c>
      <c r="D554">
        <v>87</v>
      </c>
      <c r="E554" s="1" t="s">
        <v>812</v>
      </c>
      <c r="F554" s="3">
        <v>0.10694444444444444</v>
      </c>
    </row>
    <row r="555" spans="1:6" x14ac:dyDescent="0.3">
      <c r="A555" s="1" t="s">
        <v>1240</v>
      </c>
      <c r="B555" s="2">
        <v>45223</v>
      </c>
      <c r="C555" s="1" t="s">
        <v>1052</v>
      </c>
      <c r="D555">
        <v>12</v>
      </c>
      <c r="E555" s="1" t="s">
        <v>810</v>
      </c>
      <c r="F555" s="3">
        <v>0.25208333333333333</v>
      </c>
    </row>
    <row r="556" spans="1:6" x14ac:dyDescent="0.3">
      <c r="A556" s="1" t="s">
        <v>1240</v>
      </c>
      <c r="B556" s="2">
        <v>45208</v>
      </c>
      <c r="C556" s="1" t="s">
        <v>1250</v>
      </c>
      <c r="D556">
        <v>72</v>
      </c>
      <c r="E556" s="1" t="s">
        <v>812</v>
      </c>
      <c r="F556" s="3">
        <v>0.52986111111111112</v>
      </c>
    </row>
    <row r="557" spans="1:6" x14ac:dyDescent="0.3">
      <c r="A557" s="1" t="s">
        <v>1240</v>
      </c>
      <c r="B557" s="2">
        <v>45219</v>
      </c>
      <c r="C557" s="1" t="s">
        <v>1032</v>
      </c>
      <c r="D557">
        <v>9</v>
      </c>
      <c r="E557" s="1" t="s">
        <v>810</v>
      </c>
      <c r="F557" s="3">
        <v>0.79305555555555551</v>
      </c>
    </row>
    <row r="558" spans="1:6" x14ac:dyDescent="0.3">
      <c r="A558" s="1" t="s">
        <v>1240</v>
      </c>
      <c r="B558" s="2">
        <v>45227</v>
      </c>
      <c r="C558" s="1" t="s">
        <v>1251</v>
      </c>
      <c r="D558">
        <v>112</v>
      </c>
      <c r="E558" s="1" t="s">
        <v>807</v>
      </c>
      <c r="F558" s="3">
        <v>9.166666666666666E-2</v>
      </c>
    </row>
    <row r="559" spans="1:6" x14ac:dyDescent="0.3">
      <c r="A559" s="1" t="s">
        <v>1240</v>
      </c>
      <c r="B559" s="2">
        <v>45225</v>
      </c>
      <c r="C559" s="1" t="s">
        <v>1252</v>
      </c>
      <c r="D559">
        <v>113</v>
      </c>
      <c r="E559" s="1" t="s">
        <v>810</v>
      </c>
      <c r="F559" s="3">
        <v>0.78194444444444444</v>
      </c>
    </row>
    <row r="560" spans="1:6" x14ac:dyDescent="0.3">
      <c r="A560" s="1" t="s">
        <v>1240</v>
      </c>
      <c r="B560" s="2">
        <v>45221</v>
      </c>
      <c r="C560" s="1" t="s">
        <v>837</v>
      </c>
      <c r="D560">
        <v>14</v>
      </c>
      <c r="E560" s="1" t="s">
        <v>807</v>
      </c>
      <c r="F560" s="3">
        <v>0.71736111111111112</v>
      </c>
    </row>
    <row r="561" spans="1:6" x14ac:dyDescent="0.3">
      <c r="A561" s="1" t="s">
        <v>1240</v>
      </c>
      <c r="B561" s="2">
        <v>45215</v>
      </c>
      <c r="C561" s="1" t="s">
        <v>1253</v>
      </c>
      <c r="D561">
        <v>109</v>
      </c>
      <c r="E561" s="1" t="s">
        <v>807</v>
      </c>
      <c r="F561" s="3">
        <v>0.28819444444444442</v>
      </c>
    </row>
    <row r="562" spans="1:6" x14ac:dyDescent="0.3">
      <c r="A562" s="1" t="s">
        <v>1240</v>
      </c>
      <c r="B562" s="2">
        <v>45229</v>
      </c>
      <c r="C562" s="1" t="s">
        <v>1090</v>
      </c>
      <c r="D562">
        <v>90</v>
      </c>
      <c r="E562" s="1" t="s">
        <v>807</v>
      </c>
      <c r="F562" s="3">
        <v>0.42986111111111114</v>
      </c>
    </row>
    <row r="563" spans="1:6" x14ac:dyDescent="0.3">
      <c r="A563" s="1" t="s">
        <v>1240</v>
      </c>
      <c r="B563" s="2">
        <v>45229</v>
      </c>
      <c r="C563" s="1" t="s">
        <v>851</v>
      </c>
      <c r="D563">
        <v>102</v>
      </c>
      <c r="E563" s="1" t="s">
        <v>810</v>
      </c>
      <c r="F563" s="3">
        <v>0.28263888888888888</v>
      </c>
    </row>
    <row r="564" spans="1:6" x14ac:dyDescent="0.3">
      <c r="A564" s="1" t="s">
        <v>1240</v>
      </c>
      <c r="B564" s="2">
        <v>45203</v>
      </c>
      <c r="C564" s="1" t="s">
        <v>1254</v>
      </c>
      <c r="D564">
        <v>5</v>
      </c>
      <c r="E564" s="1" t="s">
        <v>812</v>
      </c>
      <c r="F564" s="3">
        <v>0.9916666666666667</v>
      </c>
    </row>
    <row r="565" spans="1:6" x14ac:dyDescent="0.3">
      <c r="A565" s="1" t="s">
        <v>1240</v>
      </c>
      <c r="B565" s="2">
        <v>45215</v>
      </c>
      <c r="C565" s="1" t="s">
        <v>1255</v>
      </c>
      <c r="D565">
        <v>57</v>
      </c>
      <c r="E565" s="1" t="s">
        <v>812</v>
      </c>
      <c r="F565" s="3">
        <v>0.32222222222222224</v>
      </c>
    </row>
    <row r="566" spans="1:6" x14ac:dyDescent="0.3">
      <c r="A566" s="1" t="s">
        <v>1240</v>
      </c>
      <c r="B566" s="2">
        <v>45219</v>
      </c>
      <c r="C566" s="1" t="s">
        <v>1256</v>
      </c>
      <c r="D566">
        <v>22</v>
      </c>
      <c r="E566" s="1" t="s">
        <v>807</v>
      </c>
      <c r="F566" s="3">
        <v>0.92569444444444449</v>
      </c>
    </row>
    <row r="567" spans="1:6" x14ac:dyDescent="0.3">
      <c r="A567" s="1" t="s">
        <v>1240</v>
      </c>
      <c r="B567" s="2">
        <v>45212</v>
      </c>
      <c r="C567" s="1" t="s">
        <v>978</v>
      </c>
      <c r="D567">
        <v>112</v>
      </c>
      <c r="E567" s="1" t="s">
        <v>807</v>
      </c>
      <c r="F567" s="3">
        <v>0.31597222222222221</v>
      </c>
    </row>
    <row r="568" spans="1:6" x14ac:dyDescent="0.3">
      <c r="A568" s="1" t="s">
        <v>1240</v>
      </c>
      <c r="B568" s="2">
        <v>45210</v>
      </c>
      <c r="C568" s="1" t="s">
        <v>907</v>
      </c>
      <c r="D568">
        <v>85</v>
      </c>
      <c r="E568" s="1" t="s">
        <v>810</v>
      </c>
      <c r="F568" s="3">
        <v>0.39166666666666666</v>
      </c>
    </row>
    <row r="569" spans="1:6" x14ac:dyDescent="0.3">
      <c r="A569" s="1" t="s">
        <v>1240</v>
      </c>
      <c r="B569" s="2">
        <v>45214</v>
      </c>
      <c r="C569" s="1" t="s">
        <v>1257</v>
      </c>
      <c r="D569">
        <v>34</v>
      </c>
      <c r="E569" s="1" t="s">
        <v>812</v>
      </c>
      <c r="F569" s="3">
        <v>0.7368055555555556</v>
      </c>
    </row>
    <row r="570" spans="1:6" x14ac:dyDescent="0.3">
      <c r="A570" s="1" t="s">
        <v>1240</v>
      </c>
      <c r="B570" s="2">
        <v>45211</v>
      </c>
      <c r="C570" s="1" t="s">
        <v>1001</v>
      </c>
      <c r="D570">
        <v>13</v>
      </c>
      <c r="E570" s="1" t="s">
        <v>810</v>
      </c>
      <c r="F570" s="3">
        <v>0.38611111111111113</v>
      </c>
    </row>
    <row r="571" spans="1:6" x14ac:dyDescent="0.3">
      <c r="A571" s="1" t="s">
        <v>1240</v>
      </c>
      <c r="B571" s="2">
        <v>45211</v>
      </c>
      <c r="C571" s="1" t="s">
        <v>1258</v>
      </c>
      <c r="D571">
        <v>95</v>
      </c>
      <c r="E571" s="1" t="s">
        <v>810</v>
      </c>
      <c r="F571" s="3">
        <v>0.7055555555555556</v>
      </c>
    </row>
    <row r="572" spans="1:6" x14ac:dyDescent="0.3">
      <c r="A572" s="1" t="s">
        <v>1240</v>
      </c>
      <c r="B572" s="2">
        <v>45215</v>
      </c>
      <c r="C572" s="1" t="s">
        <v>1259</v>
      </c>
      <c r="D572">
        <v>24</v>
      </c>
      <c r="E572" s="1" t="s">
        <v>810</v>
      </c>
      <c r="F572" s="3">
        <v>0.58750000000000002</v>
      </c>
    </row>
    <row r="573" spans="1:6" x14ac:dyDescent="0.3">
      <c r="A573" s="1" t="s">
        <v>1240</v>
      </c>
      <c r="B573" s="2">
        <v>45225</v>
      </c>
      <c r="C573" s="1" t="s">
        <v>1091</v>
      </c>
      <c r="D573">
        <v>6</v>
      </c>
      <c r="E573" s="1" t="s">
        <v>807</v>
      </c>
      <c r="F573" s="3">
        <v>0.97916666666666663</v>
      </c>
    </row>
    <row r="574" spans="1:6" x14ac:dyDescent="0.3">
      <c r="A574" s="1" t="s">
        <v>1240</v>
      </c>
      <c r="B574" s="2">
        <v>45224</v>
      </c>
      <c r="C574" s="1" t="s">
        <v>831</v>
      </c>
      <c r="D574">
        <v>32</v>
      </c>
      <c r="E574" s="1" t="s">
        <v>807</v>
      </c>
      <c r="F574" s="3">
        <v>0.45694444444444443</v>
      </c>
    </row>
    <row r="575" spans="1:6" x14ac:dyDescent="0.3">
      <c r="A575" s="1" t="s">
        <v>1240</v>
      </c>
      <c r="B575" s="2">
        <v>45206</v>
      </c>
      <c r="C575" s="1" t="s">
        <v>1260</v>
      </c>
      <c r="D575">
        <v>69</v>
      </c>
      <c r="E575" s="1" t="s">
        <v>812</v>
      </c>
      <c r="F575" s="3">
        <v>0.47222222222222221</v>
      </c>
    </row>
    <row r="576" spans="1:6" x14ac:dyDescent="0.3">
      <c r="A576" s="1" t="s">
        <v>1240</v>
      </c>
      <c r="B576" s="2">
        <v>45213</v>
      </c>
      <c r="C576" s="1" t="s">
        <v>1146</v>
      </c>
      <c r="D576">
        <v>63</v>
      </c>
      <c r="E576" s="1" t="s">
        <v>807</v>
      </c>
      <c r="F576" s="3">
        <v>6.6666666666666666E-2</v>
      </c>
    </row>
    <row r="577" spans="1:6" x14ac:dyDescent="0.3">
      <c r="A577" s="1" t="s">
        <v>1240</v>
      </c>
      <c r="B577" s="2">
        <v>45227</v>
      </c>
      <c r="C577" s="1" t="s">
        <v>1261</v>
      </c>
      <c r="D577">
        <v>52</v>
      </c>
      <c r="E577" s="1" t="s">
        <v>807</v>
      </c>
      <c r="F577" s="3">
        <v>0.32430555555555557</v>
      </c>
    </row>
    <row r="578" spans="1:6" x14ac:dyDescent="0.3">
      <c r="A578" s="1" t="s">
        <v>1240</v>
      </c>
      <c r="B578" s="2">
        <v>45217</v>
      </c>
      <c r="C578" s="1" t="s">
        <v>965</v>
      </c>
      <c r="D578">
        <v>84</v>
      </c>
      <c r="E578" s="1" t="s">
        <v>807</v>
      </c>
      <c r="F578" s="3">
        <v>0.77569444444444446</v>
      </c>
    </row>
    <row r="579" spans="1:6" x14ac:dyDescent="0.3">
      <c r="A579" s="1" t="s">
        <v>1240</v>
      </c>
      <c r="B579" s="2">
        <v>45223</v>
      </c>
      <c r="C579" s="1" t="s">
        <v>1263</v>
      </c>
      <c r="D579">
        <v>86</v>
      </c>
      <c r="E579" s="1" t="s">
        <v>810</v>
      </c>
      <c r="F579" s="3">
        <v>0.5541666666666667</v>
      </c>
    </row>
    <row r="580" spans="1:6" x14ac:dyDescent="0.3">
      <c r="A580" s="1" t="s">
        <v>1240</v>
      </c>
      <c r="B580" s="2">
        <v>45204</v>
      </c>
      <c r="C580" s="1" t="s">
        <v>1193</v>
      </c>
      <c r="D580">
        <v>90</v>
      </c>
      <c r="E580" s="1" t="s">
        <v>812</v>
      </c>
      <c r="F580" s="3">
        <v>0.26458333333333334</v>
      </c>
    </row>
    <row r="581" spans="1:6" x14ac:dyDescent="0.3">
      <c r="A581" s="1" t="s">
        <v>1240</v>
      </c>
      <c r="B581" s="2">
        <v>45207</v>
      </c>
      <c r="C581" s="1" t="s">
        <v>1264</v>
      </c>
      <c r="D581">
        <v>83</v>
      </c>
      <c r="E581" s="1" t="s">
        <v>807</v>
      </c>
      <c r="F581" s="3">
        <v>0.52500000000000002</v>
      </c>
    </row>
    <row r="582" spans="1:6" x14ac:dyDescent="0.3">
      <c r="A582" s="1" t="s">
        <v>1240</v>
      </c>
      <c r="B582" s="2">
        <v>45226</v>
      </c>
      <c r="C582" s="1" t="s">
        <v>1265</v>
      </c>
      <c r="D582">
        <v>66</v>
      </c>
      <c r="E582" s="1" t="s">
        <v>812</v>
      </c>
      <c r="F582" s="3">
        <v>0.31319444444444444</v>
      </c>
    </row>
    <row r="583" spans="1:6" x14ac:dyDescent="0.3">
      <c r="A583" s="1" t="s">
        <v>1240</v>
      </c>
      <c r="B583" s="2">
        <v>45217</v>
      </c>
      <c r="C583" s="1" t="s">
        <v>1266</v>
      </c>
      <c r="D583">
        <v>89</v>
      </c>
      <c r="E583" s="1" t="s">
        <v>807</v>
      </c>
      <c r="F583" s="3">
        <v>0.86319444444444449</v>
      </c>
    </row>
    <row r="584" spans="1:6" x14ac:dyDescent="0.3">
      <c r="A584" s="1" t="s">
        <v>1240</v>
      </c>
      <c r="B584" s="2">
        <v>45210</v>
      </c>
      <c r="C584" s="1" t="s">
        <v>1267</v>
      </c>
      <c r="D584">
        <v>67</v>
      </c>
      <c r="E584" s="1" t="s">
        <v>810</v>
      </c>
      <c r="F584" s="3">
        <v>0.36666666666666664</v>
      </c>
    </row>
    <row r="585" spans="1:6" x14ac:dyDescent="0.3">
      <c r="A585" s="1" t="s">
        <v>1240</v>
      </c>
      <c r="B585" s="2">
        <v>45226</v>
      </c>
      <c r="C585" s="1" t="s">
        <v>1059</v>
      </c>
      <c r="D585">
        <v>7</v>
      </c>
      <c r="E585" s="1" t="s">
        <v>807</v>
      </c>
      <c r="F585" s="3">
        <v>0.65694444444444444</v>
      </c>
    </row>
    <row r="586" spans="1:6" x14ac:dyDescent="0.3">
      <c r="A586" s="1" t="s">
        <v>1268</v>
      </c>
      <c r="B586" s="2">
        <v>45224</v>
      </c>
      <c r="C586" s="1" t="s">
        <v>1269</v>
      </c>
      <c r="D586">
        <v>83</v>
      </c>
      <c r="E586" s="1" t="s">
        <v>810</v>
      </c>
      <c r="F586" s="3">
        <v>0.96388888888888891</v>
      </c>
    </row>
    <row r="587" spans="1:6" x14ac:dyDescent="0.3">
      <c r="A587" s="1" t="s">
        <v>1268</v>
      </c>
      <c r="B587" s="2">
        <v>45225</v>
      </c>
      <c r="C587" s="1" t="s">
        <v>1270</v>
      </c>
      <c r="D587">
        <v>30</v>
      </c>
      <c r="E587" s="1" t="s">
        <v>807</v>
      </c>
      <c r="F587" s="3">
        <v>0.94861111111111107</v>
      </c>
    </row>
    <row r="588" spans="1:6" x14ac:dyDescent="0.3">
      <c r="A588" s="1" t="s">
        <v>1268</v>
      </c>
      <c r="B588" s="2">
        <v>45202</v>
      </c>
      <c r="C588" s="1" t="s">
        <v>1271</v>
      </c>
      <c r="D588">
        <v>63</v>
      </c>
      <c r="E588" s="1" t="s">
        <v>810</v>
      </c>
      <c r="F588" s="3">
        <v>0.69930555555555551</v>
      </c>
    </row>
    <row r="589" spans="1:6" x14ac:dyDescent="0.3">
      <c r="A589" s="1" t="s">
        <v>1268</v>
      </c>
      <c r="B589" s="2">
        <v>45211</v>
      </c>
      <c r="C589" s="1" t="s">
        <v>1115</v>
      </c>
      <c r="D589">
        <v>18</v>
      </c>
      <c r="E589" s="1" t="s">
        <v>812</v>
      </c>
      <c r="F589" s="3">
        <v>4.583333333333333E-2</v>
      </c>
    </row>
    <row r="590" spans="1:6" x14ac:dyDescent="0.3">
      <c r="A590" s="1" t="s">
        <v>1268</v>
      </c>
      <c r="B590" s="2">
        <v>45213</v>
      </c>
      <c r="C590" s="1" t="s">
        <v>1272</v>
      </c>
      <c r="D590">
        <v>22</v>
      </c>
      <c r="E590" s="1" t="s">
        <v>812</v>
      </c>
      <c r="F590" s="3">
        <v>0.32847222222222222</v>
      </c>
    </row>
    <row r="591" spans="1:6" x14ac:dyDescent="0.3">
      <c r="A591" s="1" t="s">
        <v>1268</v>
      </c>
      <c r="B591" s="2">
        <v>45202</v>
      </c>
      <c r="C591" s="1" t="s">
        <v>1185</v>
      </c>
      <c r="D591">
        <v>43</v>
      </c>
      <c r="E591" s="1" t="s">
        <v>807</v>
      </c>
      <c r="F591" s="3">
        <v>0.44305555555555554</v>
      </c>
    </row>
    <row r="592" spans="1:6" x14ac:dyDescent="0.3">
      <c r="A592" s="1" t="s">
        <v>1268</v>
      </c>
      <c r="B592" s="2">
        <v>45224</v>
      </c>
      <c r="C592" s="1" t="s">
        <v>1029</v>
      </c>
      <c r="D592">
        <v>5</v>
      </c>
      <c r="E592" s="1" t="s">
        <v>812</v>
      </c>
      <c r="F592" s="3">
        <v>0.81805555555555554</v>
      </c>
    </row>
    <row r="593" spans="1:6" x14ac:dyDescent="0.3">
      <c r="A593" s="1" t="s">
        <v>1268</v>
      </c>
      <c r="B593" s="2">
        <v>45212</v>
      </c>
      <c r="C593" s="1" t="s">
        <v>1273</v>
      </c>
      <c r="D593">
        <v>55</v>
      </c>
      <c r="E593" s="1" t="s">
        <v>810</v>
      </c>
      <c r="F593" s="3">
        <v>0.41736111111111113</v>
      </c>
    </row>
    <row r="594" spans="1:6" x14ac:dyDescent="0.3">
      <c r="A594" s="1" t="s">
        <v>1268</v>
      </c>
      <c r="B594" s="2">
        <v>45220</v>
      </c>
      <c r="C594" s="1" t="s">
        <v>1274</v>
      </c>
      <c r="D594">
        <v>47</v>
      </c>
      <c r="E594" s="1" t="s">
        <v>812</v>
      </c>
      <c r="F594" s="3">
        <v>0.36805555555555558</v>
      </c>
    </row>
    <row r="595" spans="1:6" x14ac:dyDescent="0.3">
      <c r="A595" s="1" t="s">
        <v>1268</v>
      </c>
      <c r="B595" s="2">
        <v>45214</v>
      </c>
      <c r="C595" s="1" t="s">
        <v>1275</v>
      </c>
      <c r="D595">
        <v>112</v>
      </c>
      <c r="E595" s="1" t="s">
        <v>810</v>
      </c>
      <c r="F595" s="3">
        <v>0.63472222222222219</v>
      </c>
    </row>
    <row r="596" spans="1:6" x14ac:dyDescent="0.3">
      <c r="A596" s="1" t="s">
        <v>1268</v>
      </c>
      <c r="B596" s="2">
        <v>45211</v>
      </c>
      <c r="C596" s="1" t="s">
        <v>1116</v>
      </c>
      <c r="D596">
        <v>84</v>
      </c>
      <c r="E596" s="1" t="s">
        <v>812</v>
      </c>
      <c r="F596" s="3">
        <v>0.72499999999999998</v>
      </c>
    </row>
    <row r="597" spans="1:6" x14ac:dyDescent="0.3">
      <c r="A597" s="1" t="s">
        <v>1268</v>
      </c>
      <c r="B597" s="2">
        <v>45213</v>
      </c>
      <c r="C597" s="1" t="s">
        <v>1276</v>
      </c>
      <c r="D597">
        <v>53</v>
      </c>
      <c r="E597" s="1" t="s">
        <v>810</v>
      </c>
      <c r="F597" s="3">
        <v>0.23819444444444443</v>
      </c>
    </row>
    <row r="598" spans="1:6" x14ac:dyDescent="0.3">
      <c r="A598" s="1" t="s">
        <v>1268</v>
      </c>
      <c r="B598" s="2">
        <v>45218</v>
      </c>
      <c r="C598" s="1" t="s">
        <v>887</v>
      </c>
      <c r="D598">
        <v>107</v>
      </c>
      <c r="E598" s="1" t="s">
        <v>810</v>
      </c>
      <c r="F598" s="3">
        <v>0.89166666666666672</v>
      </c>
    </row>
    <row r="599" spans="1:6" x14ac:dyDescent="0.3">
      <c r="A599" s="1" t="s">
        <v>1268</v>
      </c>
      <c r="B599" s="2">
        <v>45202</v>
      </c>
      <c r="C599" s="1" t="s">
        <v>1277</v>
      </c>
      <c r="D599">
        <v>115</v>
      </c>
      <c r="E599" s="1" t="s">
        <v>810</v>
      </c>
      <c r="F599" s="3">
        <v>0.8041666666666667</v>
      </c>
    </row>
    <row r="600" spans="1:6" x14ac:dyDescent="0.3">
      <c r="A600" s="1" t="s">
        <v>1268</v>
      </c>
      <c r="B600" s="2">
        <v>45225</v>
      </c>
      <c r="C600" s="1" t="s">
        <v>1278</v>
      </c>
      <c r="D600">
        <v>47</v>
      </c>
      <c r="E600" s="1" t="s">
        <v>812</v>
      </c>
      <c r="F600" s="3">
        <v>0.32291666666666669</v>
      </c>
    </row>
    <row r="601" spans="1:6" x14ac:dyDescent="0.3">
      <c r="A601" s="1" t="s">
        <v>1268</v>
      </c>
      <c r="B601" s="2">
        <v>45202</v>
      </c>
      <c r="C601" s="1" t="s">
        <v>1279</v>
      </c>
      <c r="D601">
        <v>61</v>
      </c>
      <c r="E601" s="1" t="s">
        <v>810</v>
      </c>
      <c r="F601" s="3">
        <v>9.5138888888888884E-2</v>
      </c>
    </row>
    <row r="602" spans="1:6" x14ac:dyDescent="0.3">
      <c r="A602" s="1" t="s">
        <v>1268</v>
      </c>
      <c r="B602" s="2">
        <v>45204</v>
      </c>
      <c r="C602" s="1" t="s">
        <v>975</v>
      </c>
      <c r="D602">
        <v>47</v>
      </c>
      <c r="E602" s="1" t="s">
        <v>807</v>
      </c>
      <c r="F602" s="3">
        <v>0.53125</v>
      </c>
    </row>
    <row r="603" spans="1:6" x14ac:dyDescent="0.3">
      <c r="A603" s="1" t="s">
        <v>1268</v>
      </c>
      <c r="B603" s="2">
        <v>45225</v>
      </c>
      <c r="C603" s="1" t="s">
        <v>1280</v>
      </c>
      <c r="D603">
        <v>60</v>
      </c>
      <c r="E603" s="1" t="s">
        <v>812</v>
      </c>
      <c r="F603" s="3">
        <v>0.83958333333333335</v>
      </c>
    </row>
    <row r="604" spans="1:6" x14ac:dyDescent="0.3">
      <c r="A604" s="1" t="s">
        <v>1268</v>
      </c>
      <c r="B604" s="2">
        <v>45223</v>
      </c>
      <c r="C604" s="1" t="s">
        <v>1152</v>
      </c>
      <c r="D604">
        <v>109</v>
      </c>
      <c r="E604" s="1" t="s">
        <v>810</v>
      </c>
      <c r="F604" s="3">
        <v>0.51388888888888884</v>
      </c>
    </row>
    <row r="605" spans="1:6" x14ac:dyDescent="0.3">
      <c r="A605" s="1" t="s">
        <v>1268</v>
      </c>
      <c r="B605" s="2">
        <v>45211</v>
      </c>
      <c r="C605" s="1" t="s">
        <v>1281</v>
      </c>
      <c r="D605">
        <v>110</v>
      </c>
      <c r="E605" s="1" t="s">
        <v>810</v>
      </c>
      <c r="F605" s="3">
        <v>0.12847222222222221</v>
      </c>
    </row>
    <row r="606" spans="1:6" x14ac:dyDescent="0.3">
      <c r="A606" s="1" t="s">
        <v>1268</v>
      </c>
      <c r="B606" s="2">
        <v>45200</v>
      </c>
      <c r="C606" s="1" t="s">
        <v>1108</v>
      </c>
      <c r="D606">
        <v>115</v>
      </c>
      <c r="E606" s="1" t="s">
        <v>810</v>
      </c>
      <c r="F606" s="3">
        <v>0.39444444444444443</v>
      </c>
    </row>
    <row r="607" spans="1:6" x14ac:dyDescent="0.3">
      <c r="A607" s="1" t="s">
        <v>1268</v>
      </c>
      <c r="B607" s="2">
        <v>45211</v>
      </c>
      <c r="C607" s="1" t="s">
        <v>1282</v>
      </c>
      <c r="D607">
        <v>88</v>
      </c>
      <c r="E607" s="1" t="s">
        <v>810</v>
      </c>
      <c r="F607" s="3">
        <v>0.33750000000000002</v>
      </c>
    </row>
    <row r="608" spans="1:6" x14ac:dyDescent="0.3">
      <c r="A608" s="1" t="s">
        <v>1268</v>
      </c>
      <c r="B608" s="2">
        <v>45204</v>
      </c>
      <c r="C608" s="1" t="s">
        <v>1283</v>
      </c>
      <c r="D608">
        <v>81</v>
      </c>
      <c r="E608" s="1" t="s">
        <v>807</v>
      </c>
      <c r="F608" s="3">
        <v>9.0972222222222218E-2</v>
      </c>
    </row>
    <row r="609" spans="1:6" x14ac:dyDescent="0.3">
      <c r="A609" s="1" t="s">
        <v>1268</v>
      </c>
      <c r="B609" s="2">
        <v>45213</v>
      </c>
      <c r="C609" s="1" t="s">
        <v>1284</v>
      </c>
      <c r="D609">
        <v>22</v>
      </c>
      <c r="E609" s="1" t="s">
        <v>807</v>
      </c>
      <c r="F609" s="3">
        <v>0.60763888888888884</v>
      </c>
    </row>
    <row r="610" spans="1:6" x14ac:dyDescent="0.3">
      <c r="A610" s="1" t="s">
        <v>1268</v>
      </c>
      <c r="B610" s="2">
        <v>45217</v>
      </c>
      <c r="C610" s="1" t="s">
        <v>1006</v>
      </c>
      <c r="D610">
        <v>43</v>
      </c>
      <c r="E610" s="1" t="s">
        <v>807</v>
      </c>
      <c r="F610" s="3">
        <v>0.68472222222222223</v>
      </c>
    </row>
    <row r="611" spans="1:6" x14ac:dyDescent="0.3">
      <c r="A611" s="1" t="s">
        <v>1268</v>
      </c>
      <c r="B611" s="2">
        <v>45211</v>
      </c>
      <c r="C611" s="1" t="s">
        <v>1285</v>
      </c>
      <c r="D611">
        <v>82</v>
      </c>
      <c r="E611" s="1" t="s">
        <v>810</v>
      </c>
      <c r="F611" s="3">
        <v>0.71180555555555558</v>
      </c>
    </row>
    <row r="612" spans="1:6" x14ac:dyDescent="0.3">
      <c r="A612" s="1" t="s">
        <v>1268</v>
      </c>
      <c r="B612" s="2">
        <v>45219</v>
      </c>
      <c r="C612" s="1" t="s">
        <v>847</v>
      </c>
      <c r="D612">
        <v>93</v>
      </c>
      <c r="E612" s="1" t="s">
        <v>812</v>
      </c>
      <c r="F612" s="3">
        <v>0.82638888888888884</v>
      </c>
    </row>
    <row r="613" spans="1:6" x14ac:dyDescent="0.3">
      <c r="A613" s="1" t="s">
        <v>1268</v>
      </c>
      <c r="B613" s="2">
        <v>45210</v>
      </c>
      <c r="C613" s="1" t="s">
        <v>1286</v>
      </c>
      <c r="D613">
        <v>30</v>
      </c>
      <c r="E613" s="1" t="s">
        <v>807</v>
      </c>
      <c r="F613" s="3">
        <v>0.5</v>
      </c>
    </row>
    <row r="614" spans="1:6" x14ac:dyDescent="0.3">
      <c r="A614" s="1" t="s">
        <v>1268</v>
      </c>
      <c r="B614" s="2">
        <v>45209</v>
      </c>
      <c r="C614" s="1" t="s">
        <v>1287</v>
      </c>
      <c r="D614">
        <v>66</v>
      </c>
      <c r="E614" s="1" t="s">
        <v>810</v>
      </c>
      <c r="F614" s="3">
        <v>0.55833333333333335</v>
      </c>
    </row>
    <row r="615" spans="1:6" x14ac:dyDescent="0.3">
      <c r="A615" s="1" t="s">
        <v>1268</v>
      </c>
      <c r="B615" s="2">
        <v>45224</v>
      </c>
      <c r="C615" s="1" t="s">
        <v>1288</v>
      </c>
      <c r="D615">
        <v>45</v>
      </c>
      <c r="E615" s="1" t="s">
        <v>810</v>
      </c>
      <c r="F615" s="3">
        <v>0.11527777777777778</v>
      </c>
    </row>
    <row r="616" spans="1:6" x14ac:dyDescent="0.3">
      <c r="A616" s="1" t="s">
        <v>1268</v>
      </c>
      <c r="B616" s="2">
        <v>45228</v>
      </c>
      <c r="C616" s="1" t="s">
        <v>1267</v>
      </c>
      <c r="D616">
        <v>27</v>
      </c>
      <c r="E616" s="1" t="s">
        <v>807</v>
      </c>
      <c r="F616" s="3">
        <v>0.74791666666666667</v>
      </c>
    </row>
    <row r="617" spans="1:6" x14ac:dyDescent="0.3">
      <c r="A617" s="1" t="s">
        <v>1268</v>
      </c>
      <c r="B617" s="2">
        <v>45207</v>
      </c>
      <c r="C617" s="1" t="s">
        <v>1258</v>
      </c>
      <c r="D617">
        <v>55</v>
      </c>
      <c r="E617" s="1" t="s">
        <v>810</v>
      </c>
      <c r="F617" s="3">
        <v>0.7729166666666667</v>
      </c>
    </row>
    <row r="618" spans="1:6" x14ac:dyDescent="0.3">
      <c r="A618" s="1" t="s">
        <v>1268</v>
      </c>
      <c r="B618" s="2">
        <v>45205</v>
      </c>
      <c r="C618" s="1" t="s">
        <v>1258</v>
      </c>
      <c r="D618">
        <v>45</v>
      </c>
      <c r="E618" s="1" t="s">
        <v>810</v>
      </c>
      <c r="F618" s="3">
        <v>0.89166666666666672</v>
      </c>
    </row>
    <row r="619" spans="1:6" x14ac:dyDescent="0.3">
      <c r="A619" s="1" t="s">
        <v>1268</v>
      </c>
      <c r="B619" s="2">
        <v>45205</v>
      </c>
      <c r="C619" s="1" t="s">
        <v>1289</v>
      </c>
      <c r="D619">
        <v>42</v>
      </c>
      <c r="E619" s="1" t="s">
        <v>810</v>
      </c>
      <c r="F619" s="3">
        <v>0.17847222222222223</v>
      </c>
    </row>
    <row r="620" spans="1:6" x14ac:dyDescent="0.3">
      <c r="A620" s="1" t="s">
        <v>1268</v>
      </c>
      <c r="B620" s="2">
        <v>45209</v>
      </c>
      <c r="C620" s="1" t="s">
        <v>1223</v>
      </c>
      <c r="D620">
        <v>99</v>
      </c>
      <c r="E620" s="1" t="s">
        <v>810</v>
      </c>
      <c r="F620" s="3">
        <v>0.35486111111111113</v>
      </c>
    </row>
    <row r="621" spans="1:6" x14ac:dyDescent="0.3">
      <c r="A621" s="1" t="s">
        <v>1268</v>
      </c>
      <c r="B621" s="2">
        <v>45204</v>
      </c>
      <c r="C621" s="1" t="s">
        <v>1290</v>
      </c>
      <c r="D621">
        <v>93</v>
      </c>
      <c r="E621" s="1" t="s">
        <v>812</v>
      </c>
      <c r="F621" s="3">
        <v>9.0277777777777776E-2</v>
      </c>
    </row>
    <row r="622" spans="1:6" x14ac:dyDescent="0.3">
      <c r="A622" s="1" t="s">
        <v>1268</v>
      </c>
      <c r="B622" s="2">
        <v>45213</v>
      </c>
      <c r="C622" s="1" t="s">
        <v>1291</v>
      </c>
      <c r="D622">
        <v>86</v>
      </c>
      <c r="E622" s="1" t="s">
        <v>812</v>
      </c>
      <c r="F622" s="3">
        <v>0.35138888888888886</v>
      </c>
    </row>
    <row r="623" spans="1:6" x14ac:dyDescent="0.3">
      <c r="A623" s="1" t="s">
        <v>1268</v>
      </c>
      <c r="B623" s="2">
        <v>45209</v>
      </c>
      <c r="C623" s="1" t="s">
        <v>1065</v>
      </c>
      <c r="D623">
        <v>67</v>
      </c>
      <c r="E623" s="1" t="s">
        <v>812</v>
      </c>
      <c r="F623" s="3">
        <v>0.65972222222222221</v>
      </c>
    </row>
    <row r="624" spans="1:6" x14ac:dyDescent="0.3">
      <c r="A624" s="1" t="s">
        <v>1268</v>
      </c>
      <c r="B624" s="2">
        <v>45202</v>
      </c>
      <c r="C624" s="1" t="s">
        <v>1292</v>
      </c>
      <c r="D624">
        <v>78</v>
      </c>
      <c r="E624" s="1" t="s">
        <v>807</v>
      </c>
      <c r="F624" s="3">
        <v>0.46944444444444444</v>
      </c>
    </row>
    <row r="625" spans="1:6" x14ac:dyDescent="0.3">
      <c r="A625" s="1" t="s">
        <v>1268</v>
      </c>
      <c r="B625" s="2">
        <v>45230</v>
      </c>
      <c r="C625" s="1" t="s">
        <v>948</v>
      </c>
      <c r="D625">
        <v>105</v>
      </c>
      <c r="E625" s="1" t="s">
        <v>807</v>
      </c>
      <c r="F625" s="3">
        <v>0.32361111111111113</v>
      </c>
    </row>
    <row r="626" spans="1:6" x14ac:dyDescent="0.3">
      <c r="A626" s="1" t="s">
        <v>1268</v>
      </c>
      <c r="B626" s="2">
        <v>45220</v>
      </c>
      <c r="C626" s="1" t="s">
        <v>978</v>
      </c>
      <c r="D626">
        <v>36</v>
      </c>
      <c r="E626" s="1" t="s">
        <v>807</v>
      </c>
      <c r="F626" s="3">
        <v>0.65138888888888891</v>
      </c>
    </row>
    <row r="627" spans="1:6" x14ac:dyDescent="0.3">
      <c r="A627" s="1" t="s">
        <v>1293</v>
      </c>
      <c r="B627" s="2">
        <v>45207</v>
      </c>
      <c r="C627" s="1" t="s">
        <v>931</v>
      </c>
      <c r="D627">
        <v>59</v>
      </c>
      <c r="E627" s="1" t="s">
        <v>807</v>
      </c>
      <c r="F627" s="3">
        <v>0.59930555555555554</v>
      </c>
    </row>
    <row r="628" spans="1:6" x14ac:dyDescent="0.3">
      <c r="A628" s="1" t="s">
        <v>1293</v>
      </c>
      <c r="B628" s="2">
        <v>45212</v>
      </c>
      <c r="C628" s="1" t="s">
        <v>1294</v>
      </c>
      <c r="D628">
        <v>28</v>
      </c>
      <c r="E628" s="1" t="s">
        <v>807</v>
      </c>
      <c r="F628" s="3">
        <v>0.61736111111111114</v>
      </c>
    </row>
    <row r="629" spans="1:6" x14ac:dyDescent="0.3">
      <c r="A629" s="1" t="s">
        <v>1293</v>
      </c>
      <c r="B629" s="2">
        <v>45221</v>
      </c>
      <c r="C629" s="1" t="s">
        <v>1219</v>
      </c>
      <c r="D629">
        <v>67</v>
      </c>
      <c r="E629" s="1" t="s">
        <v>807</v>
      </c>
      <c r="F629" s="3">
        <v>0.78055555555555556</v>
      </c>
    </row>
    <row r="630" spans="1:6" x14ac:dyDescent="0.3">
      <c r="A630" s="1" t="s">
        <v>1293</v>
      </c>
      <c r="B630" s="2">
        <v>45216</v>
      </c>
      <c r="C630" s="1" t="s">
        <v>1295</v>
      </c>
      <c r="D630">
        <v>86</v>
      </c>
      <c r="E630" s="1" t="s">
        <v>810</v>
      </c>
      <c r="F630" s="3">
        <v>0.18194444444444444</v>
      </c>
    </row>
    <row r="631" spans="1:6" x14ac:dyDescent="0.3">
      <c r="A631" s="1" t="s">
        <v>1293</v>
      </c>
      <c r="B631" s="2">
        <v>45200</v>
      </c>
      <c r="C631" s="1" t="s">
        <v>1095</v>
      </c>
      <c r="D631">
        <v>73</v>
      </c>
      <c r="E631" s="1" t="s">
        <v>810</v>
      </c>
      <c r="F631" s="3">
        <v>0.62916666666666665</v>
      </c>
    </row>
    <row r="632" spans="1:6" x14ac:dyDescent="0.3">
      <c r="A632" s="1" t="s">
        <v>1293</v>
      </c>
      <c r="B632" s="2">
        <v>45209</v>
      </c>
      <c r="C632" s="1" t="s">
        <v>1296</v>
      </c>
      <c r="D632">
        <v>93</v>
      </c>
      <c r="E632" s="1" t="s">
        <v>810</v>
      </c>
      <c r="F632" s="3">
        <v>0.58194444444444449</v>
      </c>
    </row>
    <row r="633" spans="1:6" x14ac:dyDescent="0.3">
      <c r="A633" s="1" t="s">
        <v>1293</v>
      </c>
      <c r="B633" s="2">
        <v>45230</v>
      </c>
      <c r="C633" s="1" t="s">
        <v>1187</v>
      </c>
      <c r="D633">
        <v>87</v>
      </c>
      <c r="E633" s="1" t="s">
        <v>812</v>
      </c>
      <c r="F633" s="3">
        <v>8.819444444444445E-2</v>
      </c>
    </row>
    <row r="634" spans="1:6" x14ac:dyDescent="0.3">
      <c r="A634" s="1" t="s">
        <v>1293</v>
      </c>
      <c r="B634" s="2">
        <v>45226</v>
      </c>
      <c r="C634" s="1" t="s">
        <v>1297</v>
      </c>
      <c r="D634">
        <v>27</v>
      </c>
      <c r="E634" s="1" t="s">
        <v>810</v>
      </c>
      <c r="F634" s="3">
        <v>0.96458333333333335</v>
      </c>
    </row>
    <row r="635" spans="1:6" x14ac:dyDescent="0.3">
      <c r="A635" s="1" t="s">
        <v>1293</v>
      </c>
      <c r="B635" s="2">
        <v>45211</v>
      </c>
      <c r="C635" s="1" t="s">
        <v>1298</v>
      </c>
      <c r="D635">
        <v>76</v>
      </c>
      <c r="E635" s="1" t="s">
        <v>810</v>
      </c>
      <c r="F635" s="3">
        <v>0.38958333333333334</v>
      </c>
    </row>
    <row r="636" spans="1:6" x14ac:dyDescent="0.3">
      <c r="A636" s="1" t="s">
        <v>1293</v>
      </c>
      <c r="B636" s="2">
        <v>45214</v>
      </c>
      <c r="C636" s="1" t="s">
        <v>981</v>
      </c>
      <c r="D636">
        <v>26</v>
      </c>
      <c r="E636" s="1" t="s">
        <v>810</v>
      </c>
      <c r="F636" s="3">
        <v>0.27291666666666664</v>
      </c>
    </row>
    <row r="637" spans="1:6" x14ac:dyDescent="0.3">
      <c r="A637" s="1" t="s">
        <v>1293</v>
      </c>
      <c r="B637" s="2">
        <v>45215</v>
      </c>
      <c r="C637" s="1" t="s">
        <v>925</v>
      </c>
      <c r="D637">
        <v>67</v>
      </c>
      <c r="E637" s="1" t="s">
        <v>812</v>
      </c>
      <c r="F637" s="3">
        <v>0.47916666666666669</v>
      </c>
    </row>
    <row r="638" spans="1:6" x14ac:dyDescent="0.3">
      <c r="A638" s="1" t="s">
        <v>1293</v>
      </c>
      <c r="B638" s="2">
        <v>45203</v>
      </c>
      <c r="C638" s="1" t="s">
        <v>1299</v>
      </c>
      <c r="D638">
        <v>41</v>
      </c>
      <c r="E638" s="1" t="s">
        <v>807</v>
      </c>
      <c r="F638" s="3">
        <v>0.61527777777777781</v>
      </c>
    </row>
    <row r="639" spans="1:6" x14ac:dyDescent="0.3">
      <c r="A639" s="1" t="s">
        <v>1293</v>
      </c>
      <c r="B639" s="2">
        <v>45222</v>
      </c>
      <c r="C639" s="1" t="s">
        <v>1002</v>
      </c>
      <c r="D639">
        <v>22</v>
      </c>
      <c r="E639" s="1" t="s">
        <v>810</v>
      </c>
      <c r="F639" s="3">
        <v>0.59722222222222221</v>
      </c>
    </row>
    <row r="640" spans="1:6" x14ac:dyDescent="0.3">
      <c r="A640" s="1" t="s">
        <v>1293</v>
      </c>
      <c r="B640" s="2">
        <v>45202</v>
      </c>
      <c r="C640" s="1" t="s">
        <v>1300</v>
      </c>
      <c r="D640">
        <v>28</v>
      </c>
      <c r="E640" s="1" t="s">
        <v>807</v>
      </c>
      <c r="F640" s="3">
        <v>0.37638888888888888</v>
      </c>
    </row>
    <row r="641" spans="1:6" x14ac:dyDescent="0.3">
      <c r="A641" s="1" t="s">
        <v>1293</v>
      </c>
      <c r="B641" s="2">
        <v>45225</v>
      </c>
      <c r="C641" s="1" t="s">
        <v>1236</v>
      </c>
      <c r="D641">
        <v>45</v>
      </c>
      <c r="E641" s="1" t="s">
        <v>807</v>
      </c>
      <c r="F641" s="3">
        <v>0.92152777777777772</v>
      </c>
    </row>
    <row r="642" spans="1:6" x14ac:dyDescent="0.3">
      <c r="A642" s="1" t="s">
        <v>1293</v>
      </c>
      <c r="B642" s="2">
        <v>45200</v>
      </c>
      <c r="C642" s="1" t="s">
        <v>1301</v>
      </c>
      <c r="D642">
        <v>112</v>
      </c>
      <c r="E642" s="1" t="s">
        <v>807</v>
      </c>
      <c r="F642" s="3">
        <v>0.44513888888888886</v>
      </c>
    </row>
    <row r="643" spans="1:6" x14ac:dyDescent="0.3">
      <c r="A643" s="1" t="s">
        <v>1293</v>
      </c>
      <c r="B643" s="2">
        <v>45203</v>
      </c>
      <c r="C643" s="1" t="s">
        <v>1273</v>
      </c>
      <c r="D643">
        <v>62</v>
      </c>
      <c r="E643" s="1" t="s">
        <v>807</v>
      </c>
      <c r="F643" s="3">
        <v>0.91041666666666665</v>
      </c>
    </row>
    <row r="644" spans="1:6" x14ac:dyDescent="0.3">
      <c r="A644" s="1" t="s">
        <v>1293</v>
      </c>
      <c r="B644" s="2">
        <v>45205</v>
      </c>
      <c r="C644" s="1" t="s">
        <v>1302</v>
      </c>
      <c r="D644">
        <v>84</v>
      </c>
      <c r="E644" s="1" t="s">
        <v>810</v>
      </c>
      <c r="F644" s="3">
        <v>0.96875</v>
      </c>
    </row>
    <row r="645" spans="1:6" x14ac:dyDescent="0.3">
      <c r="A645" s="1" t="s">
        <v>1293</v>
      </c>
      <c r="B645" s="2">
        <v>45216</v>
      </c>
      <c r="C645" s="1" t="s">
        <v>1303</v>
      </c>
      <c r="D645">
        <v>11</v>
      </c>
      <c r="E645" s="1" t="s">
        <v>812</v>
      </c>
      <c r="F645" s="3">
        <v>0.2326388888888889</v>
      </c>
    </row>
    <row r="646" spans="1:6" x14ac:dyDescent="0.3">
      <c r="A646" s="1" t="s">
        <v>1293</v>
      </c>
      <c r="B646" s="2">
        <v>45205</v>
      </c>
      <c r="C646" s="1" t="s">
        <v>1304</v>
      </c>
      <c r="D646">
        <v>115</v>
      </c>
      <c r="E646" s="1" t="s">
        <v>810</v>
      </c>
      <c r="F646" s="3">
        <v>0.44097222222222221</v>
      </c>
    </row>
    <row r="647" spans="1:6" x14ac:dyDescent="0.3">
      <c r="A647" s="1" t="s">
        <v>1293</v>
      </c>
      <c r="B647" s="2">
        <v>45213</v>
      </c>
      <c r="C647" s="1" t="s">
        <v>1228</v>
      </c>
      <c r="D647">
        <v>50</v>
      </c>
      <c r="E647" s="1" t="s">
        <v>812</v>
      </c>
      <c r="F647" s="3">
        <v>0.59305555555555556</v>
      </c>
    </row>
    <row r="648" spans="1:6" x14ac:dyDescent="0.3">
      <c r="A648" s="1" t="s">
        <v>1293</v>
      </c>
      <c r="B648" s="2">
        <v>45225</v>
      </c>
      <c r="C648" s="1" t="s">
        <v>1305</v>
      </c>
      <c r="D648">
        <v>6</v>
      </c>
      <c r="E648" s="1" t="s">
        <v>810</v>
      </c>
      <c r="F648" s="3">
        <v>0.52777777777777779</v>
      </c>
    </row>
    <row r="649" spans="1:6" x14ac:dyDescent="0.3">
      <c r="A649" s="1" t="s">
        <v>1293</v>
      </c>
      <c r="B649" s="2">
        <v>45205</v>
      </c>
      <c r="C649" s="1" t="s">
        <v>989</v>
      </c>
      <c r="D649">
        <v>67</v>
      </c>
      <c r="E649" s="1" t="s">
        <v>810</v>
      </c>
      <c r="F649" s="3">
        <v>0.2361111111111111</v>
      </c>
    </row>
    <row r="650" spans="1:6" x14ac:dyDescent="0.3">
      <c r="A650" s="1" t="s">
        <v>1293</v>
      </c>
      <c r="B650" s="2">
        <v>45221</v>
      </c>
      <c r="C650" s="1" t="s">
        <v>1306</v>
      </c>
      <c r="D650">
        <v>22</v>
      </c>
      <c r="E650" s="1" t="s">
        <v>807</v>
      </c>
      <c r="F650" s="3">
        <v>0.55902777777777779</v>
      </c>
    </row>
    <row r="651" spans="1:6" x14ac:dyDescent="0.3">
      <c r="A651" s="1" t="s">
        <v>1293</v>
      </c>
      <c r="B651" s="2">
        <v>45200</v>
      </c>
      <c r="C651" s="1" t="s">
        <v>997</v>
      </c>
      <c r="D651">
        <v>29</v>
      </c>
      <c r="E651" s="1" t="s">
        <v>812</v>
      </c>
      <c r="F651" s="3">
        <v>0.98541666666666672</v>
      </c>
    </row>
    <row r="652" spans="1:6" x14ac:dyDescent="0.3">
      <c r="A652" s="1" t="s">
        <v>1293</v>
      </c>
      <c r="B652" s="2">
        <v>45228</v>
      </c>
      <c r="C652" s="1" t="s">
        <v>896</v>
      </c>
      <c r="D652">
        <v>109</v>
      </c>
      <c r="E652" s="1" t="s">
        <v>810</v>
      </c>
      <c r="F652" s="3">
        <v>0.26944444444444443</v>
      </c>
    </row>
    <row r="653" spans="1:6" x14ac:dyDescent="0.3">
      <c r="A653" s="1" t="s">
        <v>1293</v>
      </c>
      <c r="B653" s="2">
        <v>45218</v>
      </c>
      <c r="C653" s="1" t="s">
        <v>999</v>
      </c>
      <c r="D653">
        <v>54</v>
      </c>
      <c r="E653" s="1" t="s">
        <v>812</v>
      </c>
      <c r="F653" s="3">
        <v>0.55833333333333335</v>
      </c>
    </row>
    <row r="654" spans="1:6" x14ac:dyDescent="0.3">
      <c r="A654" s="1" t="s">
        <v>1293</v>
      </c>
      <c r="B654" s="2">
        <v>45200</v>
      </c>
      <c r="C654" s="1" t="s">
        <v>814</v>
      </c>
      <c r="D654">
        <v>76</v>
      </c>
      <c r="E654" s="1" t="s">
        <v>812</v>
      </c>
      <c r="F654" s="3">
        <v>0.92569444444444449</v>
      </c>
    </row>
    <row r="655" spans="1:6" x14ac:dyDescent="0.3">
      <c r="A655" s="1" t="s">
        <v>1293</v>
      </c>
      <c r="B655" s="2">
        <v>45206</v>
      </c>
      <c r="C655" s="1" t="s">
        <v>1026</v>
      </c>
      <c r="D655">
        <v>69</v>
      </c>
      <c r="E655" s="1" t="s">
        <v>810</v>
      </c>
      <c r="F655" s="3">
        <v>0.36666666666666664</v>
      </c>
    </row>
    <row r="656" spans="1:6" x14ac:dyDescent="0.3">
      <c r="A656" s="1" t="s">
        <v>1293</v>
      </c>
      <c r="B656" s="2">
        <v>45222</v>
      </c>
      <c r="C656" s="1" t="s">
        <v>1307</v>
      </c>
      <c r="D656">
        <v>88</v>
      </c>
      <c r="E656" s="1" t="s">
        <v>812</v>
      </c>
      <c r="F656" s="3">
        <v>0.10833333333333334</v>
      </c>
    </row>
    <row r="657" spans="1:6" x14ac:dyDescent="0.3">
      <c r="A657" s="1" t="s">
        <v>1293</v>
      </c>
      <c r="B657" s="2">
        <v>45203</v>
      </c>
      <c r="C657" s="1" t="s">
        <v>1308</v>
      </c>
      <c r="D657">
        <v>68</v>
      </c>
      <c r="E657" s="1" t="s">
        <v>810</v>
      </c>
      <c r="F657" s="3">
        <v>0.71597222222222223</v>
      </c>
    </row>
    <row r="658" spans="1:6" x14ac:dyDescent="0.3">
      <c r="A658" s="1" t="s">
        <v>1293</v>
      </c>
      <c r="B658" s="2">
        <v>45211</v>
      </c>
      <c r="C658" s="1" t="s">
        <v>973</v>
      </c>
      <c r="D658">
        <v>57</v>
      </c>
      <c r="E658" s="1" t="s">
        <v>810</v>
      </c>
      <c r="F658" s="3">
        <v>0.42499999999999999</v>
      </c>
    </row>
    <row r="659" spans="1:6" x14ac:dyDescent="0.3">
      <c r="A659" s="1" t="s">
        <v>1293</v>
      </c>
      <c r="B659" s="2">
        <v>45214</v>
      </c>
      <c r="C659" s="1" t="s">
        <v>1309</v>
      </c>
      <c r="D659">
        <v>92</v>
      </c>
      <c r="E659" s="1" t="s">
        <v>807</v>
      </c>
      <c r="F659" s="3">
        <v>0.1361111111111111</v>
      </c>
    </row>
    <row r="660" spans="1:6" x14ac:dyDescent="0.3">
      <c r="A660" s="1" t="s">
        <v>1293</v>
      </c>
      <c r="B660" s="2">
        <v>45221</v>
      </c>
      <c r="C660" s="1" t="s">
        <v>1310</v>
      </c>
      <c r="D660">
        <v>67</v>
      </c>
      <c r="E660" s="1" t="s">
        <v>807</v>
      </c>
      <c r="F660" s="3">
        <v>0.6479166666666667</v>
      </c>
    </row>
    <row r="661" spans="1:6" x14ac:dyDescent="0.3">
      <c r="A661" s="1" t="s">
        <v>1293</v>
      </c>
      <c r="B661" s="2">
        <v>45230</v>
      </c>
      <c r="C661" s="1" t="s">
        <v>866</v>
      </c>
      <c r="D661">
        <v>58</v>
      </c>
      <c r="E661" s="1" t="s">
        <v>812</v>
      </c>
      <c r="F661" s="3">
        <v>0.84722222222222221</v>
      </c>
    </row>
    <row r="662" spans="1:6" x14ac:dyDescent="0.3">
      <c r="A662" s="1" t="s">
        <v>1293</v>
      </c>
      <c r="B662" s="2">
        <v>45219</v>
      </c>
      <c r="C662" s="1" t="s">
        <v>1215</v>
      </c>
      <c r="D662">
        <v>95</v>
      </c>
      <c r="E662" s="1" t="s">
        <v>807</v>
      </c>
      <c r="F662" s="3">
        <v>0.52708333333333335</v>
      </c>
    </row>
    <row r="663" spans="1:6" x14ac:dyDescent="0.3">
      <c r="A663" s="1" t="s">
        <v>1293</v>
      </c>
      <c r="B663" s="2">
        <v>45212</v>
      </c>
      <c r="C663" s="1" t="s">
        <v>922</v>
      </c>
      <c r="D663">
        <v>112</v>
      </c>
      <c r="E663" s="1" t="s">
        <v>812</v>
      </c>
      <c r="F663" s="3">
        <v>0.75486111111111109</v>
      </c>
    </row>
    <row r="664" spans="1:6" x14ac:dyDescent="0.3">
      <c r="A664" s="1" t="s">
        <v>1293</v>
      </c>
      <c r="B664" s="2">
        <v>45211</v>
      </c>
      <c r="C664" s="1" t="s">
        <v>923</v>
      </c>
      <c r="D664">
        <v>61</v>
      </c>
      <c r="E664" s="1" t="s">
        <v>810</v>
      </c>
      <c r="F664" s="3">
        <v>0.49583333333333335</v>
      </c>
    </row>
    <row r="665" spans="1:6" x14ac:dyDescent="0.3">
      <c r="A665" s="1" t="s">
        <v>1293</v>
      </c>
      <c r="B665" s="2">
        <v>45214</v>
      </c>
      <c r="C665" s="1" t="s">
        <v>1311</v>
      </c>
      <c r="D665">
        <v>67</v>
      </c>
      <c r="E665" s="1" t="s">
        <v>807</v>
      </c>
      <c r="F665" s="3">
        <v>0.7993055555555556</v>
      </c>
    </row>
    <row r="666" spans="1:6" x14ac:dyDescent="0.3">
      <c r="A666" s="1" t="s">
        <v>1293</v>
      </c>
      <c r="B666" s="2">
        <v>45226</v>
      </c>
      <c r="C666" s="1" t="s">
        <v>1123</v>
      </c>
      <c r="D666">
        <v>26</v>
      </c>
      <c r="E666" s="1" t="s">
        <v>810</v>
      </c>
      <c r="F666" s="3">
        <v>0.90625</v>
      </c>
    </row>
    <row r="667" spans="1:6" x14ac:dyDescent="0.3">
      <c r="A667" s="1" t="s">
        <v>1293</v>
      </c>
      <c r="B667" s="2">
        <v>45225</v>
      </c>
      <c r="C667" s="1" t="s">
        <v>1312</v>
      </c>
      <c r="D667">
        <v>15</v>
      </c>
      <c r="E667" s="1" t="s">
        <v>807</v>
      </c>
      <c r="F667" s="3">
        <v>0.4152777777777778</v>
      </c>
    </row>
    <row r="668" spans="1:6" x14ac:dyDescent="0.3">
      <c r="A668" s="1" t="s">
        <v>1293</v>
      </c>
      <c r="B668" s="2">
        <v>45219</v>
      </c>
      <c r="C668" s="1" t="s">
        <v>920</v>
      </c>
      <c r="D668">
        <v>77</v>
      </c>
      <c r="E668" s="1" t="s">
        <v>807</v>
      </c>
      <c r="F668" s="3">
        <v>0.75347222222222221</v>
      </c>
    </row>
    <row r="669" spans="1:6" x14ac:dyDescent="0.3">
      <c r="A669" s="1" t="s">
        <v>1293</v>
      </c>
      <c r="B669" s="2">
        <v>45221</v>
      </c>
      <c r="C669" s="1" t="s">
        <v>815</v>
      </c>
      <c r="D669">
        <v>8</v>
      </c>
      <c r="E669" s="1" t="s">
        <v>807</v>
      </c>
      <c r="F669" s="3">
        <v>0.18055555555555555</v>
      </c>
    </row>
    <row r="670" spans="1:6" x14ac:dyDescent="0.3">
      <c r="A670" s="1" t="s">
        <v>1293</v>
      </c>
      <c r="B670" s="2">
        <v>45203</v>
      </c>
      <c r="C670" s="1" t="s">
        <v>1217</v>
      </c>
      <c r="D670">
        <v>106</v>
      </c>
      <c r="E670" s="1" t="s">
        <v>810</v>
      </c>
      <c r="F670" s="3">
        <v>0.30486111111111114</v>
      </c>
    </row>
    <row r="671" spans="1:6" x14ac:dyDescent="0.3">
      <c r="A671" s="1" t="s">
        <v>1293</v>
      </c>
      <c r="B671" s="2">
        <v>45203</v>
      </c>
      <c r="C671" s="1" t="s">
        <v>918</v>
      </c>
      <c r="D671">
        <v>102</v>
      </c>
      <c r="E671" s="1" t="s">
        <v>812</v>
      </c>
      <c r="F671" s="3">
        <v>0.22430555555555556</v>
      </c>
    </row>
    <row r="672" spans="1:6" x14ac:dyDescent="0.3">
      <c r="A672" s="1" t="s">
        <v>1293</v>
      </c>
      <c r="B672" s="2">
        <v>45222</v>
      </c>
      <c r="C672" s="1" t="s">
        <v>1115</v>
      </c>
      <c r="D672">
        <v>33</v>
      </c>
      <c r="E672" s="1" t="s">
        <v>807</v>
      </c>
      <c r="F672" s="3">
        <v>0.18888888888888888</v>
      </c>
    </row>
    <row r="673" spans="1:6" x14ac:dyDescent="0.3">
      <c r="A673" s="1" t="s">
        <v>1293</v>
      </c>
      <c r="B673" s="2">
        <v>45212</v>
      </c>
      <c r="C673" s="1" t="s">
        <v>1313</v>
      </c>
      <c r="D673">
        <v>42</v>
      </c>
      <c r="E673" s="1" t="s">
        <v>810</v>
      </c>
      <c r="F673" s="3">
        <v>0.56805555555555554</v>
      </c>
    </row>
    <row r="674" spans="1:6" x14ac:dyDescent="0.3">
      <c r="A674" s="1" t="s">
        <v>1293</v>
      </c>
      <c r="B674" s="2">
        <v>45204</v>
      </c>
      <c r="C674" s="1" t="s">
        <v>1314</v>
      </c>
      <c r="D674">
        <v>9</v>
      </c>
      <c r="E674" s="1" t="s">
        <v>812</v>
      </c>
      <c r="F674" s="3">
        <v>0.76666666666666672</v>
      </c>
    </row>
    <row r="675" spans="1:6" x14ac:dyDescent="0.3">
      <c r="A675" s="1" t="s">
        <v>1315</v>
      </c>
      <c r="B675" s="2">
        <v>45202</v>
      </c>
      <c r="C675" s="1" t="s">
        <v>1015</v>
      </c>
      <c r="D675">
        <v>91</v>
      </c>
      <c r="E675" s="1" t="s">
        <v>810</v>
      </c>
      <c r="F675" s="3">
        <v>0.86805555555555558</v>
      </c>
    </row>
    <row r="676" spans="1:6" x14ac:dyDescent="0.3">
      <c r="A676" s="1" t="s">
        <v>1315</v>
      </c>
      <c r="B676" s="2">
        <v>45228</v>
      </c>
      <c r="C676" s="1" t="s">
        <v>1061</v>
      </c>
      <c r="D676">
        <v>23</v>
      </c>
      <c r="E676" s="1" t="s">
        <v>812</v>
      </c>
      <c r="F676" s="3">
        <v>0.10069444444444445</v>
      </c>
    </row>
    <row r="677" spans="1:6" x14ac:dyDescent="0.3">
      <c r="A677" s="1" t="s">
        <v>1315</v>
      </c>
      <c r="B677" s="2">
        <v>45216</v>
      </c>
      <c r="C677" s="1" t="s">
        <v>1131</v>
      </c>
      <c r="D677">
        <v>13</v>
      </c>
      <c r="E677" s="1" t="s">
        <v>812</v>
      </c>
      <c r="F677" s="3">
        <v>0.97013888888888888</v>
      </c>
    </row>
    <row r="678" spans="1:6" x14ac:dyDescent="0.3">
      <c r="A678" s="1" t="s">
        <v>1315</v>
      </c>
      <c r="B678" s="2">
        <v>45222</v>
      </c>
      <c r="C678" s="1" t="s">
        <v>834</v>
      </c>
      <c r="D678">
        <v>72</v>
      </c>
      <c r="E678" s="1" t="s">
        <v>810</v>
      </c>
      <c r="F678" s="3">
        <v>0.47847222222222224</v>
      </c>
    </row>
    <row r="679" spans="1:6" x14ac:dyDescent="0.3">
      <c r="A679" s="1" t="s">
        <v>1315</v>
      </c>
      <c r="B679" s="2">
        <v>45230</v>
      </c>
      <c r="C679" s="1" t="s">
        <v>1316</v>
      </c>
      <c r="D679">
        <v>77</v>
      </c>
      <c r="E679" s="1" t="s">
        <v>810</v>
      </c>
      <c r="F679" s="3">
        <v>0.63888888888888884</v>
      </c>
    </row>
    <row r="680" spans="1:6" x14ac:dyDescent="0.3">
      <c r="A680" s="1" t="s">
        <v>1315</v>
      </c>
      <c r="B680" s="2">
        <v>45224</v>
      </c>
      <c r="C680" s="1" t="s">
        <v>1280</v>
      </c>
      <c r="D680">
        <v>83</v>
      </c>
      <c r="E680" s="1" t="s">
        <v>812</v>
      </c>
      <c r="F680" s="3">
        <v>0.96180555555555558</v>
      </c>
    </row>
    <row r="681" spans="1:6" x14ac:dyDescent="0.3">
      <c r="A681" s="1" t="s">
        <v>1315</v>
      </c>
      <c r="B681" s="2">
        <v>45223</v>
      </c>
      <c r="C681" s="1" t="s">
        <v>1267</v>
      </c>
      <c r="D681">
        <v>88</v>
      </c>
      <c r="E681" s="1" t="s">
        <v>807</v>
      </c>
      <c r="F681" s="3">
        <v>0.61111111111111116</v>
      </c>
    </row>
    <row r="682" spans="1:6" x14ac:dyDescent="0.3">
      <c r="A682" s="1" t="s">
        <v>1315</v>
      </c>
      <c r="B682" s="2">
        <v>45221</v>
      </c>
      <c r="C682" s="1" t="s">
        <v>1317</v>
      </c>
      <c r="D682">
        <v>26</v>
      </c>
      <c r="E682" s="1" t="s">
        <v>807</v>
      </c>
      <c r="F682" s="3">
        <v>0.93194444444444446</v>
      </c>
    </row>
    <row r="683" spans="1:6" x14ac:dyDescent="0.3">
      <c r="A683" s="1" t="s">
        <v>1315</v>
      </c>
      <c r="B683" s="2">
        <v>45227</v>
      </c>
      <c r="C683" s="1" t="s">
        <v>1318</v>
      </c>
      <c r="D683">
        <v>61</v>
      </c>
      <c r="E683" s="1" t="s">
        <v>810</v>
      </c>
      <c r="F683" s="3">
        <v>0.11805555555555555</v>
      </c>
    </row>
    <row r="684" spans="1:6" x14ac:dyDescent="0.3">
      <c r="A684" s="1" t="s">
        <v>1315</v>
      </c>
      <c r="B684" s="2">
        <v>45217</v>
      </c>
      <c r="C684" s="1" t="s">
        <v>813</v>
      </c>
      <c r="D684">
        <v>49</v>
      </c>
      <c r="E684" s="1" t="s">
        <v>807</v>
      </c>
      <c r="F684" s="3">
        <v>0.50902777777777775</v>
      </c>
    </row>
    <row r="685" spans="1:6" x14ac:dyDescent="0.3">
      <c r="A685" s="1" t="s">
        <v>1315</v>
      </c>
      <c r="B685" s="2">
        <v>45230</v>
      </c>
      <c r="C685" s="1" t="s">
        <v>1319</v>
      </c>
      <c r="D685">
        <v>97</v>
      </c>
      <c r="E685" s="1" t="s">
        <v>807</v>
      </c>
      <c r="F685" s="3">
        <v>0.57777777777777772</v>
      </c>
    </row>
    <row r="686" spans="1:6" x14ac:dyDescent="0.3">
      <c r="A686" s="1" t="s">
        <v>1315</v>
      </c>
      <c r="B686" s="2">
        <v>45206</v>
      </c>
      <c r="C686" s="1" t="s">
        <v>1320</v>
      </c>
      <c r="D686">
        <v>32</v>
      </c>
      <c r="E686" s="1" t="s">
        <v>812</v>
      </c>
      <c r="F686" s="3">
        <v>0.63680555555555551</v>
      </c>
    </row>
    <row r="687" spans="1:6" x14ac:dyDescent="0.3">
      <c r="A687" s="1" t="s">
        <v>1315</v>
      </c>
      <c r="B687" s="2">
        <v>45210</v>
      </c>
      <c r="C687" s="1" t="s">
        <v>994</v>
      </c>
      <c r="D687">
        <v>85</v>
      </c>
      <c r="E687" s="1" t="s">
        <v>807</v>
      </c>
      <c r="F687" s="3">
        <v>0.38958333333333334</v>
      </c>
    </row>
    <row r="688" spans="1:6" x14ac:dyDescent="0.3">
      <c r="A688" s="1" t="s">
        <v>1315</v>
      </c>
      <c r="B688" s="2">
        <v>45217</v>
      </c>
      <c r="C688" s="1" t="s">
        <v>1321</v>
      </c>
      <c r="D688">
        <v>100</v>
      </c>
      <c r="E688" s="1" t="s">
        <v>807</v>
      </c>
      <c r="F688" s="3">
        <v>0.75555555555555554</v>
      </c>
    </row>
    <row r="689" spans="1:6" x14ac:dyDescent="0.3">
      <c r="A689" s="1" t="s">
        <v>1315</v>
      </c>
      <c r="B689" s="2">
        <v>45218</v>
      </c>
      <c r="C689" s="1" t="s">
        <v>1322</v>
      </c>
      <c r="D689">
        <v>24</v>
      </c>
      <c r="E689" s="1" t="s">
        <v>807</v>
      </c>
      <c r="F689" s="3">
        <v>0.65972222222222221</v>
      </c>
    </row>
    <row r="690" spans="1:6" x14ac:dyDescent="0.3">
      <c r="A690" s="1" t="s">
        <v>1315</v>
      </c>
      <c r="B690" s="2">
        <v>45210</v>
      </c>
      <c r="C690" s="1" t="s">
        <v>1232</v>
      </c>
      <c r="D690">
        <v>57</v>
      </c>
      <c r="E690" s="1" t="s">
        <v>812</v>
      </c>
      <c r="F690" s="3">
        <v>0.90833333333333333</v>
      </c>
    </row>
    <row r="691" spans="1:6" x14ac:dyDescent="0.3">
      <c r="A691" s="1" t="s">
        <v>1315</v>
      </c>
      <c r="B691" s="2">
        <v>45201</v>
      </c>
      <c r="C691" s="1" t="s">
        <v>1035</v>
      </c>
      <c r="D691">
        <v>83</v>
      </c>
      <c r="E691" s="1" t="s">
        <v>810</v>
      </c>
      <c r="F691" s="3">
        <v>4.583333333333333E-2</v>
      </c>
    </row>
    <row r="692" spans="1:6" x14ac:dyDescent="0.3">
      <c r="A692" s="1" t="s">
        <v>1315</v>
      </c>
      <c r="B692" s="2">
        <v>45220</v>
      </c>
      <c r="C692" s="1" t="s">
        <v>1323</v>
      </c>
      <c r="D692">
        <v>92</v>
      </c>
      <c r="E692" s="1" t="s">
        <v>812</v>
      </c>
      <c r="F692" s="3">
        <v>0.58402777777777781</v>
      </c>
    </row>
    <row r="693" spans="1:6" x14ac:dyDescent="0.3">
      <c r="A693" s="1" t="s">
        <v>1315</v>
      </c>
      <c r="B693" s="2">
        <v>45203</v>
      </c>
      <c r="C693" s="1" t="s">
        <v>1033</v>
      </c>
      <c r="D693">
        <v>61</v>
      </c>
      <c r="E693" s="1" t="s">
        <v>810</v>
      </c>
      <c r="F693" s="3">
        <v>0.22777777777777777</v>
      </c>
    </row>
    <row r="694" spans="1:6" x14ac:dyDescent="0.3">
      <c r="A694" s="1" t="s">
        <v>1315</v>
      </c>
      <c r="B694" s="2">
        <v>45206</v>
      </c>
      <c r="C694" s="1" t="s">
        <v>992</v>
      </c>
      <c r="D694">
        <v>32</v>
      </c>
      <c r="E694" s="1" t="s">
        <v>810</v>
      </c>
      <c r="F694" s="3">
        <v>0.95694444444444449</v>
      </c>
    </row>
    <row r="695" spans="1:6" x14ac:dyDescent="0.3">
      <c r="A695" s="1" t="s">
        <v>1315</v>
      </c>
      <c r="B695" s="2">
        <v>45204</v>
      </c>
      <c r="C695" s="1" t="s">
        <v>1324</v>
      </c>
      <c r="D695">
        <v>16</v>
      </c>
      <c r="E695" s="1" t="s">
        <v>812</v>
      </c>
      <c r="F695" s="3">
        <v>0.84652777777777777</v>
      </c>
    </row>
    <row r="696" spans="1:6" x14ac:dyDescent="0.3">
      <c r="A696" s="1" t="s">
        <v>1315</v>
      </c>
      <c r="B696" s="2">
        <v>45205</v>
      </c>
      <c r="C696" s="1" t="s">
        <v>1325</v>
      </c>
      <c r="D696">
        <v>119</v>
      </c>
      <c r="E696" s="1" t="s">
        <v>812</v>
      </c>
      <c r="F696" s="3">
        <v>0.33680555555555558</v>
      </c>
    </row>
    <row r="697" spans="1:6" x14ac:dyDescent="0.3">
      <c r="A697" s="1" t="s">
        <v>1315</v>
      </c>
      <c r="B697" s="2">
        <v>45220</v>
      </c>
      <c r="C697" s="1" t="s">
        <v>1071</v>
      </c>
      <c r="D697">
        <v>17</v>
      </c>
      <c r="E697" s="1" t="s">
        <v>810</v>
      </c>
      <c r="F697" s="3">
        <v>0.46944444444444444</v>
      </c>
    </row>
    <row r="698" spans="1:6" x14ac:dyDescent="0.3">
      <c r="A698" s="1" t="s">
        <v>1315</v>
      </c>
      <c r="B698" s="2">
        <v>45202</v>
      </c>
      <c r="C698" s="1" t="s">
        <v>1326</v>
      </c>
      <c r="D698">
        <v>22</v>
      </c>
      <c r="E698" s="1" t="s">
        <v>812</v>
      </c>
      <c r="F698" s="3">
        <v>0.48749999999999999</v>
      </c>
    </row>
    <row r="699" spans="1:6" x14ac:dyDescent="0.3">
      <c r="A699" s="1" t="s">
        <v>1315</v>
      </c>
      <c r="B699" s="2">
        <v>45228</v>
      </c>
      <c r="C699" s="1" t="s">
        <v>849</v>
      </c>
      <c r="D699">
        <v>101</v>
      </c>
      <c r="E699" s="1" t="s">
        <v>807</v>
      </c>
      <c r="F699" s="3">
        <v>0.84027777777777779</v>
      </c>
    </row>
    <row r="700" spans="1:6" x14ac:dyDescent="0.3">
      <c r="A700" s="1" t="s">
        <v>1315</v>
      </c>
      <c r="B700" s="2">
        <v>45201</v>
      </c>
      <c r="C700" s="1" t="s">
        <v>1327</v>
      </c>
      <c r="D700">
        <v>20</v>
      </c>
      <c r="E700" s="1" t="s">
        <v>810</v>
      </c>
      <c r="F700" s="3">
        <v>0.52777777777777779</v>
      </c>
    </row>
    <row r="701" spans="1:6" x14ac:dyDescent="0.3">
      <c r="A701" s="1" t="s">
        <v>1315</v>
      </c>
      <c r="B701" s="2">
        <v>45209</v>
      </c>
      <c r="C701" s="1" t="s">
        <v>1328</v>
      </c>
      <c r="D701">
        <v>80</v>
      </c>
      <c r="E701" s="1" t="s">
        <v>810</v>
      </c>
      <c r="F701" s="3">
        <v>0.98888888888888893</v>
      </c>
    </row>
    <row r="702" spans="1:6" x14ac:dyDescent="0.3">
      <c r="A702" s="1" t="s">
        <v>1315</v>
      </c>
      <c r="B702" s="2">
        <v>45224</v>
      </c>
      <c r="C702" s="1" t="s">
        <v>1236</v>
      </c>
      <c r="D702">
        <v>98</v>
      </c>
      <c r="E702" s="1" t="s">
        <v>810</v>
      </c>
      <c r="F702" s="3">
        <v>0.31041666666666667</v>
      </c>
    </row>
    <row r="703" spans="1:6" x14ac:dyDescent="0.3">
      <c r="A703" s="1" t="s">
        <v>1315</v>
      </c>
      <c r="B703" s="2">
        <v>45220</v>
      </c>
      <c r="C703" s="1" t="s">
        <v>851</v>
      </c>
      <c r="D703">
        <v>54</v>
      </c>
      <c r="E703" s="1" t="s">
        <v>810</v>
      </c>
      <c r="F703" s="3">
        <v>0.11458333333333333</v>
      </c>
    </row>
    <row r="704" spans="1:6" x14ac:dyDescent="0.3">
      <c r="A704" s="1" t="s">
        <v>1315</v>
      </c>
      <c r="B704" s="2">
        <v>45215</v>
      </c>
      <c r="C704" s="1" t="s">
        <v>1194</v>
      </c>
      <c r="D704">
        <v>59</v>
      </c>
      <c r="E704" s="1" t="s">
        <v>812</v>
      </c>
      <c r="F704" s="3">
        <v>8.8888888888888892E-2</v>
      </c>
    </row>
    <row r="705" spans="1:6" x14ac:dyDescent="0.3">
      <c r="A705" s="1" t="s">
        <v>1315</v>
      </c>
      <c r="B705" s="2">
        <v>45218</v>
      </c>
      <c r="C705" s="1" t="s">
        <v>1329</v>
      </c>
      <c r="D705">
        <v>45</v>
      </c>
      <c r="E705" s="1" t="s">
        <v>807</v>
      </c>
      <c r="F705" s="3">
        <v>0.31458333333333333</v>
      </c>
    </row>
    <row r="706" spans="1:6" x14ac:dyDescent="0.3">
      <c r="A706" s="1" t="s">
        <v>1315</v>
      </c>
      <c r="B706" s="2">
        <v>45221</v>
      </c>
      <c r="C706" s="1" t="s">
        <v>1330</v>
      </c>
      <c r="D706">
        <v>106</v>
      </c>
      <c r="E706" s="1" t="s">
        <v>812</v>
      </c>
      <c r="F706" s="3">
        <v>0.58333333333333337</v>
      </c>
    </row>
    <row r="707" spans="1:6" x14ac:dyDescent="0.3">
      <c r="A707" s="1" t="s">
        <v>1315</v>
      </c>
      <c r="B707" s="2">
        <v>45200</v>
      </c>
      <c r="C707" s="1" t="s">
        <v>1113</v>
      </c>
      <c r="D707">
        <v>22</v>
      </c>
      <c r="E707" s="1" t="s">
        <v>807</v>
      </c>
      <c r="F707" s="3">
        <v>0.93125000000000002</v>
      </c>
    </row>
    <row r="708" spans="1:6" x14ac:dyDescent="0.3">
      <c r="A708" s="1" t="s">
        <v>1315</v>
      </c>
      <c r="B708" s="2">
        <v>45226</v>
      </c>
      <c r="C708" s="1" t="s">
        <v>1331</v>
      </c>
      <c r="D708">
        <v>36</v>
      </c>
      <c r="E708" s="1" t="s">
        <v>810</v>
      </c>
      <c r="F708" s="3">
        <v>0.16319444444444445</v>
      </c>
    </row>
    <row r="709" spans="1:6" x14ac:dyDescent="0.3">
      <c r="A709" s="1" t="s">
        <v>1315</v>
      </c>
      <c r="B709" s="2">
        <v>45213</v>
      </c>
      <c r="C709" s="1" t="s">
        <v>1243</v>
      </c>
      <c r="D709">
        <v>40</v>
      </c>
      <c r="E709" s="1" t="s">
        <v>807</v>
      </c>
      <c r="F709" s="3">
        <v>0.92222222222222228</v>
      </c>
    </row>
    <row r="710" spans="1:6" x14ac:dyDescent="0.3">
      <c r="A710" s="1" t="s">
        <v>1315</v>
      </c>
      <c r="B710" s="2">
        <v>45215</v>
      </c>
      <c r="C710" s="1" t="s">
        <v>1332</v>
      </c>
      <c r="D710">
        <v>87</v>
      </c>
      <c r="E710" s="1" t="s">
        <v>807</v>
      </c>
      <c r="F710" s="3">
        <v>9.3055555555555558E-2</v>
      </c>
    </row>
    <row r="711" spans="1:6" x14ac:dyDescent="0.3">
      <c r="A711" s="1" t="s">
        <v>1315</v>
      </c>
      <c r="B711" s="2">
        <v>45212</v>
      </c>
      <c r="C711" s="1" t="s">
        <v>1126</v>
      </c>
      <c r="D711">
        <v>15</v>
      </c>
      <c r="E711" s="1" t="s">
        <v>810</v>
      </c>
      <c r="F711" s="3">
        <v>0.11527777777777778</v>
      </c>
    </row>
    <row r="712" spans="1:6" x14ac:dyDescent="0.3">
      <c r="A712" s="1" t="s">
        <v>1315</v>
      </c>
      <c r="B712" s="2">
        <v>45225</v>
      </c>
      <c r="C712" s="1" t="s">
        <v>901</v>
      </c>
      <c r="D712">
        <v>36</v>
      </c>
      <c r="E712" s="1" t="s">
        <v>812</v>
      </c>
      <c r="F712" s="3">
        <v>0.12916666666666668</v>
      </c>
    </row>
    <row r="713" spans="1:6" x14ac:dyDescent="0.3">
      <c r="A713" s="1" t="s">
        <v>1315</v>
      </c>
      <c r="B713" s="2">
        <v>45210</v>
      </c>
      <c r="C713" s="1" t="s">
        <v>1039</v>
      </c>
      <c r="D713">
        <v>75</v>
      </c>
      <c r="E713" s="1" t="s">
        <v>812</v>
      </c>
      <c r="F713" s="3">
        <v>0.49722222222222223</v>
      </c>
    </row>
    <row r="714" spans="1:6" x14ac:dyDescent="0.3">
      <c r="A714" s="1" t="s">
        <v>1315</v>
      </c>
      <c r="B714" s="2">
        <v>45209</v>
      </c>
      <c r="C714" s="1" t="s">
        <v>1333</v>
      </c>
      <c r="D714">
        <v>81</v>
      </c>
      <c r="E714" s="1" t="s">
        <v>810</v>
      </c>
      <c r="F714" s="3">
        <v>0.18333333333333332</v>
      </c>
    </row>
    <row r="715" spans="1:6" x14ac:dyDescent="0.3">
      <c r="A715" s="1" t="s">
        <v>1315</v>
      </c>
      <c r="B715" s="2">
        <v>45224</v>
      </c>
      <c r="C715" s="1" t="s">
        <v>1334</v>
      </c>
      <c r="D715">
        <v>81</v>
      </c>
      <c r="E715" s="1" t="s">
        <v>810</v>
      </c>
      <c r="F715" s="3">
        <v>0.19513888888888889</v>
      </c>
    </row>
    <row r="716" spans="1:6" x14ac:dyDescent="0.3">
      <c r="A716" s="1" t="s">
        <v>1335</v>
      </c>
      <c r="B716" s="2">
        <v>45223</v>
      </c>
      <c r="C716" s="1" t="s">
        <v>1244</v>
      </c>
      <c r="D716">
        <v>42</v>
      </c>
      <c r="E716" s="1" t="s">
        <v>812</v>
      </c>
      <c r="F716" s="3">
        <v>0.29375000000000001</v>
      </c>
    </row>
    <row r="717" spans="1:6" x14ac:dyDescent="0.3">
      <c r="A717" s="1" t="s">
        <v>1335</v>
      </c>
      <c r="B717" s="2">
        <v>45207</v>
      </c>
      <c r="C717" s="1" t="s">
        <v>1336</v>
      </c>
      <c r="D717">
        <v>77</v>
      </c>
      <c r="E717" s="1" t="s">
        <v>812</v>
      </c>
      <c r="F717" s="3">
        <v>0.12430555555555556</v>
      </c>
    </row>
    <row r="718" spans="1:6" x14ac:dyDescent="0.3">
      <c r="A718" s="1" t="s">
        <v>1335</v>
      </c>
      <c r="B718" s="2">
        <v>45213</v>
      </c>
      <c r="C718" s="1" t="s">
        <v>1239</v>
      </c>
      <c r="D718">
        <v>105</v>
      </c>
      <c r="E718" s="1" t="s">
        <v>810</v>
      </c>
      <c r="F718" s="3">
        <v>0.1451388888888889</v>
      </c>
    </row>
    <row r="719" spans="1:6" x14ac:dyDescent="0.3">
      <c r="A719" s="1" t="s">
        <v>1335</v>
      </c>
      <c r="B719" s="2">
        <v>45219</v>
      </c>
      <c r="C719" s="1" t="s">
        <v>1337</v>
      </c>
      <c r="D719">
        <v>43</v>
      </c>
      <c r="E719" s="1" t="s">
        <v>810</v>
      </c>
      <c r="F719" s="3">
        <v>0.79374999999999996</v>
      </c>
    </row>
    <row r="720" spans="1:6" x14ac:dyDescent="0.3">
      <c r="A720" s="1" t="s">
        <v>1335</v>
      </c>
      <c r="B720" s="2">
        <v>45209</v>
      </c>
      <c r="C720" s="1" t="s">
        <v>1338</v>
      </c>
      <c r="D720">
        <v>99</v>
      </c>
      <c r="E720" s="1" t="s">
        <v>812</v>
      </c>
      <c r="F720" s="3">
        <v>0.90763888888888888</v>
      </c>
    </row>
    <row r="721" spans="1:6" x14ac:dyDescent="0.3">
      <c r="A721" s="1" t="s">
        <v>1335</v>
      </c>
      <c r="B721" s="2">
        <v>45221</v>
      </c>
      <c r="C721" s="1" t="s">
        <v>1339</v>
      </c>
      <c r="D721">
        <v>84</v>
      </c>
      <c r="E721" s="1" t="s">
        <v>812</v>
      </c>
      <c r="F721" s="3">
        <v>0.96597222222222223</v>
      </c>
    </row>
    <row r="722" spans="1:6" x14ac:dyDescent="0.3">
      <c r="A722" s="1" t="s">
        <v>1335</v>
      </c>
      <c r="B722" s="2">
        <v>45204</v>
      </c>
      <c r="C722" s="1" t="s">
        <v>1340</v>
      </c>
      <c r="D722">
        <v>64</v>
      </c>
      <c r="E722" s="1" t="s">
        <v>812</v>
      </c>
      <c r="F722" s="3">
        <v>0.91666666666666663</v>
      </c>
    </row>
    <row r="723" spans="1:6" x14ac:dyDescent="0.3">
      <c r="A723" s="1" t="s">
        <v>1335</v>
      </c>
      <c r="B723" s="2">
        <v>45205</v>
      </c>
      <c r="C723" s="1" t="s">
        <v>955</v>
      </c>
      <c r="D723">
        <v>52</v>
      </c>
      <c r="E723" s="1" t="s">
        <v>807</v>
      </c>
      <c r="F723" s="3">
        <v>0.64027777777777772</v>
      </c>
    </row>
    <row r="724" spans="1:6" x14ac:dyDescent="0.3">
      <c r="A724" s="1" t="s">
        <v>1335</v>
      </c>
      <c r="B724" s="2">
        <v>45216</v>
      </c>
      <c r="C724" s="1" t="s">
        <v>937</v>
      </c>
      <c r="D724">
        <v>80</v>
      </c>
      <c r="E724" s="1" t="s">
        <v>807</v>
      </c>
      <c r="F724" s="3">
        <v>0.70138888888888884</v>
      </c>
    </row>
    <row r="725" spans="1:6" x14ac:dyDescent="0.3">
      <c r="A725" s="1" t="s">
        <v>1335</v>
      </c>
      <c r="B725" s="2">
        <v>45226</v>
      </c>
      <c r="C725" s="1" t="s">
        <v>960</v>
      </c>
      <c r="D725">
        <v>68</v>
      </c>
      <c r="E725" s="1" t="s">
        <v>807</v>
      </c>
      <c r="F725" s="3">
        <v>0.96944444444444444</v>
      </c>
    </row>
    <row r="726" spans="1:6" x14ac:dyDescent="0.3">
      <c r="A726" s="1" t="s">
        <v>1335</v>
      </c>
      <c r="B726" s="2">
        <v>45205</v>
      </c>
      <c r="C726" s="1" t="s">
        <v>1341</v>
      </c>
      <c r="D726">
        <v>103</v>
      </c>
      <c r="E726" s="1" t="s">
        <v>807</v>
      </c>
      <c r="F726" s="3">
        <v>0.46388888888888891</v>
      </c>
    </row>
    <row r="727" spans="1:6" x14ac:dyDescent="0.3">
      <c r="A727" s="1" t="s">
        <v>1335</v>
      </c>
      <c r="B727" s="2">
        <v>45223</v>
      </c>
      <c r="C727" s="1" t="s">
        <v>1342</v>
      </c>
      <c r="D727">
        <v>104</v>
      </c>
      <c r="E727" s="1" t="s">
        <v>810</v>
      </c>
      <c r="F727" s="3">
        <v>0.36527777777777776</v>
      </c>
    </row>
    <row r="728" spans="1:6" x14ac:dyDescent="0.3">
      <c r="A728" s="1" t="s">
        <v>1335</v>
      </c>
      <c r="B728" s="2">
        <v>45228</v>
      </c>
      <c r="C728" s="1" t="s">
        <v>1211</v>
      </c>
      <c r="D728">
        <v>30</v>
      </c>
      <c r="E728" s="1" t="s">
        <v>807</v>
      </c>
      <c r="F728" s="3">
        <v>0.15902777777777777</v>
      </c>
    </row>
    <row r="729" spans="1:6" x14ac:dyDescent="0.3">
      <c r="A729" s="1" t="s">
        <v>1335</v>
      </c>
      <c r="B729" s="2">
        <v>45225</v>
      </c>
      <c r="C729" s="1" t="s">
        <v>1343</v>
      </c>
      <c r="D729">
        <v>120</v>
      </c>
      <c r="E729" s="1" t="s">
        <v>807</v>
      </c>
      <c r="F729" s="3">
        <v>0.55347222222222225</v>
      </c>
    </row>
    <row r="730" spans="1:6" x14ac:dyDescent="0.3">
      <c r="A730" s="1" t="s">
        <v>1335</v>
      </c>
      <c r="B730" s="2">
        <v>45216</v>
      </c>
      <c r="C730" s="1" t="s">
        <v>1344</v>
      </c>
      <c r="D730">
        <v>74</v>
      </c>
      <c r="E730" s="1" t="s">
        <v>807</v>
      </c>
      <c r="F730" s="3">
        <v>9.4444444444444442E-2</v>
      </c>
    </row>
    <row r="731" spans="1:6" x14ac:dyDescent="0.3">
      <c r="A731" s="1" t="s">
        <v>1335</v>
      </c>
      <c r="B731" s="2">
        <v>45222</v>
      </c>
      <c r="C731" s="1" t="s">
        <v>1345</v>
      </c>
      <c r="D731">
        <v>102</v>
      </c>
      <c r="E731" s="1" t="s">
        <v>812</v>
      </c>
      <c r="F731" s="3">
        <v>0.77777777777777779</v>
      </c>
    </row>
    <row r="732" spans="1:6" x14ac:dyDescent="0.3">
      <c r="A732" s="1" t="s">
        <v>1335</v>
      </c>
      <c r="B732" s="2">
        <v>45202</v>
      </c>
      <c r="C732" s="1" t="s">
        <v>1346</v>
      </c>
      <c r="D732">
        <v>106</v>
      </c>
      <c r="E732" s="1" t="s">
        <v>812</v>
      </c>
      <c r="F732" s="3">
        <v>0.64513888888888893</v>
      </c>
    </row>
    <row r="733" spans="1:6" x14ac:dyDescent="0.3">
      <c r="A733" s="1" t="s">
        <v>1335</v>
      </c>
      <c r="B733" s="2">
        <v>45216</v>
      </c>
      <c r="C733" s="1" t="s">
        <v>1347</v>
      </c>
      <c r="D733">
        <v>36</v>
      </c>
      <c r="E733" s="1" t="s">
        <v>812</v>
      </c>
      <c r="F733" s="3">
        <v>0.46041666666666664</v>
      </c>
    </row>
    <row r="734" spans="1:6" x14ac:dyDescent="0.3">
      <c r="A734" s="1" t="s">
        <v>1335</v>
      </c>
      <c r="B734" s="2">
        <v>45215</v>
      </c>
      <c r="C734" s="1" t="s">
        <v>1348</v>
      </c>
      <c r="D734">
        <v>24</v>
      </c>
      <c r="E734" s="1" t="s">
        <v>812</v>
      </c>
      <c r="F734" s="3">
        <v>0.75694444444444442</v>
      </c>
    </row>
    <row r="735" spans="1:6" x14ac:dyDescent="0.3">
      <c r="A735" s="1" t="s">
        <v>1335</v>
      </c>
      <c r="B735" s="2">
        <v>45211</v>
      </c>
      <c r="C735" s="1" t="s">
        <v>1349</v>
      </c>
      <c r="D735">
        <v>5</v>
      </c>
      <c r="E735" s="1" t="s">
        <v>807</v>
      </c>
      <c r="F735" s="3">
        <v>0.21944444444444444</v>
      </c>
    </row>
    <row r="736" spans="1:6" x14ac:dyDescent="0.3">
      <c r="A736" s="1" t="s">
        <v>1335</v>
      </c>
      <c r="B736" s="2">
        <v>45224</v>
      </c>
      <c r="C736" s="1" t="s">
        <v>1350</v>
      </c>
      <c r="D736">
        <v>57</v>
      </c>
      <c r="E736" s="1" t="s">
        <v>810</v>
      </c>
      <c r="F736" s="3">
        <v>0.16458333333333333</v>
      </c>
    </row>
    <row r="737" spans="1:6" x14ac:dyDescent="0.3">
      <c r="A737" s="1" t="s">
        <v>1335</v>
      </c>
      <c r="B737" s="2">
        <v>45218</v>
      </c>
      <c r="C737" s="1" t="s">
        <v>1035</v>
      </c>
      <c r="D737">
        <v>8</v>
      </c>
      <c r="E737" s="1" t="s">
        <v>812</v>
      </c>
      <c r="F737" s="3">
        <v>0.90694444444444444</v>
      </c>
    </row>
    <row r="738" spans="1:6" x14ac:dyDescent="0.3">
      <c r="A738" s="1" t="s">
        <v>1335</v>
      </c>
      <c r="B738" s="2">
        <v>45203</v>
      </c>
      <c r="C738" s="1" t="s">
        <v>1351</v>
      </c>
      <c r="D738">
        <v>34</v>
      </c>
      <c r="E738" s="1" t="s">
        <v>807</v>
      </c>
      <c r="F738" s="3">
        <v>0.32430555555555557</v>
      </c>
    </row>
    <row r="739" spans="1:6" x14ac:dyDescent="0.3">
      <c r="A739" s="1" t="s">
        <v>1335</v>
      </c>
      <c r="B739" s="2">
        <v>45201</v>
      </c>
      <c r="C739" s="1" t="s">
        <v>858</v>
      </c>
      <c r="D739">
        <v>86</v>
      </c>
      <c r="E739" s="1" t="s">
        <v>812</v>
      </c>
      <c r="F739" s="3">
        <v>0.64097222222222228</v>
      </c>
    </row>
    <row r="740" spans="1:6" x14ac:dyDescent="0.3">
      <c r="A740" s="1" t="s">
        <v>1335</v>
      </c>
      <c r="B740" s="2">
        <v>45212</v>
      </c>
      <c r="C740" s="1" t="s">
        <v>1353</v>
      </c>
      <c r="D740">
        <v>112</v>
      </c>
      <c r="E740" s="1" t="s">
        <v>812</v>
      </c>
      <c r="F740" s="3">
        <v>0.17430555555555555</v>
      </c>
    </row>
    <row r="741" spans="1:6" x14ac:dyDescent="0.3">
      <c r="A741" s="1" t="s">
        <v>1335</v>
      </c>
      <c r="B741" s="2">
        <v>45229</v>
      </c>
      <c r="C741" s="1" t="s">
        <v>872</v>
      </c>
      <c r="D741">
        <v>93</v>
      </c>
      <c r="E741" s="1" t="s">
        <v>807</v>
      </c>
      <c r="F741" s="3">
        <v>6.5972222222222224E-2</v>
      </c>
    </row>
    <row r="742" spans="1:6" x14ac:dyDescent="0.3">
      <c r="A742" s="1" t="s">
        <v>1335</v>
      </c>
      <c r="B742" s="2">
        <v>45225</v>
      </c>
      <c r="C742" s="1" t="s">
        <v>1354</v>
      </c>
      <c r="D742">
        <v>117</v>
      </c>
      <c r="E742" s="1" t="s">
        <v>807</v>
      </c>
      <c r="F742" s="3">
        <v>0.94930555555555551</v>
      </c>
    </row>
    <row r="743" spans="1:6" x14ac:dyDescent="0.3">
      <c r="A743" s="1" t="s">
        <v>1335</v>
      </c>
      <c r="B743" s="2">
        <v>45220</v>
      </c>
      <c r="C743" s="1" t="s">
        <v>1355</v>
      </c>
      <c r="D743">
        <v>6</v>
      </c>
      <c r="E743" s="1" t="s">
        <v>807</v>
      </c>
      <c r="F743" s="3">
        <v>0.55138888888888893</v>
      </c>
    </row>
    <row r="744" spans="1:6" x14ac:dyDescent="0.3">
      <c r="A744" s="1" t="s">
        <v>1335</v>
      </c>
      <c r="B744" s="2">
        <v>45210</v>
      </c>
      <c r="C744" s="1" t="s">
        <v>1144</v>
      </c>
      <c r="D744">
        <v>47</v>
      </c>
      <c r="E744" s="1" t="s">
        <v>810</v>
      </c>
      <c r="F744" s="3">
        <v>0.30972222222222223</v>
      </c>
    </row>
    <row r="745" spans="1:6" x14ac:dyDescent="0.3">
      <c r="A745" s="1" t="s">
        <v>1335</v>
      </c>
      <c r="B745" s="2">
        <v>45229</v>
      </c>
      <c r="C745" s="1" t="s">
        <v>1276</v>
      </c>
      <c r="D745">
        <v>5</v>
      </c>
      <c r="E745" s="1" t="s">
        <v>812</v>
      </c>
      <c r="F745" s="3">
        <v>0.97222222222222221</v>
      </c>
    </row>
    <row r="746" spans="1:6" x14ac:dyDescent="0.3">
      <c r="A746" s="1" t="s">
        <v>1335</v>
      </c>
      <c r="B746" s="2">
        <v>45208</v>
      </c>
      <c r="C746" s="1" t="s">
        <v>1356</v>
      </c>
      <c r="D746">
        <v>102</v>
      </c>
      <c r="E746" s="1" t="s">
        <v>810</v>
      </c>
      <c r="F746" s="3">
        <v>0.10833333333333334</v>
      </c>
    </row>
    <row r="747" spans="1:6" x14ac:dyDescent="0.3">
      <c r="A747" s="1" t="s">
        <v>1335</v>
      </c>
      <c r="B747" s="2">
        <v>45211</v>
      </c>
      <c r="C747" s="1" t="s">
        <v>1357</v>
      </c>
      <c r="D747">
        <v>89</v>
      </c>
      <c r="E747" s="1" t="s">
        <v>810</v>
      </c>
      <c r="F747" s="3">
        <v>0.14722222222222223</v>
      </c>
    </row>
    <row r="748" spans="1:6" x14ac:dyDescent="0.3">
      <c r="A748" s="1" t="s">
        <v>1335</v>
      </c>
      <c r="B748" s="2">
        <v>45221</v>
      </c>
      <c r="C748" s="1" t="s">
        <v>1141</v>
      </c>
      <c r="D748">
        <v>53</v>
      </c>
      <c r="E748" s="1" t="s">
        <v>810</v>
      </c>
      <c r="F748" s="3">
        <v>4.9305555555555554E-2</v>
      </c>
    </row>
    <row r="749" spans="1:6" x14ac:dyDescent="0.3">
      <c r="A749" s="1" t="s">
        <v>1335</v>
      </c>
      <c r="B749" s="2">
        <v>45207</v>
      </c>
      <c r="C749" s="1" t="s">
        <v>1358</v>
      </c>
      <c r="D749">
        <v>113</v>
      </c>
      <c r="E749" s="1" t="s">
        <v>807</v>
      </c>
      <c r="F749" s="3">
        <v>0.66805555555555551</v>
      </c>
    </row>
    <row r="750" spans="1:6" x14ac:dyDescent="0.3">
      <c r="A750" s="1" t="s">
        <v>1335</v>
      </c>
      <c r="B750" s="2">
        <v>45230</v>
      </c>
      <c r="C750" s="1" t="s">
        <v>1200</v>
      </c>
      <c r="D750">
        <v>99</v>
      </c>
      <c r="E750" s="1" t="s">
        <v>807</v>
      </c>
      <c r="F750" s="3">
        <v>0.50277777777777777</v>
      </c>
    </row>
    <row r="751" spans="1:6" x14ac:dyDescent="0.3">
      <c r="A751" s="1" t="s">
        <v>1335</v>
      </c>
      <c r="B751" s="2">
        <v>45228</v>
      </c>
      <c r="C751" s="1" t="s">
        <v>871</v>
      </c>
      <c r="D751">
        <v>98</v>
      </c>
      <c r="E751" s="1" t="s">
        <v>812</v>
      </c>
      <c r="F751" s="3">
        <v>0.62152777777777779</v>
      </c>
    </row>
    <row r="752" spans="1:6" x14ac:dyDescent="0.3">
      <c r="A752" s="1" t="s">
        <v>1335</v>
      </c>
      <c r="B752" s="2">
        <v>45209</v>
      </c>
      <c r="C752" s="1" t="s">
        <v>1359</v>
      </c>
      <c r="D752">
        <v>44</v>
      </c>
      <c r="E752" s="1" t="s">
        <v>807</v>
      </c>
      <c r="F752" s="3">
        <v>0.3888888888888889</v>
      </c>
    </row>
    <row r="753" spans="1:6" x14ac:dyDescent="0.3">
      <c r="A753" s="1" t="s">
        <v>1335</v>
      </c>
      <c r="B753" s="2">
        <v>45202</v>
      </c>
      <c r="C753" s="1" t="s">
        <v>1285</v>
      </c>
      <c r="D753">
        <v>18</v>
      </c>
      <c r="E753" s="1" t="s">
        <v>807</v>
      </c>
      <c r="F753" s="3">
        <v>0.72847222222222219</v>
      </c>
    </row>
    <row r="754" spans="1:6" x14ac:dyDescent="0.3">
      <c r="A754" s="1" t="s">
        <v>1335</v>
      </c>
      <c r="B754" s="2">
        <v>45200</v>
      </c>
      <c r="C754" s="1" t="s">
        <v>1360</v>
      </c>
      <c r="D754">
        <v>31</v>
      </c>
      <c r="E754" s="1" t="s">
        <v>810</v>
      </c>
      <c r="F754" s="3">
        <v>0.46666666666666667</v>
      </c>
    </row>
    <row r="755" spans="1:6" x14ac:dyDescent="0.3">
      <c r="A755" s="1" t="s">
        <v>1361</v>
      </c>
      <c r="B755" s="2">
        <v>45226</v>
      </c>
      <c r="C755" s="1" t="s">
        <v>1276</v>
      </c>
      <c r="D755">
        <v>81</v>
      </c>
      <c r="E755" s="1" t="s">
        <v>812</v>
      </c>
      <c r="F755" s="3">
        <v>0.20902777777777778</v>
      </c>
    </row>
    <row r="756" spans="1:6" x14ac:dyDescent="0.3">
      <c r="A756" s="1" t="s">
        <v>1361</v>
      </c>
      <c r="B756" s="2">
        <v>45230</v>
      </c>
      <c r="C756" s="1" t="s">
        <v>1362</v>
      </c>
      <c r="D756">
        <v>33</v>
      </c>
      <c r="E756" s="1" t="s">
        <v>810</v>
      </c>
      <c r="F756" s="3">
        <v>0.53749999999999998</v>
      </c>
    </row>
    <row r="757" spans="1:6" x14ac:dyDescent="0.3">
      <c r="A757" s="1" t="s">
        <v>1361</v>
      </c>
      <c r="B757" s="2">
        <v>45214</v>
      </c>
      <c r="C757" s="1" t="s">
        <v>1052</v>
      </c>
      <c r="D757">
        <v>8</v>
      </c>
      <c r="E757" s="1" t="s">
        <v>807</v>
      </c>
      <c r="F757" s="3">
        <v>0.74097222222222225</v>
      </c>
    </row>
    <row r="758" spans="1:6" x14ac:dyDescent="0.3">
      <c r="A758" s="1" t="s">
        <v>1361</v>
      </c>
      <c r="B758" s="2">
        <v>45217</v>
      </c>
      <c r="C758" s="1" t="s">
        <v>1363</v>
      </c>
      <c r="D758">
        <v>119</v>
      </c>
      <c r="E758" s="1" t="s">
        <v>807</v>
      </c>
      <c r="F758" s="3">
        <v>0.29583333333333334</v>
      </c>
    </row>
    <row r="759" spans="1:6" x14ac:dyDescent="0.3">
      <c r="A759" s="1" t="s">
        <v>1361</v>
      </c>
      <c r="B759" s="2">
        <v>45214</v>
      </c>
      <c r="C759" s="1" t="s">
        <v>1248</v>
      </c>
      <c r="D759">
        <v>108</v>
      </c>
      <c r="E759" s="1" t="s">
        <v>812</v>
      </c>
      <c r="F759" s="3">
        <v>0.16041666666666668</v>
      </c>
    </row>
    <row r="760" spans="1:6" x14ac:dyDescent="0.3">
      <c r="A760" s="1" t="s">
        <v>1361</v>
      </c>
      <c r="B760" s="2">
        <v>45225</v>
      </c>
      <c r="C760" s="1" t="s">
        <v>1364</v>
      </c>
      <c r="D760">
        <v>104</v>
      </c>
      <c r="E760" s="1" t="s">
        <v>810</v>
      </c>
      <c r="F760" s="3">
        <v>0.17152777777777778</v>
      </c>
    </row>
    <row r="761" spans="1:6" x14ac:dyDescent="0.3">
      <c r="A761" s="1" t="s">
        <v>1361</v>
      </c>
      <c r="B761" s="2">
        <v>45200</v>
      </c>
      <c r="C761" s="1" t="s">
        <v>1045</v>
      </c>
      <c r="D761">
        <v>40</v>
      </c>
      <c r="E761" s="1" t="s">
        <v>807</v>
      </c>
      <c r="F761" s="3">
        <v>7.8472222222222221E-2</v>
      </c>
    </row>
    <row r="762" spans="1:6" x14ac:dyDescent="0.3">
      <c r="A762" s="1" t="s">
        <v>1361</v>
      </c>
      <c r="B762" s="2">
        <v>45224</v>
      </c>
      <c r="C762" s="1" t="s">
        <v>1365</v>
      </c>
      <c r="D762">
        <v>12</v>
      </c>
      <c r="E762" s="1" t="s">
        <v>812</v>
      </c>
      <c r="F762" s="3">
        <v>0.29722222222222222</v>
      </c>
    </row>
    <row r="763" spans="1:6" x14ac:dyDescent="0.3">
      <c r="A763" s="1" t="s">
        <v>1361</v>
      </c>
      <c r="B763" s="2">
        <v>45206</v>
      </c>
      <c r="C763" s="1" t="s">
        <v>1366</v>
      </c>
      <c r="D763">
        <v>108</v>
      </c>
      <c r="E763" s="1" t="s">
        <v>807</v>
      </c>
      <c r="F763" s="3">
        <v>0.51597222222222228</v>
      </c>
    </row>
    <row r="764" spans="1:6" x14ac:dyDescent="0.3">
      <c r="A764" s="1" t="s">
        <v>1361</v>
      </c>
      <c r="B764" s="2">
        <v>45221</v>
      </c>
      <c r="C764" s="1" t="s">
        <v>1367</v>
      </c>
      <c r="D764">
        <v>65</v>
      </c>
      <c r="E764" s="1" t="s">
        <v>807</v>
      </c>
      <c r="F764" s="3">
        <v>0.8618055555555556</v>
      </c>
    </row>
    <row r="765" spans="1:6" x14ac:dyDescent="0.3">
      <c r="A765" s="1" t="s">
        <v>1361</v>
      </c>
      <c r="B765" s="2">
        <v>45202</v>
      </c>
      <c r="C765" s="1" t="s">
        <v>1346</v>
      </c>
      <c r="D765">
        <v>72</v>
      </c>
      <c r="E765" s="1" t="s">
        <v>807</v>
      </c>
      <c r="F765" s="3">
        <v>0.77569444444444446</v>
      </c>
    </row>
    <row r="766" spans="1:6" x14ac:dyDescent="0.3">
      <c r="A766" s="1" t="s">
        <v>1361</v>
      </c>
      <c r="B766" s="2">
        <v>45208</v>
      </c>
      <c r="C766" s="1" t="s">
        <v>1368</v>
      </c>
      <c r="D766">
        <v>50</v>
      </c>
      <c r="E766" s="1" t="s">
        <v>810</v>
      </c>
      <c r="F766" s="3">
        <v>8.4027777777777785E-2</v>
      </c>
    </row>
    <row r="767" spans="1:6" x14ac:dyDescent="0.3">
      <c r="A767" s="1" t="s">
        <v>1361</v>
      </c>
      <c r="B767" s="2">
        <v>45202</v>
      </c>
      <c r="C767" s="1" t="s">
        <v>945</v>
      </c>
      <c r="D767">
        <v>103</v>
      </c>
      <c r="E767" s="1" t="s">
        <v>810</v>
      </c>
      <c r="F767" s="3">
        <v>0.28958333333333336</v>
      </c>
    </row>
    <row r="768" spans="1:6" x14ac:dyDescent="0.3">
      <c r="A768" s="1" t="s">
        <v>1361</v>
      </c>
      <c r="B768" s="2">
        <v>45220</v>
      </c>
      <c r="C768" s="1" t="s">
        <v>1356</v>
      </c>
      <c r="D768">
        <v>79</v>
      </c>
      <c r="E768" s="1" t="s">
        <v>807</v>
      </c>
      <c r="F768" s="3">
        <v>0.61875000000000002</v>
      </c>
    </row>
    <row r="769" spans="1:6" x14ac:dyDescent="0.3">
      <c r="A769" s="1" t="s">
        <v>1361</v>
      </c>
      <c r="B769" s="2">
        <v>45204</v>
      </c>
      <c r="C769" s="1" t="s">
        <v>1275</v>
      </c>
      <c r="D769">
        <v>34</v>
      </c>
      <c r="E769" s="1" t="s">
        <v>807</v>
      </c>
      <c r="F769" s="3">
        <v>0.12291666666666666</v>
      </c>
    </row>
    <row r="770" spans="1:6" x14ac:dyDescent="0.3">
      <c r="A770" s="1" t="s">
        <v>1361</v>
      </c>
      <c r="B770" s="2">
        <v>45227</v>
      </c>
      <c r="C770" s="1" t="s">
        <v>1340</v>
      </c>
      <c r="D770">
        <v>25</v>
      </c>
      <c r="E770" s="1" t="s">
        <v>810</v>
      </c>
      <c r="F770" s="3">
        <v>0.42152777777777778</v>
      </c>
    </row>
    <row r="771" spans="1:6" x14ac:dyDescent="0.3">
      <c r="A771" s="1" t="s">
        <v>1361</v>
      </c>
      <c r="B771" s="2">
        <v>45201</v>
      </c>
      <c r="C771" s="1" t="s">
        <v>1369</v>
      </c>
      <c r="D771">
        <v>17</v>
      </c>
      <c r="E771" s="1" t="s">
        <v>812</v>
      </c>
      <c r="F771" s="3">
        <v>0.5854166666666667</v>
      </c>
    </row>
    <row r="772" spans="1:6" x14ac:dyDescent="0.3">
      <c r="A772" s="1" t="s">
        <v>1361</v>
      </c>
      <c r="B772" s="2">
        <v>45205</v>
      </c>
      <c r="C772" s="1" t="s">
        <v>1370</v>
      </c>
      <c r="D772">
        <v>36</v>
      </c>
      <c r="E772" s="1" t="s">
        <v>807</v>
      </c>
      <c r="F772" s="3">
        <v>0.76875000000000004</v>
      </c>
    </row>
    <row r="773" spans="1:6" x14ac:dyDescent="0.3">
      <c r="A773" s="1" t="s">
        <v>1361</v>
      </c>
      <c r="B773" s="2">
        <v>45226</v>
      </c>
      <c r="C773" s="1" t="s">
        <v>993</v>
      </c>
      <c r="D773">
        <v>89</v>
      </c>
      <c r="E773" s="1" t="s">
        <v>812</v>
      </c>
      <c r="F773" s="3">
        <v>0.97569444444444442</v>
      </c>
    </row>
    <row r="774" spans="1:6" x14ac:dyDescent="0.3">
      <c r="A774" s="1" t="s">
        <v>1361</v>
      </c>
      <c r="B774" s="2">
        <v>45221</v>
      </c>
      <c r="C774" s="1" t="s">
        <v>1371</v>
      </c>
      <c r="D774">
        <v>39</v>
      </c>
      <c r="E774" s="1" t="s">
        <v>810</v>
      </c>
      <c r="F774" s="3">
        <v>0.5493055555555556</v>
      </c>
    </row>
    <row r="775" spans="1:6" x14ac:dyDescent="0.3">
      <c r="A775" s="1" t="s">
        <v>1361</v>
      </c>
      <c r="B775" s="2">
        <v>45211</v>
      </c>
      <c r="C775" s="1" t="s">
        <v>1372</v>
      </c>
      <c r="D775">
        <v>73</v>
      </c>
      <c r="E775" s="1" t="s">
        <v>812</v>
      </c>
      <c r="F775" s="3">
        <v>0.2902777777777778</v>
      </c>
    </row>
    <row r="776" spans="1:6" x14ac:dyDescent="0.3">
      <c r="A776" s="1" t="s">
        <v>1361</v>
      </c>
      <c r="B776" s="2">
        <v>45205</v>
      </c>
      <c r="C776" s="1" t="s">
        <v>980</v>
      </c>
      <c r="D776">
        <v>109</v>
      </c>
      <c r="E776" s="1" t="s">
        <v>810</v>
      </c>
      <c r="F776" s="3">
        <v>0.34513888888888888</v>
      </c>
    </row>
    <row r="777" spans="1:6" x14ac:dyDescent="0.3">
      <c r="A777" s="1" t="s">
        <v>1361</v>
      </c>
      <c r="B777" s="2">
        <v>45214</v>
      </c>
      <c r="C777" s="1" t="s">
        <v>1373</v>
      </c>
      <c r="D777">
        <v>106</v>
      </c>
      <c r="E777" s="1" t="s">
        <v>807</v>
      </c>
      <c r="F777" s="3">
        <v>0.16805555555555557</v>
      </c>
    </row>
    <row r="778" spans="1:6" x14ac:dyDescent="0.3">
      <c r="A778" s="1" t="s">
        <v>1361</v>
      </c>
      <c r="B778" s="2">
        <v>45219</v>
      </c>
      <c r="C778" s="1" t="s">
        <v>989</v>
      </c>
      <c r="D778">
        <v>99</v>
      </c>
      <c r="E778" s="1" t="s">
        <v>812</v>
      </c>
      <c r="F778" s="3">
        <v>0.81874999999999998</v>
      </c>
    </row>
    <row r="779" spans="1:6" x14ac:dyDescent="0.3">
      <c r="A779" s="1" t="s">
        <v>1361</v>
      </c>
      <c r="B779" s="2">
        <v>45207</v>
      </c>
      <c r="C779" s="1" t="s">
        <v>1024</v>
      </c>
      <c r="D779">
        <v>12</v>
      </c>
      <c r="E779" s="1" t="s">
        <v>812</v>
      </c>
      <c r="F779" s="3">
        <v>0.84583333333333333</v>
      </c>
    </row>
    <row r="780" spans="1:6" x14ac:dyDescent="0.3">
      <c r="A780" s="1" t="s">
        <v>1361</v>
      </c>
      <c r="B780" s="2">
        <v>45215</v>
      </c>
      <c r="C780" s="1" t="s">
        <v>1037</v>
      </c>
      <c r="D780">
        <v>102</v>
      </c>
      <c r="E780" s="1" t="s">
        <v>812</v>
      </c>
      <c r="F780" s="3">
        <v>0.5805555555555556</v>
      </c>
    </row>
    <row r="781" spans="1:6" x14ac:dyDescent="0.3">
      <c r="A781" s="1" t="s">
        <v>1361</v>
      </c>
      <c r="B781" s="2">
        <v>45217</v>
      </c>
      <c r="C781" s="1" t="s">
        <v>956</v>
      </c>
      <c r="D781">
        <v>33</v>
      </c>
      <c r="E781" s="1" t="s">
        <v>807</v>
      </c>
      <c r="F781" s="3">
        <v>0.62708333333333333</v>
      </c>
    </row>
    <row r="782" spans="1:6" x14ac:dyDescent="0.3">
      <c r="A782" s="1" t="s">
        <v>1361</v>
      </c>
      <c r="B782" s="2">
        <v>45202</v>
      </c>
      <c r="C782" s="1" t="s">
        <v>1374</v>
      </c>
      <c r="D782">
        <v>78</v>
      </c>
      <c r="E782" s="1" t="s">
        <v>807</v>
      </c>
      <c r="F782" s="3">
        <v>0.35</v>
      </c>
    </row>
    <row r="783" spans="1:6" x14ac:dyDescent="0.3">
      <c r="A783" s="1" t="s">
        <v>1361</v>
      </c>
      <c r="B783" s="2">
        <v>45204</v>
      </c>
      <c r="C783" s="1" t="s">
        <v>1031</v>
      </c>
      <c r="D783">
        <v>113</v>
      </c>
      <c r="E783" s="1" t="s">
        <v>810</v>
      </c>
      <c r="F783" s="3">
        <v>0.55000000000000004</v>
      </c>
    </row>
    <row r="784" spans="1:6" x14ac:dyDescent="0.3">
      <c r="A784" s="1" t="s">
        <v>1361</v>
      </c>
      <c r="B784" s="2">
        <v>45220</v>
      </c>
      <c r="C784" s="1" t="s">
        <v>1375</v>
      </c>
      <c r="D784">
        <v>107</v>
      </c>
      <c r="E784" s="1" t="s">
        <v>812</v>
      </c>
      <c r="F784" s="3">
        <v>0.67708333333333337</v>
      </c>
    </row>
    <row r="785" spans="1:6" x14ac:dyDescent="0.3">
      <c r="A785" s="1" t="s">
        <v>1361</v>
      </c>
      <c r="B785" s="2">
        <v>45220</v>
      </c>
      <c r="C785" s="1" t="s">
        <v>1195</v>
      </c>
      <c r="D785">
        <v>54</v>
      </c>
      <c r="E785" s="1" t="s">
        <v>810</v>
      </c>
      <c r="F785" s="3">
        <v>0.74305555555555558</v>
      </c>
    </row>
    <row r="786" spans="1:6" x14ac:dyDescent="0.3">
      <c r="A786" s="1" t="s">
        <v>1361</v>
      </c>
      <c r="B786" s="2">
        <v>45200</v>
      </c>
      <c r="C786" s="1" t="s">
        <v>1376</v>
      </c>
      <c r="D786">
        <v>50</v>
      </c>
      <c r="E786" s="1" t="s">
        <v>812</v>
      </c>
      <c r="F786" s="3">
        <v>0.53472222222222221</v>
      </c>
    </row>
    <row r="787" spans="1:6" x14ac:dyDescent="0.3">
      <c r="A787" s="1" t="s">
        <v>1361</v>
      </c>
      <c r="B787" s="2">
        <v>45222</v>
      </c>
      <c r="C787" s="1" t="s">
        <v>1377</v>
      </c>
      <c r="D787">
        <v>112</v>
      </c>
      <c r="E787" s="1" t="s">
        <v>810</v>
      </c>
      <c r="F787" s="3">
        <v>0.47916666666666669</v>
      </c>
    </row>
    <row r="788" spans="1:6" x14ac:dyDescent="0.3">
      <c r="A788" s="1" t="s">
        <v>1361</v>
      </c>
      <c r="B788" s="2">
        <v>45217</v>
      </c>
      <c r="C788" s="1" t="s">
        <v>1378</v>
      </c>
      <c r="D788">
        <v>113</v>
      </c>
      <c r="E788" s="1" t="s">
        <v>812</v>
      </c>
      <c r="F788" s="3">
        <v>0.64027777777777772</v>
      </c>
    </row>
    <row r="789" spans="1:6" x14ac:dyDescent="0.3">
      <c r="A789" s="1" t="s">
        <v>1361</v>
      </c>
      <c r="B789" s="2">
        <v>45229</v>
      </c>
      <c r="C789" s="1" t="s">
        <v>1256</v>
      </c>
      <c r="D789">
        <v>27</v>
      </c>
      <c r="E789" s="1" t="s">
        <v>807</v>
      </c>
      <c r="F789" s="3">
        <v>0.77222222222222225</v>
      </c>
    </row>
    <row r="790" spans="1:6" x14ac:dyDescent="0.3">
      <c r="A790" s="1" t="s">
        <v>1361</v>
      </c>
      <c r="B790" s="2">
        <v>45210</v>
      </c>
      <c r="C790" s="1" t="s">
        <v>1379</v>
      </c>
      <c r="D790">
        <v>27</v>
      </c>
      <c r="E790" s="1" t="s">
        <v>810</v>
      </c>
      <c r="F790" s="3">
        <v>0.51180555555555551</v>
      </c>
    </row>
    <row r="791" spans="1:6" x14ac:dyDescent="0.3">
      <c r="A791" s="1" t="s">
        <v>1380</v>
      </c>
      <c r="B791" s="2">
        <v>45226</v>
      </c>
      <c r="C791" s="1" t="s">
        <v>1381</v>
      </c>
      <c r="D791">
        <v>11</v>
      </c>
      <c r="E791" s="1" t="s">
        <v>810</v>
      </c>
      <c r="F791" s="3">
        <v>0.22500000000000001</v>
      </c>
    </row>
    <row r="792" spans="1:6" x14ac:dyDescent="0.3">
      <c r="A792" s="1" t="s">
        <v>1380</v>
      </c>
      <c r="B792" s="2">
        <v>45209</v>
      </c>
      <c r="C792" s="1" t="s">
        <v>1275</v>
      </c>
      <c r="D792">
        <v>51</v>
      </c>
      <c r="E792" s="1" t="s">
        <v>810</v>
      </c>
      <c r="F792" s="3">
        <v>0.98888888888888893</v>
      </c>
    </row>
    <row r="793" spans="1:6" x14ac:dyDescent="0.3">
      <c r="A793" s="1" t="s">
        <v>1380</v>
      </c>
      <c r="B793" s="2">
        <v>45209</v>
      </c>
      <c r="C793" s="1" t="s">
        <v>1357</v>
      </c>
      <c r="D793">
        <v>5</v>
      </c>
      <c r="E793" s="1" t="s">
        <v>807</v>
      </c>
      <c r="F793" s="3">
        <v>0.17430555555555555</v>
      </c>
    </row>
    <row r="794" spans="1:6" x14ac:dyDescent="0.3">
      <c r="A794" s="1" t="s">
        <v>1380</v>
      </c>
      <c r="B794" s="2">
        <v>45230</v>
      </c>
      <c r="C794" s="1" t="s">
        <v>1382</v>
      </c>
      <c r="D794">
        <v>16</v>
      </c>
      <c r="E794" s="1" t="s">
        <v>812</v>
      </c>
      <c r="F794" s="3">
        <v>0.76736111111111116</v>
      </c>
    </row>
    <row r="795" spans="1:6" x14ac:dyDescent="0.3">
      <c r="A795" s="1" t="s">
        <v>1380</v>
      </c>
      <c r="B795" s="2">
        <v>45227</v>
      </c>
      <c r="C795" s="1" t="s">
        <v>1263</v>
      </c>
      <c r="D795">
        <v>42</v>
      </c>
      <c r="E795" s="1" t="s">
        <v>807</v>
      </c>
      <c r="F795" s="3">
        <v>0.75138888888888888</v>
      </c>
    </row>
    <row r="796" spans="1:6" x14ac:dyDescent="0.3">
      <c r="A796" s="1" t="s">
        <v>1380</v>
      </c>
      <c r="B796" s="2">
        <v>45205</v>
      </c>
      <c r="C796" s="1" t="s">
        <v>1383</v>
      </c>
      <c r="D796">
        <v>110</v>
      </c>
      <c r="E796" s="1" t="s">
        <v>807</v>
      </c>
      <c r="F796" s="3">
        <v>0.80555555555555558</v>
      </c>
    </row>
    <row r="797" spans="1:6" x14ac:dyDescent="0.3">
      <c r="A797" s="1" t="s">
        <v>1380</v>
      </c>
      <c r="B797" s="2">
        <v>45229</v>
      </c>
      <c r="C797" s="1" t="s">
        <v>1021</v>
      </c>
      <c r="D797">
        <v>89</v>
      </c>
      <c r="E797" s="1" t="s">
        <v>807</v>
      </c>
      <c r="F797" s="3">
        <v>0.80138888888888893</v>
      </c>
    </row>
    <row r="798" spans="1:6" x14ac:dyDescent="0.3">
      <c r="A798" s="1" t="s">
        <v>1380</v>
      </c>
      <c r="B798" s="2">
        <v>45220</v>
      </c>
      <c r="C798" s="1" t="s">
        <v>947</v>
      </c>
      <c r="D798">
        <v>85</v>
      </c>
      <c r="E798" s="1" t="s">
        <v>807</v>
      </c>
      <c r="F798" s="3">
        <v>0.75416666666666665</v>
      </c>
    </row>
    <row r="799" spans="1:6" x14ac:dyDescent="0.3">
      <c r="A799" s="1" t="s">
        <v>1380</v>
      </c>
      <c r="B799" s="2">
        <v>45229</v>
      </c>
      <c r="C799" s="1" t="s">
        <v>1384</v>
      </c>
      <c r="D799">
        <v>81</v>
      </c>
      <c r="E799" s="1" t="s">
        <v>807</v>
      </c>
      <c r="F799" s="3">
        <v>0.63124999999999998</v>
      </c>
    </row>
    <row r="800" spans="1:6" x14ac:dyDescent="0.3">
      <c r="A800" s="1" t="s">
        <v>1380</v>
      </c>
      <c r="B800" s="2">
        <v>45210</v>
      </c>
      <c r="C800" s="1" t="s">
        <v>972</v>
      </c>
      <c r="D800">
        <v>66</v>
      </c>
      <c r="E800" s="1" t="s">
        <v>807</v>
      </c>
      <c r="F800" s="3">
        <v>0.96111111111111114</v>
      </c>
    </row>
    <row r="801" spans="1:6" x14ac:dyDescent="0.3">
      <c r="A801" s="1" t="s">
        <v>1380</v>
      </c>
      <c r="B801" s="2">
        <v>45207</v>
      </c>
      <c r="C801" s="1" t="s">
        <v>1385</v>
      </c>
      <c r="D801">
        <v>30</v>
      </c>
      <c r="E801" s="1" t="s">
        <v>812</v>
      </c>
      <c r="F801" s="3">
        <v>0.47222222222222221</v>
      </c>
    </row>
    <row r="802" spans="1:6" x14ac:dyDescent="0.3">
      <c r="A802" s="1" t="s">
        <v>1380</v>
      </c>
      <c r="B802" s="2">
        <v>45205</v>
      </c>
      <c r="C802" s="1" t="s">
        <v>1386</v>
      </c>
      <c r="D802">
        <v>17</v>
      </c>
      <c r="E802" s="1" t="s">
        <v>807</v>
      </c>
      <c r="F802" s="3">
        <v>0.87222222222222223</v>
      </c>
    </row>
    <row r="803" spans="1:6" x14ac:dyDescent="0.3">
      <c r="A803" s="1" t="s">
        <v>1380</v>
      </c>
      <c r="B803" s="2">
        <v>45230</v>
      </c>
      <c r="C803" s="1" t="s">
        <v>991</v>
      </c>
      <c r="D803">
        <v>8</v>
      </c>
      <c r="E803" s="1" t="s">
        <v>810</v>
      </c>
      <c r="F803" s="3">
        <v>0.11944444444444445</v>
      </c>
    </row>
    <row r="804" spans="1:6" x14ac:dyDescent="0.3">
      <c r="A804" s="1" t="s">
        <v>1380</v>
      </c>
      <c r="B804" s="2">
        <v>45222</v>
      </c>
      <c r="C804" s="1" t="s">
        <v>1042</v>
      </c>
      <c r="D804">
        <v>31</v>
      </c>
      <c r="E804" s="1" t="s">
        <v>812</v>
      </c>
      <c r="F804" s="3">
        <v>0.90277777777777779</v>
      </c>
    </row>
    <row r="805" spans="1:6" x14ac:dyDescent="0.3">
      <c r="A805" s="1" t="s">
        <v>1380</v>
      </c>
      <c r="B805" s="2">
        <v>45223</v>
      </c>
      <c r="C805" s="1" t="s">
        <v>997</v>
      </c>
      <c r="D805">
        <v>26</v>
      </c>
      <c r="E805" s="1" t="s">
        <v>807</v>
      </c>
      <c r="F805" s="3">
        <v>0.43611111111111112</v>
      </c>
    </row>
    <row r="806" spans="1:6" x14ac:dyDescent="0.3">
      <c r="A806" s="1" t="s">
        <v>1380</v>
      </c>
      <c r="B806" s="2">
        <v>45200</v>
      </c>
      <c r="C806" s="1" t="s">
        <v>1088</v>
      </c>
      <c r="D806">
        <v>86</v>
      </c>
      <c r="E806" s="1" t="s">
        <v>810</v>
      </c>
      <c r="F806" s="3">
        <v>0.34236111111111112</v>
      </c>
    </row>
    <row r="807" spans="1:6" x14ac:dyDescent="0.3">
      <c r="A807" s="1" t="s">
        <v>1380</v>
      </c>
      <c r="B807" s="2">
        <v>45207</v>
      </c>
      <c r="C807" s="1" t="s">
        <v>1387</v>
      </c>
      <c r="D807">
        <v>42</v>
      </c>
      <c r="E807" s="1" t="s">
        <v>807</v>
      </c>
      <c r="F807" s="3">
        <v>0.9194444444444444</v>
      </c>
    </row>
    <row r="808" spans="1:6" x14ac:dyDescent="0.3">
      <c r="A808" s="1" t="s">
        <v>1380</v>
      </c>
      <c r="B808" s="2">
        <v>45211</v>
      </c>
      <c r="C808" s="1" t="s">
        <v>971</v>
      </c>
      <c r="D808">
        <v>15</v>
      </c>
      <c r="E808" s="1" t="s">
        <v>810</v>
      </c>
      <c r="F808" s="3">
        <v>0.36805555555555558</v>
      </c>
    </row>
    <row r="809" spans="1:6" x14ac:dyDescent="0.3">
      <c r="A809" s="1" t="s">
        <v>1380</v>
      </c>
      <c r="B809" s="2">
        <v>45203</v>
      </c>
      <c r="C809" s="1" t="s">
        <v>1388</v>
      </c>
      <c r="D809">
        <v>65</v>
      </c>
      <c r="E809" s="1" t="s">
        <v>812</v>
      </c>
      <c r="F809" s="3">
        <v>0.95833333333333337</v>
      </c>
    </row>
    <row r="810" spans="1:6" x14ac:dyDescent="0.3">
      <c r="A810" s="1" t="s">
        <v>1380</v>
      </c>
      <c r="B810" s="2">
        <v>45201</v>
      </c>
      <c r="C810" s="1" t="s">
        <v>924</v>
      </c>
      <c r="D810">
        <v>113</v>
      </c>
      <c r="E810" s="1" t="s">
        <v>812</v>
      </c>
      <c r="F810" s="3">
        <v>0.51944444444444449</v>
      </c>
    </row>
    <row r="811" spans="1:6" x14ac:dyDescent="0.3">
      <c r="A811" s="1" t="s">
        <v>1380</v>
      </c>
      <c r="B811" s="2">
        <v>45223</v>
      </c>
      <c r="C811" s="1" t="s">
        <v>1333</v>
      </c>
      <c r="D811">
        <v>19</v>
      </c>
      <c r="E811" s="1" t="s">
        <v>810</v>
      </c>
      <c r="F811" s="3">
        <v>0.54861111111111116</v>
      </c>
    </row>
    <row r="812" spans="1:6" x14ac:dyDescent="0.3">
      <c r="A812" s="1" t="s">
        <v>1380</v>
      </c>
      <c r="B812" s="2">
        <v>45228</v>
      </c>
      <c r="C812" s="1" t="s">
        <v>1288</v>
      </c>
      <c r="D812">
        <v>44</v>
      </c>
      <c r="E812" s="1" t="s">
        <v>807</v>
      </c>
      <c r="F812" s="3">
        <v>0.56319444444444444</v>
      </c>
    </row>
    <row r="813" spans="1:6" x14ac:dyDescent="0.3">
      <c r="A813" s="1" t="s">
        <v>1380</v>
      </c>
      <c r="B813" s="2">
        <v>45228</v>
      </c>
      <c r="C813" s="1" t="s">
        <v>1389</v>
      </c>
      <c r="D813">
        <v>105</v>
      </c>
      <c r="E813" s="1" t="s">
        <v>807</v>
      </c>
      <c r="F813" s="3">
        <v>0.51527777777777772</v>
      </c>
    </row>
    <row r="814" spans="1:6" x14ac:dyDescent="0.3">
      <c r="A814" s="1" t="s">
        <v>1380</v>
      </c>
      <c r="B814" s="2">
        <v>45217</v>
      </c>
      <c r="C814" s="1" t="s">
        <v>1114</v>
      </c>
      <c r="D814">
        <v>55</v>
      </c>
      <c r="E814" s="1" t="s">
        <v>812</v>
      </c>
      <c r="F814" s="3">
        <v>0.50416666666666665</v>
      </c>
    </row>
    <row r="815" spans="1:6" x14ac:dyDescent="0.3">
      <c r="A815" s="1" t="s">
        <v>1380</v>
      </c>
      <c r="B815" s="2">
        <v>45226</v>
      </c>
      <c r="C815" s="1" t="s">
        <v>1099</v>
      </c>
      <c r="D815">
        <v>65</v>
      </c>
      <c r="E815" s="1" t="s">
        <v>810</v>
      </c>
      <c r="F815" s="3">
        <v>0.65972222222222221</v>
      </c>
    </row>
    <row r="816" spans="1:6" x14ac:dyDescent="0.3">
      <c r="A816" s="1" t="s">
        <v>1380</v>
      </c>
      <c r="B816" s="2">
        <v>45227</v>
      </c>
      <c r="C816" s="1" t="s">
        <v>1245</v>
      </c>
      <c r="D816">
        <v>67</v>
      </c>
      <c r="E816" s="1" t="s">
        <v>812</v>
      </c>
      <c r="F816" s="3">
        <v>0.77847222222222223</v>
      </c>
    </row>
    <row r="817" spans="1:6" x14ac:dyDescent="0.3">
      <c r="A817" s="1" t="s">
        <v>1380</v>
      </c>
      <c r="B817" s="2">
        <v>45224</v>
      </c>
      <c r="C817" s="1" t="s">
        <v>1390</v>
      </c>
      <c r="D817">
        <v>119</v>
      </c>
      <c r="E817" s="1" t="s">
        <v>810</v>
      </c>
      <c r="F817" s="3">
        <v>0.88472222222222219</v>
      </c>
    </row>
    <row r="818" spans="1:6" x14ac:dyDescent="0.3">
      <c r="A818" s="1" t="s">
        <v>1380</v>
      </c>
      <c r="B818" s="2">
        <v>45205</v>
      </c>
      <c r="C818" s="1" t="s">
        <v>1391</v>
      </c>
      <c r="D818">
        <v>89</v>
      </c>
      <c r="E818" s="1" t="s">
        <v>812</v>
      </c>
      <c r="F818" s="3">
        <v>0.58611111111111114</v>
      </c>
    </row>
    <row r="819" spans="1:6" x14ac:dyDescent="0.3">
      <c r="A819" s="1" t="s">
        <v>1380</v>
      </c>
      <c r="B819" s="2">
        <v>45225</v>
      </c>
      <c r="C819" s="1" t="s">
        <v>1392</v>
      </c>
      <c r="D819">
        <v>38</v>
      </c>
      <c r="E819" s="1" t="s">
        <v>812</v>
      </c>
      <c r="F819" s="3">
        <v>5.4166666666666669E-2</v>
      </c>
    </row>
    <row r="820" spans="1:6" x14ac:dyDescent="0.3">
      <c r="A820" s="1" t="s">
        <v>1380</v>
      </c>
      <c r="B820" s="2">
        <v>45200</v>
      </c>
      <c r="C820" s="1" t="s">
        <v>919</v>
      </c>
      <c r="D820">
        <v>16</v>
      </c>
      <c r="E820" s="1" t="s">
        <v>810</v>
      </c>
      <c r="F820" s="3">
        <v>0.42777777777777776</v>
      </c>
    </row>
    <row r="821" spans="1:6" x14ac:dyDescent="0.3">
      <c r="A821" s="1" t="s">
        <v>1380</v>
      </c>
      <c r="B821" s="2">
        <v>45230</v>
      </c>
      <c r="C821" s="1" t="s">
        <v>1301</v>
      </c>
      <c r="D821">
        <v>87</v>
      </c>
      <c r="E821" s="1" t="s">
        <v>812</v>
      </c>
      <c r="F821" s="3">
        <v>0.12777777777777777</v>
      </c>
    </row>
    <row r="822" spans="1:6" x14ac:dyDescent="0.3">
      <c r="A822" s="1" t="s">
        <v>1380</v>
      </c>
      <c r="B822" s="2">
        <v>45210</v>
      </c>
      <c r="C822" s="1" t="s">
        <v>1372</v>
      </c>
      <c r="D822">
        <v>74</v>
      </c>
      <c r="E822" s="1" t="s">
        <v>807</v>
      </c>
      <c r="F822" s="3">
        <v>0.24722222222222223</v>
      </c>
    </row>
    <row r="823" spans="1:6" x14ac:dyDescent="0.3">
      <c r="A823" s="1" t="s">
        <v>1380</v>
      </c>
      <c r="B823" s="2">
        <v>45212</v>
      </c>
      <c r="C823" s="1" t="s">
        <v>1159</v>
      </c>
      <c r="D823">
        <v>54</v>
      </c>
      <c r="E823" s="1" t="s">
        <v>810</v>
      </c>
      <c r="F823" s="3">
        <v>0.24027777777777778</v>
      </c>
    </row>
    <row r="824" spans="1:6" x14ac:dyDescent="0.3">
      <c r="A824" s="1" t="s">
        <v>1380</v>
      </c>
      <c r="B824" s="2">
        <v>45202</v>
      </c>
      <c r="C824" s="1" t="s">
        <v>953</v>
      </c>
      <c r="D824">
        <v>28</v>
      </c>
      <c r="E824" s="1" t="s">
        <v>810</v>
      </c>
      <c r="F824" s="3">
        <v>0.74791666666666667</v>
      </c>
    </row>
    <row r="825" spans="1:6" x14ac:dyDescent="0.3">
      <c r="A825" s="1" t="s">
        <v>1380</v>
      </c>
      <c r="B825" s="2">
        <v>45202</v>
      </c>
      <c r="C825" s="1" t="s">
        <v>1393</v>
      </c>
      <c r="D825">
        <v>52</v>
      </c>
      <c r="E825" s="1" t="s">
        <v>810</v>
      </c>
      <c r="F825" s="3">
        <v>0.44305555555555554</v>
      </c>
    </row>
    <row r="826" spans="1:6" x14ac:dyDescent="0.3">
      <c r="A826" s="1" t="s">
        <v>1380</v>
      </c>
      <c r="B826" s="2">
        <v>45219</v>
      </c>
      <c r="C826" s="1" t="s">
        <v>1091</v>
      </c>
      <c r="D826">
        <v>118</v>
      </c>
      <c r="E826" s="1" t="s">
        <v>810</v>
      </c>
      <c r="F826" s="3">
        <v>0.65625</v>
      </c>
    </row>
    <row r="827" spans="1:6" x14ac:dyDescent="0.3">
      <c r="A827" s="1" t="s">
        <v>1380</v>
      </c>
      <c r="B827" s="2">
        <v>45200</v>
      </c>
      <c r="C827" s="1" t="s">
        <v>1394</v>
      </c>
      <c r="D827">
        <v>53</v>
      </c>
      <c r="E827" s="1" t="s">
        <v>812</v>
      </c>
      <c r="F827" s="3">
        <v>0.57013888888888886</v>
      </c>
    </row>
    <row r="828" spans="1:6" x14ac:dyDescent="0.3">
      <c r="A828" s="1" t="s">
        <v>1380</v>
      </c>
      <c r="B828" s="2">
        <v>45205</v>
      </c>
      <c r="C828" s="1" t="s">
        <v>1395</v>
      </c>
      <c r="D828">
        <v>52</v>
      </c>
      <c r="E828" s="1" t="s">
        <v>807</v>
      </c>
      <c r="F828" s="3">
        <v>0.8305555555555556</v>
      </c>
    </row>
    <row r="829" spans="1:6" x14ac:dyDescent="0.3">
      <c r="A829" s="1" t="s">
        <v>1380</v>
      </c>
      <c r="B829" s="2">
        <v>45213</v>
      </c>
      <c r="C829" s="1" t="s">
        <v>1396</v>
      </c>
      <c r="D829">
        <v>28</v>
      </c>
      <c r="E829" s="1" t="s">
        <v>812</v>
      </c>
      <c r="F829" s="3">
        <v>0.21041666666666667</v>
      </c>
    </row>
    <row r="830" spans="1:6" x14ac:dyDescent="0.3">
      <c r="A830" s="1" t="s">
        <v>1380</v>
      </c>
      <c r="B830" s="2">
        <v>45203</v>
      </c>
      <c r="C830" s="1" t="s">
        <v>1397</v>
      </c>
      <c r="D830">
        <v>62</v>
      </c>
      <c r="E830" s="1" t="s">
        <v>807</v>
      </c>
      <c r="F830" s="3">
        <v>0.42569444444444443</v>
      </c>
    </row>
    <row r="831" spans="1:6" x14ac:dyDescent="0.3">
      <c r="A831" s="1" t="s">
        <v>1380</v>
      </c>
      <c r="B831" s="2">
        <v>45206</v>
      </c>
      <c r="C831" s="1" t="s">
        <v>1157</v>
      </c>
      <c r="D831">
        <v>10</v>
      </c>
      <c r="E831" s="1" t="s">
        <v>807</v>
      </c>
      <c r="F831" s="3">
        <v>0.57222222222222219</v>
      </c>
    </row>
    <row r="832" spans="1:6" x14ac:dyDescent="0.3">
      <c r="A832" s="1" t="s">
        <v>1380</v>
      </c>
      <c r="B832" s="2">
        <v>45217</v>
      </c>
      <c r="C832" s="1" t="s">
        <v>1112</v>
      </c>
      <c r="D832">
        <v>38</v>
      </c>
      <c r="E832" s="1" t="s">
        <v>810</v>
      </c>
      <c r="F832" s="3">
        <v>0.99930555555555556</v>
      </c>
    </row>
    <row r="833" spans="1:6" x14ac:dyDescent="0.3">
      <c r="A833" s="1" t="s">
        <v>1380</v>
      </c>
      <c r="B833" s="2">
        <v>45223</v>
      </c>
      <c r="C833" s="1" t="s">
        <v>1107</v>
      </c>
      <c r="D833">
        <v>61</v>
      </c>
      <c r="E833" s="1" t="s">
        <v>810</v>
      </c>
      <c r="F833" s="3">
        <v>0.71944444444444444</v>
      </c>
    </row>
    <row r="834" spans="1:6" x14ac:dyDescent="0.3">
      <c r="A834" s="1" t="s">
        <v>1380</v>
      </c>
      <c r="B834" s="2">
        <v>45221</v>
      </c>
      <c r="C834" s="1" t="s">
        <v>1398</v>
      </c>
      <c r="D834">
        <v>64</v>
      </c>
      <c r="E834" s="1" t="s">
        <v>810</v>
      </c>
      <c r="F834" s="3">
        <v>0.38819444444444445</v>
      </c>
    </row>
    <row r="835" spans="1:6" x14ac:dyDescent="0.3">
      <c r="A835" s="1" t="s">
        <v>1380</v>
      </c>
      <c r="B835" s="2">
        <v>45207</v>
      </c>
      <c r="C835" s="1" t="s">
        <v>944</v>
      </c>
      <c r="D835">
        <v>38</v>
      </c>
      <c r="E835" s="1" t="s">
        <v>807</v>
      </c>
      <c r="F835" s="3">
        <v>0.12708333333333333</v>
      </c>
    </row>
    <row r="836" spans="1:6" x14ac:dyDescent="0.3">
      <c r="A836" s="1" t="s">
        <v>1380</v>
      </c>
      <c r="B836" s="2">
        <v>45212</v>
      </c>
      <c r="C836" s="1" t="s">
        <v>1399</v>
      </c>
      <c r="D836">
        <v>33</v>
      </c>
      <c r="E836" s="1" t="s">
        <v>807</v>
      </c>
      <c r="F836" s="3">
        <v>0.77430555555555558</v>
      </c>
    </row>
    <row r="837" spans="1:6" x14ac:dyDescent="0.3">
      <c r="A837" s="1" t="s">
        <v>1380</v>
      </c>
      <c r="B837" s="2">
        <v>45226</v>
      </c>
      <c r="C837" s="1" t="s">
        <v>1400</v>
      </c>
      <c r="D837">
        <v>112</v>
      </c>
      <c r="E837" s="1" t="s">
        <v>810</v>
      </c>
      <c r="F837" s="3">
        <v>0.63124999999999998</v>
      </c>
    </row>
    <row r="838" spans="1:6" x14ac:dyDescent="0.3">
      <c r="A838" s="1" t="s">
        <v>1401</v>
      </c>
      <c r="B838" s="2">
        <v>45208</v>
      </c>
      <c r="C838" s="1" t="s">
        <v>985</v>
      </c>
      <c r="D838">
        <v>33</v>
      </c>
      <c r="E838" s="1" t="s">
        <v>810</v>
      </c>
      <c r="F838" s="3">
        <v>0.52847222222222223</v>
      </c>
    </row>
    <row r="839" spans="1:6" x14ac:dyDescent="0.3">
      <c r="A839" s="1" t="s">
        <v>1401</v>
      </c>
      <c r="B839" s="2">
        <v>45215</v>
      </c>
      <c r="C839" s="1" t="s">
        <v>1402</v>
      </c>
      <c r="D839">
        <v>87</v>
      </c>
      <c r="E839" s="1" t="s">
        <v>812</v>
      </c>
      <c r="F839" s="3">
        <v>0.77638888888888891</v>
      </c>
    </row>
    <row r="840" spans="1:6" x14ac:dyDescent="0.3">
      <c r="A840" s="1" t="s">
        <v>1401</v>
      </c>
      <c r="B840" s="2">
        <v>45215</v>
      </c>
      <c r="C840" s="1" t="s">
        <v>1259</v>
      </c>
      <c r="D840">
        <v>33</v>
      </c>
      <c r="E840" s="1" t="s">
        <v>810</v>
      </c>
      <c r="F840" s="3">
        <v>4.9305555555555554E-2</v>
      </c>
    </row>
    <row r="841" spans="1:6" x14ac:dyDescent="0.3">
      <c r="A841" s="1" t="s">
        <v>1401</v>
      </c>
      <c r="B841" s="2">
        <v>45208</v>
      </c>
      <c r="C841" s="1" t="s">
        <v>1403</v>
      </c>
      <c r="D841">
        <v>91</v>
      </c>
      <c r="E841" s="1" t="s">
        <v>812</v>
      </c>
      <c r="F841" s="3">
        <v>0.50624999999999998</v>
      </c>
    </row>
    <row r="842" spans="1:6" x14ac:dyDescent="0.3">
      <c r="A842" s="1" t="s">
        <v>1401</v>
      </c>
      <c r="B842" s="2">
        <v>45219</v>
      </c>
      <c r="C842" s="1" t="s">
        <v>1309</v>
      </c>
      <c r="D842">
        <v>31</v>
      </c>
      <c r="E842" s="1" t="s">
        <v>810</v>
      </c>
      <c r="F842" s="3">
        <v>0.82152777777777775</v>
      </c>
    </row>
    <row r="843" spans="1:6" x14ac:dyDescent="0.3">
      <c r="A843" s="1" t="s">
        <v>1401</v>
      </c>
      <c r="B843" s="2">
        <v>45222</v>
      </c>
      <c r="C843" s="1" t="s">
        <v>1404</v>
      </c>
      <c r="D843">
        <v>39</v>
      </c>
      <c r="E843" s="1" t="s">
        <v>807</v>
      </c>
      <c r="F843" s="3">
        <v>0.50138888888888888</v>
      </c>
    </row>
    <row r="844" spans="1:6" x14ac:dyDescent="0.3">
      <c r="A844" s="1" t="s">
        <v>1401</v>
      </c>
      <c r="B844" s="2">
        <v>45212</v>
      </c>
      <c r="C844" s="1" t="s">
        <v>1300</v>
      </c>
      <c r="D844">
        <v>88</v>
      </c>
      <c r="E844" s="1" t="s">
        <v>810</v>
      </c>
      <c r="F844" s="3">
        <v>0.44722222222222224</v>
      </c>
    </row>
    <row r="845" spans="1:6" x14ac:dyDescent="0.3">
      <c r="A845" s="1" t="s">
        <v>1401</v>
      </c>
      <c r="B845" s="2">
        <v>45207</v>
      </c>
      <c r="C845" s="1" t="s">
        <v>1358</v>
      </c>
      <c r="D845">
        <v>57</v>
      </c>
      <c r="E845" s="1" t="s">
        <v>807</v>
      </c>
      <c r="F845" s="3">
        <v>7.4305555555555555E-2</v>
      </c>
    </row>
    <row r="846" spans="1:6" x14ac:dyDescent="0.3">
      <c r="A846" s="1" t="s">
        <v>1401</v>
      </c>
      <c r="B846" s="2">
        <v>45215</v>
      </c>
      <c r="C846" s="1" t="s">
        <v>1077</v>
      </c>
      <c r="D846">
        <v>70</v>
      </c>
      <c r="E846" s="1" t="s">
        <v>810</v>
      </c>
      <c r="F846" s="3">
        <v>0.37291666666666667</v>
      </c>
    </row>
    <row r="847" spans="1:6" x14ac:dyDescent="0.3">
      <c r="A847" s="1" t="s">
        <v>1401</v>
      </c>
      <c r="B847" s="2">
        <v>45226</v>
      </c>
      <c r="C847" s="1" t="s">
        <v>1406</v>
      </c>
      <c r="D847">
        <v>115</v>
      </c>
      <c r="E847" s="1" t="s">
        <v>812</v>
      </c>
      <c r="F847" s="3">
        <v>0.38819444444444445</v>
      </c>
    </row>
    <row r="848" spans="1:6" x14ac:dyDescent="0.3">
      <c r="A848" s="1" t="s">
        <v>1401</v>
      </c>
      <c r="B848" s="2">
        <v>45208</v>
      </c>
      <c r="C848" s="1" t="s">
        <v>1407</v>
      </c>
      <c r="D848">
        <v>104</v>
      </c>
      <c r="E848" s="1" t="s">
        <v>812</v>
      </c>
      <c r="F848" s="3">
        <v>0.66249999999999998</v>
      </c>
    </row>
    <row r="849" spans="1:6" x14ac:dyDescent="0.3">
      <c r="A849" s="1" t="s">
        <v>1401</v>
      </c>
      <c r="B849" s="2">
        <v>45222</v>
      </c>
      <c r="C849" s="1" t="s">
        <v>879</v>
      </c>
      <c r="D849">
        <v>103</v>
      </c>
      <c r="E849" s="1" t="s">
        <v>812</v>
      </c>
      <c r="F849" s="3">
        <v>0.87916666666666665</v>
      </c>
    </row>
    <row r="850" spans="1:6" x14ac:dyDescent="0.3">
      <c r="A850" s="1" t="s">
        <v>1401</v>
      </c>
      <c r="B850" s="2">
        <v>45227</v>
      </c>
      <c r="C850" s="1" t="s">
        <v>1408</v>
      </c>
      <c r="D850">
        <v>92</v>
      </c>
      <c r="E850" s="1" t="s">
        <v>812</v>
      </c>
      <c r="F850" s="3">
        <v>0.29722222222222222</v>
      </c>
    </row>
    <row r="851" spans="1:6" x14ac:dyDescent="0.3">
      <c r="A851" s="1" t="s">
        <v>1401</v>
      </c>
      <c r="B851" s="2">
        <v>45209</v>
      </c>
      <c r="C851" s="1" t="s">
        <v>1329</v>
      </c>
      <c r="D851">
        <v>6</v>
      </c>
      <c r="E851" s="1" t="s">
        <v>812</v>
      </c>
      <c r="F851" s="3">
        <v>0.97777777777777775</v>
      </c>
    </row>
    <row r="852" spans="1:6" x14ac:dyDescent="0.3">
      <c r="A852" s="1" t="s">
        <v>1401</v>
      </c>
      <c r="B852" s="2">
        <v>45224</v>
      </c>
      <c r="C852" s="1" t="s">
        <v>828</v>
      </c>
      <c r="D852">
        <v>65</v>
      </c>
      <c r="E852" s="1" t="s">
        <v>810</v>
      </c>
      <c r="F852" s="3">
        <v>0.4284722222222222</v>
      </c>
    </row>
    <row r="853" spans="1:6" x14ac:dyDescent="0.3">
      <c r="A853" s="1" t="s">
        <v>1401</v>
      </c>
      <c r="B853" s="2">
        <v>45223</v>
      </c>
      <c r="C853" s="1" t="s">
        <v>1409</v>
      </c>
      <c r="D853">
        <v>21</v>
      </c>
      <c r="E853" s="1" t="s">
        <v>807</v>
      </c>
      <c r="F853" s="3">
        <v>0.56805555555555554</v>
      </c>
    </row>
    <row r="854" spans="1:6" x14ac:dyDescent="0.3">
      <c r="A854" s="1" t="s">
        <v>1401</v>
      </c>
      <c r="B854" s="2">
        <v>45220</v>
      </c>
      <c r="C854" s="1" t="s">
        <v>825</v>
      </c>
      <c r="D854">
        <v>87</v>
      </c>
      <c r="E854" s="1" t="s">
        <v>810</v>
      </c>
      <c r="F854" s="3">
        <v>9.166666666666666E-2</v>
      </c>
    </row>
    <row r="855" spans="1:6" x14ac:dyDescent="0.3">
      <c r="A855" s="1" t="s">
        <v>1401</v>
      </c>
      <c r="B855" s="2">
        <v>45214</v>
      </c>
      <c r="C855" s="1" t="s">
        <v>1265</v>
      </c>
      <c r="D855">
        <v>27</v>
      </c>
      <c r="E855" s="1" t="s">
        <v>810</v>
      </c>
      <c r="F855" s="3">
        <v>0.2902777777777778</v>
      </c>
    </row>
    <row r="856" spans="1:6" x14ac:dyDescent="0.3">
      <c r="A856" s="1" t="s">
        <v>1401</v>
      </c>
      <c r="B856" s="2">
        <v>45226</v>
      </c>
      <c r="C856" s="1" t="s">
        <v>1054</v>
      </c>
      <c r="D856">
        <v>81</v>
      </c>
      <c r="E856" s="1" t="s">
        <v>810</v>
      </c>
      <c r="F856" s="3">
        <v>0.57430555555555551</v>
      </c>
    </row>
    <row r="857" spans="1:6" x14ac:dyDescent="0.3">
      <c r="A857" s="1" t="s">
        <v>1401</v>
      </c>
      <c r="B857" s="2">
        <v>45215</v>
      </c>
      <c r="C857" s="1" t="s">
        <v>1050</v>
      </c>
      <c r="D857">
        <v>107</v>
      </c>
      <c r="E857" s="1" t="s">
        <v>807</v>
      </c>
      <c r="F857" s="3">
        <v>0.70486111111111116</v>
      </c>
    </row>
    <row r="858" spans="1:6" x14ac:dyDescent="0.3">
      <c r="A858" s="1" t="s">
        <v>1401</v>
      </c>
      <c r="B858" s="2">
        <v>45211</v>
      </c>
      <c r="C858" s="1" t="s">
        <v>1410</v>
      </c>
      <c r="D858">
        <v>6</v>
      </c>
      <c r="E858" s="1" t="s">
        <v>812</v>
      </c>
      <c r="F858" s="3">
        <v>6.3888888888888884E-2</v>
      </c>
    </row>
    <row r="859" spans="1:6" x14ac:dyDescent="0.3">
      <c r="A859" s="1" t="s">
        <v>1401</v>
      </c>
      <c r="B859" s="2">
        <v>45225</v>
      </c>
      <c r="C859" s="1" t="s">
        <v>1411</v>
      </c>
      <c r="D859">
        <v>33</v>
      </c>
      <c r="E859" s="1" t="s">
        <v>810</v>
      </c>
      <c r="F859" s="3">
        <v>0.21111111111111111</v>
      </c>
    </row>
    <row r="860" spans="1:6" x14ac:dyDescent="0.3">
      <c r="A860" s="1" t="s">
        <v>1401</v>
      </c>
      <c r="B860" s="2">
        <v>45209</v>
      </c>
      <c r="C860" s="1" t="s">
        <v>867</v>
      </c>
      <c r="D860">
        <v>37</v>
      </c>
      <c r="E860" s="1" t="s">
        <v>810</v>
      </c>
      <c r="F860" s="3">
        <v>0.93888888888888888</v>
      </c>
    </row>
    <row r="861" spans="1:6" x14ac:dyDescent="0.3">
      <c r="A861" s="1" t="s">
        <v>1401</v>
      </c>
      <c r="B861" s="2">
        <v>45212</v>
      </c>
      <c r="C861" s="1" t="s">
        <v>1074</v>
      </c>
      <c r="D861">
        <v>82</v>
      </c>
      <c r="E861" s="1" t="s">
        <v>807</v>
      </c>
      <c r="F861" s="3">
        <v>0.20069444444444445</v>
      </c>
    </row>
    <row r="862" spans="1:6" x14ac:dyDescent="0.3">
      <c r="A862" s="1" t="s">
        <v>1401</v>
      </c>
      <c r="B862" s="2">
        <v>45227</v>
      </c>
      <c r="C862" s="1" t="s">
        <v>1067</v>
      </c>
      <c r="D862">
        <v>108</v>
      </c>
      <c r="E862" s="1" t="s">
        <v>810</v>
      </c>
      <c r="F862" s="3">
        <v>0.7055555555555556</v>
      </c>
    </row>
    <row r="863" spans="1:6" x14ac:dyDescent="0.3">
      <c r="A863" s="1" t="s">
        <v>1401</v>
      </c>
      <c r="B863" s="2">
        <v>45206</v>
      </c>
      <c r="C863" s="1" t="s">
        <v>867</v>
      </c>
      <c r="D863">
        <v>96</v>
      </c>
      <c r="E863" s="1" t="s">
        <v>810</v>
      </c>
      <c r="F863" s="3">
        <v>0.28680555555555554</v>
      </c>
    </row>
    <row r="864" spans="1:6" x14ac:dyDescent="0.3">
      <c r="A864" s="1" t="s">
        <v>1401</v>
      </c>
      <c r="B864" s="2">
        <v>45201</v>
      </c>
      <c r="C864" s="1" t="s">
        <v>1360</v>
      </c>
      <c r="D864">
        <v>95</v>
      </c>
      <c r="E864" s="1" t="s">
        <v>812</v>
      </c>
      <c r="F864" s="3">
        <v>0.29305555555555557</v>
      </c>
    </row>
    <row r="865" spans="1:6" x14ac:dyDescent="0.3">
      <c r="A865" s="1" t="s">
        <v>1401</v>
      </c>
      <c r="B865" s="2">
        <v>45214</v>
      </c>
      <c r="C865" s="1" t="s">
        <v>1412</v>
      </c>
      <c r="D865">
        <v>87</v>
      </c>
      <c r="E865" s="1" t="s">
        <v>810</v>
      </c>
      <c r="F865" s="3">
        <v>8.1944444444444445E-2</v>
      </c>
    </row>
    <row r="866" spans="1:6" x14ac:dyDescent="0.3">
      <c r="A866" s="1" t="s">
        <v>1401</v>
      </c>
      <c r="B866" s="2">
        <v>45211</v>
      </c>
      <c r="C866" s="1" t="s">
        <v>955</v>
      </c>
      <c r="D866">
        <v>40</v>
      </c>
      <c r="E866" s="1" t="s">
        <v>812</v>
      </c>
      <c r="F866" s="3">
        <v>0.92500000000000004</v>
      </c>
    </row>
    <row r="867" spans="1:6" x14ac:dyDescent="0.3">
      <c r="A867" s="1" t="s">
        <v>1401</v>
      </c>
      <c r="B867" s="2">
        <v>45208</v>
      </c>
      <c r="C867" s="1" t="s">
        <v>1152</v>
      </c>
      <c r="D867">
        <v>59</v>
      </c>
      <c r="E867" s="1" t="s">
        <v>810</v>
      </c>
      <c r="F867" s="3">
        <v>0.49444444444444446</v>
      </c>
    </row>
    <row r="868" spans="1:6" x14ac:dyDescent="0.3">
      <c r="A868" s="1" t="s">
        <v>1401</v>
      </c>
      <c r="B868" s="2">
        <v>45214</v>
      </c>
      <c r="C868" s="1" t="s">
        <v>908</v>
      </c>
      <c r="D868">
        <v>119</v>
      </c>
      <c r="E868" s="1" t="s">
        <v>812</v>
      </c>
      <c r="F868" s="3">
        <v>0.68402777777777779</v>
      </c>
    </row>
    <row r="869" spans="1:6" x14ac:dyDescent="0.3">
      <c r="A869" s="1" t="s">
        <v>1401</v>
      </c>
      <c r="B869" s="2">
        <v>45220</v>
      </c>
      <c r="C869" s="1" t="s">
        <v>1209</v>
      </c>
      <c r="D869">
        <v>53</v>
      </c>
      <c r="E869" s="1" t="s">
        <v>807</v>
      </c>
      <c r="F869" s="3">
        <v>0.15486111111111112</v>
      </c>
    </row>
    <row r="870" spans="1:6" x14ac:dyDescent="0.3">
      <c r="A870" s="1" t="s">
        <v>1401</v>
      </c>
      <c r="B870" s="2">
        <v>45200</v>
      </c>
      <c r="C870" s="1" t="s">
        <v>825</v>
      </c>
      <c r="D870">
        <v>114</v>
      </c>
      <c r="E870" s="1" t="s">
        <v>810</v>
      </c>
      <c r="F870" s="3">
        <v>0.30763888888888891</v>
      </c>
    </row>
    <row r="871" spans="1:6" x14ac:dyDescent="0.3">
      <c r="A871" s="1" t="s">
        <v>1401</v>
      </c>
      <c r="B871" s="2">
        <v>45215</v>
      </c>
      <c r="C871" s="1" t="s">
        <v>993</v>
      </c>
      <c r="D871">
        <v>49</v>
      </c>
      <c r="E871" s="1" t="s">
        <v>810</v>
      </c>
      <c r="F871" s="3">
        <v>0.81111111111111112</v>
      </c>
    </row>
    <row r="872" spans="1:6" x14ac:dyDescent="0.3">
      <c r="A872" s="1" t="s">
        <v>1401</v>
      </c>
      <c r="B872" s="2">
        <v>45205</v>
      </c>
      <c r="C872" s="1" t="s">
        <v>1413</v>
      </c>
      <c r="D872">
        <v>63</v>
      </c>
      <c r="E872" s="1" t="s">
        <v>807</v>
      </c>
      <c r="F872" s="3">
        <v>0.65069444444444446</v>
      </c>
    </row>
    <row r="873" spans="1:6" x14ac:dyDescent="0.3">
      <c r="A873" s="1" t="s">
        <v>1401</v>
      </c>
      <c r="B873" s="2">
        <v>45217</v>
      </c>
      <c r="C873" s="1" t="s">
        <v>944</v>
      </c>
      <c r="D873">
        <v>37</v>
      </c>
      <c r="E873" s="1" t="s">
        <v>812</v>
      </c>
      <c r="F873" s="3">
        <v>0.47361111111111109</v>
      </c>
    </row>
    <row r="874" spans="1:6" x14ac:dyDescent="0.3">
      <c r="A874" s="1" t="s">
        <v>1401</v>
      </c>
      <c r="B874" s="2">
        <v>45205</v>
      </c>
      <c r="C874" s="1" t="s">
        <v>1235</v>
      </c>
      <c r="D874">
        <v>32</v>
      </c>
      <c r="E874" s="1" t="s">
        <v>807</v>
      </c>
      <c r="F874" s="3">
        <v>0.3659722222222222</v>
      </c>
    </row>
    <row r="875" spans="1:6" x14ac:dyDescent="0.3">
      <c r="A875" s="1" t="s">
        <v>1401</v>
      </c>
      <c r="B875" s="2">
        <v>45226</v>
      </c>
      <c r="C875" s="1" t="s">
        <v>851</v>
      </c>
      <c r="D875">
        <v>64</v>
      </c>
      <c r="E875" s="1" t="s">
        <v>812</v>
      </c>
      <c r="F875" s="3">
        <v>0.92013888888888884</v>
      </c>
    </row>
    <row r="876" spans="1:6" x14ac:dyDescent="0.3">
      <c r="A876" s="1" t="s">
        <v>1401</v>
      </c>
      <c r="B876" s="2">
        <v>45201</v>
      </c>
      <c r="C876" s="1" t="s">
        <v>1143</v>
      </c>
      <c r="D876">
        <v>91</v>
      </c>
      <c r="E876" s="1" t="s">
        <v>810</v>
      </c>
      <c r="F876" s="3">
        <v>0.24583333333333332</v>
      </c>
    </row>
    <row r="877" spans="1:6" x14ac:dyDescent="0.3">
      <c r="A877" s="1" t="s">
        <v>1401</v>
      </c>
      <c r="B877" s="2">
        <v>45218</v>
      </c>
      <c r="C877" s="1" t="s">
        <v>1414</v>
      </c>
      <c r="D877">
        <v>71</v>
      </c>
      <c r="E877" s="1" t="s">
        <v>812</v>
      </c>
      <c r="F877" s="3">
        <v>0.28749999999999998</v>
      </c>
    </row>
    <row r="878" spans="1:6" x14ac:dyDescent="0.3">
      <c r="A878" s="1" t="s">
        <v>1415</v>
      </c>
      <c r="B878" s="2">
        <v>45220</v>
      </c>
      <c r="C878" s="1" t="s">
        <v>1378</v>
      </c>
      <c r="D878">
        <v>48</v>
      </c>
      <c r="E878" s="1" t="s">
        <v>807</v>
      </c>
      <c r="F878" s="3">
        <v>9.3055555555555558E-2</v>
      </c>
    </row>
    <row r="879" spans="1:6" x14ac:dyDescent="0.3">
      <c r="A879" s="1" t="s">
        <v>1415</v>
      </c>
      <c r="B879" s="2">
        <v>45211</v>
      </c>
      <c r="C879" s="1" t="s">
        <v>1416</v>
      </c>
      <c r="D879">
        <v>120</v>
      </c>
      <c r="E879" s="1" t="s">
        <v>812</v>
      </c>
      <c r="F879" s="3">
        <v>0.32430555555555557</v>
      </c>
    </row>
    <row r="880" spans="1:6" x14ac:dyDescent="0.3">
      <c r="A880" s="1" t="s">
        <v>1415</v>
      </c>
      <c r="B880" s="2">
        <v>45227</v>
      </c>
      <c r="C880" s="1" t="s">
        <v>1082</v>
      </c>
      <c r="D880">
        <v>67</v>
      </c>
      <c r="E880" s="1" t="s">
        <v>807</v>
      </c>
      <c r="F880" s="3">
        <v>0.39305555555555555</v>
      </c>
    </row>
    <row r="881" spans="1:6" x14ac:dyDescent="0.3">
      <c r="A881" s="1" t="s">
        <v>1415</v>
      </c>
      <c r="B881" s="2">
        <v>45225</v>
      </c>
      <c r="C881" s="1" t="s">
        <v>979</v>
      </c>
      <c r="D881">
        <v>50</v>
      </c>
      <c r="E881" s="1" t="s">
        <v>810</v>
      </c>
      <c r="F881" s="3">
        <v>0.43263888888888891</v>
      </c>
    </row>
    <row r="882" spans="1:6" x14ac:dyDescent="0.3">
      <c r="A882" s="1" t="s">
        <v>1415</v>
      </c>
      <c r="B882" s="2">
        <v>45208</v>
      </c>
      <c r="C882" s="1" t="s">
        <v>1417</v>
      </c>
      <c r="D882">
        <v>101</v>
      </c>
      <c r="E882" s="1" t="s">
        <v>807</v>
      </c>
      <c r="F882" s="3">
        <v>0.76249999999999996</v>
      </c>
    </row>
    <row r="883" spans="1:6" x14ac:dyDescent="0.3">
      <c r="A883" s="1" t="s">
        <v>1415</v>
      </c>
      <c r="B883" s="2">
        <v>45214</v>
      </c>
      <c r="C883" s="1" t="s">
        <v>1056</v>
      </c>
      <c r="D883">
        <v>29</v>
      </c>
      <c r="E883" s="1" t="s">
        <v>812</v>
      </c>
      <c r="F883" s="3">
        <v>0.14583333333333334</v>
      </c>
    </row>
    <row r="884" spans="1:6" x14ac:dyDescent="0.3">
      <c r="A884" s="1" t="s">
        <v>1415</v>
      </c>
      <c r="B884" s="2">
        <v>45201</v>
      </c>
      <c r="C884" s="1" t="s">
        <v>1418</v>
      </c>
      <c r="D884">
        <v>26</v>
      </c>
      <c r="E884" s="1" t="s">
        <v>810</v>
      </c>
      <c r="F884" s="3">
        <v>0.85902777777777772</v>
      </c>
    </row>
    <row r="885" spans="1:6" x14ac:dyDescent="0.3">
      <c r="A885" s="1" t="s">
        <v>1415</v>
      </c>
      <c r="B885" s="2">
        <v>45218</v>
      </c>
      <c r="C885" s="1" t="s">
        <v>1419</v>
      </c>
      <c r="D885">
        <v>108</v>
      </c>
      <c r="E885" s="1" t="s">
        <v>807</v>
      </c>
      <c r="F885" s="3">
        <v>0.7944444444444444</v>
      </c>
    </row>
    <row r="886" spans="1:6" x14ac:dyDescent="0.3">
      <c r="A886" s="1" t="s">
        <v>1415</v>
      </c>
      <c r="B886" s="2">
        <v>45215</v>
      </c>
      <c r="C886" s="1" t="s">
        <v>1420</v>
      </c>
      <c r="D886">
        <v>56</v>
      </c>
      <c r="E886" s="1" t="s">
        <v>812</v>
      </c>
      <c r="F886" s="3">
        <v>0.2722222222222222</v>
      </c>
    </row>
    <row r="887" spans="1:6" x14ac:dyDescent="0.3">
      <c r="A887" s="1" t="s">
        <v>1415</v>
      </c>
      <c r="B887" s="2">
        <v>45203</v>
      </c>
      <c r="C887" s="1" t="s">
        <v>978</v>
      </c>
      <c r="D887">
        <v>7</v>
      </c>
      <c r="E887" s="1" t="s">
        <v>810</v>
      </c>
      <c r="F887" s="3">
        <v>0.89166666666666672</v>
      </c>
    </row>
    <row r="888" spans="1:6" x14ac:dyDescent="0.3">
      <c r="A888" s="1" t="s">
        <v>1415</v>
      </c>
      <c r="B888" s="2">
        <v>45216</v>
      </c>
      <c r="C888" s="1" t="s">
        <v>1421</v>
      </c>
      <c r="D888">
        <v>34</v>
      </c>
      <c r="E888" s="1" t="s">
        <v>812</v>
      </c>
      <c r="F888" s="3">
        <v>0.39305555555555555</v>
      </c>
    </row>
    <row r="889" spans="1:6" x14ac:dyDescent="0.3">
      <c r="A889" s="1" t="s">
        <v>1415</v>
      </c>
      <c r="B889" s="2">
        <v>45201</v>
      </c>
      <c r="C889" s="1" t="s">
        <v>1422</v>
      </c>
      <c r="D889">
        <v>33</v>
      </c>
      <c r="E889" s="1" t="s">
        <v>812</v>
      </c>
      <c r="F889" s="3">
        <v>0.17222222222222222</v>
      </c>
    </row>
    <row r="890" spans="1:6" x14ac:dyDescent="0.3">
      <c r="A890" s="1" t="s">
        <v>1415</v>
      </c>
      <c r="B890" s="2">
        <v>45206</v>
      </c>
      <c r="C890" s="1" t="s">
        <v>830</v>
      </c>
      <c r="D890">
        <v>98</v>
      </c>
      <c r="E890" s="1" t="s">
        <v>807</v>
      </c>
      <c r="F890" s="3">
        <v>0.43472222222222223</v>
      </c>
    </row>
    <row r="891" spans="1:6" x14ac:dyDescent="0.3">
      <c r="A891" s="1" t="s">
        <v>1415</v>
      </c>
      <c r="B891" s="2">
        <v>45218</v>
      </c>
      <c r="C891" s="1" t="s">
        <v>1320</v>
      </c>
      <c r="D891">
        <v>21</v>
      </c>
      <c r="E891" s="1" t="s">
        <v>807</v>
      </c>
      <c r="F891" s="3">
        <v>0.58958333333333335</v>
      </c>
    </row>
    <row r="892" spans="1:6" x14ac:dyDescent="0.3">
      <c r="A892" s="1" t="s">
        <v>1415</v>
      </c>
      <c r="B892" s="2">
        <v>45210</v>
      </c>
      <c r="C892" s="1" t="s">
        <v>1423</v>
      </c>
      <c r="D892">
        <v>32</v>
      </c>
      <c r="E892" s="1" t="s">
        <v>810</v>
      </c>
      <c r="F892" s="3">
        <v>0.9243055555555556</v>
      </c>
    </row>
    <row r="893" spans="1:6" x14ac:dyDescent="0.3">
      <c r="A893" s="1" t="s">
        <v>1415</v>
      </c>
      <c r="B893" s="2">
        <v>45224</v>
      </c>
      <c r="C893" s="1" t="s">
        <v>1424</v>
      </c>
      <c r="D893">
        <v>98</v>
      </c>
      <c r="E893" s="1" t="s">
        <v>812</v>
      </c>
      <c r="F893" s="3">
        <v>0.10486111111111111</v>
      </c>
    </row>
    <row r="894" spans="1:6" x14ac:dyDescent="0.3">
      <c r="A894" s="1" t="s">
        <v>1415</v>
      </c>
      <c r="B894" s="2">
        <v>45210</v>
      </c>
      <c r="C894" s="1" t="s">
        <v>1011</v>
      </c>
      <c r="D894">
        <v>7</v>
      </c>
      <c r="E894" s="1" t="s">
        <v>807</v>
      </c>
      <c r="F894" s="3">
        <v>0.84097222222222223</v>
      </c>
    </row>
    <row r="895" spans="1:6" x14ac:dyDescent="0.3">
      <c r="A895" s="1" t="s">
        <v>1415</v>
      </c>
      <c r="B895" s="2">
        <v>45210</v>
      </c>
      <c r="C895" s="1" t="s">
        <v>880</v>
      </c>
      <c r="D895">
        <v>80</v>
      </c>
      <c r="E895" s="1" t="s">
        <v>810</v>
      </c>
      <c r="F895" s="3">
        <v>0.8354166666666667</v>
      </c>
    </row>
    <row r="896" spans="1:6" x14ac:dyDescent="0.3">
      <c r="A896" s="1" t="s">
        <v>1415</v>
      </c>
      <c r="B896" s="2">
        <v>45200</v>
      </c>
      <c r="C896" s="1" t="s">
        <v>1319</v>
      </c>
      <c r="D896">
        <v>69</v>
      </c>
      <c r="E896" s="1" t="s">
        <v>812</v>
      </c>
      <c r="F896" s="3">
        <v>0.59513888888888888</v>
      </c>
    </row>
    <row r="897" spans="1:6" x14ac:dyDescent="0.3">
      <c r="A897" s="1" t="s">
        <v>1415</v>
      </c>
      <c r="B897" s="2">
        <v>45206</v>
      </c>
      <c r="C897" s="1" t="s">
        <v>1425</v>
      </c>
      <c r="D897">
        <v>26</v>
      </c>
      <c r="E897" s="1" t="s">
        <v>812</v>
      </c>
      <c r="F897" s="3">
        <v>0.23333333333333334</v>
      </c>
    </row>
    <row r="898" spans="1:6" x14ac:dyDescent="0.3">
      <c r="A898" s="1" t="s">
        <v>1415</v>
      </c>
      <c r="B898" s="2">
        <v>45224</v>
      </c>
      <c r="C898" s="1" t="s">
        <v>1426</v>
      </c>
      <c r="D898">
        <v>20</v>
      </c>
      <c r="E898" s="1" t="s">
        <v>807</v>
      </c>
      <c r="F898" s="3">
        <v>0.2298611111111111</v>
      </c>
    </row>
    <row r="899" spans="1:6" x14ac:dyDescent="0.3">
      <c r="A899" s="1" t="s">
        <v>1415</v>
      </c>
      <c r="B899" s="2">
        <v>45225</v>
      </c>
      <c r="C899" s="1" t="s">
        <v>1427</v>
      </c>
      <c r="D899">
        <v>51</v>
      </c>
      <c r="E899" s="1" t="s">
        <v>807</v>
      </c>
      <c r="F899" s="3">
        <v>8.8888888888888892E-2</v>
      </c>
    </row>
    <row r="900" spans="1:6" x14ac:dyDescent="0.3">
      <c r="A900" s="1" t="s">
        <v>1415</v>
      </c>
      <c r="B900" s="2">
        <v>45219</v>
      </c>
      <c r="C900" s="1" t="s">
        <v>1358</v>
      </c>
      <c r="D900">
        <v>96</v>
      </c>
      <c r="E900" s="1" t="s">
        <v>807</v>
      </c>
      <c r="F900" s="3">
        <v>0.56944444444444442</v>
      </c>
    </row>
    <row r="901" spans="1:6" x14ac:dyDescent="0.3">
      <c r="A901" s="1" t="s">
        <v>1415</v>
      </c>
      <c r="B901" s="2">
        <v>45213</v>
      </c>
      <c r="C901" s="1" t="s">
        <v>1344</v>
      </c>
      <c r="D901">
        <v>88</v>
      </c>
      <c r="E901" s="1" t="s">
        <v>810</v>
      </c>
      <c r="F901" s="3">
        <v>0.51875000000000004</v>
      </c>
    </row>
    <row r="902" spans="1:6" x14ac:dyDescent="0.3">
      <c r="A902" s="1" t="s">
        <v>1415</v>
      </c>
      <c r="B902" s="2">
        <v>45230</v>
      </c>
      <c r="C902" s="1" t="s">
        <v>1428</v>
      </c>
      <c r="D902">
        <v>106</v>
      </c>
      <c r="E902" s="1" t="s">
        <v>807</v>
      </c>
      <c r="F902" s="3">
        <v>0.64166666666666672</v>
      </c>
    </row>
    <row r="903" spans="1:6" x14ac:dyDescent="0.3">
      <c r="A903" s="1" t="s">
        <v>1415</v>
      </c>
      <c r="B903" s="2">
        <v>45200</v>
      </c>
      <c r="C903" s="1" t="s">
        <v>996</v>
      </c>
      <c r="D903">
        <v>9</v>
      </c>
      <c r="E903" s="1" t="s">
        <v>807</v>
      </c>
      <c r="F903" s="3">
        <v>6.5277777777777782E-2</v>
      </c>
    </row>
    <row r="904" spans="1:6" x14ac:dyDescent="0.3">
      <c r="A904" s="1" t="s">
        <v>1415</v>
      </c>
      <c r="B904" s="2">
        <v>45206</v>
      </c>
      <c r="C904" s="1" t="s">
        <v>1429</v>
      </c>
      <c r="D904">
        <v>53</v>
      </c>
      <c r="E904" s="1" t="s">
        <v>810</v>
      </c>
      <c r="F904" s="3">
        <v>0.97430555555555554</v>
      </c>
    </row>
    <row r="905" spans="1:6" x14ac:dyDescent="0.3">
      <c r="A905" s="1" t="s">
        <v>1415</v>
      </c>
      <c r="B905" s="2">
        <v>45210</v>
      </c>
      <c r="C905" s="1" t="s">
        <v>1019</v>
      </c>
      <c r="D905">
        <v>86</v>
      </c>
      <c r="E905" s="1" t="s">
        <v>812</v>
      </c>
      <c r="F905" s="3">
        <v>0.67500000000000004</v>
      </c>
    </row>
    <row r="906" spans="1:6" x14ac:dyDescent="0.3">
      <c r="A906" s="1" t="s">
        <v>1415</v>
      </c>
      <c r="B906" s="2">
        <v>45220</v>
      </c>
      <c r="C906" s="1" t="s">
        <v>911</v>
      </c>
      <c r="D906">
        <v>103</v>
      </c>
      <c r="E906" s="1" t="s">
        <v>807</v>
      </c>
      <c r="F906" s="3">
        <v>0.96875</v>
      </c>
    </row>
    <row r="907" spans="1:6" x14ac:dyDescent="0.3">
      <c r="A907" s="1" t="s">
        <v>1415</v>
      </c>
      <c r="B907" s="2">
        <v>45207</v>
      </c>
      <c r="C907" s="1" t="s">
        <v>1058</v>
      </c>
      <c r="D907">
        <v>73</v>
      </c>
      <c r="E907" s="1" t="s">
        <v>810</v>
      </c>
      <c r="F907" s="3">
        <v>0.9555555555555556</v>
      </c>
    </row>
    <row r="908" spans="1:6" x14ac:dyDescent="0.3">
      <c r="A908" s="1" t="s">
        <v>1415</v>
      </c>
      <c r="B908" s="2">
        <v>45211</v>
      </c>
      <c r="C908" s="1" t="s">
        <v>1430</v>
      </c>
      <c r="D908">
        <v>84</v>
      </c>
      <c r="E908" s="1" t="s">
        <v>807</v>
      </c>
      <c r="F908" s="3">
        <v>0.38055555555555554</v>
      </c>
    </row>
    <row r="909" spans="1:6" x14ac:dyDescent="0.3">
      <c r="A909" s="1" t="s">
        <v>1415</v>
      </c>
      <c r="B909" s="2">
        <v>45203</v>
      </c>
      <c r="C909" s="1" t="s">
        <v>1300</v>
      </c>
      <c r="D909">
        <v>11</v>
      </c>
      <c r="E909" s="1" t="s">
        <v>810</v>
      </c>
      <c r="F909" s="3">
        <v>0.52222222222222225</v>
      </c>
    </row>
    <row r="910" spans="1:6" x14ac:dyDescent="0.3">
      <c r="A910" s="1" t="s">
        <v>1415</v>
      </c>
      <c r="B910" s="2">
        <v>45218</v>
      </c>
      <c r="C910" s="1" t="s">
        <v>814</v>
      </c>
      <c r="D910">
        <v>81</v>
      </c>
      <c r="E910" s="1" t="s">
        <v>810</v>
      </c>
      <c r="F910" s="3">
        <v>0.38194444444444442</v>
      </c>
    </row>
    <row r="911" spans="1:6" x14ac:dyDescent="0.3">
      <c r="A911" s="1" t="s">
        <v>1415</v>
      </c>
      <c r="B911" s="2">
        <v>45202</v>
      </c>
      <c r="C911" s="1" t="s">
        <v>1080</v>
      </c>
      <c r="D911">
        <v>11</v>
      </c>
      <c r="E911" s="1" t="s">
        <v>807</v>
      </c>
      <c r="F911" s="3">
        <v>5.486111111111111E-2</v>
      </c>
    </row>
    <row r="912" spans="1:6" x14ac:dyDescent="0.3">
      <c r="A912" s="1" t="s">
        <v>1415</v>
      </c>
      <c r="B912" s="2">
        <v>45230</v>
      </c>
      <c r="C912" s="1" t="s">
        <v>1431</v>
      </c>
      <c r="D912">
        <v>89</v>
      </c>
      <c r="E912" s="1" t="s">
        <v>812</v>
      </c>
      <c r="F912" s="3">
        <v>0.39513888888888887</v>
      </c>
    </row>
    <row r="913" spans="1:6" x14ac:dyDescent="0.3">
      <c r="A913" s="1" t="s">
        <v>1415</v>
      </c>
      <c r="B913" s="2">
        <v>45223</v>
      </c>
      <c r="C913" s="1" t="s">
        <v>1409</v>
      </c>
      <c r="D913">
        <v>18</v>
      </c>
      <c r="E913" s="1" t="s">
        <v>810</v>
      </c>
      <c r="F913" s="3">
        <v>0.69305555555555554</v>
      </c>
    </row>
    <row r="914" spans="1:6" x14ac:dyDescent="0.3">
      <c r="A914" s="1" t="s">
        <v>1415</v>
      </c>
      <c r="B914" s="2">
        <v>45216</v>
      </c>
      <c r="C914" s="1" t="s">
        <v>1273</v>
      </c>
      <c r="D914">
        <v>88</v>
      </c>
      <c r="E914" s="1" t="s">
        <v>807</v>
      </c>
      <c r="F914" s="3">
        <v>0.43541666666666667</v>
      </c>
    </row>
    <row r="915" spans="1:6" x14ac:dyDescent="0.3">
      <c r="A915" s="1" t="s">
        <v>1415</v>
      </c>
      <c r="B915" s="2">
        <v>45228</v>
      </c>
      <c r="C915" s="1" t="s">
        <v>1101</v>
      </c>
      <c r="D915">
        <v>112</v>
      </c>
      <c r="E915" s="1" t="s">
        <v>812</v>
      </c>
      <c r="F915" s="3">
        <v>0.88055555555555554</v>
      </c>
    </row>
    <row r="916" spans="1:6" x14ac:dyDescent="0.3">
      <c r="A916" s="1" t="s">
        <v>1432</v>
      </c>
      <c r="B916" s="2">
        <v>45211</v>
      </c>
      <c r="C916" s="1" t="s">
        <v>1215</v>
      </c>
      <c r="D916">
        <v>87</v>
      </c>
      <c r="E916" s="1" t="s">
        <v>810</v>
      </c>
      <c r="F916" s="3">
        <v>0.88888888888888884</v>
      </c>
    </row>
    <row r="917" spans="1:6" x14ac:dyDescent="0.3">
      <c r="A917" s="1" t="s">
        <v>1432</v>
      </c>
      <c r="B917" s="2">
        <v>45213</v>
      </c>
      <c r="C917" s="1" t="s">
        <v>1433</v>
      </c>
      <c r="D917">
        <v>25</v>
      </c>
      <c r="E917" s="1" t="s">
        <v>810</v>
      </c>
      <c r="F917" s="3">
        <v>0.96319444444444446</v>
      </c>
    </row>
    <row r="918" spans="1:6" x14ac:dyDescent="0.3">
      <c r="A918" s="1" t="s">
        <v>1432</v>
      </c>
      <c r="B918" s="2">
        <v>45203</v>
      </c>
      <c r="C918" s="1" t="s">
        <v>1127</v>
      </c>
      <c r="D918">
        <v>69</v>
      </c>
      <c r="E918" s="1" t="s">
        <v>812</v>
      </c>
      <c r="F918" s="3">
        <v>4.1666666666666664E-2</v>
      </c>
    </row>
    <row r="919" spans="1:6" x14ac:dyDescent="0.3">
      <c r="A919" s="1" t="s">
        <v>1432</v>
      </c>
      <c r="B919" s="2">
        <v>45227</v>
      </c>
      <c r="C919" s="1" t="s">
        <v>982</v>
      </c>
      <c r="D919">
        <v>113</v>
      </c>
      <c r="E919" s="1" t="s">
        <v>810</v>
      </c>
      <c r="F919" s="3">
        <v>0.19583333333333333</v>
      </c>
    </row>
    <row r="920" spans="1:6" x14ac:dyDescent="0.3">
      <c r="A920" s="1" t="s">
        <v>1432</v>
      </c>
      <c r="B920" s="2">
        <v>45220</v>
      </c>
      <c r="C920" s="1" t="s">
        <v>1345</v>
      </c>
      <c r="D920">
        <v>65</v>
      </c>
      <c r="E920" s="1" t="s">
        <v>812</v>
      </c>
      <c r="F920" s="3">
        <v>0.22291666666666668</v>
      </c>
    </row>
    <row r="921" spans="1:6" x14ac:dyDescent="0.3">
      <c r="A921" s="1" t="s">
        <v>1432</v>
      </c>
      <c r="B921" s="2">
        <v>45211</v>
      </c>
      <c r="C921" s="1" t="s">
        <v>888</v>
      </c>
      <c r="D921">
        <v>114</v>
      </c>
      <c r="E921" s="1" t="s">
        <v>807</v>
      </c>
      <c r="F921" s="3">
        <v>0.61041666666666672</v>
      </c>
    </row>
    <row r="922" spans="1:6" x14ac:dyDescent="0.3">
      <c r="A922" s="1" t="s">
        <v>1432</v>
      </c>
      <c r="B922" s="2">
        <v>45208</v>
      </c>
      <c r="C922" s="1" t="s">
        <v>1434</v>
      </c>
      <c r="D922">
        <v>68</v>
      </c>
      <c r="E922" s="1" t="s">
        <v>807</v>
      </c>
      <c r="F922" s="3">
        <v>0.96180555555555558</v>
      </c>
    </row>
    <row r="923" spans="1:6" x14ac:dyDescent="0.3">
      <c r="A923" s="1" t="s">
        <v>1432</v>
      </c>
      <c r="B923" s="2">
        <v>45211</v>
      </c>
      <c r="C923" s="1" t="s">
        <v>1002</v>
      </c>
      <c r="D923">
        <v>116</v>
      </c>
      <c r="E923" s="1" t="s">
        <v>810</v>
      </c>
      <c r="F923" s="3">
        <v>0.42430555555555555</v>
      </c>
    </row>
    <row r="924" spans="1:6" x14ac:dyDescent="0.3">
      <c r="A924" s="1" t="s">
        <v>1432</v>
      </c>
      <c r="B924" s="2">
        <v>45203</v>
      </c>
      <c r="C924" s="1" t="s">
        <v>838</v>
      </c>
      <c r="D924">
        <v>26</v>
      </c>
      <c r="E924" s="1" t="s">
        <v>807</v>
      </c>
      <c r="F924" s="3">
        <v>0.51736111111111116</v>
      </c>
    </row>
    <row r="925" spans="1:6" x14ac:dyDescent="0.3">
      <c r="A925" s="1" t="s">
        <v>1432</v>
      </c>
      <c r="B925" s="2">
        <v>45230</v>
      </c>
      <c r="C925" s="1" t="s">
        <v>1435</v>
      </c>
      <c r="D925">
        <v>14</v>
      </c>
      <c r="E925" s="1" t="s">
        <v>807</v>
      </c>
      <c r="F925" s="3">
        <v>0.59513888888888888</v>
      </c>
    </row>
    <row r="926" spans="1:6" x14ac:dyDescent="0.3">
      <c r="A926" s="1" t="s">
        <v>1432</v>
      </c>
      <c r="B926" s="2">
        <v>45226</v>
      </c>
      <c r="C926" s="1" t="s">
        <v>1436</v>
      </c>
      <c r="D926">
        <v>101</v>
      </c>
      <c r="E926" s="1" t="s">
        <v>812</v>
      </c>
      <c r="F926" s="3">
        <v>0.53055555555555556</v>
      </c>
    </row>
    <row r="927" spans="1:6" x14ac:dyDescent="0.3">
      <c r="A927" s="1" t="s">
        <v>1432</v>
      </c>
      <c r="B927" s="2">
        <v>45227</v>
      </c>
      <c r="C927" s="1" t="s">
        <v>1142</v>
      </c>
      <c r="D927">
        <v>67</v>
      </c>
      <c r="E927" s="1" t="s">
        <v>812</v>
      </c>
      <c r="F927" s="3">
        <v>0.66041666666666665</v>
      </c>
    </row>
    <row r="928" spans="1:6" x14ac:dyDescent="0.3">
      <c r="A928" s="1" t="s">
        <v>1432</v>
      </c>
      <c r="B928" s="2">
        <v>45213</v>
      </c>
      <c r="C928" s="1" t="s">
        <v>1437</v>
      </c>
      <c r="D928">
        <v>46</v>
      </c>
      <c r="E928" s="1" t="s">
        <v>810</v>
      </c>
      <c r="F928" s="3">
        <v>0.87222222222222223</v>
      </c>
    </row>
    <row r="929" spans="1:6" x14ac:dyDescent="0.3">
      <c r="A929" s="1" t="s">
        <v>1432</v>
      </c>
      <c r="B929" s="2">
        <v>45225</v>
      </c>
      <c r="C929" s="1" t="s">
        <v>1438</v>
      </c>
      <c r="D929">
        <v>35</v>
      </c>
      <c r="E929" s="1" t="s">
        <v>812</v>
      </c>
      <c r="F929" s="3">
        <v>0.21319444444444444</v>
      </c>
    </row>
    <row r="930" spans="1:6" x14ac:dyDescent="0.3">
      <c r="A930" s="1" t="s">
        <v>1432</v>
      </c>
      <c r="B930" s="2">
        <v>45204</v>
      </c>
      <c r="C930" s="1" t="s">
        <v>1439</v>
      </c>
      <c r="D930">
        <v>47</v>
      </c>
      <c r="E930" s="1" t="s">
        <v>810</v>
      </c>
      <c r="F930" s="3">
        <v>0.94861111111111107</v>
      </c>
    </row>
    <row r="931" spans="1:6" x14ac:dyDescent="0.3">
      <c r="A931" s="1" t="s">
        <v>1432</v>
      </c>
      <c r="B931" s="2">
        <v>45201</v>
      </c>
      <c r="C931" s="1" t="s">
        <v>872</v>
      </c>
      <c r="D931">
        <v>40</v>
      </c>
      <c r="E931" s="1" t="s">
        <v>810</v>
      </c>
      <c r="F931" s="3">
        <v>0.21249999999999999</v>
      </c>
    </row>
    <row r="932" spans="1:6" x14ac:dyDescent="0.3">
      <c r="A932" s="1" t="s">
        <v>1432</v>
      </c>
      <c r="B932" s="2">
        <v>45213</v>
      </c>
      <c r="C932" s="1" t="s">
        <v>1440</v>
      </c>
      <c r="D932">
        <v>11</v>
      </c>
      <c r="E932" s="1" t="s">
        <v>812</v>
      </c>
      <c r="F932" s="3">
        <v>0.77083333333333337</v>
      </c>
    </row>
    <row r="933" spans="1:6" x14ac:dyDescent="0.3">
      <c r="A933" s="1" t="s">
        <v>1432</v>
      </c>
      <c r="B933" s="2">
        <v>45225</v>
      </c>
      <c r="C933" s="1" t="s">
        <v>1441</v>
      </c>
      <c r="D933">
        <v>69</v>
      </c>
      <c r="E933" s="1" t="s">
        <v>810</v>
      </c>
      <c r="F933" s="3">
        <v>0.77986111111111112</v>
      </c>
    </row>
    <row r="934" spans="1:6" x14ac:dyDescent="0.3">
      <c r="A934" s="1" t="s">
        <v>1432</v>
      </c>
      <c r="B934" s="2">
        <v>45214</v>
      </c>
      <c r="C934" s="1" t="s">
        <v>1442</v>
      </c>
      <c r="D934">
        <v>33</v>
      </c>
      <c r="E934" s="1" t="s">
        <v>807</v>
      </c>
      <c r="F934" s="3">
        <v>0.23541666666666666</v>
      </c>
    </row>
    <row r="935" spans="1:6" x14ac:dyDescent="0.3">
      <c r="A935" s="1" t="s">
        <v>1432</v>
      </c>
      <c r="B935" s="2">
        <v>45212</v>
      </c>
      <c r="C935" s="1" t="s">
        <v>1443</v>
      </c>
      <c r="D935">
        <v>75</v>
      </c>
      <c r="E935" s="1" t="s">
        <v>807</v>
      </c>
      <c r="F935" s="3">
        <v>0.48541666666666666</v>
      </c>
    </row>
    <row r="936" spans="1:6" x14ac:dyDescent="0.3">
      <c r="A936" s="1" t="s">
        <v>1432</v>
      </c>
      <c r="B936" s="2">
        <v>45200</v>
      </c>
      <c r="C936" s="1" t="s">
        <v>1444</v>
      </c>
      <c r="D936">
        <v>87</v>
      </c>
      <c r="E936" s="1" t="s">
        <v>807</v>
      </c>
      <c r="F936" s="3">
        <v>0.91388888888888886</v>
      </c>
    </row>
    <row r="937" spans="1:6" x14ac:dyDescent="0.3">
      <c r="A937" s="1" t="s">
        <v>1432</v>
      </c>
      <c r="B937" s="2">
        <v>45226</v>
      </c>
      <c r="C937" s="1" t="s">
        <v>1445</v>
      </c>
      <c r="D937">
        <v>53</v>
      </c>
      <c r="E937" s="1" t="s">
        <v>812</v>
      </c>
      <c r="F937" s="3">
        <v>0.99791666666666667</v>
      </c>
    </row>
    <row r="938" spans="1:6" x14ac:dyDescent="0.3">
      <c r="A938" s="1" t="s">
        <v>1432</v>
      </c>
      <c r="B938" s="2">
        <v>45204</v>
      </c>
      <c r="C938" s="1" t="s">
        <v>1145</v>
      </c>
      <c r="D938">
        <v>56</v>
      </c>
      <c r="E938" s="1" t="s">
        <v>807</v>
      </c>
      <c r="F938" s="3">
        <v>0.66527777777777775</v>
      </c>
    </row>
    <row r="939" spans="1:6" x14ac:dyDescent="0.3">
      <c r="A939" s="1" t="s">
        <v>1432</v>
      </c>
      <c r="B939" s="2">
        <v>45215</v>
      </c>
      <c r="C939" s="1" t="s">
        <v>1446</v>
      </c>
      <c r="D939">
        <v>109</v>
      </c>
      <c r="E939" s="1" t="s">
        <v>810</v>
      </c>
      <c r="F939" s="3">
        <v>0.16388888888888889</v>
      </c>
    </row>
    <row r="940" spans="1:6" x14ac:dyDescent="0.3">
      <c r="A940" s="1" t="s">
        <v>1432</v>
      </c>
      <c r="B940" s="2">
        <v>45213</v>
      </c>
      <c r="C940" s="1" t="s">
        <v>1447</v>
      </c>
      <c r="D940">
        <v>35</v>
      </c>
      <c r="E940" s="1" t="s">
        <v>810</v>
      </c>
      <c r="F940" s="3">
        <v>0.58472222222222225</v>
      </c>
    </row>
    <row r="941" spans="1:6" x14ac:dyDescent="0.3">
      <c r="A941" s="1" t="s">
        <v>1432</v>
      </c>
      <c r="B941" s="2">
        <v>45202</v>
      </c>
      <c r="C941" s="1" t="s">
        <v>1448</v>
      </c>
      <c r="D941">
        <v>15</v>
      </c>
      <c r="E941" s="1" t="s">
        <v>810</v>
      </c>
      <c r="F941" s="3">
        <v>0.36180555555555555</v>
      </c>
    </row>
    <row r="942" spans="1:6" x14ac:dyDescent="0.3">
      <c r="A942" s="1" t="s">
        <v>1432</v>
      </c>
      <c r="B942" s="2">
        <v>45227</v>
      </c>
      <c r="C942" s="1" t="s">
        <v>1435</v>
      </c>
      <c r="D942">
        <v>61</v>
      </c>
      <c r="E942" s="1" t="s">
        <v>807</v>
      </c>
      <c r="F942" s="3">
        <v>0.8979166666666667</v>
      </c>
    </row>
    <row r="943" spans="1:6" x14ac:dyDescent="0.3">
      <c r="A943" s="1" t="s">
        <v>1432</v>
      </c>
      <c r="B943" s="2">
        <v>45224</v>
      </c>
      <c r="C943" s="1" t="s">
        <v>992</v>
      </c>
      <c r="D943">
        <v>107</v>
      </c>
      <c r="E943" s="1" t="s">
        <v>812</v>
      </c>
      <c r="F943" s="3">
        <v>0.98333333333333328</v>
      </c>
    </row>
    <row r="944" spans="1:6" x14ac:dyDescent="0.3">
      <c r="A944" s="1" t="s">
        <v>1432</v>
      </c>
      <c r="B944" s="2">
        <v>45223</v>
      </c>
      <c r="C944" s="1" t="s">
        <v>1115</v>
      </c>
      <c r="D944">
        <v>78</v>
      </c>
      <c r="E944" s="1" t="s">
        <v>810</v>
      </c>
      <c r="F944" s="3">
        <v>0.75972222222222219</v>
      </c>
    </row>
    <row r="945" spans="1:6" x14ac:dyDescent="0.3">
      <c r="A945" s="1" t="s">
        <v>1432</v>
      </c>
      <c r="B945" s="2">
        <v>45230</v>
      </c>
      <c r="C945" s="1" t="s">
        <v>1221</v>
      </c>
      <c r="D945">
        <v>62</v>
      </c>
      <c r="E945" s="1" t="s">
        <v>807</v>
      </c>
      <c r="F945" s="3">
        <v>0.91319444444444442</v>
      </c>
    </row>
    <row r="946" spans="1:6" x14ac:dyDescent="0.3">
      <c r="A946" s="1" t="s">
        <v>1432</v>
      </c>
      <c r="B946" s="2">
        <v>45210</v>
      </c>
      <c r="C946" s="1" t="s">
        <v>1086</v>
      </c>
      <c r="D946">
        <v>16</v>
      </c>
      <c r="E946" s="1" t="s">
        <v>807</v>
      </c>
      <c r="F946" s="3">
        <v>0.68958333333333333</v>
      </c>
    </row>
    <row r="947" spans="1:6" x14ac:dyDescent="0.3">
      <c r="A947" s="1" t="s">
        <v>1432</v>
      </c>
      <c r="B947" s="2">
        <v>45222</v>
      </c>
      <c r="C947" s="1" t="s">
        <v>1449</v>
      </c>
      <c r="D947">
        <v>114</v>
      </c>
      <c r="E947" s="1" t="s">
        <v>807</v>
      </c>
      <c r="F947" s="3">
        <v>0.94374999999999998</v>
      </c>
    </row>
    <row r="948" spans="1:6" x14ac:dyDescent="0.3">
      <c r="A948" s="1" t="s">
        <v>1432</v>
      </c>
      <c r="B948" s="2">
        <v>45203</v>
      </c>
      <c r="C948" s="1" t="s">
        <v>1450</v>
      </c>
      <c r="D948">
        <v>68</v>
      </c>
      <c r="E948" s="1" t="s">
        <v>812</v>
      </c>
      <c r="F948" s="3">
        <v>0.5708333333333333</v>
      </c>
    </row>
    <row r="949" spans="1:6" x14ac:dyDescent="0.3">
      <c r="A949" s="1" t="s">
        <v>1432</v>
      </c>
      <c r="B949" s="2">
        <v>45223</v>
      </c>
      <c r="C949" s="1" t="s">
        <v>1451</v>
      </c>
      <c r="D949">
        <v>62</v>
      </c>
      <c r="E949" s="1" t="s">
        <v>807</v>
      </c>
      <c r="F949" s="3">
        <v>0.3125</v>
      </c>
    </row>
    <row r="950" spans="1:6" x14ac:dyDescent="0.3">
      <c r="A950" s="1" t="s">
        <v>1432</v>
      </c>
      <c r="B950" s="2">
        <v>45211</v>
      </c>
      <c r="C950" s="1" t="s">
        <v>1016</v>
      </c>
      <c r="D950">
        <v>45</v>
      </c>
      <c r="E950" s="1" t="s">
        <v>812</v>
      </c>
      <c r="F950" s="3">
        <v>0.90486111111111112</v>
      </c>
    </row>
    <row r="951" spans="1:6" x14ac:dyDescent="0.3">
      <c r="A951" s="1" t="s">
        <v>1432</v>
      </c>
      <c r="B951" s="2">
        <v>45220</v>
      </c>
      <c r="C951" s="1" t="s">
        <v>1255</v>
      </c>
      <c r="D951">
        <v>20</v>
      </c>
      <c r="E951" s="1" t="s">
        <v>807</v>
      </c>
      <c r="F951" s="3">
        <v>0.50624999999999998</v>
      </c>
    </row>
    <row r="952" spans="1:6" x14ac:dyDescent="0.3">
      <c r="A952" s="1" t="s">
        <v>1432</v>
      </c>
      <c r="B952" s="2">
        <v>45226</v>
      </c>
      <c r="C952" s="1" t="s">
        <v>1452</v>
      </c>
      <c r="D952">
        <v>68</v>
      </c>
      <c r="E952" s="1" t="s">
        <v>810</v>
      </c>
      <c r="F952" s="3">
        <v>0.74791666666666667</v>
      </c>
    </row>
    <row r="953" spans="1:6" x14ac:dyDescent="0.3">
      <c r="A953" s="1" t="s">
        <v>1432</v>
      </c>
      <c r="B953" s="2">
        <v>45219</v>
      </c>
      <c r="C953" s="1" t="s">
        <v>970</v>
      </c>
      <c r="D953">
        <v>100</v>
      </c>
      <c r="E953" s="1" t="s">
        <v>812</v>
      </c>
      <c r="F953" s="3">
        <v>4.1666666666666664E-2</v>
      </c>
    </row>
    <row r="954" spans="1:6" x14ac:dyDescent="0.3">
      <c r="A954" s="1" t="s">
        <v>1453</v>
      </c>
      <c r="B954" s="2">
        <v>45203</v>
      </c>
      <c r="C954" s="1" t="s">
        <v>1454</v>
      </c>
      <c r="D954">
        <v>106</v>
      </c>
      <c r="E954" s="1" t="s">
        <v>810</v>
      </c>
      <c r="F954" s="3">
        <v>0.60347222222222219</v>
      </c>
    </row>
    <row r="955" spans="1:6" x14ac:dyDescent="0.3">
      <c r="A955" s="1" t="s">
        <v>1453</v>
      </c>
      <c r="B955" s="2">
        <v>45221</v>
      </c>
      <c r="C955" s="1" t="s">
        <v>984</v>
      </c>
      <c r="D955">
        <v>107</v>
      </c>
      <c r="E955" s="1" t="s">
        <v>807</v>
      </c>
      <c r="F955" s="3">
        <v>0.77222222222222225</v>
      </c>
    </row>
    <row r="956" spans="1:6" x14ac:dyDescent="0.3">
      <c r="A956" s="1" t="s">
        <v>1453</v>
      </c>
      <c r="B956" s="2">
        <v>45204</v>
      </c>
      <c r="C956" s="1" t="s">
        <v>1455</v>
      </c>
      <c r="D956">
        <v>94</v>
      </c>
      <c r="E956" s="1" t="s">
        <v>812</v>
      </c>
      <c r="F956" s="3">
        <v>0.625</v>
      </c>
    </row>
    <row r="957" spans="1:6" x14ac:dyDescent="0.3">
      <c r="A957" s="1" t="s">
        <v>1453</v>
      </c>
      <c r="B957" s="2">
        <v>45216</v>
      </c>
      <c r="C957" s="1" t="s">
        <v>1456</v>
      </c>
      <c r="D957">
        <v>41</v>
      </c>
      <c r="E957" s="1" t="s">
        <v>810</v>
      </c>
      <c r="F957" s="3">
        <v>0.9604166666666667</v>
      </c>
    </row>
    <row r="958" spans="1:6" x14ac:dyDescent="0.3">
      <c r="A958" s="1" t="s">
        <v>1453</v>
      </c>
      <c r="B958" s="2">
        <v>45217</v>
      </c>
      <c r="C958" s="1" t="s">
        <v>1457</v>
      </c>
      <c r="D958">
        <v>93</v>
      </c>
      <c r="E958" s="1" t="s">
        <v>810</v>
      </c>
      <c r="F958" s="3">
        <v>0.57847222222222228</v>
      </c>
    </row>
    <row r="959" spans="1:6" x14ac:dyDescent="0.3">
      <c r="A959" s="1" t="s">
        <v>1453</v>
      </c>
      <c r="B959" s="2">
        <v>45218</v>
      </c>
      <c r="C959" s="1" t="s">
        <v>1458</v>
      </c>
      <c r="D959">
        <v>90</v>
      </c>
      <c r="E959" s="1" t="s">
        <v>812</v>
      </c>
      <c r="F959" s="3">
        <v>0.66597222222222219</v>
      </c>
    </row>
    <row r="960" spans="1:6" x14ac:dyDescent="0.3">
      <c r="A960" s="1" t="s">
        <v>1453</v>
      </c>
      <c r="B960" s="2">
        <v>45218</v>
      </c>
      <c r="C960" s="1" t="s">
        <v>942</v>
      </c>
      <c r="D960">
        <v>53</v>
      </c>
      <c r="E960" s="1" t="s">
        <v>812</v>
      </c>
      <c r="F960" s="3">
        <v>0.24027777777777778</v>
      </c>
    </row>
    <row r="961" spans="1:6" x14ac:dyDescent="0.3">
      <c r="A961" s="1" t="s">
        <v>1453</v>
      </c>
      <c r="B961" s="2">
        <v>45226</v>
      </c>
      <c r="C961" s="1" t="s">
        <v>857</v>
      </c>
      <c r="D961">
        <v>54</v>
      </c>
      <c r="E961" s="1" t="s">
        <v>807</v>
      </c>
      <c r="F961" s="3">
        <v>0.17083333333333334</v>
      </c>
    </row>
    <row r="962" spans="1:6" x14ac:dyDescent="0.3">
      <c r="A962" s="1" t="s">
        <v>1453</v>
      </c>
      <c r="B962" s="2">
        <v>45212</v>
      </c>
      <c r="C962" s="1" t="s">
        <v>871</v>
      </c>
      <c r="D962">
        <v>58</v>
      </c>
      <c r="E962" s="1" t="s">
        <v>807</v>
      </c>
      <c r="F962" s="3">
        <v>0.90138888888888891</v>
      </c>
    </row>
    <row r="963" spans="1:6" x14ac:dyDescent="0.3">
      <c r="A963" s="1" t="s">
        <v>1453</v>
      </c>
      <c r="B963" s="2">
        <v>45219</v>
      </c>
      <c r="C963" s="1" t="s">
        <v>1459</v>
      </c>
      <c r="D963">
        <v>105</v>
      </c>
      <c r="E963" s="1" t="s">
        <v>810</v>
      </c>
      <c r="F963" s="3">
        <v>0.43888888888888888</v>
      </c>
    </row>
    <row r="964" spans="1:6" x14ac:dyDescent="0.3">
      <c r="A964" s="1" t="s">
        <v>1453</v>
      </c>
      <c r="B964" s="2">
        <v>45228</v>
      </c>
      <c r="C964" s="1" t="s">
        <v>1403</v>
      </c>
      <c r="D964">
        <v>92</v>
      </c>
      <c r="E964" s="1" t="s">
        <v>812</v>
      </c>
      <c r="F964" s="3">
        <v>0.5180555555555556</v>
      </c>
    </row>
    <row r="965" spans="1:6" x14ac:dyDescent="0.3">
      <c r="A965" s="1" t="s">
        <v>1453</v>
      </c>
      <c r="B965" s="2">
        <v>45219</v>
      </c>
      <c r="C965" s="1" t="s">
        <v>862</v>
      </c>
      <c r="D965">
        <v>45</v>
      </c>
      <c r="E965" s="1" t="s">
        <v>812</v>
      </c>
      <c r="F965" s="3">
        <v>0.95</v>
      </c>
    </row>
    <row r="966" spans="1:6" x14ac:dyDescent="0.3">
      <c r="A966" s="1" t="s">
        <v>1453</v>
      </c>
      <c r="B966" s="2">
        <v>45207</v>
      </c>
      <c r="C966" s="1" t="s">
        <v>1460</v>
      </c>
      <c r="D966">
        <v>75</v>
      </c>
      <c r="E966" s="1" t="s">
        <v>812</v>
      </c>
      <c r="F966" s="3">
        <v>0.35069444444444442</v>
      </c>
    </row>
    <row r="967" spans="1:6" x14ac:dyDescent="0.3">
      <c r="A967" s="1" t="s">
        <v>1453</v>
      </c>
      <c r="B967" s="2">
        <v>45230</v>
      </c>
      <c r="C967" s="1" t="s">
        <v>1199</v>
      </c>
      <c r="D967">
        <v>11</v>
      </c>
      <c r="E967" s="1" t="s">
        <v>812</v>
      </c>
      <c r="F967" s="3">
        <v>0.42916666666666664</v>
      </c>
    </row>
    <row r="968" spans="1:6" x14ac:dyDescent="0.3">
      <c r="A968" s="1" t="s">
        <v>1453</v>
      </c>
      <c r="B968" s="2">
        <v>45214</v>
      </c>
      <c r="C968" s="1" t="s">
        <v>976</v>
      </c>
      <c r="D968">
        <v>6</v>
      </c>
      <c r="E968" s="1" t="s">
        <v>807</v>
      </c>
      <c r="F968" s="3">
        <v>0.17222222222222222</v>
      </c>
    </row>
    <row r="969" spans="1:6" x14ac:dyDescent="0.3">
      <c r="A969" s="1" t="s">
        <v>1453</v>
      </c>
      <c r="B969" s="2">
        <v>45213</v>
      </c>
      <c r="C969" s="1" t="s">
        <v>1461</v>
      </c>
      <c r="D969">
        <v>100</v>
      </c>
      <c r="E969" s="1" t="s">
        <v>810</v>
      </c>
      <c r="F969" s="3">
        <v>0.82222222222222219</v>
      </c>
    </row>
    <row r="970" spans="1:6" x14ac:dyDescent="0.3">
      <c r="A970" s="1" t="s">
        <v>1453</v>
      </c>
      <c r="B970" s="2">
        <v>45228</v>
      </c>
      <c r="C970" s="1" t="s">
        <v>1013</v>
      </c>
      <c r="D970">
        <v>37</v>
      </c>
      <c r="E970" s="1" t="s">
        <v>810</v>
      </c>
      <c r="F970" s="3">
        <v>0.98055555555555551</v>
      </c>
    </row>
    <row r="971" spans="1:6" x14ac:dyDescent="0.3">
      <c r="A971" s="1" t="s">
        <v>1453</v>
      </c>
      <c r="B971" s="2">
        <v>45209</v>
      </c>
      <c r="C971" s="1" t="s">
        <v>1233</v>
      </c>
      <c r="D971">
        <v>30</v>
      </c>
      <c r="E971" s="1" t="s">
        <v>812</v>
      </c>
      <c r="F971" s="3">
        <v>0.94097222222222221</v>
      </c>
    </row>
    <row r="972" spans="1:6" x14ac:dyDescent="0.3">
      <c r="A972" s="1" t="s">
        <v>1453</v>
      </c>
      <c r="B972" s="2">
        <v>45227</v>
      </c>
      <c r="C972" s="1" t="s">
        <v>1231</v>
      </c>
      <c r="D972">
        <v>84</v>
      </c>
      <c r="E972" s="1" t="s">
        <v>810</v>
      </c>
      <c r="F972" s="3">
        <v>0.44791666666666669</v>
      </c>
    </row>
    <row r="973" spans="1:6" x14ac:dyDescent="0.3">
      <c r="A973" s="1" t="s">
        <v>1453</v>
      </c>
      <c r="B973" s="2">
        <v>45223</v>
      </c>
      <c r="C973" s="1" t="s">
        <v>1023</v>
      </c>
      <c r="D973">
        <v>116</v>
      </c>
      <c r="E973" s="1" t="s">
        <v>810</v>
      </c>
      <c r="F973" s="3">
        <v>0.73611111111111116</v>
      </c>
    </row>
    <row r="974" spans="1:6" x14ac:dyDescent="0.3">
      <c r="A974" s="1" t="s">
        <v>1453</v>
      </c>
      <c r="B974" s="2">
        <v>45206</v>
      </c>
      <c r="C974" s="1" t="s">
        <v>1462</v>
      </c>
      <c r="D974">
        <v>104</v>
      </c>
      <c r="E974" s="1" t="s">
        <v>807</v>
      </c>
      <c r="F974" s="3">
        <v>0.2590277777777778</v>
      </c>
    </row>
    <row r="975" spans="1:6" x14ac:dyDescent="0.3">
      <c r="A975" s="1" t="s">
        <v>1453</v>
      </c>
      <c r="B975" s="2">
        <v>45219</v>
      </c>
      <c r="C975" s="1" t="s">
        <v>1463</v>
      </c>
      <c r="D975">
        <v>115</v>
      </c>
      <c r="E975" s="1" t="s">
        <v>807</v>
      </c>
      <c r="F975" s="3">
        <v>0.9291666666666667</v>
      </c>
    </row>
    <row r="976" spans="1:6" x14ac:dyDescent="0.3">
      <c r="A976" s="1" t="s">
        <v>1453</v>
      </c>
      <c r="B976" s="2">
        <v>45221</v>
      </c>
      <c r="C976" s="1" t="s">
        <v>1464</v>
      </c>
      <c r="D976">
        <v>116</v>
      </c>
      <c r="E976" s="1" t="s">
        <v>810</v>
      </c>
      <c r="F976" s="3">
        <v>0.49861111111111112</v>
      </c>
    </row>
    <row r="977" spans="1:6" x14ac:dyDescent="0.3">
      <c r="A977" s="1" t="s">
        <v>1453</v>
      </c>
      <c r="B977" s="2">
        <v>45221</v>
      </c>
      <c r="C977" s="1" t="s">
        <v>1069</v>
      </c>
      <c r="D977">
        <v>61</v>
      </c>
      <c r="E977" s="1" t="s">
        <v>812</v>
      </c>
      <c r="F977" s="3">
        <v>0.19791666666666666</v>
      </c>
    </row>
    <row r="978" spans="1:6" x14ac:dyDescent="0.3">
      <c r="A978" s="1" t="s">
        <v>1453</v>
      </c>
      <c r="B978" s="2">
        <v>45220</v>
      </c>
      <c r="C978" s="1" t="s">
        <v>863</v>
      </c>
      <c r="D978">
        <v>111</v>
      </c>
      <c r="E978" s="1" t="s">
        <v>812</v>
      </c>
      <c r="F978" s="3">
        <v>0.23055555555555557</v>
      </c>
    </row>
    <row r="979" spans="1:6" x14ac:dyDescent="0.3">
      <c r="A979" s="1" t="s">
        <v>1453</v>
      </c>
      <c r="B979" s="2">
        <v>45217</v>
      </c>
      <c r="C979" s="1" t="s">
        <v>1465</v>
      </c>
      <c r="D979">
        <v>33</v>
      </c>
      <c r="E979" s="1" t="s">
        <v>807</v>
      </c>
      <c r="F979" s="3">
        <v>0.94444444444444442</v>
      </c>
    </row>
    <row r="980" spans="1:6" x14ac:dyDescent="0.3">
      <c r="A980" s="1" t="s">
        <v>1453</v>
      </c>
      <c r="B980" s="2">
        <v>45210</v>
      </c>
      <c r="C980" s="1" t="s">
        <v>1274</v>
      </c>
      <c r="D980">
        <v>86</v>
      </c>
      <c r="E980" s="1" t="s">
        <v>810</v>
      </c>
      <c r="F980" s="3">
        <v>0.92152777777777772</v>
      </c>
    </row>
    <row r="981" spans="1:6" x14ac:dyDescent="0.3">
      <c r="A981" s="1" t="s">
        <v>1453</v>
      </c>
      <c r="B981" s="2">
        <v>45224</v>
      </c>
      <c r="C981" s="1" t="s">
        <v>824</v>
      </c>
      <c r="D981">
        <v>95</v>
      </c>
      <c r="E981" s="1" t="s">
        <v>810</v>
      </c>
      <c r="F981" s="3">
        <v>0.4826388888888889</v>
      </c>
    </row>
    <row r="982" spans="1:6" x14ac:dyDescent="0.3">
      <c r="A982" s="1" t="s">
        <v>1453</v>
      </c>
      <c r="B982" s="2">
        <v>45215</v>
      </c>
      <c r="C982" s="1" t="s">
        <v>1169</v>
      </c>
      <c r="D982">
        <v>95</v>
      </c>
      <c r="E982" s="1" t="s">
        <v>810</v>
      </c>
      <c r="F982" s="3">
        <v>0.77500000000000002</v>
      </c>
    </row>
    <row r="983" spans="1:6" x14ac:dyDescent="0.3">
      <c r="A983" s="1" t="s">
        <v>1453</v>
      </c>
      <c r="B983" s="2">
        <v>45230</v>
      </c>
      <c r="C983" s="1" t="s">
        <v>1405</v>
      </c>
      <c r="D983">
        <v>87</v>
      </c>
      <c r="E983" s="1" t="s">
        <v>807</v>
      </c>
      <c r="F983" s="3">
        <v>0.90625</v>
      </c>
    </row>
    <row r="984" spans="1:6" x14ac:dyDescent="0.3">
      <c r="A984" s="1" t="s">
        <v>1453</v>
      </c>
      <c r="B984" s="2">
        <v>45213</v>
      </c>
      <c r="C984" s="1" t="s">
        <v>1426</v>
      </c>
      <c r="D984">
        <v>52</v>
      </c>
      <c r="E984" s="1" t="s">
        <v>807</v>
      </c>
      <c r="F984" s="3">
        <v>0.90763888888888888</v>
      </c>
    </row>
    <row r="985" spans="1:6" x14ac:dyDescent="0.3">
      <c r="A985" s="1" t="s">
        <v>1453</v>
      </c>
      <c r="B985" s="2">
        <v>45228</v>
      </c>
      <c r="C985" s="1" t="s">
        <v>1466</v>
      </c>
      <c r="D985">
        <v>101</v>
      </c>
      <c r="E985" s="1" t="s">
        <v>810</v>
      </c>
      <c r="F985" s="3">
        <v>0.72083333333333333</v>
      </c>
    </row>
    <row r="986" spans="1:6" x14ac:dyDescent="0.3">
      <c r="A986" s="1" t="s">
        <v>1453</v>
      </c>
      <c r="B986" s="2">
        <v>45228</v>
      </c>
      <c r="C986" s="1" t="s">
        <v>956</v>
      </c>
      <c r="D986">
        <v>80</v>
      </c>
      <c r="E986" s="1" t="s">
        <v>812</v>
      </c>
      <c r="F986" s="3">
        <v>0.57708333333333328</v>
      </c>
    </row>
    <row r="987" spans="1:6" x14ac:dyDescent="0.3">
      <c r="A987" s="1" t="s">
        <v>1453</v>
      </c>
      <c r="B987" s="2">
        <v>45200</v>
      </c>
      <c r="C987" s="1" t="s">
        <v>1467</v>
      </c>
      <c r="D987">
        <v>74</v>
      </c>
      <c r="E987" s="1" t="s">
        <v>812</v>
      </c>
      <c r="F987" s="3">
        <v>0.67083333333333328</v>
      </c>
    </row>
    <row r="988" spans="1:6" x14ac:dyDescent="0.3">
      <c r="A988" s="1" t="s">
        <v>1453</v>
      </c>
      <c r="B988" s="2">
        <v>45200</v>
      </c>
      <c r="C988" s="1" t="s">
        <v>1301</v>
      </c>
      <c r="D988">
        <v>99</v>
      </c>
      <c r="E988" s="1" t="s">
        <v>807</v>
      </c>
      <c r="F988" s="3">
        <v>0.50624999999999998</v>
      </c>
    </row>
    <row r="989" spans="1:6" x14ac:dyDescent="0.3">
      <c r="A989" s="1" t="s">
        <v>1453</v>
      </c>
      <c r="B989" s="2">
        <v>45201</v>
      </c>
      <c r="C989" s="1" t="s">
        <v>975</v>
      </c>
      <c r="D989">
        <v>82</v>
      </c>
      <c r="E989" s="1" t="s">
        <v>812</v>
      </c>
      <c r="F989" s="3">
        <v>0.87708333333333333</v>
      </c>
    </row>
    <row r="990" spans="1:6" x14ac:dyDescent="0.3">
      <c r="A990" s="1" t="s">
        <v>1453</v>
      </c>
      <c r="B990" s="2">
        <v>45206</v>
      </c>
      <c r="C990" s="1" t="s">
        <v>1468</v>
      </c>
      <c r="D990">
        <v>30</v>
      </c>
      <c r="E990" s="1" t="s">
        <v>812</v>
      </c>
      <c r="F990" s="3">
        <v>0.36666666666666664</v>
      </c>
    </row>
    <row r="991" spans="1:6" x14ac:dyDescent="0.3">
      <c r="A991" s="1" t="s">
        <v>1453</v>
      </c>
      <c r="B991" s="2">
        <v>45225</v>
      </c>
      <c r="C991" s="1" t="s">
        <v>1469</v>
      </c>
      <c r="D991">
        <v>104</v>
      </c>
      <c r="E991" s="1" t="s">
        <v>810</v>
      </c>
      <c r="F991" s="3">
        <v>0.22083333333333333</v>
      </c>
    </row>
    <row r="992" spans="1:6" x14ac:dyDescent="0.3">
      <c r="A992" s="1" t="s">
        <v>1453</v>
      </c>
      <c r="B992" s="2">
        <v>45221</v>
      </c>
      <c r="C992" s="1" t="s">
        <v>1324</v>
      </c>
      <c r="D992">
        <v>97</v>
      </c>
      <c r="E992" s="1" t="s">
        <v>810</v>
      </c>
      <c r="F992" s="3">
        <v>0.33958333333333335</v>
      </c>
    </row>
    <row r="993" spans="1:6" x14ac:dyDescent="0.3">
      <c r="A993" s="1" t="s">
        <v>1453</v>
      </c>
      <c r="B993" s="2">
        <v>45226</v>
      </c>
      <c r="C993" s="1" t="s">
        <v>1470</v>
      </c>
      <c r="D993">
        <v>29</v>
      </c>
      <c r="E993" s="1" t="s">
        <v>812</v>
      </c>
      <c r="F993" s="3">
        <v>7.2222222222222215E-2</v>
      </c>
    </row>
    <row r="994" spans="1:6" x14ac:dyDescent="0.3">
      <c r="A994" s="1" t="s">
        <v>1453</v>
      </c>
      <c r="B994" s="2">
        <v>45225</v>
      </c>
      <c r="C994" s="1" t="s">
        <v>1362</v>
      </c>
      <c r="D994">
        <v>42</v>
      </c>
      <c r="E994" s="1" t="s">
        <v>807</v>
      </c>
      <c r="F994" s="3">
        <v>0.3840277777777778</v>
      </c>
    </row>
    <row r="995" spans="1:6" x14ac:dyDescent="0.3">
      <c r="A995" s="1" t="s">
        <v>1453</v>
      </c>
      <c r="B995" s="2">
        <v>45224</v>
      </c>
      <c r="C995" s="1" t="s">
        <v>1471</v>
      </c>
      <c r="D995">
        <v>62</v>
      </c>
      <c r="E995" s="1" t="s">
        <v>810</v>
      </c>
      <c r="F995" s="3">
        <v>0.70972222222222225</v>
      </c>
    </row>
    <row r="996" spans="1:6" x14ac:dyDescent="0.3">
      <c r="A996" s="1" t="s">
        <v>1453</v>
      </c>
      <c r="B996" s="2">
        <v>45211</v>
      </c>
      <c r="C996" s="1" t="s">
        <v>1472</v>
      </c>
      <c r="D996">
        <v>27</v>
      </c>
      <c r="E996" s="1" t="s">
        <v>812</v>
      </c>
      <c r="F996" s="3">
        <v>0.58750000000000002</v>
      </c>
    </row>
    <row r="997" spans="1:6" x14ac:dyDescent="0.3">
      <c r="A997" s="1" t="s">
        <v>1453</v>
      </c>
      <c r="B997" s="2">
        <v>45219</v>
      </c>
      <c r="C997" s="1" t="s">
        <v>1473</v>
      </c>
      <c r="D997">
        <v>92</v>
      </c>
      <c r="E997" s="1" t="s">
        <v>810</v>
      </c>
      <c r="F997" s="3">
        <v>0.90763888888888888</v>
      </c>
    </row>
    <row r="998" spans="1:6" x14ac:dyDescent="0.3">
      <c r="A998" s="1" t="s">
        <v>1453</v>
      </c>
      <c r="B998" s="2">
        <v>45217</v>
      </c>
      <c r="C998" s="1" t="s">
        <v>1474</v>
      </c>
      <c r="D998">
        <v>14</v>
      </c>
      <c r="E998" s="1" t="s">
        <v>810</v>
      </c>
      <c r="F998" s="3">
        <v>0.32430555555555557</v>
      </c>
    </row>
    <row r="999" spans="1:6" x14ac:dyDescent="0.3">
      <c r="A999" s="1" t="s">
        <v>1453</v>
      </c>
      <c r="B999" s="2">
        <v>45220</v>
      </c>
      <c r="C999" s="1" t="s">
        <v>927</v>
      </c>
      <c r="D999">
        <v>28</v>
      </c>
      <c r="E999" s="1" t="s">
        <v>812</v>
      </c>
      <c r="F999" s="3">
        <v>0.72499999999999998</v>
      </c>
    </row>
    <row r="1000" spans="1:6" x14ac:dyDescent="0.3">
      <c r="A1000" s="1" t="s">
        <v>1453</v>
      </c>
      <c r="B1000" s="2">
        <v>45207</v>
      </c>
      <c r="C1000" s="1" t="s">
        <v>1475</v>
      </c>
      <c r="D1000">
        <v>27</v>
      </c>
      <c r="E1000" s="1" t="s">
        <v>812</v>
      </c>
      <c r="F1000" s="3">
        <v>0.70138888888888884</v>
      </c>
    </row>
    <row r="1001" spans="1:6" x14ac:dyDescent="0.3">
      <c r="A1001" s="1" t="s">
        <v>1476</v>
      </c>
      <c r="B1001" s="2">
        <v>45230</v>
      </c>
      <c r="C1001" s="1" t="s">
        <v>1104</v>
      </c>
      <c r="D1001">
        <v>52</v>
      </c>
      <c r="E1001" s="1" t="s">
        <v>807</v>
      </c>
      <c r="F1001" s="3">
        <v>0.7319444444444444</v>
      </c>
    </row>
    <row r="1002" spans="1:6" x14ac:dyDescent="0.3">
      <c r="A1002" s="1" t="s">
        <v>1476</v>
      </c>
      <c r="B1002" s="2">
        <v>45200</v>
      </c>
      <c r="C1002" s="1" t="s">
        <v>1072</v>
      </c>
      <c r="D1002">
        <v>6</v>
      </c>
      <c r="E1002" s="1" t="s">
        <v>807</v>
      </c>
      <c r="F1002" s="3">
        <v>0.83611111111111114</v>
      </c>
    </row>
    <row r="1003" spans="1:6" x14ac:dyDescent="0.3">
      <c r="A1003" s="1" t="s">
        <v>1476</v>
      </c>
      <c r="B1003" s="2">
        <v>45206</v>
      </c>
      <c r="C1003" s="1" t="s">
        <v>1477</v>
      </c>
      <c r="D1003">
        <v>75</v>
      </c>
      <c r="E1003" s="1" t="s">
        <v>812</v>
      </c>
      <c r="F1003" s="3">
        <v>0.90277777777777779</v>
      </c>
    </row>
    <row r="1004" spans="1:6" x14ac:dyDescent="0.3">
      <c r="A1004" s="1" t="s">
        <v>1476</v>
      </c>
      <c r="B1004" s="2">
        <v>45224</v>
      </c>
      <c r="C1004" s="1" t="s">
        <v>1145</v>
      </c>
      <c r="D1004">
        <v>116</v>
      </c>
      <c r="E1004" s="1" t="s">
        <v>812</v>
      </c>
      <c r="F1004" s="3">
        <v>0.28819444444444442</v>
      </c>
    </row>
    <row r="1005" spans="1:6" x14ac:dyDescent="0.3">
      <c r="A1005" s="1" t="s">
        <v>1476</v>
      </c>
      <c r="B1005" s="2">
        <v>45221</v>
      </c>
      <c r="C1005" s="1" t="s">
        <v>1012</v>
      </c>
      <c r="D1005">
        <v>76</v>
      </c>
      <c r="E1005" s="1" t="s">
        <v>812</v>
      </c>
      <c r="F1005" s="3">
        <v>0.57847222222222228</v>
      </c>
    </row>
    <row r="1006" spans="1:6" x14ac:dyDescent="0.3">
      <c r="A1006" s="1" t="s">
        <v>1476</v>
      </c>
      <c r="B1006" s="2">
        <v>45203</v>
      </c>
      <c r="C1006" s="1" t="s">
        <v>852</v>
      </c>
      <c r="D1006">
        <v>23</v>
      </c>
      <c r="E1006" s="1" t="s">
        <v>812</v>
      </c>
      <c r="F1006" s="3">
        <v>0.27361111111111114</v>
      </c>
    </row>
    <row r="1007" spans="1:6" x14ac:dyDescent="0.3">
      <c r="A1007" s="1" t="s">
        <v>1476</v>
      </c>
      <c r="B1007" s="2">
        <v>45226</v>
      </c>
      <c r="C1007" s="1" t="s">
        <v>1478</v>
      </c>
      <c r="D1007">
        <v>20</v>
      </c>
      <c r="E1007" s="1" t="s">
        <v>810</v>
      </c>
      <c r="F1007" s="3">
        <v>0.9555555555555556</v>
      </c>
    </row>
    <row r="1008" spans="1:6" x14ac:dyDescent="0.3">
      <c r="A1008" s="1" t="s">
        <v>1476</v>
      </c>
      <c r="B1008" s="2">
        <v>45223</v>
      </c>
      <c r="C1008" s="1" t="s">
        <v>992</v>
      </c>
      <c r="D1008">
        <v>10</v>
      </c>
      <c r="E1008" s="1" t="s">
        <v>810</v>
      </c>
      <c r="F1008" s="3">
        <v>0.57013888888888886</v>
      </c>
    </row>
    <row r="1009" spans="1:6" x14ac:dyDescent="0.3">
      <c r="A1009" s="1" t="s">
        <v>1476</v>
      </c>
      <c r="B1009" s="2">
        <v>45226</v>
      </c>
      <c r="C1009" s="1" t="s">
        <v>1129</v>
      </c>
      <c r="D1009">
        <v>5</v>
      </c>
      <c r="E1009" s="1" t="s">
        <v>812</v>
      </c>
      <c r="F1009" s="3">
        <v>0.11597222222222223</v>
      </c>
    </row>
    <row r="1010" spans="1:6" x14ac:dyDescent="0.3">
      <c r="A1010" s="1" t="s">
        <v>1476</v>
      </c>
      <c r="B1010" s="2">
        <v>45221</v>
      </c>
      <c r="C1010" s="1" t="s">
        <v>922</v>
      </c>
      <c r="D1010">
        <v>78</v>
      </c>
      <c r="E1010" s="1" t="s">
        <v>810</v>
      </c>
      <c r="F1010" s="3">
        <v>0.1673611111111111</v>
      </c>
    </row>
    <row r="1011" spans="1:6" x14ac:dyDescent="0.3">
      <c r="A1011" s="1" t="s">
        <v>1476</v>
      </c>
      <c r="B1011" s="2">
        <v>45214</v>
      </c>
      <c r="C1011" s="1" t="s">
        <v>1274</v>
      </c>
      <c r="D1011">
        <v>81</v>
      </c>
      <c r="E1011" s="1" t="s">
        <v>810</v>
      </c>
      <c r="F1011" s="3">
        <v>0.93125000000000002</v>
      </c>
    </row>
    <row r="1012" spans="1:6" x14ac:dyDescent="0.3">
      <c r="A1012" s="1" t="s">
        <v>1476</v>
      </c>
      <c r="B1012" s="2">
        <v>45201</v>
      </c>
      <c r="C1012" s="1" t="s">
        <v>1002</v>
      </c>
      <c r="D1012">
        <v>55</v>
      </c>
      <c r="E1012" s="1" t="s">
        <v>807</v>
      </c>
      <c r="F1012" s="3">
        <v>8.611111111111111E-2</v>
      </c>
    </row>
    <row r="1013" spans="1:6" x14ac:dyDescent="0.3">
      <c r="A1013" s="1" t="s">
        <v>1476</v>
      </c>
      <c r="B1013" s="2">
        <v>45201</v>
      </c>
      <c r="C1013" s="1" t="s">
        <v>1108</v>
      </c>
      <c r="D1013">
        <v>73</v>
      </c>
      <c r="E1013" s="1" t="s">
        <v>810</v>
      </c>
      <c r="F1013" s="3">
        <v>0.24305555555555555</v>
      </c>
    </row>
    <row r="1014" spans="1:6" x14ac:dyDescent="0.3">
      <c r="A1014" s="1" t="s">
        <v>1476</v>
      </c>
      <c r="B1014" s="2">
        <v>45208</v>
      </c>
      <c r="C1014" s="1" t="s">
        <v>1160</v>
      </c>
      <c r="D1014">
        <v>75</v>
      </c>
      <c r="E1014" s="1" t="s">
        <v>810</v>
      </c>
      <c r="F1014" s="3">
        <v>0.71111111111111114</v>
      </c>
    </row>
    <row r="1015" spans="1:6" x14ac:dyDescent="0.3">
      <c r="A1015" s="1" t="s">
        <v>1476</v>
      </c>
      <c r="B1015" s="2">
        <v>45218</v>
      </c>
      <c r="C1015" s="1" t="s">
        <v>1002</v>
      </c>
      <c r="D1015">
        <v>15</v>
      </c>
      <c r="E1015" s="1" t="s">
        <v>812</v>
      </c>
      <c r="F1015" s="3">
        <v>0.33194444444444443</v>
      </c>
    </row>
    <row r="1016" spans="1:6" x14ac:dyDescent="0.3">
      <c r="A1016" s="1" t="s">
        <v>1476</v>
      </c>
      <c r="B1016" s="2">
        <v>45208</v>
      </c>
      <c r="C1016" s="1" t="s">
        <v>1469</v>
      </c>
      <c r="D1016">
        <v>44</v>
      </c>
      <c r="E1016" s="1" t="s">
        <v>812</v>
      </c>
      <c r="F1016" s="3">
        <v>0.55833333333333335</v>
      </c>
    </row>
    <row r="1017" spans="1:6" x14ac:dyDescent="0.3">
      <c r="A1017" s="1" t="s">
        <v>1476</v>
      </c>
      <c r="B1017" s="2">
        <v>45214</v>
      </c>
      <c r="C1017" s="1" t="s">
        <v>1165</v>
      </c>
      <c r="D1017">
        <v>31</v>
      </c>
      <c r="E1017" s="1" t="s">
        <v>812</v>
      </c>
      <c r="F1017" s="3">
        <v>0.85069444444444442</v>
      </c>
    </row>
    <row r="1018" spans="1:6" x14ac:dyDescent="0.3">
      <c r="A1018" s="1" t="s">
        <v>1476</v>
      </c>
      <c r="B1018" s="2">
        <v>45213</v>
      </c>
      <c r="C1018" s="1" t="s">
        <v>1145</v>
      </c>
      <c r="D1018">
        <v>100</v>
      </c>
      <c r="E1018" s="1" t="s">
        <v>807</v>
      </c>
      <c r="F1018" s="3">
        <v>0.41736111111111113</v>
      </c>
    </row>
    <row r="1019" spans="1:6" x14ac:dyDescent="0.3">
      <c r="A1019" s="1" t="s">
        <v>1476</v>
      </c>
      <c r="B1019" s="2">
        <v>45212</v>
      </c>
      <c r="C1019" s="1" t="s">
        <v>1158</v>
      </c>
      <c r="D1019">
        <v>99</v>
      </c>
      <c r="E1019" s="1" t="s">
        <v>807</v>
      </c>
      <c r="F1019" s="3">
        <v>0.87986111111111109</v>
      </c>
    </row>
    <row r="1020" spans="1:6" x14ac:dyDescent="0.3">
      <c r="A1020" s="1" t="s">
        <v>1476</v>
      </c>
      <c r="B1020" s="2">
        <v>45223</v>
      </c>
      <c r="C1020" s="1" t="s">
        <v>1479</v>
      </c>
      <c r="D1020">
        <v>97</v>
      </c>
      <c r="E1020" s="1" t="s">
        <v>807</v>
      </c>
      <c r="F1020" s="3">
        <v>0.7944444444444444</v>
      </c>
    </row>
    <row r="1021" spans="1:6" x14ac:dyDescent="0.3">
      <c r="A1021" s="1" t="s">
        <v>1476</v>
      </c>
      <c r="B1021" s="2">
        <v>45224</v>
      </c>
      <c r="C1021" s="1" t="s">
        <v>1480</v>
      </c>
      <c r="D1021">
        <v>49</v>
      </c>
      <c r="E1021" s="1" t="s">
        <v>807</v>
      </c>
      <c r="F1021" s="3">
        <v>0.98402777777777772</v>
      </c>
    </row>
    <row r="1022" spans="1:6" x14ac:dyDescent="0.3">
      <c r="A1022" s="1" t="s">
        <v>1476</v>
      </c>
      <c r="B1022" s="2">
        <v>45201</v>
      </c>
      <c r="C1022" s="1" t="s">
        <v>1481</v>
      </c>
      <c r="D1022">
        <v>32</v>
      </c>
      <c r="E1022" s="1" t="s">
        <v>810</v>
      </c>
      <c r="F1022" s="3">
        <v>0.95416666666666672</v>
      </c>
    </row>
    <row r="1023" spans="1:6" x14ac:dyDescent="0.3">
      <c r="A1023" s="1" t="s">
        <v>1476</v>
      </c>
      <c r="B1023" s="2">
        <v>45202</v>
      </c>
      <c r="C1023" s="1" t="s">
        <v>1352</v>
      </c>
      <c r="D1023">
        <v>57</v>
      </c>
      <c r="E1023" s="1" t="s">
        <v>810</v>
      </c>
      <c r="F1023" s="3">
        <v>0.49930555555555556</v>
      </c>
    </row>
    <row r="1024" spans="1:6" x14ac:dyDescent="0.3">
      <c r="A1024" s="1" t="s">
        <v>1476</v>
      </c>
      <c r="B1024" s="2">
        <v>45216</v>
      </c>
      <c r="C1024" s="1" t="s">
        <v>1482</v>
      </c>
      <c r="D1024">
        <v>120</v>
      </c>
      <c r="E1024" s="1" t="s">
        <v>810</v>
      </c>
      <c r="F1024" s="3">
        <v>0.13750000000000001</v>
      </c>
    </row>
    <row r="1025" spans="1:6" x14ac:dyDescent="0.3">
      <c r="A1025" s="1" t="s">
        <v>1476</v>
      </c>
      <c r="B1025" s="2">
        <v>45225</v>
      </c>
      <c r="C1025" s="1" t="s">
        <v>1483</v>
      </c>
      <c r="D1025">
        <v>87</v>
      </c>
      <c r="E1025" s="1" t="s">
        <v>812</v>
      </c>
      <c r="F1025" s="3">
        <v>0.8881944444444444</v>
      </c>
    </row>
    <row r="1026" spans="1:6" x14ac:dyDescent="0.3">
      <c r="A1026" s="1" t="s">
        <v>1476</v>
      </c>
      <c r="B1026" s="2">
        <v>45219</v>
      </c>
      <c r="C1026" s="1" t="s">
        <v>976</v>
      </c>
      <c r="D1026">
        <v>113</v>
      </c>
      <c r="E1026" s="1" t="s">
        <v>812</v>
      </c>
      <c r="F1026" s="3">
        <v>9.583333333333334E-2</v>
      </c>
    </row>
    <row r="1027" spans="1:6" x14ac:dyDescent="0.3">
      <c r="A1027" s="1" t="s">
        <v>1476</v>
      </c>
      <c r="B1027" s="2">
        <v>45224</v>
      </c>
      <c r="C1027" s="1" t="s">
        <v>1484</v>
      </c>
      <c r="D1027">
        <v>70</v>
      </c>
      <c r="E1027" s="1" t="s">
        <v>812</v>
      </c>
      <c r="F1027" s="3">
        <v>0.6</v>
      </c>
    </row>
    <row r="1028" spans="1:6" x14ac:dyDescent="0.3">
      <c r="A1028" s="1" t="s">
        <v>1476</v>
      </c>
      <c r="B1028" s="2">
        <v>45212</v>
      </c>
      <c r="C1028" s="1" t="s">
        <v>1485</v>
      </c>
      <c r="D1028">
        <v>23</v>
      </c>
      <c r="E1028" s="1" t="s">
        <v>807</v>
      </c>
      <c r="F1028" s="3">
        <v>0.87569444444444444</v>
      </c>
    </row>
    <row r="1029" spans="1:6" x14ac:dyDescent="0.3">
      <c r="A1029" s="1" t="s">
        <v>1476</v>
      </c>
      <c r="B1029" s="2">
        <v>45215</v>
      </c>
      <c r="C1029" s="1" t="s">
        <v>1145</v>
      </c>
      <c r="D1029">
        <v>25</v>
      </c>
      <c r="E1029" s="1" t="s">
        <v>810</v>
      </c>
      <c r="F1029" s="3">
        <v>0.23194444444444445</v>
      </c>
    </row>
    <row r="1030" spans="1:6" x14ac:dyDescent="0.3">
      <c r="A1030" s="1" t="s">
        <v>1476</v>
      </c>
      <c r="B1030" s="2">
        <v>45207</v>
      </c>
      <c r="C1030" s="1" t="s">
        <v>1412</v>
      </c>
      <c r="D1030">
        <v>28</v>
      </c>
      <c r="E1030" s="1" t="s">
        <v>810</v>
      </c>
      <c r="F1030" s="3">
        <v>0.19930555555555557</v>
      </c>
    </row>
    <row r="1031" spans="1:6" x14ac:dyDescent="0.3">
      <c r="A1031" s="1" t="s">
        <v>1476</v>
      </c>
      <c r="B1031" s="2">
        <v>45212</v>
      </c>
      <c r="C1031" s="1" t="s">
        <v>1486</v>
      </c>
      <c r="D1031">
        <v>33</v>
      </c>
      <c r="E1031" s="1" t="s">
        <v>812</v>
      </c>
      <c r="F1031" s="3">
        <v>0.72083333333333333</v>
      </c>
    </row>
    <row r="1032" spans="1:6" x14ac:dyDescent="0.3">
      <c r="A1032" s="1" t="s">
        <v>1476</v>
      </c>
      <c r="B1032" s="2">
        <v>45230</v>
      </c>
      <c r="C1032" s="1" t="s">
        <v>1196</v>
      </c>
      <c r="D1032">
        <v>83</v>
      </c>
      <c r="E1032" s="1" t="s">
        <v>812</v>
      </c>
      <c r="F1032" s="3">
        <v>0.83958333333333335</v>
      </c>
    </row>
    <row r="1033" spans="1:6" x14ac:dyDescent="0.3">
      <c r="A1033" s="1" t="s">
        <v>1476</v>
      </c>
      <c r="B1033" s="2">
        <v>45209</v>
      </c>
      <c r="C1033" s="1" t="s">
        <v>1131</v>
      </c>
      <c r="D1033">
        <v>111</v>
      </c>
      <c r="E1033" s="1" t="s">
        <v>812</v>
      </c>
      <c r="F1033" s="3">
        <v>0.91388888888888886</v>
      </c>
    </row>
    <row r="1034" spans="1:6" x14ac:dyDescent="0.3">
      <c r="A1034" s="1" t="s">
        <v>1476</v>
      </c>
      <c r="B1034" s="2">
        <v>45229</v>
      </c>
      <c r="C1034" s="1" t="s">
        <v>1255</v>
      </c>
      <c r="D1034">
        <v>37</v>
      </c>
      <c r="E1034" s="1" t="s">
        <v>812</v>
      </c>
      <c r="F1034" s="3">
        <v>0.9868055555555556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EF94-6C76-4EA3-B154-7A75C93F82E3}">
  <dimension ref="A1:G499"/>
  <sheetViews>
    <sheetView workbookViewId="0">
      <selection activeCell="J26" sqref="J26"/>
    </sheetView>
  </sheetViews>
  <sheetFormatPr baseColWidth="10" defaultRowHeight="14.4" x14ac:dyDescent="0.3"/>
  <cols>
    <col min="1" max="1" width="29.44140625" bestFit="1" customWidth="1"/>
    <col min="2" max="2" width="12.33203125" bestFit="1" customWidth="1"/>
    <col min="3" max="3" width="14.5546875" bestFit="1" customWidth="1"/>
    <col min="4" max="4" width="10.6640625" bestFit="1" customWidth="1"/>
    <col min="5" max="5" width="11" bestFit="1" customWidth="1"/>
    <col min="6" max="6" width="12.88671875" bestFit="1" customWidth="1"/>
    <col min="7" max="7" width="14.88671875" bestFit="1" customWidth="1"/>
  </cols>
  <sheetData>
    <row r="1" spans="1:7" x14ac:dyDescent="0.3">
      <c r="A1" t="s">
        <v>0</v>
      </c>
      <c r="B1" t="s">
        <v>1488</v>
      </c>
      <c r="C1" t="s">
        <v>1489</v>
      </c>
      <c r="D1" t="s">
        <v>1490</v>
      </c>
      <c r="E1" t="s">
        <v>1491</v>
      </c>
      <c r="F1" t="s">
        <v>1492</v>
      </c>
      <c r="G1" t="s">
        <v>1493</v>
      </c>
    </row>
    <row r="2" spans="1:7" x14ac:dyDescent="0.3">
      <c r="A2" s="1" t="s">
        <v>1494</v>
      </c>
      <c r="B2" s="1" t="s">
        <v>1321</v>
      </c>
      <c r="C2" s="1" t="s">
        <v>127</v>
      </c>
      <c r="D2">
        <v>-3.003879</v>
      </c>
      <c r="E2">
        <v>23.633893</v>
      </c>
      <c r="F2" s="1" t="s">
        <v>1495</v>
      </c>
      <c r="G2" s="1" t="s">
        <v>1496</v>
      </c>
    </row>
    <row r="3" spans="1:7" x14ac:dyDescent="0.3">
      <c r="A3" s="1" t="s">
        <v>1494</v>
      </c>
      <c r="B3" s="1" t="s">
        <v>1497</v>
      </c>
      <c r="C3" s="1" t="s">
        <v>51</v>
      </c>
      <c r="D3">
        <v>2.413557</v>
      </c>
      <c r="E3">
        <v>19.690681999999999</v>
      </c>
      <c r="F3" s="1" t="s">
        <v>1498</v>
      </c>
      <c r="G3" s="1" t="s">
        <v>1499</v>
      </c>
    </row>
    <row r="4" spans="1:7" x14ac:dyDescent="0.3">
      <c r="A4" s="1" t="s">
        <v>1494</v>
      </c>
      <c r="B4" s="1" t="s">
        <v>826</v>
      </c>
      <c r="C4" s="1" t="s">
        <v>37</v>
      </c>
      <c r="D4">
        <v>-9.4708620000000003</v>
      </c>
      <c r="E4">
        <v>29.234387999999999</v>
      </c>
      <c r="F4" s="1" t="s">
        <v>1500</v>
      </c>
      <c r="G4" s="1" t="s">
        <v>1501</v>
      </c>
    </row>
    <row r="5" spans="1:7" x14ac:dyDescent="0.3">
      <c r="A5" s="1" t="s">
        <v>1494</v>
      </c>
      <c r="B5" s="1" t="s">
        <v>1271</v>
      </c>
      <c r="C5" s="1" t="s">
        <v>73</v>
      </c>
      <c r="D5">
        <v>1.400674</v>
      </c>
      <c r="E5">
        <v>13.503126999999999</v>
      </c>
      <c r="F5" s="1" t="s">
        <v>1495</v>
      </c>
      <c r="G5" s="1" t="s">
        <v>1501</v>
      </c>
    </row>
    <row r="6" spans="1:7" x14ac:dyDescent="0.3">
      <c r="A6" s="1" t="s">
        <v>1494</v>
      </c>
      <c r="B6" s="1" t="s">
        <v>1502</v>
      </c>
      <c r="C6" s="1" t="s">
        <v>127</v>
      </c>
      <c r="D6">
        <v>0.29375600000000002</v>
      </c>
      <c r="E6">
        <v>18.528884000000001</v>
      </c>
      <c r="F6" s="1" t="s">
        <v>1495</v>
      </c>
      <c r="G6" s="1" t="s">
        <v>1501</v>
      </c>
    </row>
    <row r="7" spans="1:7" x14ac:dyDescent="0.3">
      <c r="A7" s="1" t="s">
        <v>1494</v>
      </c>
      <c r="B7" s="1" t="s">
        <v>1503</v>
      </c>
      <c r="C7" s="1" t="s">
        <v>78</v>
      </c>
      <c r="D7">
        <v>-4.4862339999999996</v>
      </c>
      <c r="E7">
        <v>17.956159</v>
      </c>
      <c r="F7" s="1" t="s">
        <v>1500</v>
      </c>
      <c r="G7" s="1" t="s">
        <v>1499</v>
      </c>
    </row>
    <row r="8" spans="1:7" x14ac:dyDescent="0.3">
      <c r="A8" s="1" t="s">
        <v>1494</v>
      </c>
      <c r="B8" s="1" t="s">
        <v>1504</v>
      </c>
      <c r="C8" s="1" t="s">
        <v>37</v>
      </c>
      <c r="D8">
        <v>-12.824638999999999</v>
      </c>
      <c r="E8">
        <v>24.407249</v>
      </c>
      <c r="F8" s="1" t="s">
        <v>1495</v>
      </c>
      <c r="G8" s="1" t="s">
        <v>1499</v>
      </c>
    </row>
    <row r="9" spans="1:7" x14ac:dyDescent="0.3">
      <c r="A9" s="1" t="s">
        <v>1494</v>
      </c>
      <c r="B9" s="1" t="s">
        <v>904</v>
      </c>
      <c r="C9" s="1" t="s">
        <v>64</v>
      </c>
      <c r="D9">
        <v>-5.4126279999999998</v>
      </c>
      <c r="E9">
        <v>25.498235999999999</v>
      </c>
      <c r="F9" s="1" t="s">
        <v>1495</v>
      </c>
      <c r="G9" s="1" t="s">
        <v>1501</v>
      </c>
    </row>
    <row r="10" spans="1:7" x14ac:dyDescent="0.3">
      <c r="A10" s="1" t="s">
        <v>1494</v>
      </c>
      <c r="B10" s="1" t="s">
        <v>1505</v>
      </c>
      <c r="C10" s="1" t="s">
        <v>64</v>
      </c>
      <c r="D10">
        <v>-10.579510000000001</v>
      </c>
      <c r="E10">
        <v>23.502313999999998</v>
      </c>
      <c r="F10" s="1" t="s">
        <v>1498</v>
      </c>
      <c r="G10" s="1" t="s">
        <v>1501</v>
      </c>
    </row>
    <row r="11" spans="1:7" x14ac:dyDescent="0.3">
      <c r="A11" s="1" t="s">
        <v>1494</v>
      </c>
      <c r="B11" s="1" t="s">
        <v>1506</v>
      </c>
      <c r="C11" s="1" t="s">
        <v>13</v>
      </c>
      <c r="D11">
        <v>3.0788669999999998</v>
      </c>
      <c r="E11">
        <v>19.513650999999999</v>
      </c>
      <c r="F11" s="1" t="s">
        <v>1495</v>
      </c>
      <c r="G11" s="1" t="s">
        <v>1499</v>
      </c>
    </row>
    <row r="12" spans="1:7" x14ac:dyDescent="0.3">
      <c r="A12" s="1" t="s">
        <v>1494</v>
      </c>
      <c r="B12" s="1" t="s">
        <v>815</v>
      </c>
      <c r="C12" s="1" t="s">
        <v>33</v>
      </c>
      <c r="D12">
        <v>-1.648264</v>
      </c>
      <c r="E12">
        <v>28.866143999999998</v>
      </c>
      <c r="F12" s="1" t="s">
        <v>1495</v>
      </c>
      <c r="G12" s="1" t="s">
        <v>1496</v>
      </c>
    </row>
    <row r="13" spans="1:7" x14ac:dyDescent="0.3">
      <c r="A13" s="1" t="s">
        <v>1494</v>
      </c>
      <c r="B13" s="1" t="s">
        <v>1507</v>
      </c>
      <c r="C13" s="1" t="s">
        <v>131</v>
      </c>
      <c r="D13">
        <v>-3.3883130000000001</v>
      </c>
      <c r="E13">
        <v>26.838507</v>
      </c>
      <c r="F13" s="1" t="s">
        <v>1495</v>
      </c>
      <c r="G13" s="1" t="s">
        <v>1508</v>
      </c>
    </row>
    <row r="14" spans="1:7" x14ac:dyDescent="0.3">
      <c r="A14" s="1" t="s">
        <v>1494</v>
      </c>
      <c r="B14" s="1" t="s">
        <v>1509</v>
      </c>
      <c r="C14" s="1" t="s">
        <v>89</v>
      </c>
      <c r="D14">
        <v>-7.31691</v>
      </c>
      <c r="E14">
        <v>29.836627</v>
      </c>
      <c r="F14" s="1" t="s">
        <v>1495</v>
      </c>
      <c r="G14" s="1" t="s">
        <v>1501</v>
      </c>
    </row>
    <row r="15" spans="1:7" x14ac:dyDescent="0.3">
      <c r="A15" s="1" t="s">
        <v>1494</v>
      </c>
      <c r="B15" s="1" t="s">
        <v>929</v>
      </c>
      <c r="C15" s="1" t="s">
        <v>51</v>
      </c>
      <c r="D15">
        <v>-4.2408359999999998</v>
      </c>
      <c r="E15">
        <v>26.210014000000001</v>
      </c>
      <c r="F15" s="1" t="s">
        <v>1498</v>
      </c>
      <c r="G15" s="1" t="s">
        <v>1499</v>
      </c>
    </row>
    <row r="16" spans="1:7" x14ac:dyDescent="0.3">
      <c r="A16" s="1" t="s">
        <v>1494</v>
      </c>
      <c r="B16" s="1" t="s">
        <v>1096</v>
      </c>
      <c r="C16" s="1" t="s">
        <v>78</v>
      </c>
      <c r="D16">
        <v>-8.4824669999999998</v>
      </c>
      <c r="E16">
        <v>21.897777999999999</v>
      </c>
      <c r="F16" s="1" t="s">
        <v>1495</v>
      </c>
      <c r="G16" s="1" t="s">
        <v>1496</v>
      </c>
    </row>
    <row r="17" spans="1:7" x14ac:dyDescent="0.3">
      <c r="A17" s="1" t="s">
        <v>1494</v>
      </c>
      <c r="B17" s="1" t="s">
        <v>1281</v>
      </c>
      <c r="C17" s="1" t="s">
        <v>21</v>
      </c>
      <c r="D17">
        <v>2.453036</v>
      </c>
      <c r="E17">
        <v>20.555484</v>
      </c>
      <c r="F17" s="1" t="s">
        <v>1495</v>
      </c>
      <c r="G17" s="1" t="s">
        <v>1496</v>
      </c>
    </row>
    <row r="18" spans="1:7" x14ac:dyDescent="0.3">
      <c r="A18" s="1" t="s">
        <v>1494</v>
      </c>
      <c r="B18" s="1" t="s">
        <v>881</v>
      </c>
      <c r="C18" s="1" t="s">
        <v>31</v>
      </c>
      <c r="D18">
        <v>-12.141233</v>
      </c>
      <c r="E18">
        <v>15.179043999999999</v>
      </c>
      <c r="F18" s="1" t="s">
        <v>1495</v>
      </c>
      <c r="G18" s="1" t="s">
        <v>1496</v>
      </c>
    </row>
    <row r="19" spans="1:7" x14ac:dyDescent="0.3">
      <c r="A19" s="1" t="s">
        <v>1494</v>
      </c>
      <c r="B19" s="1" t="s">
        <v>908</v>
      </c>
      <c r="C19" s="1" t="s">
        <v>67</v>
      </c>
      <c r="D19">
        <v>-11.218453999999999</v>
      </c>
      <c r="E19">
        <v>28.230025000000001</v>
      </c>
      <c r="F19" s="1" t="s">
        <v>1495</v>
      </c>
      <c r="G19" s="1" t="s">
        <v>1501</v>
      </c>
    </row>
    <row r="20" spans="1:7" x14ac:dyDescent="0.3">
      <c r="A20" s="1" t="s">
        <v>1494</v>
      </c>
      <c r="B20" s="1" t="s">
        <v>842</v>
      </c>
      <c r="C20" s="1" t="s">
        <v>29</v>
      </c>
      <c r="D20">
        <v>-10.059846</v>
      </c>
      <c r="E20">
        <v>14.375757999999999</v>
      </c>
      <c r="F20" s="1" t="s">
        <v>1498</v>
      </c>
      <c r="G20" s="1" t="s">
        <v>1499</v>
      </c>
    </row>
    <row r="21" spans="1:7" x14ac:dyDescent="0.3">
      <c r="A21" s="1" t="s">
        <v>1494</v>
      </c>
      <c r="B21" s="1" t="s">
        <v>1155</v>
      </c>
      <c r="C21" s="1" t="s">
        <v>60</v>
      </c>
      <c r="D21">
        <v>-9.1215879999999991</v>
      </c>
      <c r="E21">
        <v>16.457916999999998</v>
      </c>
      <c r="F21" s="1" t="s">
        <v>1498</v>
      </c>
      <c r="G21" s="1" t="s">
        <v>1508</v>
      </c>
    </row>
    <row r="22" spans="1:7" x14ac:dyDescent="0.3">
      <c r="A22" s="1" t="s">
        <v>1494</v>
      </c>
      <c r="B22" s="1" t="s">
        <v>820</v>
      </c>
      <c r="C22" s="1" t="s">
        <v>67</v>
      </c>
      <c r="D22">
        <v>-8.4227860000000003</v>
      </c>
      <c r="E22">
        <v>16.781293000000002</v>
      </c>
      <c r="F22" s="1" t="s">
        <v>1498</v>
      </c>
      <c r="G22" s="1" t="s">
        <v>1499</v>
      </c>
    </row>
    <row r="23" spans="1:7" x14ac:dyDescent="0.3">
      <c r="A23" s="1" t="s">
        <v>1494</v>
      </c>
      <c r="B23" s="1" t="s">
        <v>1510</v>
      </c>
      <c r="C23" s="1" t="s">
        <v>57</v>
      </c>
      <c r="D23">
        <v>2.1014910000000002</v>
      </c>
      <c r="E23">
        <v>26.133631999999999</v>
      </c>
      <c r="F23" s="1" t="s">
        <v>1495</v>
      </c>
      <c r="G23" s="1" t="s">
        <v>1499</v>
      </c>
    </row>
    <row r="24" spans="1:7" x14ac:dyDescent="0.3">
      <c r="A24" s="1" t="s">
        <v>1494</v>
      </c>
      <c r="B24" s="1" t="s">
        <v>1153</v>
      </c>
      <c r="C24" s="1" t="s">
        <v>67</v>
      </c>
      <c r="D24">
        <v>-11.266565999999999</v>
      </c>
      <c r="E24">
        <v>26.245055000000001</v>
      </c>
      <c r="F24" s="1" t="s">
        <v>1500</v>
      </c>
      <c r="G24" s="1" t="s">
        <v>1496</v>
      </c>
    </row>
    <row r="25" spans="1:7" x14ac:dyDescent="0.3">
      <c r="A25" s="1" t="s">
        <v>1494</v>
      </c>
      <c r="B25" s="1" t="s">
        <v>1247</v>
      </c>
      <c r="C25" s="1" t="s">
        <v>26</v>
      </c>
      <c r="D25">
        <v>0.40267799999999998</v>
      </c>
      <c r="E25">
        <v>16.000858000000001</v>
      </c>
      <c r="F25" s="1" t="s">
        <v>1500</v>
      </c>
      <c r="G25" s="1" t="s">
        <v>1508</v>
      </c>
    </row>
    <row r="26" spans="1:7" x14ac:dyDescent="0.3">
      <c r="A26" s="1" t="s">
        <v>1494</v>
      </c>
      <c r="B26" s="1" t="s">
        <v>968</v>
      </c>
      <c r="C26" s="1" t="s">
        <v>31</v>
      </c>
      <c r="D26">
        <v>-8.3241560000000003</v>
      </c>
      <c r="E26">
        <v>19.543866000000001</v>
      </c>
      <c r="F26" s="1" t="s">
        <v>1498</v>
      </c>
      <c r="G26" s="1" t="s">
        <v>1501</v>
      </c>
    </row>
    <row r="27" spans="1:7" x14ac:dyDescent="0.3">
      <c r="A27" s="1" t="s">
        <v>1494</v>
      </c>
      <c r="B27" s="1" t="s">
        <v>1511</v>
      </c>
      <c r="C27" s="1" t="s">
        <v>78</v>
      </c>
      <c r="D27">
        <v>-6.5144820000000001</v>
      </c>
      <c r="E27">
        <v>13.815521</v>
      </c>
      <c r="F27" s="1" t="s">
        <v>1498</v>
      </c>
      <c r="G27" s="1" t="s">
        <v>1501</v>
      </c>
    </row>
    <row r="28" spans="1:7" x14ac:dyDescent="0.3">
      <c r="A28" s="1" t="s">
        <v>1494</v>
      </c>
      <c r="B28" s="1" t="s">
        <v>963</v>
      </c>
      <c r="C28" s="1" t="s">
        <v>21</v>
      </c>
      <c r="D28">
        <v>-2.9651529999999999</v>
      </c>
      <c r="E28">
        <v>29.79908</v>
      </c>
      <c r="F28" s="1" t="s">
        <v>1498</v>
      </c>
      <c r="G28" s="1" t="s">
        <v>1496</v>
      </c>
    </row>
    <row r="29" spans="1:7" x14ac:dyDescent="0.3">
      <c r="A29" s="1" t="s">
        <v>1494</v>
      </c>
      <c r="B29" s="1" t="s">
        <v>1109</v>
      </c>
      <c r="C29" s="1" t="s">
        <v>29</v>
      </c>
      <c r="D29">
        <v>1.5802860000000001</v>
      </c>
      <c r="E29">
        <v>20.99053</v>
      </c>
      <c r="F29" s="1" t="s">
        <v>1498</v>
      </c>
      <c r="G29" s="1" t="s">
        <v>1501</v>
      </c>
    </row>
    <row r="30" spans="1:7" x14ac:dyDescent="0.3">
      <c r="A30" s="1" t="s">
        <v>1494</v>
      </c>
      <c r="B30" s="1" t="s">
        <v>1512</v>
      </c>
      <c r="C30" s="1" t="s">
        <v>26</v>
      </c>
      <c r="D30">
        <v>-6.8054750000000004</v>
      </c>
      <c r="E30">
        <v>13.022683000000001</v>
      </c>
      <c r="F30" s="1" t="s">
        <v>1498</v>
      </c>
      <c r="G30" s="1" t="s">
        <v>1499</v>
      </c>
    </row>
    <row r="31" spans="1:7" x14ac:dyDescent="0.3">
      <c r="A31" s="1" t="s">
        <v>1494</v>
      </c>
      <c r="B31" s="1" t="s">
        <v>1513</v>
      </c>
      <c r="C31" s="1" t="s">
        <v>10</v>
      </c>
      <c r="D31">
        <v>-5.5883039999999999</v>
      </c>
      <c r="E31">
        <v>26.647739999999999</v>
      </c>
      <c r="F31" s="1" t="s">
        <v>1500</v>
      </c>
      <c r="G31" s="1" t="s">
        <v>1496</v>
      </c>
    </row>
    <row r="32" spans="1:7" x14ac:dyDescent="0.3">
      <c r="A32" s="1" t="s">
        <v>1494</v>
      </c>
      <c r="B32" s="1" t="s">
        <v>912</v>
      </c>
      <c r="C32" s="1" t="s">
        <v>33</v>
      </c>
      <c r="D32">
        <v>-6.6803710000000001</v>
      </c>
      <c r="E32">
        <v>21.955673000000001</v>
      </c>
      <c r="F32" s="1" t="s">
        <v>1498</v>
      </c>
      <c r="G32" s="1" t="s">
        <v>1508</v>
      </c>
    </row>
    <row r="33" spans="1:7" x14ac:dyDescent="0.3">
      <c r="A33" s="1" t="s">
        <v>1494</v>
      </c>
      <c r="B33" s="1" t="s">
        <v>1514</v>
      </c>
      <c r="C33" s="1" t="s">
        <v>10</v>
      </c>
      <c r="D33">
        <v>-0.767455</v>
      </c>
      <c r="E33">
        <v>30.924261000000001</v>
      </c>
      <c r="F33" s="1" t="s">
        <v>1500</v>
      </c>
      <c r="G33" s="1" t="s">
        <v>1499</v>
      </c>
    </row>
    <row r="34" spans="1:7" x14ac:dyDescent="0.3">
      <c r="A34" s="1" t="s">
        <v>1494</v>
      </c>
      <c r="B34" s="1" t="s">
        <v>876</v>
      </c>
      <c r="C34" s="1" t="s">
        <v>37</v>
      </c>
      <c r="D34">
        <v>-2.099631</v>
      </c>
      <c r="E34">
        <v>13.974640000000001</v>
      </c>
      <c r="F34" s="1" t="s">
        <v>1500</v>
      </c>
      <c r="G34" s="1" t="s">
        <v>1508</v>
      </c>
    </row>
    <row r="35" spans="1:7" x14ac:dyDescent="0.3">
      <c r="A35" s="1" t="s">
        <v>1494</v>
      </c>
      <c r="B35" s="1" t="s">
        <v>1515</v>
      </c>
      <c r="C35" s="1" t="s">
        <v>137</v>
      </c>
      <c r="D35">
        <v>-2.6166320000000001</v>
      </c>
      <c r="E35">
        <v>23.743941</v>
      </c>
      <c r="F35" s="1" t="s">
        <v>1495</v>
      </c>
      <c r="G35" s="1" t="s">
        <v>1508</v>
      </c>
    </row>
    <row r="36" spans="1:7" x14ac:dyDescent="0.3">
      <c r="A36" s="1" t="s">
        <v>1494</v>
      </c>
      <c r="B36" s="1" t="s">
        <v>1304</v>
      </c>
      <c r="C36" s="1" t="s">
        <v>21</v>
      </c>
      <c r="D36">
        <v>-1.3024210000000001</v>
      </c>
      <c r="E36">
        <v>13.601914000000001</v>
      </c>
      <c r="F36" s="1" t="s">
        <v>1500</v>
      </c>
      <c r="G36" s="1" t="s">
        <v>1499</v>
      </c>
    </row>
    <row r="37" spans="1:7" x14ac:dyDescent="0.3">
      <c r="A37" s="1" t="s">
        <v>1494</v>
      </c>
      <c r="B37" s="1" t="s">
        <v>1516</v>
      </c>
      <c r="C37" s="1" t="s">
        <v>21</v>
      </c>
      <c r="D37">
        <v>-3.3081109999999998</v>
      </c>
      <c r="E37">
        <v>29.700202000000001</v>
      </c>
      <c r="F37" s="1" t="s">
        <v>1498</v>
      </c>
      <c r="G37" s="1" t="s">
        <v>1508</v>
      </c>
    </row>
    <row r="38" spans="1:7" x14ac:dyDescent="0.3">
      <c r="A38" s="1" t="s">
        <v>1494</v>
      </c>
      <c r="B38" s="1" t="s">
        <v>833</v>
      </c>
      <c r="C38" s="1" t="s">
        <v>131</v>
      </c>
      <c r="D38">
        <v>4.6287159999999998</v>
      </c>
      <c r="E38">
        <v>19.407077999999998</v>
      </c>
      <c r="F38" s="1" t="s">
        <v>1498</v>
      </c>
      <c r="G38" s="1" t="s">
        <v>1496</v>
      </c>
    </row>
    <row r="39" spans="1:7" x14ac:dyDescent="0.3">
      <c r="A39" s="1" t="s">
        <v>1494</v>
      </c>
      <c r="B39" s="1" t="s">
        <v>1198</v>
      </c>
      <c r="C39" s="1" t="s">
        <v>67</v>
      </c>
      <c r="D39">
        <v>-7.8770429999999996</v>
      </c>
      <c r="E39">
        <v>16.357762999999998</v>
      </c>
      <c r="F39" s="1" t="s">
        <v>1498</v>
      </c>
      <c r="G39" s="1" t="s">
        <v>1496</v>
      </c>
    </row>
    <row r="40" spans="1:7" x14ac:dyDescent="0.3">
      <c r="A40" s="1" t="s">
        <v>1494</v>
      </c>
      <c r="B40" s="1" t="s">
        <v>1215</v>
      </c>
      <c r="C40" s="1" t="s">
        <v>127</v>
      </c>
      <c r="D40">
        <v>-7.1483749999999997</v>
      </c>
      <c r="E40">
        <v>26.014271000000001</v>
      </c>
      <c r="F40" s="1" t="s">
        <v>1495</v>
      </c>
      <c r="G40" s="1" t="s">
        <v>1499</v>
      </c>
    </row>
    <row r="41" spans="1:7" x14ac:dyDescent="0.3">
      <c r="A41" s="1" t="s">
        <v>1494</v>
      </c>
      <c r="B41" s="1" t="s">
        <v>1303</v>
      </c>
      <c r="C41" s="1" t="s">
        <v>29</v>
      </c>
      <c r="D41">
        <v>-3.8119990000000001</v>
      </c>
      <c r="E41">
        <v>20.420048000000001</v>
      </c>
      <c r="F41" s="1" t="s">
        <v>1500</v>
      </c>
      <c r="G41" s="1" t="s">
        <v>1501</v>
      </c>
    </row>
    <row r="42" spans="1:7" x14ac:dyDescent="0.3">
      <c r="A42" s="1" t="s">
        <v>1494</v>
      </c>
      <c r="B42" s="1" t="s">
        <v>886</v>
      </c>
      <c r="C42" s="1" t="s">
        <v>89</v>
      </c>
      <c r="D42">
        <v>0.94539899999999999</v>
      </c>
      <c r="E42">
        <v>14.401821999999999</v>
      </c>
      <c r="F42" s="1" t="s">
        <v>1495</v>
      </c>
      <c r="G42" s="1" t="s">
        <v>1508</v>
      </c>
    </row>
    <row r="43" spans="1:7" x14ac:dyDescent="0.3">
      <c r="A43" s="1" t="s">
        <v>1494</v>
      </c>
      <c r="B43" s="1" t="s">
        <v>1043</v>
      </c>
      <c r="C43" s="1" t="s">
        <v>44</v>
      </c>
      <c r="D43">
        <v>-4.9552579999999997</v>
      </c>
      <c r="E43">
        <v>22.008103999999999</v>
      </c>
      <c r="F43" s="1" t="s">
        <v>1498</v>
      </c>
      <c r="G43" s="1" t="s">
        <v>1499</v>
      </c>
    </row>
    <row r="44" spans="1:7" x14ac:dyDescent="0.3">
      <c r="A44" s="1" t="s">
        <v>1494</v>
      </c>
      <c r="B44" s="1" t="s">
        <v>1323</v>
      </c>
      <c r="C44" s="1" t="s">
        <v>89</v>
      </c>
      <c r="D44">
        <v>-11.588665000000001</v>
      </c>
      <c r="E44">
        <v>15.241552</v>
      </c>
      <c r="F44" s="1" t="s">
        <v>1498</v>
      </c>
      <c r="G44" s="1" t="s">
        <v>1508</v>
      </c>
    </row>
    <row r="45" spans="1:7" x14ac:dyDescent="0.3">
      <c r="A45" s="1" t="s">
        <v>1494</v>
      </c>
      <c r="B45" s="1" t="s">
        <v>1221</v>
      </c>
      <c r="C45" s="1" t="s">
        <v>13</v>
      </c>
      <c r="D45">
        <v>-1.9540519999999999</v>
      </c>
      <c r="E45">
        <v>12.667945</v>
      </c>
      <c r="F45" s="1" t="s">
        <v>1498</v>
      </c>
      <c r="G45" s="1" t="s">
        <v>1499</v>
      </c>
    </row>
    <row r="46" spans="1:7" x14ac:dyDescent="0.3">
      <c r="A46" s="1" t="s">
        <v>1494</v>
      </c>
      <c r="B46" s="1" t="s">
        <v>1517</v>
      </c>
      <c r="C46" s="1" t="s">
        <v>57</v>
      </c>
      <c r="D46">
        <v>-4.652463</v>
      </c>
      <c r="E46">
        <v>18.779983999999999</v>
      </c>
      <c r="F46" s="1" t="s">
        <v>1500</v>
      </c>
      <c r="G46" s="1" t="s">
        <v>1508</v>
      </c>
    </row>
    <row r="47" spans="1:7" x14ac:dyDescent="0.3">
      <c r="A47" s="1" t="s">
        <v>1494</v>
      </c>
      <c r="B47" s="1" t="s">
        <v>1518</v>
      </c>
      <c r="C47" s="1" t="s">
        <v>51</v>
      </c>
      <c r="D47">
        <v>4.2187000000000001</v>
      </c>
      <c r="E47">
        <v>29.390174999999999</v>
      </c>
      <c r="F47" s="1" t="s">
        <v>1498</v>
      </c>
      <c r="G47" s="1" t="s">
        <v>1501</v>
      </c>
    </row>
    <row r="48" spans="1:7" x14ac:dyDescent="0.3">
      <c r="A48" s="1" t="s">
        <v>1494</v>
      </c>
      <c r="B48" s="1" t="s">
        <v>1088</v>
      </c>
      <c r="C48" s="1" t="s">
        <v>18</v>
      </c>
      <c r="D48">
        <v>2.628638</v>
      </c>
      <c r="E48">
        <v>28.420582</v>
      </c>
      <c r="F48" s="1" t="s">
        <v>1498</v>
      </c>
      <c r="G48" s="1" t="s">
        <v>1499</v>
      </c>
    </row>
    <row r="49" spans="1:7" x14ac:dyDescent="0.3">
      <c r="A49" s="1" t="s">
        <v>1494</v>
      </c>
      <c r="B49" s="1" t="s">
        <v>1519</v>
      </c>
      <c r="C49" s="1" t="s">
        <v>67</v>
      </c>
      <c r="D49">
        <v>-1.4695480000000001</v>
      </c>
      <c r="E49">
        <v>20.876676</v>
      </c>
      <c r="F49" s="1" t="s">
        <v>1495</v>
      </c>
      <c r="G49" s="1" t="s">
        <v>1496</v>
      </c>
    </row>
    <row r="50" spans="1:7" x14ac:dyDescent="0.3">
      <c r="A50" s="1" t="s">
        <v>1494</v>
      </c>
      <c r="B50" s="1" t="s">
        <v>1520</v>
      </c>
      <c r="C50" s="1" t="s">
        <v>24</v>
      </c>
      <c r="D50">
        <v>3.7141999999999999</v>
      </c>
      <c r="E50">
        <v>28.547066999999998</v>
      </c>
      <c r="F50" s="1" t="s">
        <v>1500</v>
      </c>
      <c r="G50" s="1" t="s">
        <v>1501</v>
      </c>
    </row>
    <row r="51" spans="1:7" x14ac:dyDescent="0.3">
      <c r="A51" s="1" t="s">
        <v>1494</v>
      </c>
      <c r="B51" s="1" t="s">
        <v>1165</v>
      </c>
      <c r="C51" s="1" t="s">
        <v>57</v>
      </c>
      <c r="D51">
        <v>-5.4073029999999997</v>
      </c>
      <c r="E51">
        <v>29.762294000000001</v>
      </c>
      <c r="F51" s="1" t="s">
        <v>1500</v>
      </c>
      <c r="G51" s="1" t="s">
        <v>1496</v>
      </c>
    </row>
    <row r="52" spans="1:7" x14ac:dyDescent="0.3">
      <c r="A52" s="1" t="s">
        <v>1521</v>
      </c>
      <c r="B52" s="1" t="s">
        <v>1522</v>
      </c>
      <c r="C52" s="1" t="s">
        <v>21</v>
      </c>
      <c r="D52">
        <v>-3.6233270000000002</v>
      </c>
      <c r="E52">
        <v>25.915645999999999</v>
      </c>
      <c r="F52" s="1" t="s">
        <v>1500</v>
      </c>
      <c r="G52" s="1" t="s">
        <v>1499</v>
      </c>
    </row>
    <row r="53" spans="1:7" x14ac:dyDescent="0.3">
      <c r="A53" s="1" t="s">
        <v>1521</v>
      </c>
      <c r="B53" s="1" t="s">
        <v>1523</v>
      </c>
      <c r="C53" s="1" t="s">
        <v>127</v>
      </c>
      <c r="D53">
        <v>-8.4403710000000007</v>
      </c>
      <c r="E53">
        <v>17.231165000000001</v>
      </c>
      <c r="F53" s="1" t="s">
        <v>1498</v>
      </c>
      <c r="G53" s="1" t="s">
        <v>1499</v>
      </c>
    </row>
    <row r="54" spans="1:7" x14ac:dyDescent="0.3">
      <c r="A54" s="1" t="s">
        <v>1521</v>
      </c>
      <c r="B54" s="1" t="s">
        <v>1044</v>
      </c>
      <c r="C54" s="1" t="s">
        <v>37</v>
      </c>
      <c r="D54">
        <v>-1.50664</v>
      </c>
      <c r="E54">
        <v>27.795642000000001</v>
      </c>
      <c r="F54" s="1" t="s">
        <v>1495</v>
      </c>
      <c r="G54" s="1" t="s">
        <v>1501</v>
      </c>
    </row>
    <row r="55" spans="1:7" x14ac:dyDescent="0.3">
      <c r="A55" s="1" t="s">
        <v>1521</v>
      </c>
      <c r="B55" s="1" t="s">
        <v>1097</v>
      </c>
      <c r="C55" s="1" t="s">
        <v>24</v>
      </c>
      <c r="D55">
        <v>-9.4229749999999992</v>
      </c>
      <c r="E55">
        <v>29.375005999999999</v>
      </c>
      <c r="F55" s="1" t="s">
        <v>1500</v>
      </c>
      <c r="G55" s="1" t="s">
        <v>1496</v>
      </c>
    </row>
    <row r="56" spans="1:7" x14ac:dyDescent="0.3">
      <c r="A56" s="1" t="s">
        <v>1521</v>
      </c>
      <c r="B56" s="1" t="s">
        <v>1031</v>
      </c>
      <c r="C56" s="1" t="s">
        <v>62</v>
      </c>
      <c r="D56">
        <v>2.975352</v>
      </c>
      <c r="E56">
        <v>22.535886000000001</v>
      </c>
      <c r="F56" s="1" t="s">
        <v>1498</v>
      </c>
      <c r="G56" s="1" t="s">
        <v>1499</v>
      </c>
    </row>
    <row r="57" spans="1:7" x14ac:dyDescent="0.3">
      <c r="A57" s="1" t="s">
        <v>1521</v>
      </c>
      <c r="B57" s="1" t="s">
        <v>1259</v>
      </c>
      <c r="C57" s="1" t="s">
        <v>78</v>
      </c>
      <c r="D57">
        <v>2.5458379999999998</v>
      </c>
      <c r="E57">
        <v>13.308655</v>
      </c>
      <c r="F57" s="1" t="s">
        <v>1495</v>
      </c>
      <c r="G57" s="1" t="s">
        <v>1501</v>
      </c>
    </row>
    <row r="58" spans="1:7" x14ac:dyDescent="0.3">
      <c r="A58" s="1" t="s">
        <v>1521</v>
      </c>
      <c r="B58" s="1" t="s">
        <v>1147</v>
      </c>
      <c r="C58" s="1" t="s">
        <v>40</v>
      </c>
      <c r="D58">
        <v>-9.0798120000000004</v>
      </c>
      <c r="E58">
        <v>14.945484</v>
      </c>
      <c r="F58" s="1" t="s">
        <v>1495</v>
      </c>
      <c r="G58" s="1" t="s">
        <v>1496</v>
      </c>
    </row>
    <row r="59" spans="1:7" x14ac:dyDescent="0.3">
      <c r="A59" s="1" t="s">
        <v>1521</v>
      </c>
      <c r="B59" s="1" t="s">
        <v>1112</v>
      </c>
      <c r="C59" s="1" t="s">
        <v>137</v>
      </c>
      <c r="D59">
        <v>-10.967288</v>
      </c>
      <c r="E59">
        <v>17.617781000000001</v>
      </c>
      <c r="F59" s="1" t="s">
        <v>1498</v>
      </c>
      <c r="G59" s="1" t="s">
        <v>1496</v>
      </c>
    </row>
    <row r="60" spans="1:7" x14ac:dyDescent="0.3">
      <c r="A60" s="1" t="s">
        <v>1521</v>
      </c>
      <c r="B60" s="1" t="s">
        <v>943</v>
      </c>
      <c r="C60" s="1" t="s">
        <v>44</v>
      </c>
      <c r="D60">
        <v>-1.607639</v>
      </c>
      <c r="E60">
        <v>17.003636</v>
      </c>
      <c r="F60" s="1" t="s">
        <v>1498</v>
      </c>
      <c r="G60" s="1" t="s">
        <v>1496</v>
      </c>
    </row>
    <row r="61" spans="1:7" x14ac:dyDescent="0.3">
      <c r="A61" s="1" t="s">
        <v>1521</v>
      </c>
      <c r="B61" s="1" t="s">
        <v>1358</v>
      </c>
      <c r="C61" s="1" t="s">
        <v>62</v>
      </c>
      <c r="D61">
        <v>-7.1587569999999996</v>
      </c>
      <c r="E61">
        <v>18.975141000000001</v>
      </c>
      <c r="F61" s="1" t="s">
        <v>1495</v>
      </c>
      <c r="G61" s="1" t="s">
        <v>1496</v>
      </c>
    </row>
    <row r="62" spans="1:7" x14ac:dyDescent="0.3">
      <c r="A62" s="1" t="s">
        <v>1521</v>
      </c>
      <c r="B62" s="1" t="s">
        <v>930</v>
      </c>
      <c r="C62" s="1" t="s">
        <v>67</v>
      </c>
      <c r="D62">
        <v>-9.9875139999999991</v>
      </c>
      <c r="E62">
        <v>12.013676999999999</v>
      </c>
      <c r="F62" s="1" t="s">
        <v>1500</v>
      </c>
      <c r="G62" s="1" t="s">
        <v>1501</v>
      </c>
    </row>
    <row r="63" spans="1:7" x14ac:dyDescent="0.3">
      <c r="A63" s="1" t="s">
        <v>1521</v>
      </c>
      <c r="B63" s="1" t="s">
        <v>1267</v>
      </c>
      <c r="C63" s="1" t="s">
        <v>137</v>
      </c>
      <c r="D63">
        <v>-8.0301989999999996</v>
      </c>
      <c r="E63">
        <v>24.122495000000001</v>
      </c>
      <c r="F63" s="1" t="s">
        <v>1495</v>
      </c>
      <c r="G63" s="1" t="s">
        <v>1501</v>
      </c>
    </row>
    <row r="64" spans="1:7" x14ac:dyDescent="0.3">
      <c r="A64" s="1" t="s">
        <v>1521</v>
      </c>
      <c r="B64" s="1" t="s">
        <v>1052</v>
      </c>
      <c r="C64" s="1" t="s">
        <v>131</v>
      </c>
      <c r="D64">
        <v>-10.846306999999999</v>
      </c>
      <c r="E64">
        <v>19.201827999999999</v>
      </c>
      <c r="F64" s="1" t="s">
        <v>1498</v>
      </c>
      <c r="G64" s="1" t="s">
        <v>1496</v>
      </c>
    </row>
    <row r="65" spans="1:7" x14ac:dyDescent="0.3">
      <c r="A65" s="1" t="s">
        <v>1521</v>
      </c>
      <c r="B65" s="1" t="s">
        <v>1524</v>
      </c>
      <c r="C65" s="1" t="s">
        <v>40</v>
      </c>
      <c r="D65">
        <v>1.204588</v>
      </c>
      <c r="E65">
        <v>15.525152</v>
      </c>
      <c r="F65" s="1" t="s">
        <v>1495</v>
      </c>
      <c r="G65" s="1" t="s">
        <v>1499</v>
      </c>
    </row>
    <row r="66" spans="1:7" x14ac:dyDescent="0.3">
      <c r="A66" s="1" t="s">
        <v>1521</v>
      </c>
      <c r="B66" s="1" t="s">
        <v>1265</v>
      </c>
      <c r="C66" s="1" t="s">
        <v>60</v>
      </c>
      <c r="D66">
        <v>-12.839263000000001</v>
      </c>
      <c r="E66">
        <v>12.355677</v>
      </c>
      <c r="F66" s="1" t="s">
        <v>1500</v>
      </c>
      <c r="G66" s="1" t="s">
        <v>1499</v>
      </c>
    </row>
    <row r="67" spans="1:7" x14ac:dyDescent="0.3">
      <c r="A67" s="1" t="s">
        <v>1521</v>
      </c>
      <c r="B67" s="1" t="s">
        <v>1525</v>
      </c>
      <c r="C67" s="1" t="s">
        <v>26</v>
      </c>
      <c r="D67">
        <v>-12.244119</v>
      </c>
      <c r="E67">
        <v>28.279755999999999</v>
      </c>
      <c r="F67" s="1" t="s">
        <v>1495</v>
      </c>
      <c r="G67" s="1" t="s">
        <v>1501</v>
      </c>
    </row>
    <row r="68" spans="1:7" x14ac:dyDescent="0.3">
      <c r="A68" s="1" t="s">
        <v>1521</v>
      </c>
      <c r="B68" s="1" t="s">
        <v>1526</v>
      </c>
      <c r="C68" s="1" t="s">
        <v>29</v>
      </c>
      <c r="D68">
        <v>1.102554</v>
      </c>
      <c r="E68">
        <v>26.744315</v>
      </c>
      <c r="F68" s="1" t="s">
        <v>1500</v>
      </c>
      <c r="G68" s="1" t="s">
        <v>1496</v>
      </c>
    </row>
    <row r="69" spans="1:7" x14ac:dyDescent="0.3">
      <c r="A69" s="1" t="s">
        <v>1521</v>
      </c>
      <c r="B69" s="1" t="s">
        <v>984</v>
      </c>
      <c r="C69" s="1" t="s">
        <v>33</v>
      </c>
      <c r="D69">
        <v>-4.4451280000000004</v>
      </c>
      <c r="E69">
        <v>16.536944999999999</v>
      </c>
      <c r="F69" s="1" t="s">
        <v>1498</v>
      </c>
      <c r="G69" s="1" t="s">
        <v>1496</v>
      </c>
    </row>
    <row r="70" spans="1:7" x14ac:dyDescent="0.3">
      <c r="A70" s="1" t="s">
        <v>1521</v>
      </c>
      <c r="B70" s="1" t="s">
        <v>980</v>
      </c>
      <c r="C70" s="1" t="s">
        <v>67</v>
      </c>
      <c r="D70">
        <v>-2.2681789999999999</v>
      </c>
      <c r="E70">
        <v>25.699068</v>
      </c>
      <c r="F70" s="1" t="s">
        <v>1500</v>
      </c>
      <c r="G70" s="1" t="s">
        <v>1501</v>
      </c>
    </row>
    <row r="71" spans="1:7" x14ac:dyDescent="0.3">
      <c r="A71" s="1" t="s">
        <v>1521</v>
      </c>
      <c r="B71" s="1" t="s">
        <v>914</v>
      </c>
      <c r="C71" s="1" t="s">
        <v>131</v>
      </c>
      <c r="D71">
        <v>-6.3148239999999998</v>
      </c>
      <c r="E71">
        <v>24.507498999999999</v>
      </c>
      <c r="F71" s="1" t="s">
        <v>1500</v>
      </c>
      <c r="G71" s="1" t="s">
        <v>1501</v>
      </c>
    </row>
    <row r="72" spans="1:7" x14ac:dyDescent="0.3">
      <c r="A72" s="1" t="s">
        <v>1521</v>
      </c>
      <c r="B72" s="1" t="s">
        <v>1151</v>
      </c>
      <c r="C72" s="1" t="s">
        <v>64</v>
      </c>
      <c r="D72">
        <v>-11.389362</v>
      </c>
      <c r="E72">
        <v>22.240174</v>
      </c>
      <c r="F72" s="1" t="s">
        <v>1495</v>
      </c>
      <c r="G72" s="1" t="s">
        <v>1501</v>
      </c>
    </row>
    <row r="73" spans="1:7" x14ac:dyDescent="0.3">
      <c r="A73" s="1" t="s">
        <v>1521</v>
      </c>
      <c r="B73" s="1" t="s">
        <v>1251</v>
      </c>
      <c r="C73" s="1" t="s">
        <v>51</v>
      </c>
      <c r="D73">
        <v>-10.161428000000001</v>
      </c>
      <c r="E73">
        <v>19.362325999999999</v>
      </c>
      <c r="F73" s="1" t="s">
        <v>1500</v>
      </c>
      <c r="G73" s="1" t="s">
        <v>1508</v>
      </c>
    </row>
    <row r="74" spans="1:7" x14ac:dyDescent="0.3">
      <c r="A74" s="1" t="s">
        <v>1521</v>
      </c>
      <c r="B74" s="1" t="s">
        <v>1297</v>
      </c>
      <c r="C74" s="1" t="s">
        <v>137</v>
      </c>
      <c r="D74">
        <v>-11.354772000000001</v>
      </c>
      <c r="E74">
        <v>21.957325999999998</v>
      </c>
      <c r="F74" s="1" t="s">
        <v>1500</v>
      </c>
      <c r="G74" s="1" t="s">
        <v>1508</v>
      </c>
    </row>
    <row r="75" spans="1:7" x14ac:dyDescent="0.3">
      <c r="A75" s="1" t="s">
        <v>1521</v>
      </c>
      <c r="B75" s="1" t="s">
        <v>860</v>
      </c>
      <c r="C75" s="1" t="s">
        <v>37</v>
      </c>
      <c r="D75">
        <v>-1.864393</v>
      </c>
      <c r="E75">
        <v>21.453434000000001</v>
      </c>
      <c r="F75" s="1" t="s">
        <v>1495</v>
      </c>
      <c r="G75" s="1" t="s">
        <v>1496</v>
      </c>
    </row>
    <row r="76" spans="1:7" x14ac:dyDescent="0.3">
      <c r="A76" s="1" t="s">
        <v>1521</v>
      </c>
      <c r="B76" s="1" t="s">
        <v>1527</v>
      </c>
      <c r="C76" s="1" t="s">
        <v>57</v>
      </c>
      <c r="D76">
        <v>3.7552780000000001</v>
      </c>
      <c r="E76">
        <v>22.477888</v>
      </c>
      <c r="F76" s="1" t="s">
        <v>1500</v>
      </c>
      <c r="G76" s="1" t="s">
        <v>1508</v>
      </c>
    </row>
    <row r="77" spans="1:7" x14ac:dyDescent="0.3">
      <c r="A77" s="1" t="s">
        <v>1521</v>
      </c>
      <c r="B77" s="1" t="s">
        <v>1118</v>
      </c>
      <c r="C77" s="1" t="s">
        <v>131</v>
      </c>
      <c r="D77">
        <v>4.9455159999999996</v>
      </c>
      <c r="E77">
        <v>23.647746000000001</v>
      </c>
      <c r="F77" s="1" t="s">
        <v>1495</v>
      </c>
      <c r="G77" s="1" t="s">
        <v>1499</v>
      </c>
    </row>
    <row r="78" spans="1:7" x14ac:dyDescent="0.3">
      <c r="A78" s="1" t="s">
        <v>1521</v>
      </c>
      <c r="B78" s="1" t="s">
        <v>1528</v>
      </c>
      <c r="C78" s="1" t="s">
        <v>137</v>
      </c>
      <c r="D78">
        <v>-1.7476179999999999</v>
      </c>
      <c r="E78">
        <v>18.129401000000001</v>
      </c>
      <c r="F78" s="1" t="s">
        <v>1498</v>
      </c>
      <c r="G78" s="1" t="s">
        <v>1496</v>
      </c>
    </row>
    <row r="79" spans="1:7" x14ac:dyDescent="0.3">
      <c r="A79" s="1" t="s">
        <v>1521</v>
      </c>
      <c r="B79" s="1" t="s">
        <v>1310</v>
      </c>
      <c r="C79" s="1" t="s">
        <v>127</v>
      </c>
      <c r="D79">
        <v>-11.924048000000001</v>
      </c>
      <c r="E79">
        <v>24.177174999999998</v>
      </c>
      <c r="F79" s="1" t="s">
        <v>1500</v>
      </c>
      <c r="G79" s="1" t="s">
        <v>1508</v>
      </c>
    </row>
    <row r="80" spans="1:7" x14ac:dyDescent="0.3">
      <c r="A80" s="1" t="s">
        <v>1521</v>
      </c>
      <c r="B80" s="1" t="s">
        <v>1030</v>
      </c>
      <c r="C80" s="1" t="s">
        <v>57</v>
      </c>
      <c r="D80">
        <v>-1.3976519999999999</v>
      </c>
      <c r="E80">
        <v>14.098819000000001</v>
      </c>
      <c r="F80" s="1" t="s">
        <v>1500</v>
      </c>
      <c r="G80" s="1" t="s">
        <v>1496</v>
      </c>
    </row>
    <row r="81" spans="1:7" x14ac:dyDescent="0.3">
      <c r="A81" s="1" t="s">
        <v>1521</v>
      </c>
      <c r="B81" s="1" t="s">
        <v>1529</v>
      </c>
      <c r="C81" s="1" t="s">
        <v>18</v>
      </c>
      <c r="D81">
        <v>-0.37609300000000001</v>
      </c>
      <c r="E81">
        <v>21.940809999999999</v>
      </c>
      <c r="F81" s="1" t="s">
        <v>1495</v>
      </c>
      <c r="G81" s="1" t="s">
        <v>1499</v>
      </c>
    </row>
    <row r="82" spans="1:7" x14ac:dyDescent="0.3">
      <c r="A82" s="1" t="s">
        <v>1521</v>
      </c>
      <c r="B82" s="1" t="s">
        <v>1364</v>
      </c>
      <c r="C82" s="1" t="s">
        <v>62</v>
      </c>
      <c r="D82">
        <v>1.2463919999999999</v>
      </c>
      <c r="E82">
        <v>13.266916999999999</v>
      </c>
      <c r="F82" s="1" t="s">
        <v>1495</v>
      </c>
      <c r="G82" s="1" t="s">
        <v>1499</v>
      </c>
    </row>
    <row r="83" spans="1:7" x14ac:dyDescent="0.3">
      <c r="A83" s="1" t="s">
        <v>1521</v>
      </c>
      <c r="B83" s="1" t="s">
        <v>1457</v>
      </c>
      <c r="C83" s="1" t="s">
        <v>33</v>
      </c>
      <c r="D83">
        <v>-10.735106</v>
      </c>
      <c r="E83">
        <v>27.868673999999999</v>
      </c>
      <c r="F83" s="1" t="s">
        <v>1500</v>
      </c>
      <c r="G83" s="1" t="s">
        <v>1496</v>
      </c>
    </row>
    <row r="84" spans="1:7" x14ac:dyDescent="0.3">
      <c r="A84" s="1" t="s">
        <v>1521</v>
      </c>
      <c r="B84" s="1" t="s">
        <v>1377</v>
      </c>
      <c r="C84" s="1" t="s">
        <v>127</v>
      </c>
      <c r="D84">
        <v>-8.8118569999999998</v>
      </c>
      <c r="E84">
        <v>14.465711000000001</v>
      </c>
      <c r="F84" s="1" t="s">
        <v>1495</v>
      </c>
      <c r="G84" s="1" t="s">
        <v>1508</v>
      </c>
    </row>
    <row r="85" spans="1:7" x14ac:dyDescent="0.3">
      <c r="A85" s="1" t="s">
        <v>1521</v>
      </c>
      <c r="B85" s="1" t="s">
        <v>1530</v>
      </c>
      <c r="C85" s="1" t="s">
        <v>18</v>
      </c>
      <c r="D85">
        <v>4.6701629999999996</v>
      </c>
      <c r="E85">
        <v>28.596363</v>
      </c>
      <c r="F85" s="1" t="s">
        <v>1495</v>
      </c>
      <c r="G85" s="1" t="s">
        <v>1496</v>
      </c>
    </row>
    <row r="86" spans="1:7" x14ac:dyDescent="0.3">
      <c r="A86" s="1" t="s">
        <v>1521</v>
      </c>
      <c r="B86" s="1" t="s">
        <v>1531</v>
      </c>
      <c r="C86" s="1" t="s">
        <v>137</v>
      </c>
      <c r="D86">
        <v>1.194113</v>
      </c>
      <c r="E86">
        <v>15.839502</v>
      </c>
      <c r="F86" s="1" t="s">
        <v>1500</v>
      </c>
      <c r="G86" s="1" t="s">
        <v>1499</v>
      </c>
    </row>
    <row r="87" spans="1:7" x14ac:dyDescent="0.3">
      <c r="A87" s="1" t="s">
        <v>1521</v>
      </c>
      <c r="B87" s="1" t="s">
        <v>1211</v>
      </c>
      <c r="C87" s="1" t="s">
        <v>51</v>
      </c>
      <c r="D87">
        <v>0.62055499999999997</v>
      </c>
      <c r="E87">
        <v>21.222035000000002</v>
      </c>
      <c r="F87" s="1" t="s">
        <v>1495</v>
      </c>
      <c r="G87" s="1" t="s">
        <v>1508</v>
      </c>
    </row>
    <row r="88" spans="1:7" x14ac:dyDescent="0.3">
      <c r="A88" s="1" t="s">
        <v>1521</v>
      </c>
      <c r="B88" s="1" t="s">
        <v>1532</v>
      </c>
      <c r="C88" s="1" t="s">
        <v>73</v>
      </c>
      <c r="D88">
        <v>1.499457</v>
      </c>
      <c r="E88">
        <v>13.876317999999999</v>
      </c>
      <c r="F88" s="1" t="s">
        <v>1495</v>
      </c>
      <c r="G88" s="1" t="s">
        <v>1508</v>
      </c>
    </row>
    <row r="89" spans="1:7" x14ac:dyDescent="0.3">
      <c r="A89" s="1" t="s">
        <v>1521</v>
      </c>
      <c r="B89" s="1" t="s">
        <v>857</v>
      </c>
      <c r="C89" s="1" t="s">
        <v>13</v>
      </c>
      <c r="D89">
        <v>-5.1030600000000002</v>
      </c>
      <c r="E89">
        <v>22.849231</v>
      </c>
      <c r="F89" s="1" t="s">
        <v>1495</v>
      </c>
      <c r="G89" s="1" t="s">
        <v>1501</v>
      </c>
    </row>
    <row r="90" spans="1:7" x14ac:dyDescent="0.3">
      <c r="A90" s="1" t="s">
        <v>1521</v>
      </c>
      <c r="B90" s="1" t="s">
        <v>890</v>
      </c>
      <c r="C90" s="1" t="s">
        <v>33</v>
      </c>
      <c r="D90">
        <v>-9.5266249999999992</v>
      </c>
      <c r="E90">
        <v>27.889690999999999</v>
      </c>
      <c r="F90" s="1" t="s">
        <v>1498</v>
      </c>
      <c r="G90" s="1" t="s">
        <v>1496</v>
      </c>
    </row>
    <row r="91" spans="1:7" x14ac:dyDescent="0.3">
      <c r="A91" s="1" t="s">
        <v>1521</v>
      </c>
      <c r="B91" s="1" t="s">
        <v>1533</v>
      </c>
      <c r="C91" s="1" t="s">
        <v>26</v>
      </c>
      <c r="D91">
        <v>-0.59350000000000003</v>
      </c>
      <c r="E91">
        <v>24.500503999999999</v>
      </c>
      <c r="F91" s="1" t="s">
        <v>1495</v>
      </c>
      <c r="G91" s="1" t="s">
        <v>1499</v>
      </c>
    </row>
    <row r="92" spans="1:7" x14ac:dyDescent="0.3">
      <c r="A92" s="1" t="s">
        <v>1521</v>
      </c>
      <c r="B92" s="1" t="s">
        <v>1136</v>
      </c>
      <c r="C92" s="1" t="s">
        <v>131</v>
      </c>
      <c r="D92">
        <v>-6.5529849999999996</v>
      </c>
      <c r="E92">
        <v>21.990606</v>
      </c>
      <c r="F92" s="1" t="s">
        <v>1500</v>
      </c>
      <c r="G92" s="1" t="s">
        <v>1499</v>
      </c>
    </row>
    <row r="93" spans="1:7" x14ac:dyDescent="0.3">
      <c r="A93" s="1" t="s">
        <v>1521</v>
      </c>
      <c r="B93" s="1" t="s">
        <v>1384</v>
      </c>
      <c r="C93" s="1" t="s">
        <v>13</v>
      </c>
      <c r="D93">
        <v>-10.574821</v>
      </c>
      <c r="E93">
        <v>25.324966</v>
      </c>
      <c r="F93" s="1" t="s">
        <v>1495</v>
      </c>
      <c r="G93" s="1" t="s">
        <v>1496</v>
      </c>
    </row>
    <row r="94" spans="1:7" x14ac:dyDescent="0.3">
      <c r="A94" s="1" t="s">
        <v>1521</v>
      </c>
      <c r="B94" s="1" t="s">
        <v>1444</v>
      </c>
      <c r="C94" s="1" t="s">
        <v>35</v>
      </c>
      <c r="D94">
        <v>3.175935</v>
      </c>
      <c r="E94">
        <v>16.862832000000001</v>
      </c>
      <c r="F94" s="1" t="s">
        <v>1495</v>
      </c>
      <c r="G94" s="1" t="s">
        <v>1496</v>
      </c>
    </row>
    <row r="95" spans="1:7" x14ac:dyDescent="0.3">
      <c r="A95" s="1" t="s">
        <v>1521</v>
      </c>
      <c r="B95" s="1" t="s">
        <v>994</v>
      </c>
      <c r="C95" s="1" t="s">
        <v>78</v>
      </c>
      <c r="D95">
        <v>-4.2645619999999997</v>
      </c>
      <c r="E95">
        <v>18.960726000000001</v>
      </c>
      <c r="F95" s="1" t="s">
        <v>1498</v>
      </c>
      <c r="G95" s="1" t="s">
        <v>1499</v>
      </c>
    </row>
    <row r="96" spans="1:7" x14ac:dyDescent="0.3">
      <c r="A96" s="1" t="s">
        <v>1521</v>
      </c>
      <c r="B96" s="1" t="s">
        <v>1142</v>
      </c>
      <c r="C96" s="1" t="s">
        <v>29</v>
      </c>
      <c r="D96">
        <v>-5.125</v>
      </c>
      <c r="E96">
        <v>23.513119</v>
      </c>
      <c r="F96" s="1" t="s">
        <v>1495</v>
      </c>
      <c r="G96" s="1" t="s">
        <v>1499</v>
      </c>
    </row>
    <row r="97" spans="1:7" x14ac:dyDescent="0.3">
      <c r="A97" s="1" t="s">
        <v>1521</v>
      </c>
      <c r="B97" s="1" t="s">
        <v>1332</v>
      </c>
      <c r="C97" s="1" t="s">
        <v>16</v>
      </c>
      <c r="D97">
        <v>-7.6951369999999999</v>
      </c>
      <c r="E97">
        <v>13.346605</v>
      </c>
      <c r="F97" s="1" t="s">
        <v>1498</v>
      </c>
      <c r="G97" s="1" t="s">
        <v>1496</v>
      </c>
    </row>
    <row r="98" spans="1:7" x14ac:dyDescent="0.3">
      <c r="A98" s="1" t="s">
        <v>1521</v>
      </c>
      <c r="B98" s="1" t="s">
        <v>1534</v>
      </c>
      <c r="C98" s="1" t="s">
        <v>18</v>
      </c>
      <c r="D98">
        <v>-0.45332</v>
      </c>
      <c r="E98">
        <v>29.674009999999999</v>
      </c>
      <c r="F98" s="1" t="s">
        <v>1495</v>
      </c>
      <c r="G98" s="1" t="s">
        <v>1496</v>
      </c>
    </row>
    <row r="99" spans="1:7" x14ac:dyDescent="0.3">
      <c r="A99" s="1" t="s">
        <v>1521</v>
      </c>
      <c r="B99" s="1" t="s">
        <v>1102</v>
      </c>
      <c r="C99" s="1" t="s">
        <v>62</v>
      </c>
      <c r="D99">
        <v>-9.5840350000000001</v>
      </c>
      <c r="E99">
        <v>15.966024000000001</v>
      </c>
      <c r="F99" s="1" t="s">
        <v>1495</v>
      </c>
      <c r="G99" s="1" t="s">
        <v>1508</v>
      </c>
    </row>
    <row r="100" spans="1:7" x14ac:dyDescent="0.3">
      <c r="A100" s="1" t="s">
        <v>1521</v>
      </c>
      <c r="B100" s="1" t="s">
        <v>1449</v>
      </c>
      <c r="C100" s="1" t="s">
        <v>18</v>
      </c>
      <c r="D100">
        <v>-9.6407190000000007</v>
      </c>
      <c r="E100">
        <v>21.336704999999998</v>
      </c>
      <c r="F100" s="1" t="s">
        <v>1498</v>
      </c>
      <c r="G100" s="1" t="s">
        <v>1501</v>
      </c>
    </row>
    <row r="101" spans="1:7" x14ac:dyDescent="0.3">
      <c r="A101" s="1" t="s">
        <v>1521</v>
      </c>
      <c r="B101" s="1" t="s">
        <v>1535</v>
      </c>
      <c r="C101" s="1" t="s">
        <v>60</v>
      </c>
      <c r="D101">
        <v>-6.7420359999999997</v>
      </c>
      <c r="E101">
        <v>28.905578999999999</v>
      </c>
      <c r="F101" s="1" t="s">
        <v>1500</v>
      </c>
      <c r="G101" s="1" t="s">
        <v>1499</v>
      </c>
    </row>
    <row r="102" spans="1:7" x14ac:dyDescent="0.3">
      <c r="A102" s="1" t="s">
        <v>1536</v>
      </c>
      <c r="B102" s="1" t="s">
        <v>1023</v>
      </c>
      <c r="C102" s="1" t="s">
        <v>24</v>
      </c>
      <c r="D102">
        <v>0.16841400000000001</v>
      </c>
      <c r="E102">
        <v>30.029876999999999</v>
      </c>
      <c r="F102" s="1" t="s">
        <v>1495</v>
      </c>
      <c r="G102" s="1" t="s">
        <v>1499</v>
      </c>
    </row>
    <row r="103" spans="1:7" x14ac:dyDescent="0.3">
      <c r="A103" s="1" t="s">
        <v>1536</v>
      </c>
      <c r="B103" s="1" t="s">
        <v>1537</v>
      </c>
      <c r="C103" s="1" t="s">
        <v>26</v>
      </c>
      <c r="D103">
        <v>-5.9281110000000004</v>
      </c>
      <c r="E103">
        <v>29.607863999999999</v>
      </c>
      <c r="F103" s="1" t="s">
        <v>1498</v>
      </c>
      <c r="G103" s="1" t="s">
        <v>1499</v>
      </c>
    </row>
    <row r="104" spans="1:7" x14ac:dyDescent="0.3">
      <c r="A104" s="1" t="s">
        <v>1536</v>
      </c>
      <c r="B104" s="1" t="s">
        <v>840</v>
      </c>
      <c r="C104" s="1" t="s">
        <v>29</v>
      </c>
      <c r="D104">
        <v>-4.9789079999999997</v>
      </c>
      <c r="E104">
        <v>28.506295000000001</v>
      </c>
      <c r="F104" s="1" t="s">
        <v>1498</v>
      </c>
      <c r="G104" s="1" t="s">
        <v>1499</v>
      </c>
    </row>
    <row r="105" spans="1:7" x14ac:dyDescent="0.3">
      <c r="A105" s="1" t="s">
        <v>1536</v>
      </c>
      <c r="B105" s="1" t="s">
        <v>1127</v>
      </c>
      <c r="C105" s="1" t="s">
        <v>26</v>
      </c>
      <c r="D105">
        <v>-2.2876210000000001</v>
      </c>
      <c r="E105">
        <v>27.582545</v>
      </c>
      <c r="F105" s="1" t="s">
        <v>1498</v>
      </c>
      <c r="G105" s="1" t="s">
        <v>1499</v>
      </c>
    </row>
    <row r="106" spans="1:7" x14ac:dyDescent="0.3">
      <c r="A106" s="1" t="s">
        <v>1536</v>
      </c>
      <c r="B106" s="1" t="s">
        <v>1367</v>
      </c>
      <c r="C106" s="1" t="s">
        <v>37</v>
      </c>
      <c r="D106">
        <v>-3.9148719999999999</v>
      </c>
      <c r="E106">
        <v>12.260933</v>
      </c>
      <c r="F106" s="1" t="s">
        <v>1498</v>
      </c>
      <c r="G106" s="1" t="s">
        <v>1496</v>
      </c>
    </row>
    <row r="107" spans="1:7" x14ac:dyDescent="0.3">
      <c r="A107" s="1" t="s">
        <v>1536</v>
      </c>
      <c r="B107" s="1" t="s">
        <v>927</v>
      </c>
      <c r="C107" s="1" t="s">
        <v>37</v>
      </c>
      <c r="D107">
        <v>-9.002459</v>
      </c>
      <c r="E107">
        <v>25.182109000000001</v>
      </c>
      <c r="F107" s="1" t="s">
        <v>1495</v>
      </c>
      <c r="G107" s="1" t="s">
        <v>1499</v>
      </c>
    </row>
    <row r="108" spans="1:7" x14ac:dyDescent="0.3">
      <c r="A108" s="1" t="s">
        <v>1536</v>
      </c>
      <c r="B108" s="1" t="s">
        <v>1065</v>
      </c>
      <c r="C108" s="1" t="s">
        <v>89</v>
      </c>
      <c r="D108">
        <v>-7.7839049999999999</v>
      </c>
      <c r="E108">
        <v>14.114281999999999</v>
      </c>
      <c r="F108" s="1" t="s">
        <v>1500</v>
      </c>
      <c r="G108" s="1" t="s">
        <v>1501</v>
      </c>
    </row>
    <row r="109" spans="1:7" x14ac:dyDescent="0.3">
      <c r="A109" s="1" t="s">
        <v>1536</v>
      </c>
      <c r="B109" s="1" t="s">
        <v>866</v>
      </c>
      <c r="C109" s="1" t="s">
        <v>51</v>
      </c>
      <c r="D109">
        <v>-5.9021970000000001</v>
      </c>
      <c r="E109">
        <v>20.551169999999999</v>
      </c>
      <c r="F109" s="1" t="s">
        <v>1500</v>
      </c>
      <c r="G109" s="1" t="s">
        <v>1499</v>
      </c>
    </row>
    <row r="110" spans="1:7" x14ac:dyDescent="0.3">
      <c r="A110" s="1" t="s">
        <v>1536</v>
      </c>
      <c r="B110" s="1" t="s">
        <v>1538</v>
      </c>
      <c r="C110" s="1" t="s">
        <v>31</v>
      </c>
      <c r="D110">
        <v>-10.620597</v>
      </c>
      <c r="E110">
        <v>12.432214</v>
      </c>
      <c r="F110" s="1" t="s">
        <v>1498</v>
      </c>
      <c r="G110" s="1" t="s">
        <v>1499</v>
      </c>
    </row>
    <row r="111" spans="1:7" x14ac:dyDescent="0.3">
      <c r="A111" s="1" t="s">
        <v>1536</v>
      </c>
      <c r="B111" s="1" t="s">
        <v>889</v>
      </c>
      <c r="C111" s="1" t="s">
        <v>16</v>
      </c>
      <c r="D111">
        <v>-11.514188000000001</v>
      </c>
      <c r="E111">
        <v>15.971181</v>
      </c>
      <c r="F111" s="1" t="s">
        <v>1495</v>
      </c>
      <c r="G111" s="1" t="s">
        <v>1496</v>
      </c>
    </row>
    <row r="112" spans="1:7" x14ac:dyDescent="0.3">
      <c r="A112" s="1" t="s">
        <v>1536</v>
      </c>
      <c r="B112" s="1" t="s">
        <v>874</v>
      </c>
      <c r="C112" s="1" t="s">
        <v>35</v>
      </c>
      <c r="D112">
        <v>-2.7140689999999998</v>
      </c>
      <c r="E112">
        <v>22.222104000000002</v>
      </c>
      <c r="F112" s="1" t="s">
        <v>1498</v>
      </c>
      <c r="G112" s="1" t="s">
        <v>1508</v>
      </c>
    </row>
    <row r="113" spans="1:7" x14ac:dyDescent="0.3">
      <c r="A113" s="1" t="s">
        <v>1536</v>
      </c>
      <c r="B113" s="1" t="s">
        <v>1077</v>
      </c>
      <c r="C113" s="1" t="s">
        <v>62</v>
      </c>
      <c r="D113">
        <v>-12.112399999999999</v>
      </c>
      <c r="E113">
        <v>15.872226</v>
      </c>
      <c r="F113" s="1" t="s">
        <v>1498</v>
      </c>
      <c r="G113" s="1" t="s">
        <v>1508</v>
      </c>
    </row>
    <row r="114" spans="1:7" x14ac:dyDescent="0.3">
      <c r="A114" s="1" t="s">
        <v>1536</v>
      </c>
      <c r="B114" s="1" t="s">
        <v>1483</v>
      </c>
      <c r="C114" s="1" t="s">
        <v>18</v>
      </c>
      <c r="D114">
        <v>-5.8145569999999998</v>
      </c>
      <c r="E114">
        <v>21.942052</v>
      </c>
      <c r="F114" s="1" t="s">
        <v>1495</v>
      </c>
      <c r="G114" s="1" t="s">
        <v>1499</v>
      </c>
    </row>
    <row r="115" spans="1:7" x14ac:dyDescent="0.3">
      <c r="A115" s="1" t="s">
        <v>1536</v>
      </c>
      <c r="B115" s="1" t="s">
        <v>1224</v>
      </c>
      <c r="C115" s="1" t="s">
        <v>24</v>
      </c>
      <c r="D115">
        <v>-11.468578000000001</v>
      </c>
      <c r="E115">
        <v>16.914501999999999</v>
      </c>
      <c r="F115" s="1" t="s">
        <v>1498</v>
      </c>
      <c r="G115" s="1" t="s">
        <v>1496</v>
      </c>
    </row>
    <row r="116" spans="1:7" x14ac:dyDescent="0.3">
      <c r="A116" s="1" t="s">
        <v>1536</v>
      </c>
      <c r="B116" s="1" t="s">
        <v>1539</v>
      </c>
      <c r="C116" s="1" t="s">
        <v>89</v>
      </c>
      <c r="D116">
        <v>-3.967184</v>
      </c>
      <c r="E116">
        <v>21.177499999999998</v>
      </c>
      <c r="F116" s="1" t="s">
        <v>1500</v>
      </c>
      <c r="G116" s="1" t="s">
        <v>1499</v>
      </c>
    </row>
    <row r="117" spans="1:7" x14ac:dyDescent="0.3">
      <c r="A117" s="1" t="s">
        <v>1536</v>
      </c>
      <c r="B117" s="1" t="s">
        <v>1540</v>
      </c>
      <c r="C117" s="1" t="s">
        <v>131</v>
      </c>
      <c r="D117">
        <v>0.92885200000000001</v>
      </c>
      <c r="E117">
        <v>25.868548000000001</v>
      </c>
      <c r="F117" s="1" t="s">
        <v>1495</v>
      </c>
      <c r="G117" s="1" t="s">
        <v>1508</v>
      </c>
    </row>
    <row r="118" spans="1:7" x14ac:dyDescent="0.3">
      <c r="A118" s="1" t="s">
        <v>1536</v>
      </c>
      <c r="B118" s="1" t="s">
        <v>1270</v>
      </c>
      <c r="C118" s="1" t="s">
        <v>40</v>
      </c>
      <c r="D118">
        <v>-10.653247</v>
      </c>
      <c r="E118">
        <v>14.685601</v>
      </c>
      <c r="F118" s="1" t="s">
        <v>1498</v>
      </c>
      <c r="G118" s="1" t="s">
        <v>1496</v>
      </c>
    </row>
    <row r="119" spans="1:7" x14ac:dyDescent="0.3">
      <c r="A119" s="1" t="s">
        <v>1536</v>
      </c>
      <c r="B119" s="1" t="s">
        <v>1541</v>
      </c>
      <c r="C119" s="1" t="s">
        <v>137</v>
      </c>
      <c r="D119">
        <v>-10.572326</v>
      </c>
      <c r="E119">
        <v>25.276349</v>
      </c>
      <c r="F119" s="1" t="s">
        <v>1500</v>
      </c>
      <c r="G119" s="1" t="s">
        <v>1501</v>
      </c>
    </row>
    <row r="120" spans="1:7" x14ac:dyDescent="0.3">
      <c r="A120" s="1" t="s">
        <v>1536</v>
      </c>
      <c r="B120" s="1" t="s">
        <v>1542</v>
      </c>
      <c r="C120" s="1" t="s">
        <v>62</v>
      </c>
      <c r="D120">
        <v>-2.9326690000000002</v>
      </c>
      <c r="E120">
        <v>12.349382</v>
      </c>
      <c r="F120" s="1" t="s">
        <v>1495</v>
      </c>
      <c r="G120" s="1" t="s">
        <v>1501</v>
      </c>
    </row>
    <row r="121" spans="1:7" x14ac:dyDescent="0.3">
      <c r="A121" s="1" t="s">
        <v>1536</v>
      </c>
      <c r="B121" s="1" t="s">
        <v>1392</v>
      </c>
      <c r="C121" s="1" t="s">
        <v>137</v>
      </c>
      <c r="D121">
        <v>-4.2184999999999997</v>
      </c>
      <c r="E121">
        <v>23.077093999999999</v>
      </c>
      <c r="F121" s="1" t="s">
        <v>1498</v>
      </c>
      <c r="G121" s="1" t="s">
        <v>1496</v>
      </c>
    </row>
    <row r="122" spans="1:7" x14ac:dyDescent="0.3">
      <c r="A122" s="1" t="s">
        <v>1536</v>
      </c>
      <c r="B122" s="1" t="s">
        <v>1543</v>
      </c>
      <c r="C122" s="1" t="s">
        <v>78</v>
      </c>
      <c r="D122">
        <v>-1.259528</v>
      </c>
      <c r="E122">
        <v>24.607037999999999</v>
      </c>
      <c r="F122" s="1" t="s">
        <v>1498</v>
      </c>
      <c r="G122" s="1" t="s">
        <v>1501</v>
      </c>
    </row>
    <row r="123" spans="1:7" x14ac:dyDescent="0.3">
      <c r="A123" s="1" t="s">
        <v>1536</v>
      </c>
      <c r="B123" s="1" t="s">
        <v>918</v>
      </c>
      <c r="C123" s="1" t="s">
        <v>21</v>
      </c>
      <c r="D123">
        <v>-9.4702129999999993</v>
      </c>
      <c r="E123">
        <v>12.826158</v>
      </c>
      <c r="F123" s="1" t="s">
        <v>1500</v>
      </c>
      <c r="G123" s="1" t="s">
        <v>1496</v>
      </c>
    </row>
    <row r="124" spans="1:7" x14ac:dyDescent="0.3">
      <c r="A124" s="1" t="s">
        <v>1536</v>
      </c>
      <c r="B124" s="1" t="s">
        <v>1103</v>
      </c>
      <c r="C124" s="1" t="s">
        <v>10</v>
      </c>
      <c r="D124">
        <v>-1.9120569999999999</v>
      </c>
      <c r="E124">
        <v>15.236072999999999</v>
      </c>
      <c r="F124" s="1" t="s">
        <v>1495</v>
      </c>
      <c r="G124" s="1" t="s">
        <v>1499</v>
      </c>
    </row>
    <row r="125" spans="1:7" x14ac:dyDescent="0.3">
      <c r="A125" s="1" t="s">
        <v>1536</v>
      </c>
      <c r="B125" s="1" t="s">
        <v>933</v>
      </c>
      <c r="C125" s="1" t="s">
        <v>10</v>
      </c>
      <c r="D125">
        <v>0.24202000000000001</v>
      </c>
      <c r="E125">
        <v>17.396256999999999</v>
      </c>
      <c r="F125" s="1" t="s">
        <v>1498</v>
      </c>
      <c r="G125" s="1" t="s">
        <v>1499</v>
      </c>
    </row>
    <row r="126" spans="1:7" x14ac:dyDescent="0.3">
      <c r="A126" s="1" t="s">
        <v>1536</v>
      </c>
      <c r="B126" s="1" t="s">
        <v>944</v>
      </c>
      <c r="C126" s="1" t="s">
        <v>51</v>
      </c>
      <c r="D126">
        <v>-8.5675749999999997</v>
      </c>
      <c r="E126">
        <v>26.994581</v>
      </c>
      <c r="F126" s="1" t="s">
        <v>1500</v>
      </c>
      <c r="G126" s="1" t="s">
        <v>1508</v>
      </c>
    </row>
    <row r="127" spans="1:7" x14ac:dyDescent="0.3">
      <c r="A127" s="1" t="s">
        <v>1536</v>
      </c>
      <c r="B127" s="1" t="s">
        <v>859</v>
      </c>
      <c r="C127" s="1" t="s">
        <v>137</v>
      </c>
      <c r="D127">
        <v>-11.710407999999999</v>
      </c>
      <c r="E127">
        <v>23.741330999999999</v>
      </c>
      <c r="F127" s="1" t="s">
        <v>1500</v>
      </c>
      <c r="G127" s="1" t="s">
        <v>1499</v>
      </c>
    </row>
    <row r="128" spans="1:7" x14ac:dyDescent="0.3">
      <c r="A128" s="1" t="s">
        <v>1536</v>
      </c>
      <c r="B128" s="1" t="s">
        <v>1544</v>
      </c>
      <c r="C128" s="1" t="s">
        <v>57</v>
      </c>
      <c r="D128">
        <v>0.98189400000000004</v>
      </c>
      <c r="E128">
        <v>13.008620000000001</v>
      </c>
      <c r="F128" s="1" t="s">
        <v>1498</v>
      </c>
      <c r="G128" s="1" t="s">
        <v>1499</v>
      </c>
    </row>
    <row r="129" spans="1:7" x14ac:dyDescent="0.3">
      <c r="A129" s="1" t="s">
        <v>1536</v>
      </c>
      <c r="B129" s="1" t="s">
        <v>1126</v>
      </c>
      <c r="C129" s="1" t="s">
        <v>18</v>
      </c>
      <c r="D129">
        <v>-7.1785899999999998</v>
      </c>
      <c r="E129">
        <v>24.4404</v>
      </c>
      <c r="F129" s="1" t="s">
        <v>1498</v>
      </c>
      <c r="G129" s="1" t="s">
        <v>1508</v>
      </c>
    </row>
    <row r="130" spans="1:7" x14ac:dyDescent="0.3">
      <c r="A130" s="1" t="s">
        <v>1536</v>
      </c>
      <c r="B130" s="1" t="s">
        <v>1128</v>
      </c>
      <c r="C130" s="1" t="s">
        <v>16</v>
      </c>
      <c r="D130">
        <v>3.6344850000000002</v>
      </c>
      <c r="E130">
        <v>12.158348999999999</v>
      </c>
      <c r="F130" s="1" t="s">
        <v>1495</v>
      </c>
      <c r="G130" s="1" t="s">
        <v>1496</v>
      </c>
    </row>
    <row r="131" spans="1:7" x14ac:dyDescent="0.3">
      <c r="A131" s="1" t="s">
        <v>1536</v>
      </c>
      <c r="B131" s="1" t="s">
        <v>1146</v>
      </c>
      <c r="C131" s="1" t="s">
        <v>31</v>
      </c>
      <c r="D131">
        <v>-11.387295999999999</v>
      </c>
      <c r="E131">
        <v>19.384257999999999</v>
      </c>
      <c r="F131" s="1" t="s">
        <v>1500</v>
      </c>
      <c r="G131" s="1" t="s">
        <v>1499</v>
      </c>
    </row>
    <row r="132" spans="1:7" x14ac:dyDescent="0.3">
      <c r="A132" s="1" t="s">
        <v>1536</v>
      </c>
      <c r="B132" s="1" t="s">
        <v>1139</v>
      </c>
      <c r="C132" s="1" t="s">
        <v>64</v>
      </c>
      <c r="D132">
        <v>-0.90854400000000002</v>
      </c>
      <c r="E132">
        <v>17.154896999999998</v>
      </c>
      <c r="F132" s="1" t="s">
        <v>1500</v>
      </c>
      <c r="G132" s="1" t="s">
        <v>1499</v>
      </c>
    </row>
    <row r="133" spans="1:7" x14ac:dyDescent="0.3">
      <c r="A133" s="1" t="s">
        <v>1536</v>
      </c>
      <c r="B133" s="1" t="s">
        <v>1115</v>
      </c>
      <c r="C133" s="1" t="s">
        <v>16</v>
      </c>
      <c r="D133">
        <v>-5.3762689999999997</v>
      </c>
      <c r="E133">
        <v>28.189575999999999</v>
      </c>
      <c r="F133" s="1" t="s">
        <v>1495</v>
      </c>
      <c r="G133" s="1" t="s">
        <v>1499</v>
      </c>
    </row>
    <row r="134" spans="1:7" x14ac:dyDescent="0.3">
      <c r="A134" s="1" t="s">
        <v>1536</v>
      </c>
      <c r="B134" s="1" t="s">
        <v>1545</v>
      </c>
      <c r="C134" s="1" t="s">
        <v>137</v>
      </c>
      <c r="D134">
        <v>-6.7304589999999997</v>
      </c>
      <c r="E134">
        <v>24.541906999999998</v>
      </c>
      <c r="F134" s="1" t="s">
        <v>1498</v>
      </c>
      <c r="G134" s="1" t="s">
        <v>1508</v>
      </c>
    </row>
    <row r="135" spans="1:7" x14ac:dyDescent="0.3">
      <c r="A135" s="1" t="s">
        <v>1536</v>
      </c>
      <c r="B135" s="1" t="s">
        <v>1482</v>
      </c>
      <c r="C135" s="1" t="s">
        <v>16</v>
      </c>
      <c r="D135">
        <v>-7.2267089999999996</v>
      </c>
      <c r="E135">
        <v>28.421362999999999</v>
      </c>
      <c r="F135" s="1" t="s">
        <v>1495</v>
      </c>
      <c r="G135" s="1" t="s">
        <v>1496</v>
      </c>
    </row>
    <row r="136" spans="1:7" x14ac:dyDescent="0.3">
      <c r="A136" s="1" t="s">
        <v>1536</v>
      </c>
      <c r="B136" s="1" t="s">
        <v>958</v>
      </c>
      <c r="C136" s="1" t="s">
        <v>131</v>
      </c>
      <c r="D136">
        <v>-2.3102109999999998</v>
      </c>
      <c r="E136">
        <v>12.362488000000001</v>
      </c>
      <c r="F136" s="1" t="s">
        <v>1495</v>
      </c>
      <c r="G136" s="1" t="s">
        <v>1508</v>
      </c>
    </row>
    <row r="137" spans="1:7" x14ac:dyDescent="0.3">
      <c r="A137" s="1" t="s">
        <v>1536</v>
      </c>
      <c r="B137" s="1" t="s">
        <v>1050</v>
      </c>
      <c r="C137" s="1" t="s">
        <v>62</v>
      </c>
      <c r="D137">
        <v>-12.564277000000001</v>
      </c>
      <c r="E137">
        <v>28.480798</v>
      </c>
      <c r="F137" s="1" t="s">
        <v>1495</v>
      </c>
      <c r="G137" s="1" t="s">
        <v>1501</v>
      </c>
    </row>
    <row r="138" spans="1:7" x14ac:dyDescent="0.3">
      <c r="A138" s="1" t="s">
        <v>1536</v>
      </c>
      <c r="B138" s="1" t="s">
        <v>1437</v>
      </c>
      <c r="C138" s="1" t="s">
        <v>35</v>
      </c>
      <c r="D138">
        <v>-7.513261</v>
      </c>
      <c r="E138">
        <v>24.338812000000001</v>
      </c>
      <c r="F138" s="1" t="s">
        <v>1495</v>
      </c>
      <c r="G138" s="1" t="s">
        <v>1499</v>
      </c>
    </row>
    <row r="139" spans="1:7" x14ac:dyDescent="0.3">
      <c r="A139" s="1" t="s">
        <v>1536</v>
      </c>
      <c r="B139" s="1" t="s">
        <v>1241</v>
      </c>
      <c r="C139" s="1" t="s">
        <v>73</v>
      </c>
      <c r="D139">
        <v>4.7777349999999998</v>
      </c>
      <c r="E139">
        <v>16.392204</v>
      </c>
      <c r="F139" s="1" t="s">
        <v>1495</v>
      </c>
      <c r="G139" s="1" t="s">
        <v>1501</v>
      </c>
    </row>
    <row r="140" spans="1:7" x14ac:dyDescent="0.3">
      <c r="A140" s="1" t="s">
        <v>1536</v>
      </c>
      <c r="B140" s="1" t="s">
        <v>1546</v>
      </c>
      <c r="C140" s="1" t="s">
        <v>62</v>
      </c>
      <c r="D140">
        <v>-1.9080220000000001</v>
      </c>
      <c r="E140">
        <v>19.233322999999999</v>
      </c>
      <c r="F140" s="1" t="s">
        <v>1500</v>
      </c>
      <c r="G140" s="1" t="s">
        <v>1496</v>
      </c>
    </row>
    <row r="141" spans="1:7" x14ac:dyDescent="0.3">
      <c r="A141" s="1" t="s">
        <v>1536</v>
      </c>
      <c r="B141" s="1" t="s">
        <v>1291</v>
      </c>
      <c r="C141" s="1" t="s">
        <v>78</v>
      </c>
      <c r="D141">
        <v>4.8228650000000002</v>
      </c>
      <c r="E141">
        <v>30.555627000000001</v>
      </c>
      <c r="F141" s="1" t="s">
        <v>1498</v>
      </c>
      <c r="G141" s="1" t="s">
        <v>1499</v>
      </c>
    </row>
    <row r="142" spans="1:7" x14ac:dyDescent="0.3">
      <c r="A142" s="1" t="s">
        <v>1536</v>
      </c>
      <c r="B142" s="1" t="s">
        <v>932</v>
      </c>
      <c r="C142" s="1" t="s">
        <v>60</v>
      </c>
      <c r="D142">
        <v>-5.0402180000000003</v>
      </c>
      <c r="E142">
        <v>13.892471</v>
      </c>
      <c r="F142" s="1" t="s">
        <v>1500</v>
      </c>
      <c r="G142" s="1" t="s">
        <v>1501</v>
      </c>
    </row>
    <row r="143" spans="1:7" x14ac:dyDescent="0.3">
      <c r="A143" s="1" t="s">
        <v>1536</v>
      </c>
      <c r="B143" s="1" t="s">
        <v>821</v>
      </c>
      <c r="C143" s="1" t="s">
        <v>89</v>
      </c>
      <c r="D143">
        <v>-10.375266999999999</v>
      </c>
      <c r="E143">
        <v>17.993663000000002</v>
      </c>
      <c r="F143" s="1" t="s">
        <v>1495</v>
      </c>
      <c r="G143" s="1" t="s">
        <v>1501</v>
      </c>
    </row>
    <row r="144" spans="1:7" x14ac:dyDescent="0.3">
      <c r="A144" s="1" t="s">
        <v>1536</v>
      </c>
      <c r="B144" s="1" t="s">
        <v>1229</v>
      </c>
      <c r="C144" s="1" t="s">
        <v>44</v>
      </c>
      <c r="D144">
        <v>-12.192204</v>
      </c>
      <c r="E144">
        <v>28.468682000000001</v>
      </c>
      <c r="F144" s="1" t="s">
        <v>1500</v>
      </c>
      <c r="G144" s="1" t="s">
        <v>1501</v>
      </c>
    </row>
    <row r="145" spans="1:7" x14ac:dyDescent="0.3">
      <c r="A145" s="1" t="s">
        <v>1536</v>
      </c>
      <c r="B145" s="1" t="s">
        <v>1171</v>
      </c>
      <c r="C145" s="1" t="s">
        <v>78</v>
      </c>
      <c r="D145">
        <v>1.727095</v>
      </c>
      <c r="E145">
        <v>22.099651999999999</v>
      </c>
      <c r="F145" s="1" t="s">
        <v>1498</v>
      </c>
      <c r="G145" s="1" t="s">
        <v>1499</v>
      </c>
    </row>
    <row r="146" spans="1:7" x14ac:dyDescent="0.3">
      <c r="A146" s="1" t="s">
        <v>1536</v>
      </c>
      <c r="B146" s="1" t="s">
        <v>1547</v>
      </c>
      <c r="C146" s="1" t="s">
        <v>73</v>
      </c>
      <c r="D146">
        <v>-9.4056660000000001</v>
      </c>
      <c r="E146">
        <v>15.541930000000001</v>
      </c>
      <c r="F146" s="1" t="s">
        <v>1498</v>
      </c>
      <c r="G146" s="1" t="s">
        <v>1499</v>
      </c>
    </row>
    <row r="147" spans="1:7" x14ac:dyDescent="0.3">
      <c r="A147" s="1" t="s">
        <v>1536</v>
      </c>
      <c r="B147" s="1" t="s">
        <v>1548</v>
      </c>
      <c r="C147" s="1" t="s">
        <v>37</v>
      </c>
      <c r="D147">
        <v>-6.2712260000000004</v>
      </c>
      <c r="E147">
        <v>21.512366</v>
      </c>
      <c r="F147" s="1" t="s">
        <v>1495</v>
      </c>
      <c r="G147" s="1" t="s">
        <v>1499</v>
      </c>
    </row>
    <row r="148" spans="1:7" x14ac:dyDescent="0.3">
      <c r="A148" s="1" t="s">
        <v>1536</v>
      </c>
      <c r="B148" s="1" t="s">
        <v>1010</v>
      </c>
      <c r="C148" s="1" t="s">
        <v>57</v>
      </c>
      <c r="D148">
        <v>0.639208</v>
      </c>
      <c r="E148">
        <v>20.701739</v>
      </c>
      <c r="F148" s="1" t="s">
        <v>1498</v>
      </c>
      <c r="G148" s="1" t="s">
        <v>1499</v>
      </c>
    </row>
    <row r="149" spans="1:7" x14ac:dyDescent="0.3">
      <c r="A149" s="1" t="s">
        <v>1536</v>
      </c>
      <c r="B149" s="1" t="s">
        <v>1549</v>
      </c>
      <c r="C149" s="1" t="s">
        <v>44</v>
      </c>
      <c r="D149">
        <v>2.349755</v>
      </c>
      <c r="E149">
        <v>29.600649000000001</v>
      </c>
      <c r="F149" s="1" t="s">
        <v>1498</v>
      </c>
      <c r="G149" s="1" t="s">
        <v>1508</v>
      </c>
    </row>
    <row r="150" spans="1:7" x14ac:dyDescent="0.3">
      <c r="A150" s="1" t="s">
        <v>1536</v>
      </c>
      <c r="B150" s="1" t="s">
        <v>1413</v>
      </c>
      <c r="C150" s="1" t="s">
        <v>62</v>
      </c>
      <c r="D150">
        <v>-10.977309</v>
      </c>
      <c r="E150">
        <v>12.408281000000001</v>
      </c>
      <c r="F150" s="1" t="s">
        <v>1495</v>
      </c>
      <c r="G150" s="1" t="s">
        <v>1501</v>
      </c>
    </row>
    <row r="151" spans="1:7" x14ac:dyDescent="0.3">
      <c r="A151" s="1" t="s">
        <v>1536</v>
      </c>
      <c r="B151" s="1" t="s">
        <v>1550</v>
      </c>
      <c r="C151" s="1" t="s">
        <v>13</v>
      </c>
      <c r="D151">
        <v>-12.018316</v>
      </c>
      <c r="E151">
        <v>16.700451000000001</v>
      </c>
      <c r="F151" s="1" t="s">
        <v>1500</v>
      </c>
      <c r="G151" s="1" t="s">
        <v>1508</v>
      </c>
    </row>
    <row r="152" spans="1:7" x14ac:dyDescent="0.3">
      <c r="A152" s="1" t="s">
        <v>1551</v>
      </c>
      <c r="B152" s="1" t="s">
        <v>1201</v>
      </c>
      <c r="C152" s="1" t="s">
        <v>57</v>
      </c>
      <c r="D152">
        <v>-1.648326</v>
      </c>
      <c r="E152">
        <v>25.528901999999999</v>
      </c>
      <c r="F152" s="1" t="s">
        <v>1498</v>
      </c>
      <c r="G152" s="1" t="s">
        <v>1499</v>
      </c>
    </row>
    <row r="153" spans="1:7" x14ac:dyDescent="0.3">
      <c r="A153" s="1" t="s">
        <v>1551</v>
      </c>
      <c r="B153" s="1" t="s">
        <v>995</v>
      </c>
      <c r="C153" s="1" t="s">
        <v>18</v>
      </c>
      <c r="D153">
        <v>-12.112682</v>
      </c>
      <c r="E153">
        <v>19.972052000000001</v>
      </c>
      <c r="F153" s="1" t="s">
        <v>1498</v>
      </c>
      <c r="G153" s="1" t="s">
        <v>1499</v>
      </c>
    </row>
    <row r="154" spans="1:7" x14ac:dyDescent="0.3">
      <c r="A154" s="1" t="s">
        <v>1551</v>
      </c>
      <c r="B154" s="1" t="s">
        <v>1376</v>
      </c>
      <c r="C154" s="1" t="s">
        <v>13</v>
      </c>
      <c r="D154">
        <v>-7.7587710000000003</v>
      </c>
      <c r="E154">
        <v>17.880848</v>
      </c>
      <c r="F154" s="1" t="s">
        <v>1500</v>
      </c>
      <c r="G154" s="1" t="s">
        <v>1496</v>
      </c>
    </row>
    <row r="155" spans="1:7" x14ac:dyDescent="0.3">
      <c r="A155" s="1" t="s">
        <v>1551</v>
      </c>
      <c r="B155" s="1" t="s">
        <v>1197</v>
      </c>
      <c r="C155" s="1" t="s">
        <v>33</v>
      </c>
      <c r="D155">
        <v>-5.8352820000000003</v>
      </c>
      <c r="E155">
        <v>26.603978000000001</v>
      </c>
      <c r="F155" s="1" t="s">
        <v>1498</v>
      </c>
      <c r="G155" s="1" t="s">
        <v>1499</v>
      </c>
    </row>
    <row r="156" spans="1:7" x14ac:dyDescent="0.3">
      <c r="A156" s="1" t="s">
        <v>1551</v>
      </c>
      <c r="B156" s="1" t="s">
        <v>1552</v>
      </c>
      <c r="C156" s="1" t="s">
        <v>137</v>
      </c>
      <c r="D156">
        <v>-7.5180249999999997</v>
      </c>
      <c r="E156">
        <v>20.478905999999998</v>
      </c>
      <c r="F156" s="1" t="s">
        <v>1495</v>
      </c>
      <c r="G156" s="1" t="s">
        <v>1508</v>
      </c>
    </row>
    <row r="157" spans="1:7" x14ac:dyDescent="0.3">
      <c r="A157" s="1" t="s">
        <v>1551</v>
      </c>
      <c r="B157" s="1" t="s">
        <v>1218</v>
      </c>
      <c r="C157" s="1" t="s">
        <v>33</v>
      </c>
      <c r="D157">
        <v>1.897178</v>
      </c>
      <c r="E157">
        <v>23.902604</v>
      </c>
      <c r="F157" s="1" t="s">
        <v>1500</v>
      </c>
      <c r="G157" s="1" t="s">
        <v>1508</v>
      </c>
    </row>
    <row r="158" spans="1:7" x14ac:dyDescent="0.3">
      <c r="A158" s="1" t="s">
        <v>1551</v>
      </c>
      <c r="B158" s="1" t="s">
        <v>1238</v>
      </c>
      <c r="C158" s="1" t="s">
        <v>40</v>
      </c>
      <c r="D158">
        <v>-4.6957509999999996</v>
      </c>
      <c r="E158">
        <v>14.233525999999999</v>
      </c>
      <c r="F158" s="1" t="s">
        <v>1498</v>
      </c>
      <c r="G158" s="1" t="s">
        <v>1508</v>
      </c>
    </row>
    <row r="159" spans="1:7" x14ac:dyDescent="0.3">
      <c r="A159" s="1" t="s">
        <v>1551</v>
      </c>
      <c r="B159" s="1" t="s">
        <v>1553</v>
      </c>
      <c r="C159" s="1" t="s">
        <v>29</v>
      </c>
      <c r="D159">
        <v>-5.3956809999999997</v>
      </c>
      <c r="E159">
        <v>14.49985</v>
      </c>
      <c r="F159" s="1" t="s">
        <v>1498</v>
      </c>
      <c r="G159" s="1" t="s">
        <v>1501</v>
      </c>
    </row>
    <row r="160" spans="1:7" x14ac:dyDescent="0.3">
      <c r="A160" s="1" t="s">
        <v>1551</v>
      </c>
      <c r="B160" s="1" t="s">
        <v>1554</v>
      </c>
      <c r="C160" s="1" t="s">
        <v>127</v>
      </c>
      <c r="D160">
        <v>-1.9635830000000001</v>
      </c>
      <c r="E160">
        <v>15.854182</v>
      </c>
      <c r="F160" s="1" t="s">
        <v>1500</v>
      </c>
      <c r="G160" s="1" t="s">
        <v>1508</v>
      </c>
    </row>
    <row r="161" spans="1:7" x14ac:dyDescent="0.3">
      <c r="A161" s="1" t="s">
        <v>1551</v>
      </c>
      <c r="B161" s="1" t="s">
        <v>1555</v>
      </c>
      <c r="C161" s="1" t="s">
        <v>31</v>
      </c>
      <c r="D161">
        <v>-12.01816</v>
      </c>
      <c r="E161">
        <v>23.828645999999999</v>
      </c>
      <c r="F161" s="1" t="s">
        <v>1500</v>
      </c>
      <c r="G161" s="1" t="s">
        <v>1499</v>
      </c>
    </row>
    <row r="162" spans="1:7" x14ac:dyDescent="0.3">
      <c r="A162" s="1" t="s">
        <v>1551</v>
      </c>
      <c r="B162" s="1" t="s">
        <v>976</v>
      </c>
      <c r="C162" s="1" t="s">
        <v>26</v>
      </c>
      <c r="D162">
        <v>-3.6945459999999999</v>
      </c>
      <c r="E162">
        <v>16.809108999999999</v>
      </c>
      <c r="F162" s="1" t="s">
        <v>1495</v>
      </c>
      <c r="G162" s="1" t="s">
        <v>1501</v>
      </c>
    </row>
    <row r="163" spans="1:7" x14ac:dyDescent="0.3">
      <c r="A163" s="1" t="s">
        <v>1551</v>
      </c>
      <c r="B163" s="1" t="s">
        <v>949</v>
      </c>
      <c r="C163" s="1" t="s">
        <v>37</v>
      </c>
      <c r="D163">
        <v>-10.439686999999999</v>
      </c>
      <c r="E163">
        <v>20.714210000000001</v>
      </c>
      <c r="F163" s="1" t="s">
        <v>1498</v>
      </c>
      <c r="G163" s="1" t="s">
        <v>1501</v>
      </c>
    </row>
    <row r="164" spans="1:7" x14ac:dyDescent="0.3">
      <c r="A164" s="1" t="s">
        <v>1551</v>
      </c>
      <c r="B164" s="1" t="s">
        <v>1273</v>
      </c>
      <c r="C164" s="1" t="s">
        <v>78</v>
      </c>
      <c r="D164">
        <v>1.938083</v>
      </c>
      <c r="E164">
        <v>28.25281</v>
      </c>
      <c r="F164" s="1" t="s">
        <v>1498</v>
      </c>
      <c r="G164" s="1" t="s">
        <v>1508</v>
      </c>
    </row>
    <row r="165" spans="1:7" x14ac:dyDescent="0.3">
      <c r="A165" s="1" t="s">
        <v>1551</v>
      </c>
      <c r="B165" s="1" t="s">
        <v>1086</v>
      </c>
      <c r="C165" s="1" t="s">
        <v>127</v>
      </c>
      <c r="D165">
        <v>-4.869434</v>
      </c>
      <c r="E165">
        <v>22.326522000000001</v>
      </c>
      <c r="F165" s="1" t="s">
        <v>1495</v>
      </c>
      <c r="G165" s="1" t="s">
        <v>1496</v>
      </c>
    </row>
    <row r="166" spans="1:7" x14ac:dyDescent="0.3">
      <c r="A166" s="1" t="s">
        <v>1551</v>
      </c>
      <c r="B166" s="1" t="s">
        <v>1556</v>
      </c>
      <c r="C166" s="1" t="s">
        <v>57</v>
      </c>
      <c r="D166">
        <v>7.6420000000000004E-3</v>
      </c>
      <c r="E166">
        <v>12.109260000000001</v>
      </c>
      <c r="F166" s="1" t="s">
        <v>1498</v>
      </c>
      <c r="G166" s="1" t="s">
        <v>1496</v>
      </c>
    </row>
    <row r="167" spans="1:7" x14ac:dyDescent="0.3">
      <c r="A167" s="1" t="s">
        <v>1551</v>
      </c>
      <c r="B167" s="1" t="s">
        <v>1557</v>
      </c>
      <c r="C167" s="1" t="s">
        <v>10</v>
      </c>
      <c r="D167">
        <v>-10.962911</v>
      </c>
      <c r="E167">
        <v>28.771355</v>
      </c>
      <c r="F167" s="1" t="s">
        <v>1495</v>
      </c>
      <c r="G167" s="1" t="s">
        <v>1499</v>
      </c>
    </row>
    <row r="168" spans="1:7" x14ac:dyDescent="0.3">
      <c r="A168" s="1" t="s">
        <v>1551</v>
      </c>
      <c r="B168" s="1" t="s">
        <v>907</v>
      </c>
      <c r="C168" s="1" t="s">
        <v>131</v>
      </c>
      <c r="D168">
        <v>1.017161</v>
      </c>
      <c r="E168">
        <v>16.519689</v>
      </c>
      <c r="F168" s="1" t="s">
        <v>1500</v>
      </c>
      <c r="G168" s="1" t="s">
        <v>1508</v>
      </c>
    </row>
    <row r="169" spans="1:7" x14ac:dyDescent="0.3">
      <c r="A169" s="1" t="s">
        <v>1551</v>
      </c>
      <c r="B169" s="1" t="s">
        <v>1558</v>
      </c>
      <c r="C169" s="1" t="s">
        <v>137</v>
      </c>
      <c r="D169">
        <v>3.8811640000000001</v>
      </c>
      <c r="E169">
        <v>23.188383999999999</v>
      </c>
      <c r="F169" s="1" t="s">
        <v>1495</v>
      </c>
      <c r="G169" s="1" t="s">
        <v>1499</v>
      </c>
    </row>
    <row r="170" spans="1:7" x14ac:dyDescent="0.3">
      <c r="A170" s="1" t="s">
        <v>1551</v>
      </c>
      <c r="B170" s="1" t="s">
        <v>1370</v>
      </c>
      <c r="C170" s="1" t="s">
        <v>62</v>
      </c>
      <c r="D170">
        <v>-0.469945</v>
      </c>
      <c r="E170">
        <v>21.038527999999999</v>
      </c>
      <c r="F170" s="1" t="s">
        <v>1500</v>
      </c>
      <c r="G170" s="1" t="s">
        <v>1496</v>
      </c>
    </row>
    <row r="171" spans="1:7" x14ac:dyDescent="0.3">
      <c r="A171" s="1" t="s">
        <v>1551</v>
      </c>
      <c r="B171" s="1" t="s">
        <v>832</v>
      </c>
      <c r="C171" s="1" t="s">
        <v>31</v>
      </c>
      <c r="D171">
        <v>-10.56448</v>
      </c>
      <c r="E171">
        <v>19.792876</v>
      </c>
      <c r="F171" s="1" t="s">
        <v>1495</v>
      </c>
      <c r="G171" s="1" t="s">
        <v>1496</v>
      </c>
    </row>
    <row r="172" spans="1:7" x14ac:dyDescent="0.3">
      <c r="A172" s="1" t="s">
        <v>1551</v>
      </c>
      <c r="B172" s="1" t="s">
        <v>1408</v>
      </c>
      <c r="C172" s="1" t="s">
        <v>18</v>
      </c>
      <c r="D172">
        <v>-5.5559329999999996</v>
      </c>
      <c r="E172">
        <v>13.508692999999999</v>
      </c>
      <c r="F172" s="1" t="s">
        <v>1500</v>
      </c>
      <c r="G172" s="1" t="s">
        <v>1508</v>
      </c>
    </row>
    <row r="173" spans="1:7" x14ac:dyDescent="0.3">
      <c r="A173" s="1" t="s">
        <v>1551</v>
      </c>
      <c r="B173" s="1" t="s">
        <v>1559</v>
      </c>
      <c r="C173" s="1" t="s">
        <v>131</v>
      </c>
      <c r="D173">
        <v>-4.884055</v>
      </c>
      <c r="E173">
        <v>23.40194</v>
      </c>
      <c r="F173" s="1" t="s">
        <v>1500</v>
      </c>
      <c r="G173" s="1" t="s">
        <v>1496</v>
      </c>
    </row>
    <row r="174" spans="1:7" x14ac:dyDescent="0.3">
      <c r="A174" s="1" t="s">
        <v>1551</v>
      </c>
      <c r="B174" s="1" t="s">
        <v>1560</v>
      </c>
      <c r="C174" s="1" t="s">
        <v>18</v>
      </c>
      <c r="D174">
        <v>-9.7801860000000005</v>
      </c>
      <c r="E174">
        <v>16.649550000000001</v>
      </c>
      <c r="F174" s="1" t="s">
        <v>1495</v>
      </c>
      <c r="G174" s="1" t="s">
        <v>1496</v>
      </c>
    </row>
    <row r="175" spans="1:7" x14ac:dyDescent="0.3">
      <c r="A175" s="1" t="s">
        <v>1551</v>
      </c>
      <c r="B175" s="1" t="s">
        <v>965</v>
      </c>
      <c r="C175" s="1" t="s">
        <v>78</v>
      </c>
      <c r="D175">
        <v>-2.3743210000000001</v>
      </c>
      <c r="E175">
        <v>22.399491000000001</v>
      </c>
      <c r="F175" s="1" t="s">
        <v>1495</v>
      </c>
      <c r="G175" s="1" t="s">
        <v>1496</v>
      </c>
    </row>
    <row r="176" spans="1:7" x14ac:dyDescent="0.3">
      <c r="A176" s="1" t="s">
        <v>1551</v>
      </c>
      <c r="B176" s="1" t="s">
        <v>1341</v>
      </c>
      <c r="C176" s="1" t="s">
        <v>131</v>
      </c>
      <c r="D176">
        <v>-0.17258100000000001</v>
      </c>
      <c r="E176">
        <v>23.775555000000001</v>
      </c>
      <c r="F176" s="1" t="s">
        <v>1495</v>
      </c>
      <c r="G176" s="1" t="s">
        <v>1508</v>
      </c>
    </row>
    <row r="177" spans="1:7" x14ac:dyDescent="0.3">
      <c r="A177" s="1" t="s">
        <v>1551</v>
      </c>
      <c r="B177" s="1" t="s">
        <v>895</v>
      </c>
      <c r="C177" s="1" t="s">
        <v>31</v>
      </c>
      <c r="D177">
        <v>-9.3652239999999995</v>
      </c>
      <c r="E177">
        <v>22.593423999999999</v>
      </c>
      <c r="F177" s="1" t="s">
        <v>1495</v>
      </c>
      <c r="G177" s="1" t="s">
        <v>1508</v>
      </c>
    </row>
    <row r="178" spans="1:7" x14ac:dyDescent="0.3">
      <c r="A178" s="1" t="s">
        <v>1551</v>
      </c>
      <c r="B178" s="1" t="s">
        <v>1210</v>
      </c>
      <c r="C178" s="1" t="s">
        <v>18</v>
      </c>
      <c r="D178">
        <v>-4.8157019999999999</v>
      </c>
      <c r="E178">
        <v>27.679798000000002</v>
      </c>
      <c r="F178" s="1" t="s">
        <v>1500</v>
      </c>
      <c r="G178" s="1" t="s">
        <v>1496</v>
      </c>
    </row>
    <row r="179" spans="1:7" x14ac:dyDescent="0.3">
      <c r="A179" s="1" t="s">
        <v>1551</v>
      </c>
      <c r="B179" s="1" t="s">
        <v>1276</v>
      </c>
      <c r="C179" s="1" t="s">
        <v>89</v>
      </c>
      <c r="D179">
        <v>-8.4985189999999999</v>
      </c>
      <c r="E179">
        <v>12.929456999999999</v>
      </c>
      <c r="F179" s="1" t="s">
        <v>1498</v>
      </c>
      <c r="G179" s="1" t="s">
        <v>1496</v>
      </c>
    </row>
    <row r="180" spans="1:7" x14ac:dyDescent="0.3">
      <c r="A180" s="1" t="s">
        <v>1551</v>
      </c>
      <c r="B180" s="1" t="s">
        <v>1459</v>
      </c>
      <c r="C180" s="1" t="s">
        <v>31</v>
      </c>
      <c r="D180">
        <v>-0.54908599999999996</v>
      </c>
      <c r="E180">
        <v>14.816867</v>
      </c>
      <c r="F180" s="1" t="s">
        <v>1495</v>
      </c>
      <c r="G180" s="1" t="s">
        <v>1501</v>
      </c>
    </row>
    <row r="181" spans="1:7" x14ac:dyDescent="0.3">
      <c r="A181" s="1" t="s">
        <v>1551</v>
      </c>
      <c r="B181" s="1" t="s">
        <v>1004</v>
      </c>
      <c r="C181" s="1" t="s">
        <v>60</v>
      </c>
      <c r="D181">
        <v>3.3289240000000002</v>
      </c>
      <c r="E181">
        <v>24.412261000000001</v>
      </c>
      <c r="F181" s="1" t="s">
        <v>1495</v>
      </c>
      <c r="G181" s="1" t="s">
        <v>1508</v>
      </c>
    </row>
    <row r="182" spans="1:7" x14ac:dyDescent="0.3">
      <c r="A182" s="1" t="s">
        <v>1551</v>
      </c>
      <c r="B182" s="1" t="s">
        <v>1561</v>
      </c>
      <c r="C182" s="1" t="s">
        <v>73</v>
      </c>
      <c r="D182">
        <v>1.3367519999999999</v>
      </c>
      <c r="E182">
        <v>12.697699999999999</v>
      </c>
      <c r="F182" s="1" t="s">
        <v>1495</v>
      </c>
      <c r="G182" s="1" t="s">
        <v>1499</v>
      </c>
    </row>
    <row r="183" spans="1:7" x14ac:dyDescent="0.3">
      <c r="A183" s="1" t="s">
        <v>1551</v>
      </c>
      <c r="B183" s="1" t="s">
        <v>1562</v>
      </c>
      <c r="C183" s="1" t="s">
        <v>16</v>
      </c>
      <c r="D183">
        <v>-6.9254999999999997E-2</v>
      </c>
      <c r="E183">
        <v>28.222756</v>
      </c>
      <c r="F183" s="1" t="s">
        <v>1495</v>
      </c>
      <c r="G183" s="1" t="s">
        <v>1499</v>
      </c>
    </row>
    <row r="184" spans="1:7" x14ac:dyDescent="0.3">
      <c r="A184" s="1" t="s">
        <v>1551</v>
      </c>
      <c r="B184" s="1" t="s">
        <v>846</v>
      </c>
      <c r="C184" s="1" t="s">
        <v>37</v>
      </c>
      <c r="D184">
        <v>-10.776204</v>
      </c>
      <c r="E184">
        <v>24.672934000000001</v>
      </c>
      <c r="F184" s="1" t="s">
        <v>1498</v>
      </c>
      <c r="G184" s="1" t="s">
        <v>1496</v>
      </c>
    </row>
    <row r="185" spans="1:7" x14ac:dyDescent="0.3">
      <c r="A185" s="1" t="s">
        <v>1551</v>
      </c>
      <c r="B185" s="1" t="s">
        <v>1301</v>
      </c>
      <c r="C185" s="1" t="s">
        <v>24</v>
      </c>
      <c r="D185">
        <v>-10.945031</v>
      </c>
      <c r="E185">
        <v>27.922274000000002</v>
      </c>
      <c r="F185" s="1" t="s">
        <v>1498</v>
      </c>
      <c r="G185" s="1" t="s">
        <v>1496</v>
      </c>
    </row>
    <row r="186" spans="1:7" x14ac:dyDescent="0.3">
      <c r="A186" s="1" t="s">
        <v>1551</v>
      </c>
      <c r="B186" s="1" t="s">
        <v>1563</v>
      </c>
      <c r="C186" s="1" t="s">
        <v>62</v>
      </c>
      <c r="D186">
        <v>-4.9108280000000004</v>
      </c>
      <c r="E186">
        <v>17.670389</v>
      </c>
      <c r="F186" s="1" t="s">
        <v>1495</v>
      </c>
      <c r="G186" s="1" t="s">
        <v>1501</v>
      </c>
    </row>
    <row r="187" spans="1:7" x14ac:dyDescent="0.3">
      <c r="A187" s="1" t="s">
        <v>1551</v>
      </c>
      <c r="B187" s="1" t="s">
        <v>1375</v>
      </c>
      <c r="C187" s="1" t="s">
        <v>73</v>
      </c>
      <c r="D187">
        <v>-6.4670189999999996</v>
      </c>
      <c r="E187">
        <v>29.487309</v>
      </c>
      <c r="F187" s="1" t="s">
        <v>1498</v>
      </c>
      <c r="G187" s="1" t="s">
        <v>1501</v>
      </c>
    </row>
    <row r="188" spans="1:7" x14ac:dyDescent="0.3">
      <c r="A188" s="1" t="s">
        <v>1551</v>
      </c>
      <c r="B188" s="1" t="s">
        <v>1564</v>
      </c>
      <c r="C188" s="1" t="s">
        <v>51</v>
      </c>
      <c r="D188">
        <v>-3.571288</v>
      </c>
      <c r="E188">
        <v>12.931596000000001</v>
      </c>
      <c r="F188" s="1" t="s">
        <v>1498</v>
      </c>
      <c r="G188" s="1" t="s">
        <v>1508</v>
      </c>
    </row>
    <row r="189" spans="1:7" x14ac:dyDescent="0.3">
      <c r="A189" s="1" t="s">
        <v>1551</v>
      </c>
      <c r="B189" s="1" t="s">
        <v>1565</v>
      </c>
      <c r="C189" s="1" t="s">
        <v>127</v>
      </c>
      <c r="D189">
        <v>-6.0864269999999996</v>
      </c>
      <c r="E189">
        <v>19.922181999999999</v>
      </c>
      <c r="F189" s="1" t="s">
        <v>1495</v>
      </c>
      <c r="G189" s="1" t="s">
        <v>1499</v>
      </c>
    </row>
    <row r="190" spans="1:7" x14ac:dyDescent="0.3">
      <c r="A190" s="1" t="s">
        <v>1551</v>
      </c>
      <c r="B190" s="1" t="s">
        <v>1277</v>
      </c>
      <c r="C190" s="1" t="s">
        <v>127</v>
      </c>
      <c r="D190">
        <v>1.2391989999999999</v>
      </c>
      <c r="E190">
        <v>15.386718999999999</v>
      </c>
      <c r="F190" s="1" t="s">
        <v>1495</v>
      </c>
      <c r="G190" s="1" t="s">
        <v>1501</v>
      </c>
    </row>
    <row r="191" spans="1:7" x14ac:dyDescent="0.3">
      <c r="A191" s="1" t="s">
        <v>1551</v>
      </c>
      <c r="B191" s="1" t="s">
        <v>1566</v>
      </c>
      <c r="C191" s="1" t="s">
        <v>62</v>
      </c>
      <c r="D191">
        <v>-3.7900040000000002</v>
      </c>
      <c r="E191">
        <v>24.769718999999998</v>
      </c>
      <c r="F191" s="1" t="s">
        <v>1495</v>
      </c>
      <c r="G191" s="1" t="s">
        <v>1499</v>
      </c>
    </row>
    <row r="192" spans="1:7" x14ac:dyDescent="0.3">
      <c r="A192" s="1" t="s">
        <v>1551</v>
      </c>
      <c r="B192" s="1" t="s">
        <v>1567</v>
      </c>
      <c r="C192" s="1" t="s">
        <v>57</v>
      </c>
      <c r="D192">
        <v>4.0955700000000004</v>
      </c>
      <c r="E192">
        <v>23.610704999999999</v>
      </c>
      <c r="F192" s="1" t="s">
        <v>1498</v>
      </c>
      <c r="G192" s="1" t="s">
        <v>1501</v>
      </c>
    </row>
    <row r="193" spans="1:7" x14ac:dyDescent="0.3">
      <c r="A193" s="1" t="s">
        <v>1551</v>
      </c>
      <c r="B193" s="1" t="s">
        <v>839</v>
      </c>
      <c r="C193" s="1" t="s">
        <v>73</v>
      </c>
      <c r="D193">
        <v>-6.1837850000000003</v>
      </c>
      <c r="E193">
        <v>25.138759</v>
      </c>
      <c r="F193" s="1" t="s">
        <v>1500</v>
      </c>
      <c r="G193" s="1" t="s">
        <v>1496</v>
      </c>
    </row>
    <row r="194" spans="1:7" x14ac:dyDescent="0.3">
      <c r="A194" s="1" t="s">
        <v>1551</v>
      </c>
      <c r="B194" s="1" t="s">
        <v>1275</v>
      </c>
      <c r="C194" s="1" t="s">
        <v>60</v>
      </c>
      <c r="D194">
        <v>-6.1490739999999997</v>
      </c>
      <c r="E194">
        <v>23.304411000000002</v>
      </c>
      <c r="F194" s="1" t="s">
        <v>1495</v>
      </c>
      <c r="G194" s="1" t="s">
        <v>1501</v>
      </c>
    </row>
    <row r="195" spans="1:7" x14ac:dyDescent="0.3">
      <c r="A195" s="1" t="s">
        <v>1551</v>
      </c>
      <c r="B195" s="1" t="s">
        <v>872</v>
      </c>
      <c r="C195" s="1" t="s">
        <v>131</v>
      </c>
      <c r="D195">
        <v>0.82868600000000003</v>
      </c>
      <c r="E195">
        <v>26.958843999999999</v>
      </c>
      <c r="F195" s="1" t="s">
        <v>1495</v>
      </c>
      <c r="G195" s="1" t="s">
        <v>1501</v>
      </c>
    </row>
    <row r="196" spans="1:7" x14ac:dyDescent="0.3">
      <c r="A196" s="1" t="s">
        <v>1551</v>
      </c>
      <c r="B196" s="1" t="s">
        <v>1568</v>
      </c>
      <c r="C196" s="1" t="s">
        <v>18</v>
      </c>
      <c r="D196">
        <v>3.42055</v>
      </c>
      <c r="E196">
        <v>15.370965999999999</v>
      </c>
      <c r="F196" s="1" t="s">
        <v>1498</v>
      </c>
      <c r="G196" s="1" t="s">
        <v>1508</v>
      </c>
    </row>
    <row r="197" spans="1:7" x14ac:dyDescent="0.3">
      <c r="A197" s="1" t="s">
        <v>1551</v>
      </c>
      <c r="B197" s="1" t="s">
        <v>814</v>
      </c>
      <c r="C197" s="1" t="s">
        <v>62</v>
      </c>
      <c r="D197">
        <v>-2.8211520000000001</v>
      </c>
      <c r="E197">
        <v>20.651419000000001</v>
      </c>
      <c r="F197" s="1" t="s">
        <v>1495</v>
      </c>
      <c r="G197" s="1" t="s">
        <v>1496</v>
      </c>
    </row>
    <row r="198" spans="1:7" x14ac:dyDescent="0.3">
      <c r="A198" s="1" t="s">
        <v>1551</v>
      </c>
      <c r="B198" s="1" t="s">
        <v>1220</v>
      </c>
      <c r="C198" s="1" t="s">
        <v>60</v>
      </c>
      <c r="D198">
        <v>-1.1284540000000001</v>
      </c>
      <c r="E198">
        <v>23.000360000000001</v>
      </c>
      <c r="F198" s="1" t="s">
        <v>1495</v>
      </c>
      <c r="G198" s="1" t="s">
        <v>1496</v>
      </c>
    </row>
    <row r="199" spans="1:7" x14ac:dyDescent="0.3">
      <c r="A199" s="1" t="s">
        <v>1551</v>
      </c>
      <c r="B199" s="1" t="s">
        <v>1426</v>
      </c>
      <c r="C199" s="1" t="s">
        <v>131</v>
      </c>
      <c r="D199">
        <v>-10.298385</v>
      </c>
      <c r="E199">
        <v>29.698117</v>
      </c>
      <c r="F199" s="1" t="s">
        <v>1495</v>
      </c>
      <c r="G199" s="1" t="s">
        <v>1508</v>
      </c>
    </row>
    <row r="200" spans="1:7" x14ac:dyDescent="0.3">
      <c r="A200" s="1" t="s">
        <v>1551</v>
      </c>
      <c r="B200" s="1" t="s">
        <v>1569</v>
      </c>
      <c r="C200" s="1" t="s">
        <v>73</v>
      </c>
      <c r="D200">
        <v>2.6387339999999999</v>
      </c>
      <c r="E200">
        <v>13.769399</v>
      </c>
      <c r="F200" s="1" t="s">
        <v>1498</v>
      </c>
      <c r="G200" s="1" t="s">
        <v>1499</v>
      </c>
    </row>
    <row r="201" spans="1:7" x14ac:dyDescent="0.3">
      <c r="A201" s="1" t="s">
        <v>1551</v>
      </c>
      <c r="B201" s="1" t="s">
        <v>947</v>
      </c>
      <c r="C201" s="1" t="s">
        <v>137</v>
      </c>
      <c r="D201">
        <v>-9.7803979999999999</v>
      </c>
      <c r="E201">
        <v>17.686595000000001</v>
      </c>
      <c r="F201" s="1" t="s">
        <v>1498</v>
      </c>
      <c r="G201" s="1" t="s">
        <v>1496</v>
      </c>
    </row>
    <row r="202" spans="1:7" x14ac:dyDescent="0.3">
      <c r="A202" s="1" t="s">
        <v>1570</v>
      </c>
      <c r="B202" s="1" t="s">
        <v>1571</v>
      </c>
      <c r="C202" s="1" t="s">
        <v>21</v>
      </c>
      <c r="D202">
        <v>-6.8779139999999996</v>
      </c>
      <c r="E202">
        <v>12.550860999999999</v>
      </c>
      <c r="F202" s="1" t="s">
        <v>1495</v>
      </c>
      <c r="G202" s="1" t="s">
        <v>1501</v>
      </c>
    </row>
    <row r="203" spans="1:7" x14ac:dyDescent="0.3">
      <c r="A203" s="1" t="s">
        <v>1570</v>
      </c>
      <c r="B203" s="1" t="s">
        <v>1572</v>
      </c>
      <c r="C203" s="1" t="s">
        <v>40</v>
      </c>
      <c r="D203">
        <v>-4.2975050000000001</v>
      </c>
      <c r="E203">
        <v>29.162555999999999</v>
      </c>
      <c r="F203" s="1" t="s">
        <v>1495</v>
      </c>
      <c r="G203" s="1" t="s">
        <v>1496</v>
      </c>
    </row>
    <row r="204" spans="1:7" x14ac:dyDescent="0.3">
      <c r="A204" s="1" t="s">
        <v>1570</v>
      </c>
      <c r="B204" s="1" t="s">
        <v>1573</v>
      </c>
      <c r="C204" s="1" t="s">
        <v>44</v>
      </c>
      <c r="D204">
        <v>2.7298239999999998</v>
      </c>
      <c r="E204">
        <v>12.958664000000001</v>
      </c>
      <c r="F204" s="1" t="s">
        <v>1500</v>
      </c>
      <c r="G204" s="1" t="s">
        <v>1501</v>
      </c>
    </row>
    <row r="205" spans="1:7" x14ac:dyDescent="0.3">
      <c r="A205" s="1" t="s">
        <v>1570</v>
      </c>
      <c r="B205" s="1" t="s">
        <v>1574</v>
      </c>
      <c r="C205" s="1" t="s">
        <v>67</v>
      </c>
      <c r="D205">
        <v>-7.4135429999999998</v>
      </c>
      <c r="E205">
        <v>19.288392999999999</v>
      </c>
      <c r="F205" s="1" t="s">
        <v>1498</v>
      </c>
      <c r="G205" s="1" t="s">
        <v>1508</v>
      </c>
    </row>
    <row r="206" spans="1:7" x14ac:dyDescent="0.3">
      <c r="A206" s="1" t="s">
        <v>1570</v>
      </c>
      <c r="B206" s="1" t="s">
        <v>1435</v>
      </c>
      <c r="C206" s="1" t="s">
        <v>64</v>
      </c>
      <c r="D206">
        <v>-7.1079169999999996</v>
      </c>
      <c r="E206">
        <v>13.636272</v>
      </c>
      <c r="F206" s="1" t="s">
        <v>1495</v>
      </c>
      <c r="G206" s="1" t="s">
        <v>1508</v>
      </c>
    </row>
    <row r="207" spans="1:7" x14ac:dyDescent="0.3">
      <c r="A207" s="1" t="s">
        <v>1570</v>
      </c>
      <c r="B207" s="1" t="s">
        <v>1575</v>
      </c>
      <c r="C207" s="1" t="s">
        <v>78</v>
      </c>
      <c r="D207">
        <v>0.850665</v>
      </c>
      <c r="E207">
        <v>19.446418000000001</v>
      </c>
      <c r="F207" s="1" t="s">
        <v>1498</v>
      </c>
      <c r="G207" s="1" t="s">
        <v>1499</v>
      </c>
    </row>
    <row r="208" spans="1:7" x14ac:dyDescent="0.3">
      <c r="A208" s="1" t="s">
        <v>1570</v>
      </c>
      <c r="B208" s="1" t="s">
        <v>1347</v>
      </c>
      <c r="C208" s="1" t="s">
        <v>131</v>
      </c>
      <c r="D208">
        <v>-11.231472</v>
      </c>
      <c r="E208">
        <v>25.388874000000001</v>
      </c>
      <c r="F208" s="1" t="s">
        <v>1498</v>
      </c>
      <c r="G208" s="1" t="s">
        <v>1499</v>
      </c>
    </row>
    <row r="209" spans="1:7" x14ac:dyDescent="0.3">
      <c r="A209" s="1" t="s">
        <v>1570</v>
      </c>
      <c r="B209" s="1" t="s">
        <v>1100</v>
      </c>
      <c r="C209" s="1" t="s">
        <v>16</v>
      </c>
      <c r="D209">
        <v>4.6809229999999999</v>
      </c>
      <c r="E209">
        <v>28.934242000000001</v>
      </c>
      <c r="F209" s="1" t="s">
        <v>1495</v>
      </c>
      <c r="G209" s="1" t="s">
        <v>1508</v>
      </c>
    </row>
    <row r="210" spans="1:7" x14ac:dyDescent="0.3">
      <c r="A210" s="1" t="s">
        <v>1570</v>
      </c>
      <c r="B210" s="1" t="s">
        <v>1576</v>
      </c>
      <c r="C210" s="1" t="s">
        <v>60</v>
      </c>
      <c r="D210">
        <v>-3.7093609999999999</v>
      </c>
      <c r="E210">
        <v>23.959942999999999</v>
      </c>
      <c r="F210" s="1" t="s">
        <v>1498</v>
      </c>
      <c r="G210" s="1" t="s">
        <v>1499</v>
      </c>
    </row>
    <row r="211" spans="1:7" x14ac:dyDescent="0.3">
      <c r="A211" s="1" t="s">
        <v>1570</v>
      </c>
      <c r="B211" s="1" t="s">
        <v>1154</v>
      </c>
      <c r="C211" s="1" t="s">
        <v>29</v>
      </c>
      <c r="D211">
        <v>4.8689660000000003</v>
      </c>
      <c r="E211">
        <v>25.112373000000002</v>
      </c>
      <c r="F211" s="1" t="s">
        <v>1500</v>
      </c>
      <c r="G211" s="1" t="s">
        <v>1499</v>
      </c>
    </row>
    <row r="212" spans="1:7" x14ac:dyDescent="0.3">
      <c r="A212" s="1" t="s">
        <v>1570</v>
      </c>
      <c r="B212" s="1" t="s">
        <v>891</v>
      </c>
      <c r="C212" s="1" t="s">
        <v>89</v>
      </c>
      <c r="D212">
        <v>-9.3066320000000005</v>
      </c>
      <c r="E212">
        <v>20.470889</v>
      </c>
      <c r="F212" s="1" t="s">
        <v>1495</v>
      </c>
      <c r="G212" s="1" t="s">
        <v>1501</v>
      </c>
    </row>
    <row r="213" spans="1:7" x14ac:dyDescent="0.3">
      <c r="A213" s="1" t="s">
        <v>1570</v>
      </c>
      <c r="B213" s="1" t="s">
        <v>1016</v>
      </c>
      <c r="C213" s="1" t="s">
        <v>31</v>
      </c>
      <c r="D213">
        <v>-12.342053999999999</v>
      </c>
      <c r="E213">
        <v>18.756862000000002</v>
      </c>
      <c r="F213" s="1" t="s">
        <v>1500</v>
      </c>
      <c r="G213" s="1" t="s">
        <v>1496</v>
      </c>
    </row>
    <row r="214" spans="1:7" x14ac:dyDescent="0.3">
      <c r="A214" s="1" t="s">
        <v>1570</v>
      </c>
      <c r="B214" s="1" t="s">
        <v>1577</v>
      </c>
      <c r="C214" s="1" t="s">
        <v>131</v>
      </c>
      <c r="D214">
        <v>-6.0234120000000004</v>
      </c>
      <c r="E214">
        <v>18.314309999999999</v>
      </c>
      <c r="F214" s="1" t="s">
        <v>1495</v>
      </c>
      <c r="G214" s="1" t="s">
        <v>1501</v>
      </c>
    </row>
    <row r="215" spans="1:7" x14ac:dyDescent="0.3">
      <c r="A215" s="1" t="s">
        <v>1570</v>
      </c>
      <c r="B215" s="1" t="s">
        <v>1402</v>
      </c>
      <c r="C215" s="1" t="s">
        <v>29</v>
      </c>
      <c r="D215">
        <v>2.5665840000000002</v>
      </c>
      <c r="E215">
        <v>15.764796</v>
      </c>
      <c r="F215" s="1" t="s">
        <v>1500</v>
      </c>
      <c r="G215" s="1" t="s">
        <v>1501</v>
      </c>
    </row>
    <row r="216" spans="1:7" x14ac:dyDescent="0.3">
      <c r="A216" s="1" t="s">
        <v>1570</v>
      </c>
      <c r="B216" s="1" t="s">
        <v>885</v>
      </c>
      <c r="C216" s="1" t="s">
        <v>31</v>
      </c>
      <c r="D216">
        <v>-10.914952</v>
      </c>
      <c r="E216">
        <v>26.409648000000001</v>
      </c>
      <c r="F216" s="1" t="s">
        <v>1498</v>
      </c>
      <c r="G216" s="1" t="s">
        <v>1499</v>
      </c>
    </row>
    <row r="217" spans="1:7" x14ac:dyDescent="0.3">
      <c r="A217" s="1" t="s">
        <v>1570</v>
      </c>
      <c r="B217" s="1" t="s">
        <v>1300</v>
      </c>
      <c r="C217" s="1" t="s">
        <v>51</v>
      </c>
      <c r="D217">
        <v>-7.402336</v>
      </c>
      <c r="E217">
        <v>27.376697</v>
      </c>
      <c r="F217" s="1" t="s">
        <v>1498</v>
      </c>
      <c r="G217" s="1" t="s">
        <v>1499</v>
      </c>
    </row>
    <row r="218" spans="1:7" x14ac:dyDescent="0.3">
      <c r="A218" s="1" t="s">
        <v>1570</v>
      </c>
      <c r="B218" s="1" t="s">
        <v>1578</v>
      </c>
      <c r="C218" s="1" t="s">
        <v>24</v>
      </c>
      <c r="D218">
        <v>-12.207461</v>
      </c>
      <c r="E218">
        <v>13.492367</v>
      </c>
      <c r="F218" s="1" t="s">
        <v>1500</v>
      </c>
      <c r="G218" s="1" t="s">
        <v>1496</v>
      </c>
    </row>
    <row r="219" spans="1:7" x14ac:dyDescent="0.3">
      <c r="A219" s="1" t="s">
        <v>1570</v>
      </c>
      <c r="B219" s="1" t="s">
        <v>1579</v>
      </c>
      <c r="C219" s="1" t="s">
        <v>137</v>
      </c>
      <c r="D219">
        <v>2.266232</v>
      </c>
      <c r="E219">
        <v>29.532896000000001</v>
      </c>
      <c r="F219" s="1" t="s">
        <v>1498</v>
      </c>
      <c r="G219" s="1" t="s">
        <v>1496</v>
      </c>
    </row>
    <row r="220" spans="1:7" x14ac:dyDescent="0.3">
      <c r="A220" s="1" t="s">
        <v>1570</v>
      </c>
      <c r="B220" s="1" t="s">
        <v>1580</v>
      </c>
      <c r="C220" s="1" t="s">
        <v>35</v>
      </c>
      <c r="D220">
        <v>2.6937519999999999</v>
      </c>
      <c r="E220">
        <v>26.524137</v>
      </c>
      <c r="F220" s="1" t="s">
        <v>1500</v>
      </c>
      <c r="G220" s="1" t="s">
        <v>1496</v>
      </c>
    </row>
    <row r="221" spans="1:7" x14ac:dyDescent="0.3">
      <c r="A221" s="1" t="s">
        <v>1570</v>
      </c>
      <c r="B221" s="1" t="s">
        <v>1424</v>
      </c>
      <c r="C221" s="1" t="s">
        <v>37</v>
      </c>
      <c r="D221">
        <v>-7.0007840000000003</v>
      </c>
      <c r="E221">
        <v>22.787997000000001</v>
      </c>
      <c r="F221" s="1" t="s">
        <v>1495</v>
      </c>
      <c r="G221" s="1" t="s">
        <v>1501</v>
      </c>
    </row>
    <row r="222" spans="1:7" x14ac:dyDescent="0.3">
      <c r="A222" s="1" t="s">
        <v>1570</v>
      </c>
      <c r="B222" s="1" t="s">
        <v>1581</v>
      </c>
      <c r="C222" s="1" t="s">
        <v>78</v>
      </c>
      <c r="D222">
        <v>3.0053459999999999</v>
      </c>
      <c r="E222">
        <v>13.765407</v>
      </c>
      <c r="F222" s="1" t="s">
        <v>1495</v>
      </c>
      <c r="G222" s="1" t="s">
        <v>1496</v>
      </c>
    </row>
    <row r="223" spans="1:7" x14ac:dyDescent="0.3">
      <c r="A223" s="1" t="s">
        <v>1570</v>
      </c>
      <c r="B223" s="1" t="s">
        <v>806</v>
      </c>
      <c r="C223" s="1" t="s">
        <v>37</v>
      </c>
      <c r="D223">
        <v>-11.144149000000001</v>
      </c>
      <c r="E223">
        <v>27.244658999999999</v>
      </c>
      <c r="F223" s="1" t="s">
        <v>1498</v>
      </c>
      <c r="G223" s="1" t="s">
        <v>1508</v>
      </c>
    </row>
    <row r="224" spans="1:7" x14ac:dyDescent="0.3">
      <c r="A224" s="1" t="s">
        <v>1570</v>
      </c>
      <c r="B224" s="1" t="s">
        <v>939</v>
      </c>
      <c r="C224" s="1" t="s">
        <v>62</v>
      </c>
      <c r="D224">
        <v>0.79124300000000003</v>
      </c>
      <c r="E224">
        <v>25.273389000000002</v>
      </c>
      <c r="F224" s="1" t="s">
        <v>1498</v>
      </c>
      <c r="G224" s="1" t="s">
        <v>1508</v>
      </c>
    </row>
    <row r="225" spans="1:7" x14ac:dyDescent="0.3">
      <c r="A225" s="1" t="s">
        <v>1570</v>
      </c>
      <c r="B225" s="1" t="s">
        <v>1582</v>
      </c>
      <c r="C225" s="1" t="s">
        <v>67</v>
      </c>
      <c r="D225">
        <v>0.419985</v>
      </c>
      <c r="E225">
        <v>13.847996999999999</v>
      </c>
      <c r="F225" s="1" t="s">
        <v>1495</v>
      </c>
      <c r="G225" s="1" t="s">
        <v>1501</v>
      </c>
    </row>
    <row r="226" spans="1:7" x14ac:dyDescent="0.3">
      <c r="A226" s="1" t="s">
        <v>1570</v>
      </c>
      <c r="B226" s="1" t="s">
        <v>1287</v>
      </c>
      <c r="C226" s="1" t="s">
        <v>10</v>
      </c>
      <c r="D226">
        <v>-12.595355</v>
      </c>
      <c r="E226">
        <v>17.897442000000002</v>
      </c>
      <c r="F226" s="1" t="s">
        <v>1498</v>
      </c>
      <c r="G226" s="1" t="s">
        <v>1499</v>
      </c>
    </row>
    <row r="227" spans="1:7" x14ac:dyDescent="0.3">
      <c r="A227" s="1" t="s">
        <v>1570</v>
      </c>
      <c r="B227" s="1" t="s">
        <v>1306</v>
      </c>
      <c r="C227" s="1" t="s">
        <v>40</v>
      </c>
      <c r="D227">
        <v>0.65288900000000005</v>
      </c>
      <c r="E227">
        <v>24.243953999999999</v>
      </c>
      <c r="F227" s="1" t="s">
        <v>1495</v>
      </c>
      <c r="G227" s="1" t="s">
        <v>1496</v>
      </c>
    </row>
    <row r="228" spans="1:7" x14ac:dyDescent="0.3">
      <c r="A228" s="1" t="s">
        <v>1570</v>
      </c>
      <c r="B228" s="1" t="s">
        <v>1334</v>
      </c>
      <c r="C228" s="1" t="s">
        <v>26</v>
      </c>
      <c r="D228">
        <v>-1.500685</v>
      </c>
      <c r="E228">
        <v>26.563376000000002</v>
      </c>
      <c r="F228" s="1" t="s">
        <v>1495</v>
      </c>
      <c r="G228" s="1" t="s">
        <v>1508</v>
      </c>
    </row>
    <row r="229" spans="1:7" x14ac:dyDescent="0.3">
      <c r="A229" s="1" t="s">
        <v>1570</v>
      </c>
      <c r="B229" s="1" t="s">
        <v>1583</v>
      </c>
      <c r="C229" s="1" t="s">
        <v>57</v>
      </c>
      <c r="D229">
        <v>-9.2227779999999999</v>
      </c>
      <c r="E229">
        <v>20.940372</v>
      </c>
      <c r="F229" s="1" t="s">
        <v>1500</v>
      </c>
      <c r="G229" s="1" t="s">
        <v>1496</v>
      </c>
    </row>
    <row r="230" spans="1:7" x14ac:dyDescent="0.3">
      <c r="A230" s="1" t="s">
        <v>1570</v>
      </c>
      <c r="B230" s="1" t="s">
        <v>1039</v>
      </c>
      <c r="C230" s="1" t="s">
        <v>21</v>
      </c>
      <c r="D230">
        <v>-9.3900009999999998</v>
      </c>
      <c r="E230">
        <v>30.001517</v>
      </c>
      <c r="F230" s="1" t="s">
        <v>1500</v>
      </c>
      <c r="G230" s="1" t="s">
        <v>1508</v>
      </c>
    </row>
    <row r="231" spans="1:7" x14ac:dyDescent="0.3">
      <c r="A231" s="1" t="s">
        <v>1570</v>
      </c>
      <c r="B231" s="1" t="s">
        <v>1584</v>
      </c>
      <c r="C231" s="1" t="s">
        <v>127</v>
      </c>
      <c r="D231">
        <v>-7.8417870000000001</v>
      </c>
      <c r="E231">
        <v>14.730712</v>
      </c>
      <c r="F231" s="1" t="s">
        <v>1495</v>
      </c>
      <c r="G231" s="1" t="s">
        <v>1508</v>
      </c>
    </row>
    <row r="232" spans="1:7" x14ac:dyDescent="0.3">
      <c r="A232" s="1" t="s">
        <v>1570</v>
      </c>
      <c r="B232" s="1" t="s">
        <v>1585</v>
      </c>
      <c r="C232" s="1" t="s">
        <v>35</v>
      </c>
      <c r="D232">
        <v>-3.419035</v>
      </c>
      <c r="E232">
        <v>29.018315999999999</v>
      </c>
      <c r="F232" s="1" t="s">
        <v>1495</v>
      </c>
      <c r="G232" s="1" t="s">
        <v>1496</v>
      </c>
    </row>
    <row r="233" spans="1:7" x14ac:dyDescent="0.3">
      <c r="A233" s="1" t="s">
        <v>1570</v>
      </c>
      <c r="B233" s="1" t="s">
        <v>1586</v>
      </c>
      <c r="C233" s="1" t="s">
        <v>33</v>
      </c>
      <c r="D233">
        <v>0.91016799999999998</v>
      </c>
      <c r="E233">
        <v>16.903002999999998</v>
      </c>
      <c r="F233" s="1" t="s">
        <v>1500</v>
      </c>
      <c r="G233" s="1" t="s">
        <v>1508</v>
      </c>
    </row>
    <row r="234" spans="1:7" x14ac:dyDescent="0.3">
      <c r="A234" s="1" t="s">
        <v>1570</v>
      </c>
      <c r="B234" s="1" t="s">
        <v>1389</v>
      </c>
      <c r="C234" s="1" t="s">
        <v>73</v>
      </c>
      <c r="D234">
        <v>-0.919767</v>
      </c>
      <c r="E234">
        <v>18.905538</v>
      </c>
      <c r="F234" s="1" t="s">
        <v>1495</v>
      </c>
      <c r="G234" s="1" t="s">
        <v>1496</v>
      </c>
    </row>
    <row r="235" spans="1:7" x14ac:dyDescent="0.3">
      <c r="A235" s="1" t="s">
        <v>1570</v>
      </c>
      <c r="B235" s="1" t="s">
        <v>909</v>
      </c>
      <c r="C235" s="1" t="s">
        <v>35</v>
      </c>
      <c r="D235">
        <v>-8.0922239999999999</v>
      </c>
      <c r="E235">
        <v>15.483708</v>
      </c>
      <c r="F235" s="1" t="s">
        <v>1495</v>
      </c>
      <c r="G235" s="1" t="s">
        <v>1508</v>
      </c>
    </row>
    <row r="236" spans="1:7" x14ac:dyDescent="0.3">
      <c r="A236" s="1" t="s">
        <v>1570</v>
      </c>
      <c r="B236" s="1" t="s">
        <v>1045</v>
      </c>
      <c r="C236" s="1" t="s">
        <v>29</v>
      </c>
      <c r="D236">
        <v>-10.165072</v>
      </c>
      <c r="E236">
        <v>29.428024000000001</v>
      </c>
      <c r="F236" s="1" t="s">
        <v>1495</v>
      </c>
      <c r="G236" s="1" t="s">
        <v>1499</v>
      </c>
    </row>
    <row r="237" spans="1:7" x14ac:dyDescent="0.3">
      <c r="A237" s="1" t="s">
        <v>1570</v>
      </c>
      <c r="B237" s="1" t="s">
        <v>1239</v>
      </c>
      <c r="C237" s="1" t="s">
        <v>51</v>
      </c>
      <c r="D237">
        <v>-10.939712999999999</v>
      </c>
      <c r="E237">
        <v>18.276230999999999</v>
      </c>
      <c r="F237" s="1" t="s">
        <v>1498</v>
      </c>
      <c r="G237" s="1" t="s">
        <v>1501</v>
      </c>
    </row>
    <row r="238" spans="1:7" x14ac:dyDescent="0.3">
      <c r="A238" s="1" t="s">
        <v>1570</v>
      </c>
      <c r="B238" s="1" t="s">
        <v>847</v>
      </c>
      <c r="C238" s="1" t="s">
        <v>21</v>
      </c>
      <c r="D238">
        <v>4.2493650000000001</v>
      </c>
      <c r="E238">
        <v>28.355039999999999</v>
      </c>
      <c r="F238" s="1" t="s">
        <v>1500</v>
      </c>
      <c r="G238" s="1" t="s">
        <v>1501</v>
      </c>
    </row>
    <row r="239" spans="1:7" x14ac:dyDescent="0.3">
      <c r="A239" s="1" t="s">
        <v>1570</v>
      </c>
      <c r="B239" s="1" t="s">
        <v>1429</v>
      </c>
      <c r="C239" s="1" t="s">
        <v>24</v>
      </c>
      <c r="D239">
        <v>-2.926736</v>
      </c>
      <c r="E239">
        <v>18.170461</v>
      </c>
      <c r="F239" s="1" t="s">
        <v>1495</v>
      </c>
      <c r="G239" s="1" t="s">
        <v>1496</v>
      </c>
    </row>
    <row r="240" spans="1:7" x14ac:dyDescent="0.3">
      <c r="A240" s="1" t="s">
        <v>1570</v>
      </c>
      <c r="B240" s="1" t="s">
        <v>1253</v>
      </c>
      <c r="C240" s="1" t="s">
        <v>62</v>
      </c>
      <c r="D240">
        <v>-11.157245</v>
      </c>
      <c r="E240">
        <v>21.262627999999999</v>
      </c>
      <c r="F240" s="1" t="s">
        <v>1495</v>
      </c>
      <c r="G240" s="1" t="s">
        <v>1501</v>
      </c>
    </row>
    <row r="241" spans="1:7" x14ac:dyDescent="0.3">
      <c r="A241" s="1" t="s">
        <v>1570</v>
      </c>
      <c r="B241" s="1" t="s">
        <v>1587</v>
      </c>
      <c r="C241" s="1" t="s">
        <v>137</v>
      </c>
      <c r="D241">
        <v>-3.234483</v>
      </c>
      <c r="E241">
        <v>13.241939</v>
      </c>
      <c r="F241" s="1" t="s">
        <v>1498</v>
      </c>
      <c r="G241" s="1" t="s">
        <v>1501</v>
      </c>
    </row>
    <row r="242" spans="1:7" x14ac:dyDescent="0.3">
      <c r="A242" s="1" t="s">
        <v>1570</v>
      </c>
      <c r="B242" s="1" t="s">
        <v>953</v>
      </c>
      <c r="C242" s="1" t="s">
        <v>33</v>
      </c>
      <c r="D242">
        <v>-3.111418</v>
      </c>
      <c r="E242">
        <v>14.144854</v>
      </c>
      <c r="F242" s="1" t="s">
        <v>1498</v>
      </c>
      <c r="G242" s="1" t="s">
        <v>1501</v>
      </c>
    </row>
    <row r="243" spans="1:7" x14ac:dyDescent="0.3">
      <c r="A243" s="1" t="s">
        <v>1570</v>
      </c>
      <c r="B243" s="1" t="s">
        <v>1140</v>
      </c>
      <c r="C243" s="1" t="s">
        <v>40</v>
      </c>
      <c r="D243">
        <v>-8.1210620000000002</v>
      </c>
      <c r="E243">
        <v>21.094390000000001</v>
      </c>
      <c r="F243" s="1" t="s">
        <v>1495</v>
      </c>
      <c r="G243" s="1" t="s">
        <v>1501</v>
      </c>
    </row>
    <row r="244" spans="1:7" x14ac:dyDescent="0.3">
      <c r="A244" s="1" t="s">
        <v>1570</v>
      </c>
      <c r="B244" s="1" t="s">
        <v>1588</v>
      </c>
      <c r="C244" s="1" t="s">
        <v>73</v>
      </c>
      <c r="D244">
        <v>1.472051</v>
      </c>
      <c r="E244">
        <v>17.36289</v>
      </c>
      <c r="F244" s="1" t="s">
        <v>1498</v>
      </c>
      <c r="G244" s="1" t="s">
        <v>1499</v>
      </c>
    </row>
    <row r="245" spans="1:7" x14ac:dyDescent="0.3">
      <c r="A245" s="1" t="s">
        <v>1570</v>
      </c>
      <c r="B245" s="1" t="s">
        <v>1226</v>
      </c>
      <c r="C245" s="1" t="s">
        <v>64</v>
      </c>
      <c r="D245">
        <v>-2.6665070000000002</v>
      </c>
      <c r="E245">
        <v>18.623692999999999</v>
      </c>
      <c r="F245" s="1" t="s">
        <v>1500</v>
      </c>
      <c r="G245" s="1" t="s">
        <v>1501</v>
      </c>
    </row>
    <row r="246" spans="1:7" x14ac:dyDescent="0.3">
      <c r="A246" s="1" t="s">
        <v>1570</v>
      </c>
      <c r="B246" s="1" t="s">
        <v>1589</v>
      </c>
      <c r="C246" s="1" t="s">
        <v>24</v>
      </c>
      <c r="D246">
        <v>-9.9170499999999997</v>
      </c>
      <c r="E246">
        <v>22.918887000000002</v>
      </c>
      <c r="F246" s="1" t="s">
        <v>1498</v>
      </c>
      <c r="G246" s="1" t="s">
        <v>1499</v>
      </c>
    </row>
    <row r="247" spans="1:7" x14ac:dyDescent="0.3">
      <c r="A247" s="1" t="s">
        <v>1570</v>
      </c>
      <c r="B247" s="1" t="s">
        <v>1431</v>
      </c>
      <c r="C247" s="1" t="s">
        <v>26</v>
      </c>
      <c r="D247">
        <v>-7.3952039999999997</v>
      </c>
      <c r="E247">
        <v>21.651043999999999</v>
      </c>
      <c r="F247" s="1" t="s">
        <v>1498</v>
      </c>
      <c r="G247" s="1" t="s">
        <v>1499</v>
      </c>
    </row>
    <row r="248" spans="1:7" x14ac:dyDescent="0.3">
      <c r="A248" s="1" t="s">
        <v>1570</v>
      </c>
      <c r="B248" s="1" t="s">
        <v>960</v>
      </c>
      <c r="C248" s="1" t="s">
        <v>73</v>
      </c>
      <c r="D248">
        <v>3.0603760000000002</v>
      </c>
      <c r="E248">
        <v>19.708034000000001</v>
      </c>
      <c r="F248" s="1" t="s">
        <v>1500</v>
      </c>
      <c r="G248" s="1" t="s">
        <v>1501</v>
      </c>
    </row>
    <row r="249" spans="1:7" x14ac:dyDescent="0.3">
      <c r="A249" s="1" t="s">
        <v>1570</v>
      </c>
      <c r="B249" s="1" t="s">
        <v>1590</v>
      </c>
      <c r="C249" s="1" t="s">
        <v>44</v>
      </c>
      <c r="D249">
        <v>-3.269612</v>
      </c>
      <c r="E249">
        <v>25.571189</v>
      </c>
      <c r="F249" s="1" t="s">
        <v>1495</v>
      </c>
      <c r="G249" s="1" t="s">
        <v>1496</v>
      </c>
    </row>
    <row r="250" spans="1:7" x14ac:dyDescent="0.3">
      <c r="A250" s="1" t="s">
        <v>1570</v>
      </c>
      <c r="B250" s="1" t="s">
        <v>1591</v>
      </c>
      <c r="C250" s="1" t="s">
        <v>33</v>
      </c>
      <c r="D250">
        <v>-12.086929</v>
      </c>
      <c r="E250">
        <v>14.032645</v>
      </c>
      <c r="F250" s="1" t="s">
        <v>1500</v>
      </c>
      <c r="G250" s="1" t="s">
        <v>1501</v>
      </c>
    </row>
    <row r="251" spans="1:7" x14ac:dyDescent="0.3">
      <c r="A251" s="1" t="s">
        <v>1592</v>
      </c>
      <c r="B251" s="1" t="s">
        <v>871</v>
      </c>
      <c r="C251" s="1" t="s">
        <v>40</v>
      </c>
      <c r="D251">
        <v>-10.963041</v>
      </c>
      <c r="E251">
        <v>12.269857</v>
      </c>
      <c r="F251" s="1" t="s">
        <v>1498</v>
      </c>
      <c r="G251" s="1" t="s">
        <v>1499</v>
      </c>
    </row>
    <row r="252" spans="1:7" x14ac:dyDescent="0.3">
      <c r="A252" s="1" t="s">
        <v>1592</v>
      </c>
      <c r="B252" s="1" t="s">
        <v>1593</v>
      </c>
      <c r="C252" s="1" t="s">
        <v>16</v>
      </c>
      <c r="D252">
        <v>-4.332408</v>
      </c>
      <c r="E252">
        <v>14.119439</v>
      </c>
      <c r="F252" s="1" t="s">
        <v>1495</v>
      </c>
      <c r="G252" s="1" t="s">
        <v>1508</v>
      </c>
    </row>
    <row r="253" spans="1:7" x14ac:dyDescent="0.3">
      <c r="A253" s="1" t="s">
        <v>1592</v>
      </c>
      <c r="B253" s="1" t="s">
        <v>1316</v>
      </c>
      <c r="C253" s="1" t="s">
        <v>64</v>
      </c>
      <c r="D253">
        <v>-0.57104900000000003</v>
      </c>
      <c r="E253">
        <v>15.317663</v>
      </c>
      <c r="F253" s="1" t="s">
        <v>1495</v>
      </c>
      <c r="G253" s="1" t="s">
        <v>1508</v>
      </c>
    </row>
    <row r="254" spans="1:7" x14ac:dyDescent="0.3">
      <c r="A254" s="1" t="s">
        <v>1592</v>
      </c>
      <c r="B254" s="1" t="s">
        <v>986</v>
      </c>
      <c r="C254" s="1" t="s">
        <v>44</v>
      </c>
      <c r="D254">
        <v>-10.442425</v>
      </c>
      <c r="E254">
        <v>23.243632000000002</v>
      </c>
      <c r="F254" s="1" t="s">
        <v>1498</v>
      </c>
      <c r="G254" s="1" t="s">
        <v>1508</v>
      </c>
    </row>
    <row r="255" spans="1:7" x14ac:dyDescent="0.3">
      <c r="A255" s="1" t="s">
        <v>1592</v>
      </c>
      <c r="B255" s="1" t="s">
        <v>1106</v>
      </c>
      <c r="C255" s="1" t="s">
        <v>18</v>
      </c>
      <c r="D255">
        <v>0.16327700000000001</v>
      </c>
      <c r="E255">
        <v>14.871577</v>
      </c>
      <c r="F255" s="1" t="s">
        <v>1498</v>
      </c>
      <c r="G255" s="1" t="s">
        <v>1499</v>
      </c>
    </row>
    <row r="256" spans="1:7" x14ac:dyDescent="0.3">
      <c r="A256" s="1" t="s">
        <v>1592</v>
      </c>
      <c r="B256" s="1" t="s">
        <v>1594</v>
      </c>
      <c r="C256" s="1" t="s">
        <v>26</v>
      </c>
      <c r="D256">
        <v>4.7044240000000004</v>
      </c>
      <c r="E256">
        <v>20.486409999999999</v>
      </c>
      <c r="F256" s="1" t="s">
        <v>1498</v>
      </c>
      <c r="G256" s="1" t="s">
        <v>1501</v>
      </c>
    </row>
    <row r="257" spans="1:7" x14ac:dyDescent="0.3">
      <c r="A257" s="1" t="s">
        <v>1592</v>
      </c>
      <c r="B257" s="1" t="s">
        <v>1595</v>
      </c>
      <c r="C257" s="1" t="s">
        <v>13</v>
      </c>
      <c r="D257">
        <v>4.7060310000000003</v>
      </c>
      <c r="E257">
        <v>27.348973000000001</v>
      </c>
      <c r="F257" s="1" t="s">
        <v>1498</v>
      </c>
      <c r="G257" s="1" t="s">
        <v>1499</v>
      </c>
    </row>
    <row r="258" spans="1:7" x14ac:dyDescent="0.3">
      <c r="A258" s="1" t="s">
        <v>1592</v>
      </c>
      <c r="B258" s="1" t="s">
        <v>1596</v>
      </c>
      <c r="C258" s="1" t="s">
        <v>10</v>
      </c>
      <c r="D258">
        <v>1.019657</v>
      </c>
      <c r="E258">
        <v>16.963799000000002</v>
      </c>
      <c r="F258" s="1" t="s">
        <v>1500</v>
      </c>
      <c r="G258" s="1" t="s">
        <v>1508</v>
      </c>
    </row>
    <row r="259" spans="1:7" x14ac:dyDescent="0.3">
      <c r="A259" s="1" t="s">
        <v>1592</v>
      </c>
      <c r="B259" s="1" t="s">
        <v>1425</v>
      </c>
      <c r="C259" s="1" t="s">
        <v>44</v>
      </c>
      <c r="D259">
        <v>-4.6311460000000002</v>
      </c>
      <c r="E259">
        <v>25.314723000000001</v>
      </c>
      <c r="F259" s="1" t="s">
        <v>1498</v>
      </c>
      <c r="G259" s="1" t="s">
        <v>1499</v>
      </c>
    </row>
    <row r="260" spans="1:7" x14ac:dyDescent="0.3">
      <c r="A260" s="1" t="s">
        <v>1592</v>
      </c>
      <c r="B260" s="1" t="s">
        <v>1597</v>
      </c>
      <c r="C260" s="1" t="s">
        <v>40</v>
      </c>
      <c r="D260">
        <v>-11.591777</v>
      </c>
      <c r="E260">
        <v>21.213452</v>
      </c>
      <c r="F260" s="1" t="s">
        <v>1495</v>
      </c>
      <c r="G260" s="1" t="s">
        <v>1496</v>
      </c>
    </row>
    <row r="261" spans="1:7" x14ac:dyDescent="0.3">
      <c r="A261" s="1" t="s">
        <v>1592</v>
      </c>
      <c r="B261" s="1" t="s">
        <v>1598</v>
      </c>
      <c r="C261" s="1" t="s">
        <v>44</v>
      </c>
      <c r="D261">
        <v>3.0184790000000001</v>
      </c>
      <c r="E261">
        <v>27.188068000000001</v>
      </c>
      <c r="F261" s="1" t="s">
        <v>1495</v>
      </c>
      <c r="G261" s="1" t="s">
        <v>1496</v>
      </c>
    </row>
    <row r="262" spans="1:7" x14ac:dyDescent="0.3">
      <c r="A262" s="1" t="s">
        <v>1592</v>
      </c>
      <c r="B262" s="1" t="s">
        <v>1248</v>
      </c>
      <c r="C262" s="1" t="s">
        <v>16</v>
      </c>
      <c r="D262">
        <v>-11.407966</v>
      </c>
      <c r="E262">
        <v>28.378274000000001</v>
      </c>
      <c r="F262" s="1" t="s">
        <v>1498</v>
      </c>
      <c r="G262" s="1" t="s">
        <v>1501</v>
      </c>
    </row>
    <row r="263" spans="1:7" x14ac:dyDescent="0.3">
      <c r="A263" s="1" t="s">
        <v>1592</v>
      </c>
      <c r="B263" s="1" t="s">
        <v>1244</v>
      </c>
      <c r="C263" s="1" t="s">
        <v>24</v>
      </c>
      <c r="D263">
        <v>-4.4958720000000003</v>
      </c>
      <c r="E263">
        <v>18.514112000000001</v>
      </c>
      <c r="F263" s="1" t="s">
        <v>1498</v>
      </c>
      <c r="G263" s="1" t="s">
        <v>1508</v>
      </c>
    </row>
    <row r="264" spans="1:7" x14ac:dyDescent="0.3">
      <c r="A264" s="1" t="s">
        <v>1592</v>
      </c>
      <c r="B264" s="1" t="s">
        <v>1599</v>
      </c>
      <c r="C264" s="1" t="s">
        <v>10</v>
      </c>
      <c r="D264">
        <v>0.35034999999999999</v>
      </c>
      <c r="E264">
        <v>13.603628</v>
      </c>
      <c r="F264" s="1" t="s">
        <v>1495</v>
      </c>
      <c r="G264" s="1" t="s">
        <v>1501</v>
      </c>
    </row>
    <row r="265" spans="1:7" x14ac:dyDescent="0.3">
      <c r="A265" s="1" t="s">
        <v>1592</v>
      </c>
      <c r="B265" s="1" t="s">
        <v>1600</v>
      </c>
      <c r="C265" s="1" t="s">
        <v>127</v>
      </c>
      <c r="D265">
        <v>4.2873989999999997</v>
      </c>
      <c r="E265">
        <v>14.756335</v>
      </c>
      <c r="F265" s="1" t="s">
        <v>1495</v>
      </c>
      <c r="G265" s="1" t="s">
        <v>1496</v>
      </c>
    </row>
    <row r="266" spans="1:7" x14ac:dyDescent="0.3">
      <c r="A266" s="1" t="s">
        <v>1592</v>
      </c>
      <c r="B266" s="1" t="s">
        <v>1099</v>
      </c>
      <c r="C266" s="1" t="s">
        <v>24</v>
      </c>
      <c r="D266">
        <v>-11.594525000000001</v>
      </c>
      <c r="E266">
        <v>29.744895</v>
      </c>
      <c r="F266" s="1" t="s">
        <v>1500</v>
      </c>
      <c r="G266" s="1" t="s">
        <v>1501</v>
      </c>
    </row>
    <row r="267" spans="1:7" x14ac:dyDescent="0.3">
      <c r="A267" s="1" t="s">
        <v>1592</v>
      </c>
      <c r="B267" s="1" t="s">
        <v>1068</v>
      </c>
      <c r="C267" s="1" t="s">
        <v>37</v>
      </c>
      <c r="D267">
        <v>-1.5936220000000001</v>
      </c>
      <c r="E267">
        <v>14.928856</v>
      </c>
      <c r="F267" s="1" t="s">
        <v>1495</v>
      </c>
      <c r="G267" s="1" t="s">
        <v>1496</v>
      </c>
    </row>
    <row r="268" spans="1:7" x14ac:dyDescent="0.3">
      <c r="A268" s="1" t="s">
        <v>1592</v>
      </c>
      <c r="B268" s="1" t="s">
        <v>1601</v>
      </c>
      <c r="C268" s="1" t="s">
        <v>31</v>
      </c>
      <c r="D268">
        <v>1.3657680000000001</v>
      </c>
      <c r="E268">
        <v>21.423017000000002</v>
      </c>
      <c r="F268" s="1" t="s">
        <v>1495</v>
      </c>
      <c r="G268" s="1" t="s">
        <v>1496</v>
      </c>
    </row>
    <row r="269" spans="1:7" x14ac:dyDescent="0.3">
      <c r="A269" s="1" t="s">
        <v>1592</v>
      </c>
      <c r="B269" s="1" t="s">
        <v>1602</v>
      </c>
      <c r="C269" s="1" t="s">
        <v>10</v>
      </c>
      <c r="D269">
        <v>-7.3750049999999998</v>
      </c>
      <c r="E269">
        <v>30.878126000000002</v>
      </c>
      <c r="F269" s="1" t="s">
        <v>1495</v>
      </c>
      <c r="G269" s="1" t="s">
        <v>1499</v>
      </c>
    </row>
    <row r="270" spans="1:7" x14ac:dyDescent="0.3">
      <c r="A270" s="1" t="s">
        <v>1592</v>
      </c>
      <c r="B270" s="1" t="s">
        <v>1263</v>
      </c>
      <c r="C270" s="1" t="s">
        <v>31</v>
      </c>
      <c r="D270">
        <v>-12.050063</v>
      </c>
      <c r="E270">
        <v>26.636987999999999</v>
      </c>
      <c r="F270" s="1" t="s">
        <v>1500</v>
      </c>
      <c r="G270" s="1" t="s">
        <v>1508</v>
      </c>
    </row>
    <row r="271" spans="1:7" x14ac:dyDescent="0.3">
      <c r="A271" s="1" t="s">
        <v>1592</v>
      </c>
      <c r="B271" s="1" t="s">
        <v>1603</v>
      </c>
      <c r="C271" s="1" t="s">
        <v>29</v>
      </c>
      <c r="D271">
        <v>-6.8161690000000004</v>
      </c>
      <c r="E271">
        <v>16.521000999999998</v>
      </c>
      <c r="F271" s="1" t="s">
        <v>1495</v>
      </c>
      <c r="G271" s="1" t="s">
        <v>1496</v>
      </c>
    </row>
    <row r="272" spans="1:7" x14ac:dyDescent="0.3">
      <c r="A272" s="1" t="s">
        <v>1592</v>
      </c>
      <c r="B272" s="1" t="s">
        <v>1479</v>
      </c>
      <c r="C272" s="1" t="s">
        <v>127</v>
      </c>
      <c r="D272">
        <v>1.0134879999999999</v>
      </c>
      <c r="E272">
        <v>20.363515</v>
      </c>
      <c r="F272" s="1" t="s">
        <v>1498</v>
      </c>
      <c r="G272" s="1" t="s">
        <v>1508</v>
      </c>
    </row>
    <row r="273" spans="1:7" x14ac:dyDescent="0.3">
      <c r="A273" s="1" t="s">
        <v>1592</v>
      </c>
      <c r="B273" s="1" t="s">
        <v>973</v>
      </c>
      <c r="C273" s="1" t="s">
        <v>73</v>
      </c>
      <c r="D273">
        <v>-4.5603610000000003</v>
      </c>
      <c r="E273">
        <v>24.113918999999999</v>
      </c>
      <c r="F273" s="1" t="s">
        <v>1495</v>
      </c>
      <c r="G273" s="1" t="s">
        <v>1501</v>
      </c>
    </row>
    <row r="274" spans="1:7" x14ac:dyDescent="0.3">
      <c r="A274" s="1" t="s">
        <v>1592</v>
      </c>
      <c r="B274" s="1" t="s">
        <v>1079</v>
      </c>
      <c r="C274" s="1" t="s">
        <v>10</v>
      </c>
      <c r="D274">
        <v>-3.7720639999999999</v>
      </c>
      <c r="E274">
        <v>16.006277999999998</v>
      </c>
      <c r="F274" s="1" t="s">
        <v>1495</v>
      </c>
      <c r="G274" s="1" t="s">
        <v>1501</v>
      </c>
    </row>
    <row r="275" spans="1:7" x14ac:dyDescent="0.3">
      <c r="A275" s="1" t="s">
        <v>1592</v>
      </c>
      <c r="B275" s="1" t="s">
        <v>1604</v>
      </c>
      <c r="C275" s="1" t="s">
        <v>60</v>
      </c>
      <c r="D275">
        <v>-4.5538169999999996</v>
      </c>
      <c r="E275">
        <v>25.952860999999999</v>
      </c>
      <c r="F275" s="1" t="s">
        <v>1500</v>
      </c>
      <c r="G275" s="1" t="s">
        <v>1496</v>
      </c>
    </row>
    <row r="276" spans="1:7" x14ac:dyDescent="0.3">
      <c r="A276" s="1" t="s">
        <v>1592</v>
      </c>
      <c r="B276" s="1" t="s">
        <v>1204</v>
      </c>
      <c r="C276" s="1" t="s">
        <v>127</v>
      </c>
      <c r="D276">
        <v>0.20866199999999999</v>
      </c>
      <c r="E276">
        <v>18.556439000000001</v>
      </c>
      <c r="F276" s="1" t="s">
        <v>1498</v>
      </c>
      <c r="G276" s="1" t="s">
        <v>1508</v>
      </c>
    </row>
    <row r="277" spans="1:7" x14ac:dyDescent="0.3">
      <c r="A277" s="1" t="s">
        <v>1592</v>
      </c>
      <c r="B277" s="1" t="s">
        <v>1195</v>
      </c>
      <c r="C277" s="1" t="s">
        <v>131</v>
      </c>
      <c r="D277">
        <v>-5.42171</v>
      </c>
      <c r="E277">
        <v>24.202960999999998</v>
      </c>
      <c r="F277" s="1" t="s">
        <v>1495</v>
      </c>
      <c r="G277" s="1" t="s">
        <v>1496</v>
      </c>
    </row>
    <row r="278" spans="1:7" x14ac:dyDescent="0.3">
      <c r="A278" s="1" t="s">
        <v>1592</v>
      </c>
      <c r="B278" s="1" t="s">
        <v>1132</v>
      </c>
      <c r="C278" s="1" t="s">
        <v>21</v>
      </c>
      <c r="D278">
        <v>4.2904629999999999</v>
      </c>
      <c r="E278">
        <v>26.354195000000001</v>
      </c>
      <c r="F278" s="1" t="s">
        <v>1500</v>
      </c>
      <c r="G278" s="1" t="s">
        <v>1496</v>
      </c>
    </row>
    <row r="279" spans="1:7" x14ac:dyDescent="0.3">
      <c r="A279" s="1" t="s">
        <v>1592</v>
      </c>
      <c r="B279" s="1" t="s">
        <v>1605</v>
      </c>
      <c r="C279" s="1" t="s">
        <v>57</v>
      </c>
      <c r="D279">
        <v>1.368018</v>
      </c>
      <c r="E279">
        <v>14.203893000000001</v>
      </c>
      <c r="F279" s="1" t="s">
        <v>1495</v>
      </c>
      <c r="G279" s="1" t="s">
        <v>1499</v>
      </c>
    </row>
    <row r="280" spans="1:7" x14ac:dyDescent="0.3">
      <c r="A280" s="1" t="s">
        <v>1592</v>
      </c>
      <c r="B280" s="1" t="s">
        <v>1606</v>
      </c>
      <c r="C280" s="1" t="s">
        <v>29</v>
      </c>
      <c r="D280">
        <v>-7.7942479999999996</v>
      </c>
      <c r="E280">
        <v>15.184407999999999</v>
      </c>
      <c r="F280" s="1" t="s">
        <v>1500</v>
      </c>
      <c r="G280" s="1" t="s">
        <v>1501</v>
      </c>
    </row>
    <row r="281" spans="1:7" x14ac:dyDescent="0.3">
      <c r="A281" s="1" t="s">
        <v>1592</v>
      </c>
      <c r="B281" s="1" t="s">
        <v>1282</v>
      </c>
      <c r="C281" s="1" t="s">
        <v>10</v>
      </c>
      <c r="D281">
        <v>-12.364127999999999</v>
      </c>
      <c r="E281">
        <v>19.576150999999999</v>
      </c>
      <c r="F281" s="1" t="s">
        <v>1500</v>
      </c>
      <c r="G281" s="1" t="s">
        <v>1508</v>
      </c>
    </row>
    <row r="282" spans="1:7" x14ac:dyDescent="0.3">
      <c r="A282" s="1" t="s">
        <v>1592</v>
      </c>
      <c r="B282" s="1" t="s">
        <v>1289</v>
      </c>
      <c r="C282" s="1" t="s">
        <v>31</v>
      </c>
      <c r="D282">
        <v>3.611561</v>
      </c>
      <c r="E282">
        <v>17.725974999999998</v>
      </c>
      <c r="F282" s="1" t="s">
        <v>1500</v>
      </c>
      <c r="G282" s="1" t="s">
        <v>1501</v>
      </c>
    </row>
    <row r="283" spans="1:7" x14ac:dyDescent="0.3">
      <c r="A283" s="1" t="s">
        <v>1592</v>
      </c>
      <c r="B283" s="1" t="s">
        <v>1048</v>
      </c>
      <c r="C283" s="1" t="s">
        <v>64</v>
      </c>
      <c r="D283">
        <v>0.48965500000000001</v>
      </c>
      <c r="E283">
        <v>26.176860000000001</v>
      </c>
      <c r="F283" s="1" t="s">
        <v>1498</v>
      </c>
      <c r="G283" s="1" t="s">
        <v>1499</v>
      </c>
    </row>
    <row r="284" spans="1:7" x14ac:dyDescent="0.3">
      <c r="A284" s="1" t="s">
        <v>1592</v>
      </c>
      <c r="B284" s="1" t="s">
        <v>1232</v>
      </c>
      <c r="C284" s="1" t="s">
        <v>89</v>
      </c>
      <c r="D284">
        <v>8.5490999999999998E-2</v>
      </c>
      <c r="E284">
        <v>26.296129000000001</v>
      </c>
      <c r="F284" s="1" t="s">
        <v>1500</v>
      </c>
      <c r="G284" s="1" t="s">
        <v>1501</v>
      </c>
    </row>
    <row r="285" spans="1:7" x14ac:dyDescent="0.3">
      <c r="A285" s="1" t="s">
        <v>1592</v>
      </c>
      <c r="B285" s="1" t="s">
        <v>1199</v>
      </c>
      <c r="C285" s="1" t="s">
        <v>26</v>
      </c>
      <c r="D285">
        <v>-2.8532869999999999</v>
      </c>
      <c r="E285">
        <v>22.117896000000002</v>
      </c>
      <c r="F285" s="1" t="s">
        <v>1495</v>
      </c>
      <c r="G285" s="1" t="s">
        <v>1499</v>
      </c>
    </row>
    <row r="286" spans="1:7" x14ac:dyDescent="0.3">
      <c r="A286" s="1" t="s">
        <v>1592</v>
      </c>
      <c r="B286" s="1" t="s">
        <v>1404</v>
      </c>
      <c r="C286" s="1" t="s">
        <v>18</v>
      </c>
      <c r="D286">
        <v>-11.89448</v>
      </c>
      <c r="E286">
        <v>19.216214999999998</v>
      </c>
      <c r="F286" s="1" t="s">
        <v>1500</v>
      </c>
      <c r="G286" s="1" t="s">
        <v>1501</v>
      </c>
    </row>
    <row r="287" spans="1:7" x14ac:dyDescent="0.3">
      <c r="A287" s="1" t="s">
        <v>1592</v>
      </c>
      <c r="B287" s="1" t="s">
        <v>1176</v>
      </c>
      <c r="C287" s="1" t="s">
        <v>57</v>
      </c>
      <c r="D287">
        <v>-4.4831099999999999</v>
      </c>
      <c r="E287">
        <v>25.406548000000001</v>
      </c>
      <c r="F287" s="1" t="s">
        <v>1495</v>
      </c>
      <c r="G287" s="1" t="s">
        <v>1508</v>
      </c>
    </row>
    <row r="288" spans="1:7" x14ac:dyDescent="0.3">
      <c r="A288" s="1" t="s">
        <v>1592</v>
      </c>
      <c r="B288" s="1" t="s">
        <v>1149</v>
      </c>
      <c r="C288" s="1" t="s">
        <v>37</v>
      </c>
      <c r="D288">
        <v>-9.9565739999999998</v>
      </c>
      <c r="E288">
        <v>21.017202000000001</v>
      </c>
      <c r="F288" s="1" t="s">
        <v>1498</v>
      </c>
      <c r="G288" s="1" t="s">
        <v>1499</v>
      </c>
    </row>
    <row r="289" spans="1:7" x14ac:dyDescent="0.3">
      <c r="A289" s="1" t="s">
        <v>1592</v>
      </c>
      <c r="B289" s="1" t="s">
        <v>1398</v>
      </c>
      <c r="C289" s="1" t="s">
        <v>73</v>
      </c>
      <c r="D289">
        <v>-12.070842000000001</v>
      </c>
      <c r="E289">
        <v>14.757847</v>
      </c>
      <c r="F289" s="1" t="s">
        <v>1498</v>
      </c>
      <c r="G289" s="1" t="s">
        <v>1501</v>
      </c>
    </row>
    <row r="290" spans="1:7" x14ac:dyDescent="0.3">
      <c r="A290" s="1" t="s">
        <v>1592</v>
      </c>
      <c r="B290" s="1" t="s">
        <v>1344</v>
      </c>
      <c r="C290" s="1" t="s">
        <v>67</v>
      </c>
      <c r="D290">
        <v>4.8265669999999998</v>
      </c>
      <c r="E290">
        <v>28.535277000000001</v>
      </c>
      <c r="F290" s="1" t="s">
        <v>1500</v>
      </c>
      <c r="G290" s="1" t="s">
        <v>1499</v>
      </c>
    </row>
    <row r="291" spans="1:7" x14ac:dyDescent="0.3">
      <c r="A291" s="1" t="s">
        <v>1592</v>
      </c>
      <c r="B291" s="1" t="s">
        <v>1607</v>
      </c>
      <c r="C291" s="1" t="s">
        <v>10</v>
      </c>
      <c r="D291">
        <v>1.5601240000000001</v>
      </c>
      <c r="E291">
        <v>12.225398</v>
      </c>
      <c r="F291" s="1" t="s">
        <v>1495</v>
      </c>
      <c r="G291" s="1" t="s">
        <v>1508</v>
      </c>
    </row>
    <row r="292" spans="1:7" x14ac:dyDescent="0.3">
      <c r="A292" s="1" t="s">
        <v>1592</v>
      </c>
      <c r="B292" s="1" t="s">
        <v>1608</v>
      </c>
      <c r="C292" s="1" t="s">
        <v>60</v>
      </c>
      <c r="D292">
        <v>-1.762294</v>
      </c>
      <c r="E292">
        <v>29.617228000000001</v>
      </c>
      <c r="F292" s="1" t="s">
        <v>1498</v>
      </c>
      <c r="G292" s="1" t="s">
        <v>1501</v>
      </c>
    </row>
    <row r="293" spans="1:7" x14ac:dyDescent="0.3">
      <c r="A293" s="1" t="s">
        <v>1592</v>
      </c>
      <c r="B293" s="1" t="s">
        <v>1445</v>
      </c>
      <c r="C293" s="1" t="s">
        <v>89</v>
      </c>
      <c r="D293">
        <v>-7.8373179999999998</v>
      </c>
      <c r="E293">
        <v>20.527591999999999</v>
      </c>
      <c r="F293" s="1" t="s">
        <v>1498</v>
      </c>
      <c r="G293" s="1" t="s">
        <v>1496</v>
      </c>
    </row>
    <row r="294" spans="1:7" x14ac:dyDescent="0.3">
      <c r="A294" s="1" t="s">
        <v>1592</v>
      </c>
      <c r="B294" s="1" t="s">
        <v>1320</v>
      </c>
      <c r="C294" s="1" t="s">
        <v>21</v>
      </c>
      <c r="D294">
        <v>-11.514817000000001</v>
      </c>
      <c r="E294">
        <v>24.891375</v>
      </c>
      <c r="F294" s="1" t="s">
        <v>1500</v>
      </c>
      <c r="G294" s="1" t="s">
        <v>1508</v>
      </c>
    </row>
    <row r="295" spans="1:7" x14ac:dyDescent="0.3">
      <c r="A295" s="1" t="s">
        <v>1592</v>
      </c>
      <c r="B295" s="1" t="s">
        <v>1609</v>
      </c>
      <c r="C295" s="1" t="s">
        <v>62</v>
      </c>
      <c r="D295">
        <v>-3.89927</v>
      </c>
      <c r="E295">
        <v>30.273492000000001</v>
      </c>
      <c r="F295" s="1" t="s">
        <v>1500</v>
      </c>
      <c r="G295" s="1" t="s">
        <v>1508</v>
      </c>
    </row>
    <row r="296" spans="1:7" x14ac:dyDescent="0.3">
      <c r="A296" s="1" t="s">
        <v>1592</v>
      </c>
      <c r="B296" s="1" t="s">
        <v>1610</v>
      </c>
      <c r="C296" s="1" t="s">
        <v>62</v>
      </c>
      <c r="D296">
        <v>2.3260149999999999</v>
      </c>
      <c r="E296">
        <v>24.97465</v>
      </c>
      <c r="F296" s="1" t="s">
        <v>1500</v>
      </c>
      <c r="G296" s="1" t="s">
        <v>1508</v>
      </c>
    </row>
    <row r="297" spans="1:7" x14ac:dyDescent="0.3">
      <c r="A297" s="1" t="s">
        <v>1592</v>
      </c>
      <c r="B297" s="1" t="s">
        <v>940</v>
      </c>
      <c r="C297" s="1" t="s">
        <v>89</v>
      </c>
      <c r="D297">
        <v>-7.9987219999999999</v>
      </c>
      <c r="E297">
        <v>12.779335</v>
      </c>
      <c r="F297" s="1" t="s">
        <v>1495</v>
      </c>
      <c r="G297" s="1" t="s">
        <v>1508</v>
      </c>
    </row>
    <row r="298" spans="1:7" x14ac:dyDescent="0.3">
      <c r="A298" s="1" t="s">
        <v>1592</v>
      </c>
      <c r="B298" s="1" t="s">
        <v>1611</v>
      </c>
      <c r="C298" s="1" t="s">
        <v>26</v>
      </c>
      <c r="D298">
        <v>-10.614302</v>
      </c>
      <c r="E298">
        <v>29.436530999999999</v>
      </c>
      <c r="F298" s="1" t="s">
        <v>1500</v>
      </c>
      <c r="G298" s="1" t="s">
        <v>1496</v>
      </c>
    </row>
    <row r="299" spans="1:7" x14ac:dyDescent="0.3">
      <c r="A299" s="1" t="s">
        <v>1592</v>
      </c>
      <c r="B299" s="1" t="s">
        <v>1252</v>
      </c>
      <c r="C299" s="1" t="s">
        <v>37</v>
      </c>
      <c r="D299">
        <v>-7.9425049999999997</v>
      </c>
      <c r="E299">
        <v>24.111059000000001</v>
      </c>
      <c r="F299" s="1" t="s">
        <v>1500</v>
      </c>
      <c r="G299" s="1" t="s">
        <v>1501</v>
      </c>
    </row>
    <row r="300" spans="1:7" x14ac:dyDescent="0.3">
      <c r="A300" s="1" t="s">
        <v>1592</v>
      </c>
      <c r="B300" s="1" t="s">
        <v>1231</v>
      </c>
      <c r="C300" s="1" t="s">
        <v>21</v>
      </c>
      <c r="D300">
        <v>2.4414509999999998</v>
      </c>
      <c r="E300">
        <v>30.167489</v>
      </c>
      <c r="F300" s="1" t="s">
        <v>1495</v>
      </c>
      <c r="G300" s="1" t="s">
        <v>1508</v>
      </c>
    </row>
    <row r="301" spans="1:7" x14ac:dyDescent="0.3">
      <c r="A301" s="1" t="s">
        <v>1612</v>
      </c>
      <c r="B301" s="1" t="s">
        <v>910</v>
      </c>
      <c r="C301" s="1" t="s">
        <v>64</v>
      </c>
      <c r="D301">
        <v>-1.339734</v>
      </c>
      <c r="E301">
        <v>15.243098</v>
      </c>
      <c r="F301" s="1" t="s">
        <v>1500</v>
      </c>
      <c r="G301" s="1" t="s">
        <v>1508</v>
      </c>
    </row>
    <row r="302" spans="1:7" x14ac:dyDescent="0.3">
      <c r="A302" s="1" t="s">
        <v>1612</v>
      </c>
      <c r="B302" s="1" t="s">
        <v>1209</v>
      </c>
      <c r="C302" s="1" t="s">
        <v>62</v>
      </c>
      <c r="D302">
        <v>-9.8208710000000004</v>
      </c>
      <c r="E302">
        <v>23.229807000000001</v>
      </c>
      <c r="F302" s="1" t="s">
        <v>1495</v>
      </c>
      <c r="G302" s="1" t="s">
        <v>1508</v>
      </c>
    </row>
    <row r="303" spans="1:7" x14ac:dyDescent="0.3">
      <c r="A303" s="1" t="s">
        <v>1612</v>
      </c>
      <c r="B303" s="1" t="s">
        <v>1066</v>
      </c>
      <c r="C303" s="1" t="s">
        <v>13</v>
      </c>
      <c r="D303">
        <v>-12.292039000000001</v>
      </c>
      <c r="E303">
        <v>27.538202999999999</v>
      </c>
      <c r="F303" s="1" t="s">
        <v>1500</v>
      </c>
      <c r="G303" s="1" t="s">
        <v>1499</v>
      </c>
    </row>
    <row r="304" spans="1:7" x14ac:dyDescent="0.3">
      <c r="A304" s="1" t="s">
        <v>1612</v>
      </c>
      <c r="B304" s="1" t="s">
        <v>1613</v>
      </c>
      <c r="C304" s="1" t="s">
        <v>131</v>
      </c>
      <c r="D304">
        <v>-6.0850540000000004</v>
      </c>
      <c r="E304">
        <v>14.020293000000001</v>
      </c>
      <c r="F304" s="1" t="s">
        <v>1495</v>
      </c>
      <c r="G304" s="1" t="s">
        <v>1499</v>
      </c>
    </row>
    <row r="305" spans="1:7" x14ac:dyDescent="0.3">
      <c r="A305" s="1" t="s">
        <v>1612</v>
      </c>
      <c r="B305" s="1" t="s">
        <v>1360</v>
      </c>
      <c r="C305" s="1" t="s">
        <v>67</v>
      </c>
      <c r="D305">
        <v>-9.5619429999999994</v>
      </c>
      <c r="E305">
        <v>21.445726000000001</v>
      </c>
      <c r="F305" s="1" t="s">
        <v>1498</v>
      </c>
      <c r="G305" s="1" t="s">
        <v>1508</v>
      </c>
    </row>
    <row r="306" spans="1:7" x14ac:dyDescent="0.3">
      <c r="A306" s="1" t="s">
        <v>1612</v>
      </c>
      <c r="B306" s="1" t="s">
        <v>1245</v>
      </c>
      <c r="C306" s="1" t="s">
        <v>44</v>
      </c>
      <c r="D306">
        <v>-0.47411900000000001</v>
      </c>
      <c r="E306">
        <v>27.184329000000002</v>
      </c>
      <c r="F306" s="1" t="s">
        <v>1495</v>
      </c>
      <c r="G306" s="1" t="s">
        <v>1501</v>
      </c>
    </row>
    <row r="307" spans="1:7" x14ac:dyDescent="0.3">
      <c r="A307" s="1" t="s">
        <v>1612</v>
      </c>
      <c r="B307" s="1" t="s">
        <v>865</v>
      </c>
      <c r="C307" s="1" t="s">
        <v>37</v>
      </c>
      <c r="D307">
        <v>3.1362930000000002</v>
      </c>
      <c r="E307">
        <v>16.190878000000001</v>
      </c>
      <c r="F307" s="1" t="s">
        <v>1500</v>
      </c>
      <c r="G307" s="1" t="s">
        <v>1508</v>
      </c>
    </row>
    <row r="308" spans="1:7" x14ac:dyDescent="0.3">
      <c r="A308" s="1" t="s">
        <v>1612</v>
      </c>
      <c r="B308" s="1" t="s">
        <v>1262</v>
      </c>
      <c r="C308" s="1" t="s">
        <v>78</v>
      </c>
      <c r="D308">
        <v>-1.6488929999999999</v>
      </c>
      <c r="E308">
        <v>27.284617000000001</v>
      </c>
      <c r="F308" s="1" t="s">
        <v>1495</v>
      </c>
      <c r="G308" s="1" t="s">
        <v>1508</v>
      </c>
    </row>
    <row r="309" spans="1:7" x14ac:dyDescent="0.3">
      <c r="A309" s="1" t="s">
        <v>1612</v>
      </c>
      <c r="B309" s="1" t="s">
        <v>1216</v>
      </c>
      <c r="C309" s="1" t="s">
        <v>131</v>
      </c>
      <c r="D309">
        <v>-6.5332999999999997</v>
      </c>
      <c r="E309">
        <v>20.098018</v>
      </c>
      <c r="F309" s="1" t="s">
        <v>1498</v>
      </c>
      <c r="G309" s="1" t="s">
        <v>1499</v>
      </c>
    </row>
    <row r="310" spans="1:7" x14ac:dyDescent="0.3">
      <c r="A310" s="1" t="s">
        <v>1612</v>
      </c>
      <c r="B310" s="1" t="s">
        <v>1614</v>
      </c>
      <c r="C310" s="1" t="s">
        <v>89</v>
      </c>
      <c r="D310">
        <v>-11.472474999999999</v>
      </c>
      <c r="E310">
        <v>27.418900000000001</v>
      </c>
      <c r="F310" s="1" t="s">
        <v>1498</v>
      </c>
      <c r="G310" s="1" t="s">
        <v>1501</v>
      </c>
    </row>
    <row r="311" spans="1:7" x14ac:dyDescent="0.3">
      <c r="A311" s="1" t="s">
        <v>1612</v>
      </c>
      <c r="B311" s="1" t="s">
        <v>941</v>
      </c>
      <c r="C311" s="1" t="s">
        <v>64</v>
      </c>
      <c r="D311">
        <v>-1.6097570000000001</v>
      </c>
      <c r="E311">
        <v>30.661662</v>
      </c>
      <c r="F311" s="1" t="s">
        <v>1498</v>
      </c>
      <c r="G311" s="1" t="s">
        <v>1496</v>
      </c>
    </row>
    <row r="312" spans="1:7" x14ac:dyDescent="0.3">
      <c r="A312" s="1" t="s">
        <v>1612</v>
      </c>
      <c r="B312" s="1" t="s">
        <v>835</v>
      </c>
      <c r="C312" s="1" t="s">
        <v>73</v>
      </c>
      <c r="D312">
        <v>0.23583499999999999</v>
      </c>
      <c r="E312">
        <v>24.889558999999998</v>
      </c>
      <c r="F312" s="1" t="s">
        <v>1500</v>
      </c>
      <c r="G312" s="1" t="s">
        <v>1501</v>
      </c>
    </row>
    <row r="313" spans="1:7" x14ac:dyDescent="0.3">
      <c r="A313" s="1" t="s">
        <v>1612</v>
      </c>
      <c r="B313" s="1" t="s">
        <v>1000</v>
      </c>
      <c r="C313" s="1" t="s">
        <v>37</v>
      </c>
      <c r="D313">
        <v>-10.481026999999999</v>
      </c>
      <c r="E313">
        <v>18.160464000000001</v>
      </c>
      <c r="F313" s="1" t="s">
        <v>1495</v>
      </c>
      <c r="G313" s="1" t="s">
        <v>1499</v>
      </c>
    </row>
    <row r="314" spans="1:7" x14ac:dyDescent="0.3">
      <c r="A314" s="1" t="s">
        <v>1612</v>
      </c>
      <c r="B314" s="1" t="s">
        <v>991</v>
      </c>
      <c r="C314" s="1" t="s">
        <v>137</v>
      </c>
      <c r="D314">
        <v>-9.5243310000000001</v>
      </c>
      <c r="E314">
        <v>30.541212000000002</v>
      </c>
      <c r="F314" s="1" t="s">
        <v>1500</v>
      </c>
      <c r="G314" s="1" t="s">
        <v>1496</v>
      </c>
    </row>
    <row r="315" spans="1:7" x14ac:dyDescent="0.3">
      <c r="A315" s="1" t="s">
        <v>1612</v>
      </c>
      <c r="B315" s="1" t="s">
        <v>892</v>
      </c>
      <c r="C315" s="1" t="s">
        <v>26</v>
      </c>
      <c r="D315">
        <v>-4.4697000000000001E-2</v>
      </c>
      <c r="E315">
        <v>22.943373000000001</v>
      </c>
      <c r="F315" s="1" t="s">
        <v>1500</v>
      </c>
      <c r="G315" s="1" t="s">
        <v>1499</v>
      </c>
    </row>
    <row r="316" spans="1:7" x14ac:dyDescent="0.3">
      <c r="A316" s="1" t="s">
        <v>1612</v>
      </c>
      <c r="B316" s="1" t="s">
        <v>1434</v>
      </c>
      <c r="C316" s="1" t="s">
        <v>26</v>
      </c>
      <c r="D316">
        <v>-2.3269820000000001</v>
      </c>
      <c r="E316">
        <v>14.609259</v>
      </c>
      <c r="F316" s="1" t="s">
        <v>1500</v>
      </c>
      <c r="G316" s="1" t="s">
        <v>1508</v>
      </c>
    </row>
    <row r="317" spans="1:7" x14ac:dyDescent="0.3">
      <c r="A317" s="1" t="s">
        <v>1612</v>
      </c>
      <c r="B317" s="1" t="s">
        <v>1615</v>
      </c>
      <c r="C317" s="1" t="s">
        <v>10</v>
      </c>
      <c r="D317">
        <v>-4.1938139999999997</v>
      </c>
      <c r="E317">
        <v>27.892115</v>
      </c>
      <c r="F317" s="1" t="s">
        <v>1495</v>
      </c>
      <c r="G317" s="1" t="s">
        <v>1496</v>
      </c>
    </row>
    <row r="318" spans="1:7" x14ac:dyDescent="0.3">
      <c r="A318" s="1" t="s">
        <v>1612</v>
      </c>
      <c r="B318" s="1" t="s">
        <v>853</v>
      </c>
      <c r="C318" s="1" t="s">
        <v>131</v>
      </c>
      <c r="D318">
        <v>-11.866133</v>
      </c>
      <c r="E318">
        <v>27.068932</v>
      </c>
      <c r="F318" s="1" t="s">
        <v>1500</v>
      </c>
      <c r="G318" s="1" t="s">
        <v>1499</v>
      </c>
    </row>
    <row r="319" spans="1:7" x14ac:dyDescent="0.3">
      <c r="A319" s="1" t="s">
        <v>1612</v>
      </c>
      <c r="B319" s="1" t="s">
        <v>1616</v>
      </c>
      <c r="C319" s="1" t="s">
        <v>18</v>
      </c>
      <c r="D319">
        <v>-3.2700629999999999</v>
      </c>
      <c r="E319">
        <v>26.520330000000001</v>
      </c>
      <c r="F319" s="1" t="s">
        <v>1495</v>
      </c>
      <c r="G319" s="1" t="s">
        <v>1508</v>
      </c>
    </row>
    <row r="320" spans="1:7" x14ac:dyDescent="0.3">
      <c r="A320" s="1" t="s">
        <v>1612</v>
      </c>
      <c r="B320" s="1" t="s">
        <v>899</v>
      </c>
      <c r="C320" s="1" t="s">
        <v>137</v>
      </c>
      <c r="D320">
        <v>-7.4608439999999998</v>
      </c>
      <c r="E320">
        <v>23.268619999999999</v>
      </c>
      <c r="F320" s="1" t="s">
        <v>1498</v>
      </c>
      <c r="G320" s="1" t="s">
        <v>1499</v>
      </c>
    </row>
    <row r="321" spans="1:7" x14ac:dyDescent="0.3">
      <c r="A321" s="1" t="s">
        <v>1612</v>
      </c>
      <c r="B321" s="1" t="s">
        <v>951</v>
      </c>
      <c r="C321" s="1" t="s">
        <v>24</v>
      </c>
      <c r="D321">
        <v>-3.3890790000000002</v>
      </c>
      <c r="E321">
        <v>18.374571</v>
      </c>
      <c r="F321" s="1" t="s">
        <v>1495</v>
      </c>
      <c r="G321" s="1" t="s">
        <v>1501</v>
      </c>
    </row>
    <row r="322" spans="1:7" x14ac:dyDescent="0.3">
      <c r="A322" s="1" t="s">
        <v>1612</v>
      </c>
      <c r="B322" s="1" t="s">
        <v>1058</v>
      </c>
      <c r="C322" s="1" t="s">
        <v>24</v>
      </c>
      <c r="D322">
        <v>2.016505</v>
      </c>
      <c r="E322">
        <v>14.294164</v>
      </c>
      <c r="F322" s="1" t="s">
        <v>1495</v>
      </c>
      <c r="G322" s="1" t="s">
        <v>1499</v>
      </c>
    </row>
    <row r="323" spans="1:7" x14ac:dyDescent="0.3">
      <c r="A323" s="1" t="s">
        <v>1612</v>
      </c>
      <c r="B323" s="1" t="s">
        <v>1617</v>
      </c>
      <c r="C323" s="1" t="s">
        <v>40</v>
      </c>
      <c r="D323">
        <v>-4.9124689999999998</v>
      </c>
      <c r="E323">
        <v>14.683498999999999</v>
      </c>
      <c r="F323" s="1" t="s">
        <v>1500</v>
      </c>
      <c r="G323" s="1" t="s">
        <v>1501</v>
      </c>
    </row>
    <row r="324" spans="1:7" x14ac:dyDescent="0.3">
      <c r="A324" s="1" t="s">
        <v>1612</v>
      </c>
      <c r="B324" s="1" t="s">
        <v>848</v>
      </c>
      <c r="C324" s="1" t="s">
        <v>60</v>
      </c>
      <c r="D324">
        <v>4.9250049999999996</v>
      </c>
      <c r="E324">
        <v>19.887931999999999</v>
      </c>
      <c r="F324" s="1" t="s">
        <v>1498</v>
      </c>
      <c r="G324" s="1" t="s">
        <v>1499</v>
      </c>
    </row>
    <row r="325" spans="1:7" x14ac:dyDescent="0.3">
      <c r="A325" s="1" t="s">
        <v>1612</v>
      </c>
      <c r="B325" s="1" t="s">
        <v>934</v>
      </c>
      <c r="C325" s="1" t="s">
        <v>57</v>
      </c>
      <c r="D325">
        <v>-12.333232000000001</v>
      </c>
      <c r="E325">
        <v>25.229620000000001</v>
      </c>
      <c r="F325" s="1" t="s">
        <v>1495</v>
      </c>
      <c r="G325" s="1" t="s">
        <v>1508</v>
      </c>
    </row>
    <row r="326" spans="1:7" x14ac:dyDescent="0.3">
      <c r="A326" s="1" t="s">
        <v>1612</v>
      </c>
      <c r="B326" s="1" t="s">
        <v>972</v>
      </c>
      <c r="C326" s="1" t="s">
        <v>64</v>
      </c>
      <c r="D326">
        <v>-11.991020000000001</v>
      </c>
      <c r="E326">
        <v>22.514747</v>
      </c>
      <c r="F326" s="1" t="s">
        <v>1495</v>
      </c>
      <c r="G326" s="1" t="s">
        <v>1501</v>
      </c>
    </row>
    <row r="327" spans="1:7" x14ac:dyDescent="0.3">
      <c r="A327" s="1" t="s">
        <v>1612</v>
      </c>
      <c r="B327" s="1" t="s">
        <v>1618</v>
      </c>
      <c r="C327" s="1" t="s">
        <v>131</v>
      </c>
      <c r="D327">
        <v>1.1800139999999999</v>
      </c>
      <c r="E327">
        <v>20.334562999999999</v>
      </c>
      <c r="F327" s="1" t="s">
        <v>1500</v>
      </c>
      <c r="G327" s="1" t="s">
        <v>1501</v>
      </c>
    </row>
    <row r="328" spans="1:7" x14ac:dyDescent="0.3">
      <c r="A328" s="1" t="s">
        <v>1612</v>
      </c>
      <c r="B328" s="1" t="s">
        <v>1117</v>
      </c>
      <c r="C328" s="1" t="s">
        <v>37</v>
      </c>
      <c r="D328">
        <v>-12.229338</v>
      </c>
      <c r="E328">
        <v>29.587834999999998</v>
      </c>
      <c r="F328" s="1" t="s">
        <v>1498</v>
      </c>
      <c r="G328" s="1" t="s">
        <v>1508</v>
      </c>
    </row>
    <row r="329" spans="1:7" x14ac:dyDescent="0.3">
      <c r="A329" s="1" t="s">
        <v>1612</v>
      </c>
      <c r="B329" s="1" t="s">
        <v>985</v>
      </c>
      <c r="C329" s="1" t="s">
        <v>137</v>
      </c>
      <c r="D329">
        <v>-10.872631999999999</v>
      </c>
      <c r="E329">
        <v>12.773279</v>
      </c>
      <c r="F329" s="1" t="s">
        <v>1500</v>
      </c>
      <c r="G329" s="1" t="s">
        <v>1501</v>
      </c>
    </row>
    <row r="330" spans="1:7" x14ac:dyDescent="0.3">
      <c r="A330" s="1" t="s">
        <v>1612</v>
      </c>
      <c r="B330" s="1" t="s">
        <v>997</v>
      </c>
      <c r="C330" s="1" t="s">
        <v>26</v>
      </c>
      <c r="D330">
        <v>1.5278670000000001</v>
      </c>
      <c r="E330">
        <v>13.899388999999999</v>
      </c>
      <c r="F330" s="1" t="s">
        <v>1500</v>
      </c>
      <c r="G330" s="1" t="s">
        <v>1499</v>
      </c>
    </row>
    <row r="331" spans="1:7" x14ac:dyDescent="0.3">
      <c r="A331" s="1" t="s">
        <v>1612</v>
      </c>
      <c r="B331" s="1" t="s">
        <v>1135</v>
      </c>
      <c r="C331" s="1" t="s">
        <v>51</v>
      </c>
      <c r="D331">
        <v>-0.98830399999999996</v>
      </c>
      <c r="E331">
        <v>28.099966999999999</v>
      </c>
      <c r="F331" s="1" t="s">
        <v>1500</v>
      </c>
      <c r="G331" s="1" t="s">
        <v>1499</v>
      </c>
    </row>
    <row r="332" spans="1:7" x14ac:dyDescent="0.3">
      <c r="A332" s="1" t="s">
        <v>1612</v>
      </c>
      <c r="B332" s="1" t="s">
        <v>1619</v>
      </c>
      <c r="C332" s="1" t="s">
        <v>89</v>
      </c>
      <c r="D332">
        <v>-4.749333</v>
      </c>
      <c r="E332">
        <v>23.636389000000001</v>
      </c>
      <c r="F332" s="1" t="s">
        <v>1500</v>
      </c>
      <c r="G332" s="1" t="s">
        <v>1501</v>
      </c>
    </row>
    <row r="333" spans="1:7" x14ac:dyDescent="0.3">
      <c r="A333" s="1" t="s">
        <v>1612</v>
      </c>
      <c r="B333" s="1" t="s">
        <v>1196</v>
      </c>
      <c r="C333" s="1" t="s">
        <v>60</v>
      </c>
      <c r="D333">
        <v>-0.79459900000000006</v>
      </c>
      <c r="E333">
        <v>26.775570999999999</v>
      </c>
      <c r="F333" s="1" t="s">
        <v>1495</v>
      </c>
      <c r="G333" s="1" t="s">
        <v>1499</v>
      </c>
    </row>
    <row r="334" spans="1:7" x14ac:dyDescent="0.3">
      <c r="A334" s="1" t="s">
        <v>1612</v>
      </c>
      <c r="B334" s="1" t="s">
        <v>1620</v>
      </c>
      <c r="C334" s="1" t="s">
        <v>21</v>
      </c>
      <c r="D334">
        <v>2.7365970000000002</v>
      </c>
      <c r="E334">
        <v>12.296976000000001</v>
      </c>
      <c r="F334" s="1" t="s">
        <v>1498</v>
      </c>
      <c r="G334" s="1" t="s">
        <v>1501</v>
      </c>
    </row>
    <row r="335" spans="1:7" x14ac:dyDescent="0.3">
      <c r="A335" s="1" t="s">
        <v>1612</v>
      </c>
      <c r="B335" s="1" t="s">
        <v>1442</v>
      </c>
      <c r="C335" s="1" t="s">
        <v>78</v>
      </c>
      <c r="D335">
        <v>-10.318835</v>
      </c>
      <c r="E335">
        <v>21.252382000000001</v>
      </c>
      <c r="F335" s="1" t="s">
        <v>1498</v>
      </c>
      <c r="G335" s="1" t="s">
        <v>1496</v>
      </c>
    </row>
    <row r="336" spans="1:7" x14ac:dyDescent="0.3">
      <c r="A336" s="1" t="s">
        <v>1612</v>
      </c>
      <c r="B336" s="1" t="s">
        <v>1089</v>
      </c>
      <c r="C336" s="1" t="s">
        <v>13</v>
      </c>
      <c r="D336">
        <v>-2.571777</v>
      </c>
      <c r="E336">
        <v>12.120642</v>
      </c>
      <c r="F336" s="1" t="s">
        <v>1500</v>
      </c>
      <c r="G336" s="1" t="s">
        <v>1499</v>
      </c>
    </row>
    <row r="337" spans="1:7" x14ac:dyDescent="0.3">
      <c r="A337" s="1" t="s">
        <v>1612</v>
      </c>
      <c r="B337" s="1" t="s">
        <v>1621</v>
      </c>
      <c r="C337" s="1" t="s">
        <v>35</v>
      </c>
      <c r="D337">
        <v>3.6466850000000002</v>
      </c>
      <c r="E337">
        <v>15.408844</v>
      </c>
      <c r="F337" s="1" t="s">
        <v>1500</v>
      </c>
      <c r="G337" s="1" t="s">
        <v>1501</v>
      </c>
    </row>
    <row r="338" spans="1:7" x14ac:dyDescent="0.3">
      <c r="A338" s="1" t="s">
        <v>1612</v>
      </c>
      <c r="B338" s="1" t="s">
        <v>975</v>
      </c>
      <c r="C338" s="1" t="s">
        <v>131</v>
      </c>
      <c r="D338">
        <v>-12.336202</v>
      </c>
      <c r="E338">
        <v>13.693683999999999</v>
      </c>
      <c r="F338" s="1" t="s">
        <v>1495</v>
      </c>
      <c r="G338" s="1" t="s">
        <v>1499</v>
      </c>
    </row>
    <row r="339" spans="1:7" x14ac:dyDescent="0.3">
      <c r="A339" s="1" t="s">
        <v>1612</v>
      </c>
      <c r="B339" s="1" t="s">
        <v>1622</v>
      </c>
      <c r="C339" s="1" t="s">
        <v>62</v>
      </c>
      <c r="D339">
        <v>-10.451371</v>
      </c>
      <c r="E339">
        <v>24.38336</v>
      </c>
      <c r="F339" s="1" t="s">
        <v>1500</v>
      </c>
      <c r="G339" s="1" t="s">
        <v>1496</v>
      </c>
    </row>
    <row r="340" spans="1:7" x14ac:dyDescent="0.3">
      <c r="A340" s="1" t="s">
        <v>1612</v>
      </c>
      <c r="B340" s="1" t="s">
        <v>1120</v>
      </c>
      <c r="C340" s="1" t="s">
        <v>16</v>
      </c>
      <c r="D340">
        <v>-1.231033</v>
      </c>
      <c r="E340">
        <v>28.851388</v>
      </c>
      <c r="F340" s="1" t="s">
        <v>1500</v>
      </c>
      <c r="G340" s="1" t="s">
        <v>1496</v>
      </c>
    </row>
    <row r="341" spans="1:7" x14ac:dyDescent="0.3">
      <c r="A341" s="1" t="s">
        <v>1612</v>
      </c>
      <c r="B341" s="1" t="s">
        <v>1623</v>
      </c>
      <c r="C341" s="1" t="s">
        <v>16</v>
      </c>
      <c r="D341">
        <v>-4.5180470000000001</v>
      </c>
      <c r="E341">
        <v>19.908223</v>
      </c>
      <c r="F341" s="1" t="s">
        <v>1495</v>
      </c>
      <c r="G341" s="1" t="s">
        <v>1499</v>
      </c>
    </row>
    <row r="342" spans="1:7" x14ac:dyDescent="0.3">
      <c r="A342" s="1" t="s">
        <v>1612</v>
      </c>
      <c r="B342" s="1" t="s">
        <v>1624</v>
      </c>
      <c r="C342" s="1" t="s">
        <v>40</v>
      </c>
      <c r="D342">
        <v>3.524343</v>
      </c>
      <c r="E342">
        <v>27.340824000000001</v>
      </c>
      <c r="F342" s="1" t="s">
        <v>1498</v>
      </c>
      <c r="G342" s="1" t="s">
        <v>1496</v>
      </c>
    </row>
    <row r="343" spans="1:7" x14ac:dyDescent="0.3">
      <c r="A343" s="1" t="s">
        <v>1612</v>
      </c>
      <c r="B343" s="1" t="s">
        <v>1625</v>
      </c>
      <c r="C343" s="1" t="s">
        <v>21</v>
      </c>
      <c r="D343">
        <v>-12.17557</v>
      </c>
      <c r="E343">
        <v>26.678691000000001</v>
      </c>
      <c r="F343" s="1" t="s">
        <v>1498</v>
      </c>
      <c r="G343" s="1" t="s">
        <v>1499</v>
      </c>
    </row>
    <row r="344" spans="1:7" x14ac:dyDescent="0.3">
      <c r="A344" s="1" t="s">
        <v>1612</v>
      </c>
      <c r="B344" s="1" t="s">
        <v>1007</v>
      </c>
      <c r="C344" s="1" t="s">
        <v>60</v>
      </c>
      <c r="D344">
        <v>-0.37665700000000002</v>
      </c>
      <c r="E344">
        <v>25.154807999999999</v>
      </c>
      <c r="F344" s="1" t="s">
        <v>1500</v>
      </c>
      <c r="G344" s="1" t="s">
        <v>1508</v>
      </c>
    </row>
    <row r="345" spans="1:7" x14ac:dyDescent="0.3">
      <c r="A345" s="1" t="s">
        <v>1612</v>
      </c>
      <c r="B345" s="1" t="s">
        <v>1436</v>
      </c>
      <c r="C345" s="1" t="s">
        <v>78</v>
      </c>
      <c r="D345">
        <v>-10.650321</v>
      </c>
      <c r="E345">
        <v>15.917044000000001</v>
      </c>
      <c r="F345" s="1" t="s">
        <v>1498</v>
      </c>
      <c r="G345" s="1" t="s">
        <v>1508</v>
      </c>
    </row>
    <row r="346" spans="1:7" x14ac:dyDescent="0.3">
      <c r="A346" s="1" t="s">
        <v>1612</v>
      </c>
      <c r="B346" s="1" t="s">
        <v>1626</v>
      </c>
      <c r="C346" s="1" t="s">
        <v>40</v>
      </c>
      <c r="D346">
        <v>-9.8995180000000005</v>
      </c>
      <c r="E346">
        <v>24.156687999999999</v>
      </c>
      <c r="F346" s="1" t="s">
        <v>1498</v>
      </c>
      <c r="G346" s="1" t="s">
        <v>1496</v>
      </c>
    </row>
    <row r="347" spans="1:7" x14ac:dyDescent="0.3">
      <c r="A347" s="1" t="s">
        <v>1612</v>
      </c>
      <c r="B347" s="1" t="s">
        <v>926</v>
      </c>
      <c r="C347" s="1" t="s">
        <v>127</v>
      </c>
      <c r="D347">
        <v>-12.100756000000001</v>
      </c>
      <c r="E347">
        <v>21.938649999999999</v>
      </c>
      <c r="F347" s="1" t="s">
        <v>1498</v>
      </c>
      <c r="G347" s="1" t="s">
        <v>1499</v>
      </c>
    </row>
    <row r="348" spans="1:7" x14ac:dyDescent="0.3">
      <c r="A348" s="1" t="s">
        <v>1612</v>
      </c>
      <c r="B348" s="1" t="s">
        <v>1627</v>
      </c>
      <c r="C348" s="1" t="s">
        <v>137</v>
      </c>
      <c r="D348">
        <v>-7.4679279999999997</v>
      </c>
      <c r="E348">
        <v>19.828595</v>
      </c>
      <c r="F348" s="1" t="s">
        <v>1495</v>
      </c>
      <c r="G348" s="1" t="s">
        <v>1508</v>
      </c>
    </row>
    <row r="349" spans="1:7" x14ac:dyDescent="0.3">
      <c r="A349" s="1" t="s">
        <v>1612</v>
      </c>
      <c r="B349" s="1" t="s">
        <v>1141</v>
      </c>
      <c r="C349" s="1" t="s">
        <v>137</v>
      </c>
      <c r="D349">
        <v>1.286548</v>
      </c>
      <c r="E349">
        <v>29.823702999999998</v>
      </c>
      <c r="F349" s="1" t="s">
        <v>1498</v>
      </c>
      <c r="G349" s="1" t="s">
        <v>1501</v>
      </c>
    </row>
    <row r="350" spans="1:7" x14ac:dyDescent="0.3">
      <c r="A350" s="1" t="s">
        <v>1612</v>
      </c>
      <c r="B350" s="1" t="s">
        <v>1084</v>
      </c>
      <c r="C350" s="1" t="s">
        <v>35</v>
      </c>
      <c r="D350">
        <v>-4.7886769999999999</v>
      </c>
      <c r="E350">
        <v>23.600221999999999</v>
      </c>
      <c r="F350" s="1" t="s">
        <v>1500</v>
      </c>
      <c r="G350" s="1" t="s">
        <v>1501</v>
      </c>
    </row>
    <row r="351" spans="1:7" x14ac:dyDescent="0.3">
      <c r="A351" s="1" t="s">
        <v>1628</v>
      </c>
      <c r="B351" s="1" t="s">
        <v>1410</v>
      </c>
      <c r="C351" s="1" t="s">
        <v>57</v>
      </c>
      <c r="D351">
        <v>1.7832440000000001</v>
      </c>
      <c r="E351">
        <v>25.477405999999998</v>
      </c>
      <c r="F351" s="1" t="s">
        <v>1495</v>
      </c>
      <c r="G351" s="1" t="s">
        <v>1499</v>
      </c>
    </row>
    <row r="352" spans="1:7" x14ac:dyDescent="0.3">
      <c r="A352" s="1" t="s">
        <v>1628</v>
      </c>
      <c r="B352" s="1" t="s">
        <v>1629</v>
      </c>
      <c r="C352" s="1" t="s">
        <v>35</v>
      </c>
      <c r="D352">
        <v>-4.8560549999999996</v>
      </c>
      <c r="E352">
        <v>15.889538999999999</v>
      </c>
      <c r="F352" s="1" t="s">
        <v>1500</v>
      </c>
      <c r="G352" s="1" t="s">
        <v>1499</v>
      </c>
    </row>
    <row r="353" spans="1:7" x14ac:dyDescent="0.3">
      <c r="A353" s="1" t="s">
        <v>1628</v>
      </c>
      <c r="B353" s="1" t="s">
        <v>1630</v>
      </c>
      <c r="C353" s="1" t="s">
        <v>31</v>
      </c>
      <c r="D353">
        <v>-8.6707929999999998</v>
      </c>
      <c r="E353">
        <v>30.643781000000001</v>
      </c>
      <c r="F353" s="1" t="s">
        <v>1498</v>
      </c>
      <c r="G353" s="1" t="s">
        <v>1499</v>
      </c>
    </row>
    <row r="354" spans="1:7" x14ac:dyDescent="0.3">
      <c r="A354" s="1" t="s">
        <v>1628</v>
      </c>
      <c r="B354" s="1" t="s">
        <v>1631</v>
      </c>
      <c r="C354" s="1" t="s">
        <v>29</v>
      </c>
      <c r="D354">
        <v>-2.947235</v>
      </c>
      <c r="E354">
        <v>16.534020999999999</v>
      </c>
      <c r="F354" s="1" t="s">
        <v>1500</v>
      </c>
      <c r="G354" s="1" t="s">
        <v>1508</v>
      </c>
    </row>
    <row r="355" spans="1:7" x14ac:dyDescent="0.3">
      <c r="A355" s="1" t="s">
        <v>1628</v>
      </c>
      <c r="B355" s="1" t="s">
        <v>1632</v>
      </c>
      <c r="C355" s="1" t="s">
        <v>24</v>
      </c>
      <c r="D355">
        <v>-12.776386</v>
      </c>
      <c r="E355">
        <v>14.157596</v>
      </c>
      <c r="F355" s="1" t="s">
        <v>1500</v>
      </c>
      <c r="G355" s="1" t="s">
        <v>1508</v>
      </c>
    </row>
    <row r="356" spans="1:7" x14ac:dyDescent="0.3">
      <c r="A356" s="1" t="s">
        <v>1628</v>
      </c>
      <c r="B356" s="1" t="s">
        <v>828</v>
      </c>
      <c r="C356" s="1" t="s">
        <v>24</v>
      </c>
      <c r="D356">
        <v>0.172153</v>
      </c>
      <c r="E356">
        <v>21.091376</v>
      </c>
      <c r="F356" s="1" t="s">
        <v>1500</v>
      </c>
      <c r="G356" s="1" t="s">
        <v>1496</v>
      </c>
    </row>
    <row r="357" spans="1:7" x14ac:dyDescent="0.3">
      <c r="A357" s="1" t="s">
        <v>1628</v>
      </c>
      <c r="B357" s="1" t="s">
        <v>1374</v>
      </c>
      <c r="C357" s="1" t="s">
        <v>16</v>
      </c>
      <c r="D357">
        <v>4.0988100000000003</v>
      </c>
      <c r="E357">
        <v>29.843810999999999</v>
      </c>
      <c r="F357" s="1" t="s">
        <v>1500</v>
      </c>
      <c r="G357" s="1" t="s">
        <v>1499</v>
      </c>
    </row>
    <row r="358" spans="1:7" x14ac:dyDescent="0.3">
      <c r="A358" s="1" t="s">
        <v>1628</v>
      </c>
      <c r="B358" s="1" t="s">
        <v>1167</v>
      </c>
      <c r="C358" s="1" t="s">
        <v>31</v>
      </c>
      <c r="D358">
        <v>-10.611184</v>
      </c>
      <c r="E358">
        <v>23.022268</v>
      </c>
      <c r="F358" s="1" t="s">
        <v>1495</v>
      </c>
      <c r="G358" s="1" t="s">
        <v>1501</v>
      </c>
    </row>
    <row r="359" spans="1:7" x14ac:dyDescent="0.3">
      <c r="A359" s="1" t="s">
        <v>1628</v>
      </c>
      <c r="B359" s="1" t="s">
        <v>1338</v>
      </c>
      <c r="C359" s="1" t="s">
        <v>29</v>
      </c>
      <c r="D359">
        <v>-7.6757720000000003</v>
      </c>
      <c r="E359">
        <v>30.222971000000001</v>
      </c>
      <c r="F359" s="1" t="s">
        <v>1495</v>
      </c>
      <c r="G359" s="1" t="s">
        <v>1496</v>
      </c>
    </row>
    <row r="360" spans="1:7" x14ac:dyDescent="0.3">
      <c r="A360" s="1" t="s">
        <v>1628</v>
      </c>
      <c r="B360" s="1" t="s">
        <v>954</v>
      </c>
      <c r="C360" s="1" t="s">
        <v>89</v>
      </c>
      <c r="D360">
        <v>-1.342476</v>
      </c>
      <c r="E360">
        <v>15.986086</v>
      </c>
      <c r="F360" s="1" t="s">
        <v>1498</v>
      </c>
      <c r="G360" s="1" t="s">
        <v>1496</v>
      </c>
    </row>
    <row r="361" spans="1:7" x14ac:dyDescent="0.3">
      <c r="A361" s="1" t="s">
        <v>1628</v>
      </c>
      <c r="B361" s="1" t="s">
        <v>1633</v>
      </c>
      <c r="C361" s="1" t="s">
        <v>60</v>
      </c>
      <c r="D361">
        <v>-11.366868999999999</v>
      </c>
      <c r="E361">
        <v>26.155318000000001</v>
      </c>
      <c r="F361" s="1" t="s">
        <v>1498</v>
      </c>
      <c r="G361" s="1" t="s">
        <v>1499</v>
      </c>
    </row>
    <row r="362" spans="1:7" x14ac:dyDescent="0.3">
      <c r="A362" s="1" t="s">
        <v>1628</v>
      </c>
      <c r="B362" s="1" t="s">
        <v>1246</v>
      </c>
      <c r="C362" s="1" t="s">
        <v>57</v>
      </c>
      <c r="D362">
        <v>-4.3639070000000002</v>
      </c>
      <c r="E362">
        <v>16.283307000000001</v>
      </c>
      <c r="F362" s="1" t="s">
        <v>1495</v>
      </c>
      <c r="G362" s="1" t="s">
        <v>1499</v>
      </c>
    </row>
    <row r="363" spans="1:7" x14ac:dyDescent="0.3">
      <c r="A363" s="1" t="s">
        <v>1628</v>
      </c>
      <c r="B363" s="1" t="s">
        <v>1069</v>
      </c>
      <c r="C363" s="1" t="s">
        <v>40</v>
      </c>
      <c r="D363">
        <v>-7.5129409999999996</v>
      </c>
      <c r="E363">
        <v>18.701522000000001</v>
      </c>
      <c r="F363" s="1" t="s">
        <v>1498</v>
      </c>
      <c r="G363" s="1" t="s">
        <v>1508</v>
      </c>
    </row>
    <row r="364" spans="1:7" x14ac:dyDescent="0.3">
      <c r="A364" s="1" t="s">
        <v>1628</v>
      </c>
      <c r="B364" s="1" t="s">
        <v>1143</v>
      </c>
      <c r="C364" s="1" t="s">
        <v>10</v>
      </c>
      <c r="D364">
        <v>-0.34051900000000002</v>
      </c>
      <c r="E364">
        <v>17.079799000000001</v>
      </c>
      <c r="F364" s="1" t="s">
        <v>1495</v>
      </c>
      <c r="G364" s="1" t="s">
        <v>1496</v>
      </c>
    </row>
    <row r="365" spans="1:7" x14ac:dyDescent="0.3">
      <c r="A365" s="1" t="s">
        <v>1628</v>
      </c>
      <c r="B365" s="1" t="s">
        <v>1037</v>
      </c>
      <c r="C365" s="1" t="s">
        <v>73</v>
      </c>
      <c r="D365">
        <v>2.4425979999999998</v>
      </c>
      <c r="E365">
        <v>24.924308</v>
      </c>
      <c r="F365" s="1" t="s">
        <v>1495</v>
      </c>
      <c r="G365" s="1" t="s">
        <v>1496</v>
      </c>
    </row>
    <row r="366" spans="1:7" x14ac:dyDescent="0.3">
      <c r="A366" s="1" t="s">
        <v>1628</v>
      </c>
      <c r="B366" s="1" t="s">
        <v>1327</v>
      </c>
      <c r="C366" s="1" t="s">
        <v>26</v>
      </c>
      <c r="D366">
        <v>0.45116099999999998</v>
      </c>
      <c r="E366">
        <v>17.265761000000001</v>
      </c>
      <c r="F366" s="1" t="s">
        <v>1498</v>
      </c>
      <c r="G366" s="1" t="s">
        <v>1499</v>
      </c>
    </row>
    <row r="367" spans="1:7" x14ac:dyDescent="0.3">
      <c r="A367" s="1" t="s">
        <v>1628</v>
      </c>
      <c r="B367" s="1" t="s">
        <v>1314</v>
      </c>
      <c r="C367" s="1" t="s">
        <v>33</v>
      </c>
      <c r="D367">
        <v>-12.560556999999999</v>
      </c>
      <c r="E367">
        <v>13.204014000000001</v>
      </c>
      <c r="F367" s="1" t="s">
        <v>1498</v>
      </c>
      <c r="G367" s="1" t="s">
        <v>1496</v>
      </c>
    </row>
    <row r="368" spans="1:7" x14ac:dyDescent="0.3">
      <c r="A368" s="1" t="s">
        <v>1628</v>
      </c>
      <c r="B368" s="1" t="s">
        <v>1083</v>
      </c>
      <c r="C368" s="1" t="s">
        <v>89</v>
      </c>
      <c r="D368">
        <v>-4.8128659999999996</v>
      </c>
      <c r="E368">
        <v>18.559304999999998</v>
      </c>
      <c r="F368" s="1" t="s">
        <v>1495</v>
      </c>
      <c r="G368" s="1" t="s">
        <v>1501</v>
      </c>
    </row>
    <row r="369" spans="1:7" x14ac:dyDescent="0.3">
      <c r="A369" s="1" t="s">
        <v>1628</v>
      </c>
      <c r="B369" s="1" t="s">
        <v>1634</v>
      </c>
      <c r="C369" s="1" t="s">
        <v>26</v>
      </c>
      <c r="D369">
        <v>0.89302999999999999</v>
      </c>
      <c r="E369">
        <v>21.238310999999999</v>
      </c>
      <c r="F369" s="1" t="s">
        <v>1495</v>
      </c>
      <c r="G369" s="1" t="s">
        <v>1499</v>
      </c>
    </row>
    <row r="370" spans="1:7" x14ac:dyDescent="0.3">
      <c r="A370" s="1" t="s">
        <v>1628</v>
      </c>
      <c r="B370" s="1" t="s">
        <v>1635</v>
      </c>
      <c r="C370" s="1" t="s">
        <v>127</v>
      </c>
      <c r="D370">
        <v>2.7355830000000001</v>
      </c>
      <c r="E370">
        <v>22.006969000000002</v>
      </c>
      <c r="F370" s="1" t="s">
        <v>1495</v>
      </c>
      <c r="G370" s="1" t="s">
        <v>1496</v>
      </c>
    </row>
    <row r="371" spans="1:7" x14ac:dyDescent="0.3">
      <c r="A371" s="1" t="s">
        <v>1628</v>
      </c>
      <c r="B371" s="1" t="s">
        <v>935</v>
      </c>
      <c r="C371" s="1" t="s">
        <v>67</v>
      </c>
      <c r="D371">
        <v>-5.7035130000000001</v>
      </c>
      <c r="E371">
        <v>14.331479</v>
      </c>
      <c r="F371" s="1" t="s">
        <v>1495</v>
      </c>
      <c r="G371" s="1" t="s">
        <v>1508</v>
      </c>
    </row>
    <row r="372" spans="1:7" x14ac:dyDescent="0.3">
      <c r="A372" s="1" t="s">
        <v>1628</v>
      </c>
      <c r="B372" s="1" t="s">
        <v>1636</v>
      </c>
      <c r="C372" s="1" t="s">
        <v>64</v>
      </c>
      <c r="D372">
        <v>1.217457</v>
      </c>
      <c r="E372">
        <v>25.48668</v>
      </c>
      <c r="F372" s="1" t="s">
        <v>1495</v>
      </c>
      <c r="G372" s="1" t="s">
        <v>1508</v>
      </c>
    </row>
    <row r="373" spans="1:7" x14ac:dyDescent="0.3">
      <c r="A373" s="1" t="s">
        <v>1628</v>
      </c>
      <c r="B373" s="1" t="s">
        <v>1027</v>
      </c>
      <c r="C373" s="1" t="s">
        <v>18</v>
      </c>
      <c r="D373">
        <v>-6.3324319999999998</v>
      </c>
      <c r="E373">
        <v>24.887858000000001</v>
      </c>
      <c r="F373" s="1" t="s">
        <v>1498</v>
      </c>
      <c r="G373" s="1" t="s">
        <v>1501</v>
      </c>
    </row>
    <row r="374" spans="1:7" x14ac:dyDescent="0.3">
      <c r="A374" s="1" t="s">
        <v>1628</v>
      </c>
      <c r="B374" s="1" t="s">
        <v>1467</v>
      </c>
      <c r="C374" s="1" t="s">
        <v>10</v>
      </c>
      <c r="D374">
        <v>-4.6426759999999998</v>
      </c>
      <c r="E374">
        <v>22.124254000000001</v>
      </c>
      <c r="F374" s="1" t="s">
        <v>1498</v>
      </c>
      <c r="G374" s="1" t="s">
        <v>1501</v>
      </c>
    </row>
    <row r="375" spans="1:7" x14ac:dyDescent="0.3">
      <c r="A375" s="1" t="s">
        <v>1628</v>
      </c>
      <c r="B375" s="1" t="s">
        <v>1637</v>
      </c>
      <c r="C375" s="1" t="s">
        <v>18</v>
      </c>
      <c r="D375">
        <v>-1.598759</v>
      </c>
      <c r="E375">
        <v>17.553023</v>
      </c>
      <c r="F375" s="1" t="s">
        <v>1498</v>
      </c>
      <c r="G375" s="1" t="s">
        <v>1499</v>
      </c>
    </row>
    <row r="376" spans="1:7" x14ac:dyDescent="0.3">
      <c r="A376" s="1" t="s">
        <v>1628</v>
      </c>
      <c r="B376" s="1" t="s">
        <v>1129</v>
      </c>
      <c r="C376" s="1" t="s">
        <v>57</v>
      </c>
      <c r="D376">
        <v>2.486888</v>
      </c>
      <c r="E376">
        <v>23.798074</v>
      </c>
      <c r="F376" s="1" t="s">
        <v>1495</v>
      </c>
      <c r="G376" s="1" t="s">
        <v>1501</v>
      </c>
    </row>
    <row r="377" spans="1:7" x14ac:dyDescent="0.3">
      <c r="A377" s="1" t="s">
        <v>1628</v>
      </c>
      <c r="B377" s="1" t="s">
        <v>1638</v>
      </c>
      <c r="C377" s="1" t="s">
        <v>57</v>
      </c>
      <c r="D377">
        <v>-11.727425</v>
      </c>
      <c r="E377">
        <v>27.198173000000001</v>
      </c>
      <c r="F377" s="1" t="s">
        <v>1500</v>
      </c>
      <c r="G377" s="1" t="s">
        <v>1496</v>
      </c>
    </row>
    <row r="378" spans="1:7" x14ac:dyDescent="0.3">
      <c r="A378" s="1" t="s">
        <v>1628</v>
      </c>
      <c r="B378" s="1" t="s">
        <v>1639</v>
      </c>
      <c r="C378" s="1" t="s">
        <v>78</v>
      </c>
      <c r="D378">
        <v>3.08182</v>
      </c>
      <c r="E378">
        <v>29.961940999999999</v>
      </c>
      <c r="F378" s="1" t="s">
        <v>1498</v>
      </c>
      <c r="G378" s="1" t="s">
        <v>1499</v>
      </c>
    </row>
    <row r="379" spans="1:7" x14ac:dyDescent="0.3">
      <c r="A379" s="1" t="s">
        <v>1628</v>
      </c>
      <c r="B379" s="1" t="s">
        <v>888</v>
      </c>
      <c r="C379" s="1" t="s">
        <v>10</v>
      </c>
      <c r="D379">
        <v>-7.0076900000000002</v>
      </c>
      <c r="E379">
        <v>27.367121999999998</v>
      </c>
      <c r="F379" s="1" t="s">
        <v>1500</v>
      </c>
      <c r="G379" s="1" t="s">
        <v>1508</v>
      </c>
    </row>
    <row r="380" spans="1:7" x14ac:dyDescent="0.3">
      <c r="A380" s="1" t="s">
        <v>1628</v>
      </c>
      <c r="B380" s="1" t="s">
        <v>1640</v>
      </c>
      <c r="C380" s="1" t="s">
        <v>89</v>
      </c>
      <c r="D380">
        <v>-12.411144999999999</v>
      </c>
      <c r="E380">
        <v>29.876642</v>
      </c>
      <c r="F380" s="1" t="s">
        <v>1498</v>
      </c>
      <c r="G380" s="1" t="s">
        <v>1496</v>
      </c>
    </row>
    <row r="381" spans="1:7" x14ac:dyDescent="0.3">
      <c r="A381" s="1" t="s">
        <v>1628</v>
      </c>
      <c r="B381" s="1" t="s">
        <v>1641</v>
      </c>
      <c r="C381" s="1" t="s">
        <v>57</v>
      </c>
      <c r="D381">
        <v>-5.3337589999999997</v>
      </c>
      <c r="E381">
        <v>13.246924</v>
      </c>
      <c r="F381" s="1" t="s">
        <v>1500</v>
      </c>
      <c r="G381" s="1" t="s">
        <v>1496</v>
      </c>
    </row>
    <row r="382" spans="1:7" x14ac:dyDescent="0.3">
      <c r="A382" s="1" t="s">
        <v>1628</v>
      </c>
      <c r="B382" s="1" t="s">
        <v>838</v>
      </c>
      <c r="C382" s="1" t="s">
        <v>89</v>
      </c>
      <c r="D382">
        <v>-8.1437910000000002</v>
      </c>
      <c r="E382">
        <v>28.946161</v>
      </c>
      <c r="F382" s="1" t="s">
        <v>1498</v>
      </c>
      <c r="G382" s="1" t="s">
        <v>1501</v>
      </c>
    </row>
    <row r="383" spans="1:7" x14ac:dyDescent="0.3">
      <c r="A383" s="1" t="s">
        <v>1628</v>
      </c>
      <c r="B383" s="1" t="s">
        <v>1642</v>
      </c>
      <c r="C383" s="1" t="s">
        <v>44</v>
      </c>
      <c r="D383">
        <v>4.0297190000000001</v>
      </c>
      <c r="E383">
        <v>20.699608000000001</v>
      </c>
      <c r="F383" s="1" t="s">
        <v>1498</v>
      </c>
      <c r="G383" s="1" t="s">
        <v>1496</v>
      </c>
    </row>
    <row r="384" spans="1:7" x14ac:dyDescent="0.3">
      <c r="A384" s="1" t="s">
        <v>1628</v>
      </c>
      <c r="B384" s="1" t="s">
        <v>1643</v>
      </c>
      <c r="C384" s="1" t="s">
        <v>89</v>
      </c>
      <c r="D384">
        <v>-3.2361680000000002</v>
      </c>
      <c r="E384">
        <v>13.523237999999999</v>
      </c>
      <c r="F384" s="1" t="s">
        <v>1498</v>
      </c>
      <c r="G384" s="1" t="s">
        <v>1499</v>
      </c>
    </row>
    <row r="385" spans="1:7" x14ac:dyDescent="0.3">
      <c r="A385" s="1" t="s">
        <v>1628</v>
      </c>
      <c r="B385" s="1" t="s">
        <v>1223</v>
      </c>
      <c r="C385" s="1" t="s">
        <v>64</v>
      </c>
      <c r="D385">
        <v>1.3006180000000001</v>
      </c>
      <c r="E385">
        <v>29.060970999999999</v>
      </c>
      <c r="F385" s="1" t="s">
        <v>1500</v>
      </c>
      <c r="G385" s="1" t="s">
        <v>1501</v>
      </c>
    </row>
    <row r="386" spans="1:7" x14ac:dyDescent="0.3">
      <c r="A386" s="1" t="s">
        <v>1628</v>
      </c>
      <c r="B386" s="1" t="s">
        <v>1644</v>
      </c>
      <c r="C386" s="1" t="s">
        <v>10</v>
      </c>
      <c r="D386">
        <v>1.178453</v>
      </c>
      <c r="E386">
        <v>17.479081000000001</v>
      </c>
      <c r="F386" s="1" t="s">
        <v>1500</v>
      </c>
      <c r="G386" s="1" t="s">
        <v>1496</v>
      </c>
    </row>
    <row r="387" spans="1:7" x14ac:dyDescent="0.3">
      <c r="A387" s="1" t="s">
        <v>1628</v>
      </c>
      <c r="B387" s="1" t="s">
        <v>1645</v>
      </c>
      <c r="C387" s="1" t="s">
        <v>62</v>
      </c>
      <c r="D387">
        <v>-11.542737000000001</v>
      </c>
      <c r="E387">
        <v>30.175912</v>
      </c>
      <c r="F387" s="1" t="s">
        <v>1498</v>
      </c>
      <c r="G387" s="1" t="s">
        <v>1508</v>
      </c>
    </row>
    <row r="388" spans="1:7" x14ac:dyDescent="0.3">
      <c r="A388" s="1" t="s">
        <v>1628</v>
      </c>
      <c r="B388" s="1" t="s">
        <v>1394</v>
      </c>
      <c r="C388" s="1" t="s">
        <v>62</v>
      </c>
      <c r="D388">
        <v>2.8552499999999998</v>
      </c>
      <c r="E388">
        <v>14.077933</v>
      </c>
      <c r="F388" s="1" t="s">
        <v>1498</v>
      </c>
      <c r="G388" s="1" t="s">
        <v>1501</v>
      </c>
    </row>
    <row r="389" spans="1:7" x14ac:dyDescent="0.3">
      <c r="A389" s="1" t="s">
        <v>1628</v>
      </c>
      <c r="B389" s="1" t="s">
        <v>1646</v>
      </c>
      <c r="C389" s="1" t="s">
        <v>26</v>
      </c>
      <c r="D389">
        <v>0.24369399999999999</v>
      </c>
      <c r="E389">
        <v>17.242912</v>
      </c>
      <c r="F389" s="1" t="s">
        <v>1498</v>
      </c>
      <c r="G389" s="1" t="s">
        <v>1508</v>
      </c>
    </row>
    <row r="390" spans="1:7" x14ac:dyDescent="0.3">
      <c r="A390" s="1" t="s">
        <v>1628</v>
      </c>
      <c r="B390" s="1" t="s">
        <v>1647</v>
      </c>
      <c r="C390" s="1" t="s">
        <v>18</v>
      </c>
      <c r="D390">
        <v>-12.013389999999999</v>
      </c>
      <c r="E390">
        <v>25.24456</v>
      </c>
      <c r="F390" s="1" t="s">
        <v>1500</v>
      </c>
      <c r="G390" s="1" t="s">
        <v>1499</v>
      </c>
    </row>
    <row r="391" spans="1:7" x14ac:dyDescent="0.3">
      <c r="A391" s="1" t="s">
        <v>1628</v>
      </c>
      <c r="B391" s="1" t="s">
        <v>1038</v>
      </c>
      <c r="C391" s="1" t="s">
        <v>137</v>
      </c>
      <c r="D391">
        <v>4.0157999999999996</v>
      </c>
      <c r="E391">
        <v>21.430246</v>
      </c>
      <c r="F391" s="1" t="s">
        <v>1495</v>
      </c>
      <c r="G391" s="1" t="s">
        <v>1508</v>
      </c>
    </row>
    <row r="392" spans="1:7" x14ac:dyDescent="0.3">
      <c r="A392" s="1" t="s">
        <v>1628</v>
      </c>
      <c r="B392" s="1" t="s">
        <v>1169</v>
      </c>
      <c r="C392" s="1" t="s">
        <v>73</v>
      </c>
      <c r="D392">
        <v>-0.85624699999999998</v>
      </c>
      <c r="E392">
        <v>28.624870000000001</v>
      </c>
      <c r="F392" s="1" t="s">
        <v>1500</v>
      </c>
      <c r="G392" s="1" t="s">
        <v>1496</v>
      </c>
    </row>
    <row r="393" spans="1:7" x14ac:dyDescent="0.3">
      <c r="A393" s="1" t="s">
        <v>1628</v>
      </c>
      <c r="B393" s="1" t="s">
        <v>1648</v>
      </c>
      <c r="C393" s="1" t="s">
        <v>62</v>
      </c>
      <c r="D393">
        <v>2.9836019999999999</v>
      </c>
      <c r="E393">
        <v>21.893065</v>
      </c>
      <c r="F393" s="1" t="s">
        <v>1495</v>
      </c>
      <c r="G393" s="1" t="s">
        <v>1508</v>
      </c>
    </row>
    <row r="394" spans="1:7" x14ac:dyDescent="0.3">
      <c r="A394" s="1" t="s">
        <v>1628</v>
      </c>
      <c r="B394" s="1" t="s">
        <v>1138</v>
      </c>
      <c r="C394" s="1" t="s">
        <v>10</v>
      </c>
      <c r="D394">
        <v>-11.002602</v>
      </c>
      <c r="E394">
        <v>23.918247999999998</v>
      </c>
      <c r="F394" s="1" t="s">
        <v>1495</v>
      </c>
      <c r="G394" s="1" t="s">
        <v>1501</v>
      </c>
    </row>
    <row r="395" spans="1:7" x14ac:dyDescent="0.3">
      <c r="A395" s="1" t="s">
        <v>1628</v>
      </c>
      <c r="B395" s="1" t="s">
        <v>1649</v>
      </c>
      <c r="C395" s="1" t="s">
        <v>73</v>
      </c>
      <c r="D395">
        <v>-6.419365</v>
      </c>
      <c r="E395">
        <v>17.570219000000002</v>
      </c>
      <c r="F395" s="1" t="s">
        <v>1498</v>
      </c>
      <c r="G395" s="1" t="s">
        <v>1499</v>
      </c>
    </row>
    <row r="396" spans="1:7" x14ac:dyDescent="0.3">
      <c r="A396" s="1" t="s">
        <v>1628</v>
      </c>
      <c r="B396" s="1" t="s">
        <v>1002</v>
      </c>
      <c r="C396" s="1" t="s">
        <v>131</v>
      </c>
      <c r="D396">
        <v>-1.8555980000000001</v>
      </c>
      <c r="E396">
        <v>30.421918000000002</v>
      </c>
      <c r="F396" s="1" t="s">
        <v>1500</v>
      </c>
      <c r="G396" s="1" t="s">
        <v>1501</v>
      </c>
    </row>
    <row r="397" spans="1:7" x14ac:dyDescent="0.3">
      <c r="A397" s="1" t="s">
        <v>1628</v>
      </c>
      <c r="B397" s="1" t="s">
        <v>1131</v>
      </c>
      <c r="C397" s="1" t="s">
        <v>26</v>
      </c>
      <c r="D397">
        <v>-6.4197189999999997</v>
      </c>
      <c r="E397">
        <v>22.287264</v>
      </c>
      <c r="F397" s="1" t="s">
        <v>1500</v>
      </c>
      <c r="G397" s="1" t="s">
        <v>1496</v>
      </c>
    </row>
    <row r="398" spans="1:7" x14ac:dyDescent="0.3">
      <c r="A398" s="1" t="s">
        <v>1628</v>
      </c>
      <c r="B398" s="1" t="s">
        <v>1650</v>
      </c>
      <c r="C398" s="1" t="s">
        <v>24</v>
      </c>
      <c r="D398">
        <v>-9.8451869999999992</v>
      </c>
      <c r="E398">
        <v>14.508520000000001</v>
      </c>
      <c r="F398" s="1" t="s">
        <v>1495</v>
      </c>
      <c r="G398" s="1" t="s">
        <v>1508</v>
      </c>
    </row>
    <row r="399" spans="1:7" x14ac:dyDescent="0.3">
      <c r="A399" s="1" t="s">
        <v>1628</v>
      </c>
      <c r="B399" s="1" t="s">
        <v>870</v>
      </c>
      <c r="C399" s="1" t="s">
        <v>24</v>
      </c>
      <c r="D399">
        <v>-2.9417719999999998</v>
      </c>
      <c r="E399">
        <v>18.587305000000001</v>
      </c>
      <c r="F399" s="1" t="s">
        <v>1495</v>
      </c>
      <c r="G399" s="1" t="s">
        <v>1496</v>
      </c>
    </row>
    <row r="400" spans="1:7" x14ac:dyDescent="0.3">
      <c r="A400" s="1" t="s">
        <v>1628</v>
      </c>
      <c r="B400" s="1" t="s">
        <v>1217</v>
      </c>
      <c r="C400" s="1" t="s">
        <v>37</v>
      </c>
      <c r="D400">
        <v>-11.793894</v>
      </c>
      <c r="E400">
        <v>20.433340999999999</v>
      </c>
      <c r="F400" s="1" t="s">
        <v>1495</v>
      </c>
      <c r="G400" s="1" t="s">
        <v>1508</v>
      </c>
    </row>
    <row r="401" spans="1:7" x14ac:dyDescent="0.3">
      <c r="A401" s="1" t="s">
        <v>1651</v>
      </c>
      <c r="B401" s="1" t="s">
        <v>1652</v>
      </c>
      <c r="C401" s="1" t="s">
        <v>57</v>
      </c>
      <c r="D401">
        <v>0.114899</v>
      </c>
      <c r="E401">
        <v>30.510916000000002</v>
      </c>
      <c r="F401" s="1" t="s">
        <v>1500</v>
      </c>
      <c r="G401" s="1" t="s">
        <v>1508</v>
      </c>
    </row>
    <row r="402" spans="1:7" x14ac:dyDescent="0.3">
      <c r="A402" s="1" t="s">
        <v>1651</v>
      </c>
      <c r="B402" s="1" t="s">
        <v>867</v>
      </c>
      <c r="C402" s="1" t="s">
        <v>24</v>
      </c>
      <c r="D402">
        <v>-5.5445120000000001</v>
      </c>
      <c r="E402">
        <v>27.547335</v>
      </c>
      <c r="F402" s="1" t="s">
        <v>1498</v>
      </c>
      <c r="G402" s="1" t="s">
        <v>1496</v>
      </c>
    </row>
    <row r="403" spans="1:7" x14ac:dyDescent="0.3">
      <c r="A403" s="1" t="s">
        <v>1651</v>
      </c>
      <c r="B403" s="1" t="s">
        <v>1193</v>
      </c>
      <c r="C403" s="1" t="s">
        <v>137</v>
      </c>
      <c r="D403">
        <v>2.0392079999999999</v>
      </c>
      <c r="E403">
        <v>19.090841999999999</v>
      </c>
      <c r="F403" s="1" t="s">
        <v>1498</v>
      </c>
      <c r="G403" s="1" t="s">
        <v>1508</v>
      </c>
    </row>
    <row r="404" spans="1:7" x14ac:dyDescent="0.3">
      <c r="A404" s="1" t="s">
        <v>1651</v>
      </c>
      <c r="B404" s="1" t="s">
        <v>824</v>
      </c>
      <c r="C404" s="1" t="s">
        <v>67</v>
      </c>
      <c r="D404">
        <v>-2.2371569999999998</v>
      </c>
      <c r="E404">
        <v>25.926188</v>
      </c>
      <c r="F404" s="1" t="s">
        <v>1500</v>
      </c>
      <c r="G404" s="1" t="s">
        <v>1508</v>
      </c>
    </row>
    <row r="405" spans="1:7" x14ac:dyDescent="0.3">
      <c r="A405" s="1" t="s">
        <v>1651</v>
      </c>
      <c r="B405" s="1" t="s">
        <v>938</v>
      </c>
      <c r="C405" s="1" t="s">
        <v>33</v>
      </c>
      <c r="D405">
        <v>-10.414493</v>
      </c>
      <c r="E405">
        <v>12.333356999999999</v>
      </c>
      <c r="F405" s="1" t="s">
        <v>1500</v>
      </c>
      <c r="G405" s="1" t="s">
        <v>1496</v>
      </c>
    </row>
    <row r="406" spans="1:7" x14ac:dyDescent="0.3">
      <c r="A406" s="1" t="s">
        <v>1651</v>
      </c>
      <c r="B406" s="1" t="s">
        <v>982</v>
      </c>
      <c r="C406" s="1" t="s">
        <v>64</v>
      </c>
      <c r="D406">
        <v>-7.5418399999999997</v>
      </c>
      <c r="E406">
        <v>16.931206</v>
      </c>
      <c r="F406" s="1" t="s">
        <v>1500</v>
      </c>
      <c r="G406" s="1" t="s">
        <v>1508</v>
      </c>
    </row>
    <row r="407" spans="1:7" x14ac:dyDescent="0.3">
      <c r="A407" s="1" t="s">
        <v>1651</v>
      </c>
      <c r="B407" s="1" t="s">
        <v>1653</v>
      </c>
      <c r="C407" s="1" t="s">
        <v>40</v>
      </c>
      <c r="D407">
        <v>4.7908840000000001</v>
      </c>
      <c r="E407">
        <v>23.051435000000001</v>
      </c>
      <c r="F407" s="1" t="s">
        <v>1500</v>
      </c>
      <c r="G407" s="1" t="s">
        <v>1508</v>
      </c>
    </row>
    <row r="408" spans="1:7" x14ac:dyDescent="0.3">
      <c r="A408" s="1" t="s">
        <v>1651</v>
      </c>
      <c r="B408" s="1" t="s">
        <v>1654</v>
      </c>
      <c r="C408" s="1" t="s">
        <v>60</v>
      </c>
      <c r="D408">
        <v>-3.544581</v>
      </c>
      <c r="E408">
        <v>14.776605</v>
      </c>
      <c r="F408" s="1" t="s">
        <v>1498</v>
      </c>
      <c r="G408" s="1" t="s">
        <v>1508</v>
      </c>
    </row>
    <row r="409" spans="1:7" x14ac:dyDescent="0.3">
      <c r="A409" s="1" t="s">
        <v>1651</v>
      </c>
      <c r="B409" s="1" t="s">
        <v>1150</v>
      </c>
      <c r="C409" s="1" t="s">
        <v>127</v>
      </c>
      <c r="D409">
        <v>-6.9624990000000002</v>
      </c>
      <c r="E409">
        <v>20.759834999999999</v>
      </c>
      <c r="F409" s="1" t="s">
        <v>1498</v>
      </c>
      <c r="G409" s="1" t="s">
        <v>1499</v>
      </c>
    </row>
    <row r="410" spans="1:7" x14ac:dyDescent="0.3">
      <c r="A410" s="1" t="s">
        <v>1651</v>
      </c>
      <c r="B410" s="1" t="s">
        <v>1655</v>
      </c>
      <c r="C410" s="1" t="s">
        <v>13</v>
      </c>
      <c r="D410">
        <v>3.796754</v>
      </c>
      <c r="E410">
        <v>25.172377999999998</v>
      </c>
      <c r="F410" s="1" t="s">
        <v>1498</v>
      </c>
      <c r="G410" s="1" t="s">
        <v>1499</v>
      </c>
    </row>
    <row r="411" spans="1:7" x14ac:dyDescent="0.3">
      <c r="A411" s="1" t="s">
        <v>1651</v>
      </c>
      <c r="B411" s="1" t="s">
        <v>950</v>
      </c>
      <c r="C411" s="1" t="s">
        <v>13</v>
      </c>
      <c r="D411">
        <v>-2.3677800000000002</v>
      </c>
      <c r="E411">
        <v>18.790323999999998</v>
      </c>
      <c r="F411" s="1" t="s">
        <v>1495</v>
      </c>
      <c r="G411" s="1" t="s">
        <v>1499</v>
      </c>
    </row>
    <row r="412" spans="1:7" x14ac:dyDescent="0.3">
      <c r="A412" s="1" t="s">
        <v>1651</v>
      </c>
      <c r="B412" s="1" t="s">
        <v>1656</v>
      </c>
      <c r="C412" s="1" t="s">
        <v>40</v>
      </c>
      <c r="D412">
        <v>-6.236097</v>
      </c>
      <c r="E412">
        <v>13.004878</v>
      </c>
      <c r="F412" s="1" t="s">
        <v>1498</v>
      </c>
      <c r="G412" s="1" t="s">
        <v>1496</v>
      </c>
    </row>
    <row r="413" spans="1:7" x14ac:dyDescent="0.3">
      <c r="A413" s="1" t="s">
        <v>1651</v>
      </c>
      <c r="B413" s="1" t="s">
        <v>1657</v>
      </c>
      <c r="C413" s="1" t="s">
        <v>73</v>
      </c>
      <c r="D413">
        <v>-12.88086</v>
      </c>
      <c r="E413">
        <v>18.862106000000001</v>
      </c>
      <c r="F413" s="1" t="s">
        <v>1500</v>
      </c>
      <c r="G413" s="1" t="s">
        <v>1508</v>
      </c>
    </row>
    <row r="414" spans="1:7" x14ac:dyDescent="0.3">
      <c r="A414" s="1" t="s">
        <v>1651</v>
      </c>
      <c r="B414" s="1" t="s">
        <v>1658</v>
      </c>
      <c r="C414" s="1" t="s">
        <v>131</v>
      </c>
      <c r="D414">
        <v>-1.501492</v>
      </c>
      <c r="E414">
        <v>24.088695999999999</v>
      </c>
      <c r="F414" s="1" t="s">
        <v>1498</v>
      </c>
      <c r="G414" s="1" t="s">
        <v>1508</v>
      </c>
    </row>
    <row r="415" spans="1:7" x14ac:dyDescent="0.3">
      <c r="A415" s="1" t="s">
        <v>1651</v>
      </c>
      <c r="B415" s="1" t="s">
        <v>1469</v>
      </c>
      <c r="C415" s="1" t="s">
        <v>33</v>
      </c>
      <c r="D415">
        <v>-8.0800809999999998</v>
      </c>
      <c r="E415">
        <v>30.147970999999998</v>
      </c>
      <c r="F415" s="1" t="s">
        <v>1495</v>
      </c>
      <c r="G415" s="1" t="s">
        <v>1499</v>
      </c>
    </row>
    <row r="416" spans="1:7" x14ac:dyDescent="0.3">
      <c r="A416" s="1" t="s">
        <v>1651</v>
      </c>
      <c r="B416" s="1" t="s">
        <v>1659</v>
      </c>
      <c r="C416" s="1" t="s">
        <v>26</v>
      </c>
      <c r="D416">
        <v>-9.8519260000000006</v>
      </c>
      <c r="E416">
        <v>12.925583</v>
      </c>
      <c r="F416" s="1" t="s">
        <v>1495</v>
      </c>
      <c r="G416" s="1" t="s">
        <v>1496</v>
      </c>
    </row>
    <row r="417" spans="1:7" x14ac:dyDescent="0.3">
      <c r="A417" s="1" t="s">
        <v>1651</v>
      </c>
      <c r="B417" s="1" t="s">
        <v>961</v>
      </c>
      <c r="C417" s="1" t="s">
        <v>78</v>
      </c>
      <c r="D417">
        <v>-4.6818410000000004</v>
      </c>
      <c r="E417">
        <v>17.541618</v>
      </c>
      <c r="F417" s="1" t="s">
        <v>1498</v>
      </c>
      <c r="G417" s="1" t="s">
        <v>1496</v>
      </c>
    </row>
    <row r="418" spans="1:7" x14ac:dyDescent="0.3">
      <c r="A418" s="1" t="s">
        <v>1651</v>
      </c>
      <c r="B418" s="1" t="s">
        <v>1660</v>
      </c>
      <c r="C418" s="1" t="s">
        <v>31</v>
      </c>
      <c r="D418">
        <v>-2.7775059999999998</v>
      </c>
      <c r="E418">
        <v>24.139983999999998</v>
      </c>
      <c r="F418" s="1" t="s">
        <v>1500</v>
      </c>
      <c r="G418" s="1" t="s">
        <v>1496</v>
      </c>
    </row>
    <row r="419" spans="1:7" x14ac:dyDescent="0.3">
      <c r="A419" s="1" t="s">
        <v>1651</v>
      </c>
      <c r="B419" s="1" t="s">
        <v>1661</v>
      </c>
      <c r="C419" s="1" t="s">
        <v>31</v>
      </c>
      <c r="D419">
        <v>3.4676979999999999</v>
      </c>
      <c r="E419">
        <v>13.459707</v>
      </c>
      <c r="F419" s="1" t="s">
        <v>1495</v>
      </c>
      <c r="G419" s="1" t="s">
        <v>1499</v>
      </c>
    </row>
    <row r="420" spans="1:7" x14ac:dyDescent="0.3">
      <c r="A420" s="1" t="s">
        <v>1651</v>
      </c>
      <c r="B420" s="1" t="s">
        <v>1148</v>
      </c>
      <c r="C420" s="1" t="s">
        <v>73</v>
      </c>
      <c r="D420">
        <v>-9.4133639999999996</v>
      </c>
      <c r="E420">
        <v>15.682482</v>
      </c>
      <c r="F420" s="1" t="s">
        <v>1498</v>
      </c>
      <c r="G420" s="1" t="s">
        <v>1499</v>
      </c>
    </row>
    <row r="421" spans="1:7" x14ac:dyDescent="0.3">
      <c r="A421" s="1" t="s">
        <v>1651</v>
      </c>
      <c r="B421" s="1" t="s">
        <v>1346</v>
      </c>
      <c r="C421" s="1" t="s">
        <v>62</v>
      </c>
      <c r="D421">
        <v>1.981107</v>
      </c>
      <c r="E421">
        <v>23.932569000000001</v>
      </c>
      <c r="F421" s="1" t="s">
        <v>1500</v>
      </c>
      <c r="G421" s="1" t="s">
        <v>1508</v>
      </c>
    </row>
    <row r="422" spans="1:7" x14ac:dyDescent="0.3">
      <c r="A422" s="1" t="s">
        <v>1651</v>
      </c>
      <c r="B422" s="1" t="s">
        <v>1219</v>
      </c>
      <c r="C422" s="1" t="s">
        <v>13</v>
      </c>
      <c r="D422">
        <v>-7.789663</v>
      </c>
      <c r="E422">
        <v>26.529098000000001</v>
      </c>
      <c r="F422" s="1" t="s">
        <v>1495</v>
      </c>
      <c r="G422" s="1" t="s">
        <v>1508</v>
      </c>
    </row>
    <row r="423" spans="1:7" x14ac:dyDescent="0.3">
      <c r="A423" s="1" t="s">
        <v>1651</v>
      </c>
      <c r="B423" s="1" t="s">
        <v>1119</v>
      </c>
      <c r="C423" s="1" t="s">
        <v>21</v>
      </c>
      <c r="D423">
        <v>-4.1694589999999998</v>
      </c>
      <c r="E423">
        <v>23.376487000000001</v>
      </c>
      <c r="F423" s="1" t="s">
        <v>1500</v>
      </c>
      <c r="G423" s="1" t="s">
        <v>1508</v>
      </c>
    </row>
    <row r="424" spans="1:7" x14ac:dyDescent="0.3">
      <c r="A424" s="1" t="s">
        <v>1651</v>
      </c>
      <c r="B424" s="1" t="s">
        <v>905</v>
      </c>
      <c r="C424" s="1" t="s">
        <v>131</v>
      </c>
      <c r="D424">
        <v>1.8103860000000001</v>
      </c>
      <c r="E424">
        <v>15.175582</v>
      </c>
      <c r="F424" s="1" t="s">
        <v>1500</v>
      </c>
      <c r="G424" s="1" t="s">
        <v>1499</v>
      </c>
    </row>
    <row r="425" spans="1:7" x14ac:dyDescent="0.3">
      <c r="A425" s="1" t="s">
        <v>1651</v>
      </c>
      <c r="B425" s="1" t="s">
        <v>1456</v>
      </c>
      <c r="C425" s="1" t="s">
        <v>44</v>
      </c>
      <c r="D425">
        <v>-7.5641280000000002</v>
      </c>
      <c r="E425">
        <v>18.129529999999999</v>
      </c>
      <c r="F425" s="1" t="s">
        <v>1500</v>
      </c>
      <c r="G425" s="1" t="s">
        <v>1499</v>
      </c>
    </row>
    <row r="426" spans="1:7" x14ac:dyDescent="0.3">
      <c r="A426" s="1" t="s">
        <v>1651</v>
      </c>
      <c r="B426" s="1" t="s">
        <v>837</v>
      </c>
      <c r="C426" s="1" t="s">
        <v>37</v>
      </c>
      <c r="D426">
        <v>-2.4662510000000002</v>
      </c>
      <c r="E426">
        <v>18.007998000000001</v>
      </c>
      <c r="F426" s="1" t="s">
        <v>1495</v>
      </c>
      <c r="G426" s="1" t="s">
        <v>1496</v>
      </c>
    </row>
    <row r="427" spans="1:7" x14ac:dyDescent="0.3">
      <c r="A427" s="1" t="s">
        <v>1651</v>
      </c>
      <c r="B427" s="1" t="s">
        <v>1662</v>
      </c>
      <c r="C427" s="1" t="s">
        <v>10</v>
      </c>
      <c r="D427">
        <v>-4.1061909999999999</v>
      </c>
      <c r="E427">
        <v>28.054902999999999</v>
      </c>
      <c r="F427" s="1" t="s">
        <v>1500</v>
      </c>
      <c r="G427" s="1" t="s">
        <v>1499</v>
      </c>
    </row>
    <row r="428" spans="1:7" x14ac:dyDescent="0.3">
      <c r="A428" s="1" t="s">
        <v>1651</v>
      </c>
      <c r="B428" s="1" t="s">
        <v>1094</v>
      </c>
      <c r="C428" s="1" t="s">
        <v>21</v>
      </c>
      <c r="D428">
        <v>0.31740800000000002</v>
      </c>
      <c r="E428">
        <v>27.197666999999999</v>
      </c>
      <c r="F428" s="1" t="s">
        <v>1495</v>
      </c>
      <c r="G428" s="1" t="s">
        <v>1508</v>
      </c>
    </row>
    <row r="429" spans="1:7" x14ac:dyDescent="0.3">
      <c r="A429" s="1" t="s">
        <v>1651</v>
      </c>
      <c r="B429" s="1" t="s">
        <v>1349</v>
      </c>
      <c r="C429" s="1" t="s">
        <v>131</v>
      </c>
      <c r="D429">
        <v>-8.9586360000000003</v>
      </c>
      <c r="E429">
        <v>17.157720000000001</v>
      </c>
      <c r="F429" s="1" t="s">
        <v>1500</v>
      </c>
      <c r="G429" s="1" t="s">
        <v>1508</v>
      </c>
    </row>
    <row r="430" spans="1:7" x14ac:dyDescent="0.3">
      <c r="A430" s="1" t="s">
        <v>1651</v>
      </c>
      <c r="B430" s="1" t="s">
        <v>1081</v>
      </c>
      <c r="C430" s="1" t="s">
        <v>21</v>
      </c>
      <c r="D430">
        <v>1.2419519999999999</v>
      </c>
      <c r="E430">
        <v>25.261382999999999</v>
      </c>
      <c r="F430" s="1" t="s">
        <v>1498</v>
      </c>
      <c r="G430" s="1" t="s">
        <v>1499</v>
      </c>
    </row>
    <row r="431" spans="1:7" x14ac:dyDescent="0.3">
      <c r="A431" s="1" t="s">
        <v>1651</v>
      </c>
      <c r="B431" s="1" t="s">
        <v>1366</v>
      </c>
      <c r="C431" s="1" t="s">
        <v>64</v>
      </c>
      <c r="D431">
        <v>-10.227569000000001</v>
      </c>
      <c r="E431">
        <v>18.887930999999998</v>
      </c>
      <c r="F431" s="1" t="s">
        <v>1500</v>
      </c>
      <c r="G431" s="1" t="s">
        <v>1501</v>
      </c>
    </row>
    <row r="432" spans="1:7" x14ac:dyDescent="0.3">
      <c r="A432" s="1" t="s">
        <v>1651</v>
      </c>
      <c r="B432" s="1" t="s">
        <v>1042</v>
      </c>
      <c r="C432" s="1" t="s">
        <v>35</v>
      </c>
      <c r="D432">
        <v>-7.5969509999999998</v>
      </c>
      <c r="E432">
        <v>22.153986</v>
      </c>
      <c r="F432" s="1" t="s">
        <v>1500</v>
      </c>
      <c r="G432" s="1" t="s">
        <v>1496</v>
      </c>
    </row>
    <row r="433" spans="1:7" x14ac:dyDescent="0.3">
      <c r="A433" s="1" t="s">
        <v>1651</v>
      </c>
      <c r="B433" s="1" t="s">
        <v>1356</v>
      </c>
      <c r="C433" s="1" t="s">
        <v>21</v>
      </c>
      <c r="D433">
        <v>-1.4700059999999999</v>
      </c>
      <c r="E433">
        <v>18.680958</v>
      </c>
      <c r="F433" s="1" t="s">
        <v>1500</v>
      </c>
      <c r="G433" s="1" t="s">
        <v>1499</v>
      </c>
    </row>
    <row r="434" spans="1:7" x14ac:dyDescent="0.3">
      <c r="A434" s="1" t="s">
        <v>1651</v>
      </c>
      <c r="B434" s="1" t="s">
        <v>1071</v>
      </c>
      <c r="C434" s="1" t="s">
        <v>21</v>
      </c>
      <c r="D434">
        <v>-1.5419050000000001</v>
      </c>
      <c r="E434">
        <v>14.730632999999999</v>
      </c>
      <c r="F434" s="1" t="s">
        <v>1500</v>
      </c>
      <c r="G434" s="1" t="s">
        <v>1501</v>
      </c>
    </row>
    <row r="435" spans="1:7" x14ac:dyDescent="0.3">
      <c r="A435" s="1" t="s">
        <v>1651</v>
      </c>
      <c r="B435" s="1" t="s">
        <v>1475</v>
      </c>
      <c r="C435" s="1" t="s">
        <v>35</v>
      </c>
      <c r="D435">
        <v>-10.764815</v>
      </c>
      <c r="E435">
        <v>14.602039</v>
      </c>
      <c r="F435" s="1" t="s">
        <v>1498</v>
      </c>
      <c r="G435" s="1" t="s">
        <v>1508</v>
      </c>
    </row>
    <row r="436" spans="1:7" x14ac:dyDescent="0.3">
      <c r="A436" s="1" t="s">
        <v>1651</v>
      </c>
      <c r="B436" s="1" t="s">
        <v>1111</v>
      </c>
      <c r="C436" s="1" t="s">
        <v>127</v>
      </c>
      <c r="D436">
        <v>-1.013558</v>
      </c>
      <c r="E436">
        <v>17.346937</v>
      </c>
      <c r="F436" s="1" t="s">
        <v>1495</v>
      </c>
      <c r="G436" s="1" t="s">
        <v>1499</v>
      </c>
    </row>
    <row r="437" spans="1:7" x14ac:dyDescent="0.3">
      <c r="A437" s="1" t="s">
        <v>1651</v>
      </c>
      <c r="B437" s="1" t="s">
        <v>1472</v>
      </c>
      <c r="C437" s="1" t="s">
        <v>60</v>
      </c>
      <c r="D437">
        <v>-7.8215969999999997</v>
      </c>
      <c r="E437">
        <v>26.797349000000001</v>
      </c>
      <c r="F437" s="1" t="s">
        <v>1500</v>
      </c>
      <c r="G437" s="1" t="s">
        <v>1496</v>
      </c>
    </row>
    <row r="438" spans="1:7" x14ac:dyDescent="0.3">
      <c r="A438" s="1" t="s">
        <v>1651</v>
      </c>
      <c r="B438" s="1" t="s">
        <v>884</v>
      </c>
      <c r="C438" s="1" t="s">
        <v>40</v>
      </c>
      <c r="D438">
        <v>-9.7712979999999998</v>
      </c>
      <c r="E438">
        <v>19.827895999999999</v>
      </c>
      <c r="F438" s="1" t="s">
        <v>1500</v>
      </c>
      <c r="G438" s="1" t="s">
        <v>1501</v>
      </c>
    </row>
    <row r="439" spans="1:7" x14ac:dyDescent="0.3">
      <c r="A439" s="1" t="s">
        <v>1651</v>
      </c>
      <c r="B439" s="1" t="s">
        <v>1663</v>
      </c>
      <c r="C439" s="1" t="s">
        <v>33</v>
      </c>
      <c r="D439">
        <v>3.3222779999999998</v>
      </c>
      <c r="E439">
        <v>29.497240000000001</v>
      </c>
      <c r="F439" s="1" t="s">
        <v>1500</v>
      </c>
      <c r="G439" s="1" t="s">
        <v>1501</v>
      </c>
    </row>
    <row r="440" spans="1:7" x14ac:dyDescent="0.3">
      <c r="A440" s="1" t="s">
        <v>1651</v>
      </c>
      <c r="B440" s="1" t="s">
        <v>1345</v>
      </c>
      <c r="C440" s="1" t="s">
        <v>18</v>
      </c>
      <c r="D440">
        <v>-1.3938550000000001</v>
      </c>
      <c r="E440">
        <v>15.097554000000001</v>
      </c>
      <c r="F440" s="1" t="s">
        <v>1498</v>
      </c>
      <c r="G440" s="1" t="s">
        <v>1499</v>
      </c>
    </row>
    <row r="441" spans="1:7" x14ac:dyDescent="0.3">
      <c r="A441" s="1" t="s">
        <v>1651</v>
      </c>
      <c r="B441" s="1" t="s">
        <v>1249</v>
      </c>
      <c r="C441" s="1" t="s">
        <v>127</v>
      </c>
      <c r="D441">
        <v>-12.488033</v>
      </c>
      <c r="E441">
        <v>16.139648000000001</v>
      </c>
      <c r="F441" s="1" t="s">
        <v>1498</v>
      </c>
      <c r="G441" s="1" t="s">
        <v>1499</v>
      </c>
    </row>
    <row r="442" spans="1:7" x14ac:dyDescent="0.3">
      <c r="A442" s="1" t="s">
        <v>1651</v>
      </c>
      <c r="B442" s="1" t="s">
        <v>1664</v>
      </c>
      <c r="C442" s="1" t="s">
        <v>18</v>
      </c>
      <c r="D442">
        <v>0.76493</v>
      </c>
      <c r="E442">
        <v>21.564274999999999</v>
      </c>
      <c r="F442" s="1" t="s">
        <v>1500</v>
      </c>
      <c r="G442" s="1" t="s">
        <v>1501</v>
      </c>
    </row>
    <row r="443" spans="1:7" x14ac:dyDescent="0.3">
      <c r="A443" s="1" t="s">
        <v>1651</v>
      </c>
      <c r="B443" s="1" t="s">
        <v>1101</v>
      </c>
      <c r="C443" s="1" t="s">
        <v>10</v>
      </c>
      <c r="D443">
        <v>-4.1250960000000001</v>
      </c>
      <c r="E443">
        <v>27.799897999999999</v>
      </c>
      <c r="F443" s="1" t="s">
        <v>1500</v>
      </c>
      <c r="G443" s="1" t="s">
        <v>1508</v>
      </c>
    </row>
    <row r="444" spans="1:7" x14ac:dyDescent="0.3">
      <c r="A444" s="1" t="s">
        <v>1651</v>
      </c>
      <c r="B444" s="1" t="s">
        <v>880</v>
      </c>
      <c r="C444" s="1" t="s">
        <v>24</v>
      </c>
      <c r="D444">
        <v>4.4712560000000003</v>
      </c>
      <c r="E444">
        <v>27.107028</v>
      </c>
      <c r="F444" s="1" t="s">
        <v>1500</v>
      </c>
      <c r="G444" s="1" t="s">
        <v>1496</v>
      </c>
    </row>
    <row r="445" spans="1:7" x14ac:dyDescent="0.3">
      <c r="A445" s="1" t="s">
        <v>1651</v>
      </c>
      <c r="B445" s="1" t="s">
        <v>1395</v>
      </c>
      <c r="C445" s="1" t="s">
        <v>127</v>
      </c>
      <c r="D445">
        <v>-2.2199559999999998</v>
      </c>
      <c r="E445">
        <v>22.614449</v>
      </c>
      <c r="F445" s="1" t="s">
        <v>1500</v>
      </c>
      <c r="G445" s="1" t="s">
        <v>1508</v>
      </c>
    </row>
    <row r="446" spans="1:7" x14ac:dyDescent="0.3">
      <c r="A446" s="1" t="s">
        <v>1651</v>
      </c>
      <c r="B446" s="1" t="s">
        <v>1170</v>
      </c>
      <c r="C446" s="1" t="s">
        <v>35</v>
      </c>
      <c r="D446">
        <v>-6.4883290000000002</v>
      </c>
      <c r="E446">
        <v>25.103404000000001</v>
      </c>
      <c r="F446" s="1" t="s">
        <v>1495</v>
      </c>
      <c r="G446" s="1" t="s">
        <v>1501</v>
      </c>
    </row>
    <row r="447" spans="1:7" x14ac:dyDescent="0.3">
      <c r="A447" s="1" t="s">
        <v>1651</v>
      </c>
      <c r="B447" s="1" t="s">
        <v>1005</v>
      </c>
      <c r="C447" s="1" t="s">
        <v>29</v>
      </c>
      <c r="D447">
        <v>-4.351254</v>
      </c>
      <c r="E447">
        <v>30.097408999999999</v>
      </c>
      <c r="F447" s="1" t="s">
        <v>1495</v>
      </c>
      <c r="G447" s="1" t="s">
        <v>1508</v>
      </c>
    </row>
    <row r="448" spans="1:7" x14ac:dyDescent="0.3">
      <c r="A448" s="1" t="s">
        <v>1651</v>
      </c>
      <c r="B448" s="1" t="s">
        <v>1454</v>
      </c>
      <c r="C448" s="1" t="s">
        <v>24</v>
      </c>
      <c r="D448">
        <v>-5.1507670000000001</v>
      </c>
      <c r="E448">
        <v>28.075324999999999</v>
      </c>
      <c r="F448" s="1" t="s">
        <v>1495</v>
      </c>
      <c r="G448" s="1" t="s">
        <v>1499</v>
      </c>
    </row>
    <row r="449" spans="1:7" x14ac:dyDescent="0.3">
      <c r="A449" s="1" t="s">
        <v>1651</v>
      </c>
      <c r="B449" s="1" t="s">
        <v>1665</v>
      </c>
      <c r="C449" s="1" t="s">
        <v>18</v>
      </c>
      <c r="D449">
        <v>-8.3575920000000004</v>
      </c>
      <c r="E449">
        <v>25.538395000000001</v>
      </c>
      <c r="F449" s="1" t="s">
        <v>1500</v>
      </c>
      <c r="G449" s="1" t="s">
        <v>1501</v>
      </c>
    </row>
    <row r="450" spans="1:7" x14ac:dyDescent="0.3">
      <c r="A450" s="1" t="s">
        <v>1651</v>
      </c>
      <c r="B450" s="1" t="s">
        <v>1666</v>
      </c>
      <c r="C450" s="1" t="s">
        <v>10</v>
      </c>
      <c r="D450">
        <v>-0.65356899999999996</v>
      </c>
      <c r="E450">
        <v>25.343032999999998</v>
      </c>
      <c r="F450" s="1" t="s">
        <v>1498</v>
      </c>
      <c r="G450" s="1" t="s">
        <v>1496</v>
      </c>
    </row>
    <row r="451" spans="1:7" x14ac:dyDescent="0.3">
      <c r="A451" s="1" t="s">
        <v>1667</v>
      </c>
      <c r="B451" s="1" t="s">
        <v>1668</v>
      </c>
      <c r="C451" s="1" t="s">
        <v>62</v>
      </c>
      <c r="D451">
        <v>-2.290705</v>
      </c>
      <c r="E451">
        <v>19.150395</v>
      </c>
      <c r="F451" s="1" t="s">
        <v>1495</v>
      </c>
      <c r="G451" s="1" t="s">
        <v>1496</v>
      </c>
    </row>
    <row r="452" spans="1:7" x14ac:dyDescent="0.3">
      <c r="A452" s="1" t="s">
        <v>1667</v>
      </c>
      <c r="B452" s="1" t="s">
        <v>819</v>
      </c>
      <c r="C452" s="1" t="s">
        <v>40</v>
      </c>
      <c r="D452">
        <v>4.8319039999999998</v>
      </c>
      <c r="E452">
        <v>20.733468999999999</v>
      </c>
      <c r="F452" s="1" t="s">
        <v>1495</v>
      </c>
      <c r="G452" s="1" t="s">
        <v>1496</v>
      </c>
    </row>
    <row r="453" spans="1:7" x14ac:dyDescent="0.3">
      <c r="A453" s="1" t="s">
        <v>1667</v>
      </c>
      <c r="B453" s="1" t="s">
        <v>1669</v>
      </c>
      <c r="C453" s="1" t="s">
        <v>78</v>
      </c>
      <c r="D453">
        <v>-10.790281</v>
      </c>
      <c r="E453">
        <v>12.624336</v>
      </c>
      <c r="F453" s="1" t="s">
        <v>1498</v>
      </c>
      <c r="G453" s="1" t="s">
        <v>1508</v>
      </c>
    </row>
    <row r="454" spans="1:7" x14ac:dyDescent="0.3">
      <c r="A454" s="1" t="s">
        <v>1667</v>
      </c>
      <c r="B454" s="1" t="s">
        <v>1670</v>
      </c>
      <c r="C454" s="1" t="s">
        <v>26</v>
      </c>
      <c r="D454">
        <v>2.0859640000000002</v>
      </c>
      <c r="E454">
        <v>22.576664000000001</v>
      </c>
      <c r="F454" s="1" t="s">
        <v>1498</v>
      </c>
      <c r="G454" s="1" t="s">
        <v>1501</v>
      </c>
    </row>
    <row r="455" spans="1:7" x14ac:dyDescent="0.3">
      <c r="A455" s="1" t="s">
        <v>1667</v>
      </c>
      <c r="B455" s="1" t="s">
        <v>1257</v>
      </c>
      <c r="C455" s="1" t="s">
        <v>51</v>
      </c>
      <c r="D455">
        <v>5.3608999999999997E-2</v>
      </c>
      <c r="E455">
        <v>28.346852999999999</v>
      </c>
      <c r="F455" s="1" t="s">
        <v>1500</v>
      </c>
      <c r="G455" s="1" t="s">
        <v>1501</v>
      </c>
    </row>
    <row r="456" spans="1:7" x14ac:dyDescent="0.3">
      <c r="A456" s="1" t="s">
        <v>1667</v>
      </c>
      <c r="B456" s="1" t="s">
        <v>1308</v>
      </c>
      <c r="C456" s="1" t="s">
        <v>131</v>
      </c>
      <c r="D456">
        <v>-7.9866700000000002</v>
      </c>
      <c r="E456">
        <v>17.757847000000002</v>
      </c>
      <c r="F456" s="1" t="s">
        <v>1495</v>
      </c>
      <c r="G456" s="1" t="s">
        <v>1499</v>
      </c>
    </row>
    <row r="457" spans="1:7" x14ac:dyDescent="0.3">
      <c r="A457" s="1" t="s">
        <v>1667</v>
      </c>
      <c r="B457" s="1" t="s">
        <v>1381</v>
      </c>
      <c r="C457" s="1" t="s">
        <v>35</v>
      </c>
      <c r="D457">
        <v>-0.157111</v>
      </c>
      <c r="E457">
        <v>25.415125</v>
      </c>
      <c r="F457" s="1" t="s">
        <v>1498</v>
      </c>
      <c r="G457" s="1" t="s">
        <v>1496</v>
      </c>
    </row>
    <row r="458" spans="1:7" x14ac:dyDescent="0.3">
      <c r="A458" s="1" t="s">
        <v>1667</v>
      </c>
      <c r="B458" s="1" t="s">
        <v>1671</v>
      </c>
      <c r="C458" s="1" t="s">
        <v>127</v>
      </c>
      <c r="D458">
        <v>-2.5254650000000001</v>
      </c>
      <c r="E458">
        <v>21.338113</v>
      </c>
      <c r="F458" s="1" t="s">
        <v>1495</v>
      </c>
      <c r="G458" s="1" t="s">
        <v>1508</v>
      </c>
    </row>
    <row r="459" spans="1:7" x14ac:dyDescent="0.3">
      <c r="A459" s="1" t="s">
        <v>1667</v>
      </c>
      <c r="B459" s="1" t="s">
        <v>1178</v>
      </c>
      <c r="C459" s="1" t="s">
        <v>31</v>
      </c>
      <c r="D459">
        <v>-8.0864899999999995</v>
      </c>
      <c r="E459">
        <v>14.555277</v>
      </c>
      <c r="F459" s="1" t="s">
        <v>1500</v>
      </c>
      <c r="G459" s="1" t="s">
        <v>1496</v>
      </c>
    </row>
    <row r="460" spans="1:7" x14ac:dyDescent="0.3">
      <c r="A460" s="1" t="s">
        <v>1667</v>
      </c>
      <c r="B460" s="1" t="s">
        <v>998</v>
      </c>
      <c r="C460" s="1" t="s">
        <v>18</v>
      </c>
      <c r="D460">
        <v>1.210869</v>
      </c>
      <c r="E460">
        <v>25.598741</v>
      </c>
      <c r="F460" s="1" t="s">
        <v>1498</v>
      </c>
      <c r="G460" s="1" t="s">
        <v>1496</v>
      </c>
    </row>
    <row r="461" spans="1:7" x14ac:dyDescent="0.3">
      <c r="A461" s="1" t="s">
        <v>1667</v>
      </c>
      <c r="B461" s="1" t="s">
        <v>1116</v>
      </c>
      <c r="C461" s="1" t="s">
        <v>35</v>
      </c>
      <c r="D461">
        <v>-1.4110389999999999</v>
      </c>
      <c r="E461">
        <v>21.261644</v>
      </c>
      <c r="F461" s="1" t="s">
        <v>1498</v>
      </c>
      <c r="G461" s="1" t="s">
        <v>1501</v>
      </c>
    </row>
    <row r="462" spans="1:7" x14ac:dyDescent="0.3">
      <c r="A462" s="1" t="s">
        <v>1667</v>
      </c>
      <c r="B462" s="1" t="s">
        <v>1486</v>
      </c>
      <c r="C462" s="1" t="s">
        <v>13</v>
      </c>
      <c r="D462">
        <v>-5.7957599999999996</v>
      </c>
      <c r="E462">
        <v>14.078258</v>
      </c>
      <c r="F462" s="1" t="s">
        <v>1495</v>
      </c>
      <c r="G462" s="1" t="s">
        <v>1496</v>
      </c>
    </row>
    <row r="463" spans="1:7" x14ac:dyDescent="0.3">
      <c r="A463" s="1" t="s">
        <v>1667</v>
      </c>
      <c r="B463" s="1" t="s">
        <v>948</v>
      </c>
      <c r="C463" s="1" t="s">
        <v>127</v>
      </c>
      <c r="D463">
        <v>-4.4351269999999996</v>
      </c>
      <c r="E463">
        <v>24.825467</v>
      </c>
      <c r="F463" s="1" t="s">
        <v>1498</v>
      </c>
      <c r="G463" s="1" t="s">
        <v>1499</v>
      </c>
    </row>
    <row r="464" spans="1:7" x14ac:dyDescent="0.3">
      <c r="A464" s="1" t="s">
        <v>1667</v>
      </c>
      <c r="B464" s="1" t="s">
        <v>1672</v>
      </c>
      <c r="C464" s="1" t="s">
        <v>57</v>
      </c>
      <c r="D464">
        <v>-2.1430220000000002</v>
      </c>
      <c r="E464">
        <v>24.541492999999999</v>
      </c>
      <c r="F464" s="1" t="s">
        <v>1498</v>
      </c>
      <c r="G464" s="1" t="s">
        <v>1501</v>
      </c>
    </row>
    <row r="465" spans="1:7" x14ac:dyDescent="0.3">
      <c r="A465" s="1" t="s">
        <v>1667</v>
      </c>
      <c r="B465" s="1" t="s">
        <v>1200</v>
      </c>
      <c r="C465" s="1" t="s">
        <v>60</v>
      </c>
      <c r="D465">
        <v>-5.7200150000000001</v>
      </c>
      <c r="E465">
        <v>25.022109</v>
      </c>
      <c r="F465" s="1" t="s">
        <v>1495</v>
      </c>
      <c r="G465" s="1" t="s">
        <v>1501</v>
      </c>
    </row>
    <row r="466" spans="1:7" x14ac:dyDescent="0.3">
      <c r="A466" s="1" t="s">
        <v>1667</v>
      </c>
      <c r="B466" s="1" t="s">
        <v>1673</v>
      </c>
      <c r="C466" s="1" t="s">
        <v>10</v>
      </c>
      <c r="D466">
        <v>-4.2784089999999999</v>
      </c>
      <c r="E466">
        <v>22.871994000000001</v>
      </c>
      <c r="F466" s="1" t="s">
        <v>1500</v>
      </c>
      <c r="G466" s="1" t="s">
        <v>1496</v>
      </c>
    </row>
    <row r="467" spans="1:7" x14ac:dyDescent="0.3">
      <c r="A467" s="1" t="s">
        <v>1667</v>
      </c>
      <c r="B467" s="1" t="s">
        <v>1674</v>
      </c>
      <c r="C467" s="1" t="s">
        <v>35</v>
      </c>
      <c r="D467">
        <v>-7.9799689999999996</v>
      </c>
      <c r="E467">
        <v>21.042310000000001</v>
      </c>
      <c r="F467" s="1" t="s">
        <v>1498</v>
      </c>
      <c r="G467" s="1" t="s">
        <v>1501</v>
      </c>
    </row>
    <row r="468" spans="1:7" x14ac:dyDescent="0.3">
      <c r="A468" s="1" t="s">
        <v>1667</v>
      </c>
      <c r="B468" s="1" t="s">
        <v>1675</v>
      </c>
      <c r="C468" s="1" t="s">
        <v>10</v>
      </c>
      <c r="D468">
        <v>0.82399199999999995</v>
      </c>
      <c r="E468">
        <v>28.232678</v>
      </c>
      <c r="F468" s="1" t="s">
        <v>1500</v>
      </c>
      <c r="G468" s="1" t="s">
        <v>1499</v>
      </c>
    </row>
    <row r="469" spans="1:7" x14ac:dyDescent="0.3">
      <c r="A469" s="1" t="s">
        <v>1667</v>
      </c>
      <c r="B469" s="1" t="s">
        <v>1676</v>
      </c>
      <c r="C469" s="1" t="s">
        <v>33</v>
      </c>
      <c r="D469">
        <v>-11.055339999999999</v>
      </c>
      <c r="E469">
        <v>21.627016000000001</v>
      </c>
      <c r="F469" s="1" t="s">
        <v>1495</v>
      </c>
      <c r="G469" s="1" t="s">
        <v>1508</v>
      </c>
    </row>
    <row r="470" spans="1:7" x14ac:dyDescent="0.3">
      <c r="A470" s="1" t="s">
        <v>1667</v>
      </c>
      <c r="B470" s="1" t="s">
        <v>1677</v>
      </c>
      <c r="C470" s="1" t="s">
        <v>24</v>
      </c>
      <c r="D470">
        <v>-4.0490719999999998</v>
      </c>
      <c r="E470">
        <v>21.399131000000001</v>
      </c>
      <c r="F470" s="1" t="s">
        <v>1500</v>
      </c>
      <c r="G470" s="1" t="s">
        <v>1501</v>
      </c>
    </row>
    <row r="471" spans="1:7" x14ac:dyDescent="0.3">
      <c r="A471" s="1" t="s">
        <v>1667</v>
      </c>
      <c r="B471" s="1" t="s">
        <v>1455</v>
      </c>
      <c r="C471" s="1" t="s">
        <v>26</v>
      </c>
      <c r="D471">
        <v>-1.6893210000000001</v>
      </c>
      <c r="E471">
        <v>30.446543999999999</v>
      </c>
      <c r="F471" s="1" t="s">
        <v>1498</v>
      </c>
      <c r="G471" s="1" t="s">
        <v>1499</v>
      </c>
    </row>
    <row r="472" spans="1:7" x14ac:dyDescent="0.3">
      <c r="A472" s="1" t="s">
        <v>1667</v>
      </c>
      <c r="B472" s="1" t="s">
        <v>1091</v>
      </c>
      <c r="C472" s="1" t="s">
        <v>13</v>
      </c>
      <c r="D472">
        <v>-10.577049000000001</v>
      </c>
      <c r="E472">
        <v>23.721854</v>
      </c>
      <c r="F472" s="1" t="s">
        <v>1498</v>
      </c>
      <c r="G472" s="1" t="s">
        <v>1501</v>
      </c>
    </row>
    <row r="473" spans="1:7" x14ac:dyDescent="0.3">
      <c r="A473" s="1" t="s">
        <v>1667</v>
      </c>
      <c r="B473" s="1" t="s">
        <v>1373</v>
      </c>
      <c r="C473" s="1" t="s">
        <v>21</v>
      </c>
      <c r="D473">
        <v>-11.207139</v>
      </c>
      <c r="E473">
        <v>18.702511999999999</v>
      </c>
      <c r="F473" s="1" t="s">
        <v>1495</v>
      </c>
      <c r="G473" s="1" t="s">
        <v>1496</v>
      </c>
    </row>
    <row r="474" spans="1:7" x14ac:dyDescent="0.3">
      <c r="A474" s="1" t="s">
        <v>1667</v>
      </c>
      <c r="B474" s="1" t="s">
        <v>1678</v>
      </c>
      <c r="C474" s="1" t="s">
        <v>29</v>
      </c>
      <c r="D474">
        <v>-12.048655999999999</v>
      </c>
      <c r="E474">
        <v>30.577876</v>
      </c>
      <c r="F474" s="1" t="s">
        <v>1495</v>
      </c>
      <c r="G474" s="1" t="s">
        <v>1501</v>
      </c>
    </row>
    <row r="475" spans="1:7" x14ac:dyDescent="0.3">
      <c r="A475" s="1" t="s">
        <v>1667</v>
      </c>
      <c r="B475" s="1" t="s">
        <v>1679</v>
      </c>
      <c r="C475" s="1" t="s">
        <v>64</v>
      </c>
      <c r="D475">
        <v>-11.771884</v>
      </c>
      <c r="E475">
        <v>18.089172999999999</v>
      </c>
      <c r="F475" s="1" t="s">
        <v>1498</v>
      </c>
      <c r="G475" s="1" t="s">
        <v>1508</v>
      </c>
    </row>
    <row r="476" spans="1:7" x14ac:dyDescent="0.3">
      <c r="A476" s="1" t="s">
        <v>1667</v>
      </c>
      <c r="B476" s="1" t="s">
        <v>967</v>
      </c>
      <c r="C476" s="1" t="s">
        <v>13</v>
      </c>
      <c r="D476">
        <v>-0.79406600000000005</v>
      </c>
      <c r="E476">
        <v>12.534793000000001</v>
      </c>
      <c r="F476" s="1" t="s">
        <v>1500</v>
      </c>
      <c r="G476" s="1" t="s">
        <v>1499</v>
      </c>
    </row>
    <row r="477" spans="1:7" x14ac:dyDescent="0.3">
      <c r="A477" s="1" t="s">
        <v>1667</v>
      </c>
      <c r="B477" s="1" t="s">
        <v>1124</v>
      </c>
      <c r="C477" s="1" t="s">
        <v>26</v>
      </c>
      <c r="D477">
        <v>4.497306</v>
      </c>
      <c r="E477">
        <v>12.857251</v>
      </c>
      <c r="F477" s="1" t="s">
        <v>1495</v>
      </c>
      <c r="G477" s="1" t="s">
        <v>1496</v>
      </c>
    </row>
    <row r="478" spans="1:7" x14ac:dyDescent="0.3">
      <c r="A478" s="1" t="s">
        <v>1667</v>
      </c>
      <c r="B478" s="1" t="s">
        <v>1680</v>
      </c>
      <c r="C478" s="1" t="s">
        <v>13</v>
      </c>
      <c r="D478">
        <v>-6.1126060000000004</v>
      </c>
      <c r="E478">
        <v>27.901748999999999</v>
      </c>
      <c r="F478" s="1" t="s">
        <v>1498</v>
      </c>
      <c r="G478" s="1" t="s">
        <v>1501</v>
      </c>
    </row>
    <row r="479" spans="1:7" x14ac:dyDescent="0.3">
      <c r="A479" s="1" t="s">
        <v>1667</v>
      </c>
      <c r="B479" s="1" t="s">
        <v>844</v>
      </c>
      <c r="C479" s="1" t="s">
        <v>51</v>
      </c>
      <c r="D479">
        <v>-0.77432100000000004</v>
      </c>
      <c r="E479">
        <v>18.628658999999999</v>
      </c>
      <c r="F479" s="1" t="s">
        <v>1498</v>
      </c>
      <c r="G479" s="1" t="s">
        <v>1499</v>
      </c>
    </row>
    <row r="480" spans="1:7" x14ac:dyDescent="0.3">
      <c r="A480" s="1" t="s">
        <v>1667</v>
      </c>
      <c r="B480" s="1" t="s">
        <v>931</v>
      </c>
      <c r="C480" s="1" t="s">
        <v>131</v>
      </c>
      <c r="D480">
        <v>-10.25074</v>
      </c>
      <c r="E480">
        <v>26.099086</v>
      </c>
      <c r="F480" s="1" t="s">
        <v>1498</v>
      </c>
      <c r="G480" s="1" t="s">
        <v>1499</v>
      </c>
    </row>
    <row r="481" spans="1:7" x14ac:dyDescent="0.3">
      <c r="A481" s="1" t="s">
        <v>1667</v>
      </c>
      <c r="B481" s="1" t="s">
        <v>956</v>
      </c>
      <c r="C481" s="1" t="s">
        <v>127</v>
      </c>
      <c r="D481">
        <v>-1.8045979999999999</v>
      </c>
      <c r="E481">
        <v>12.511096999999999</v>
      </c>
      <c r="F481" s="1" t="s">
        <v>1500</v>
      </c>
      <c r="G481" s="1" t="s">
        <v>1499</v>
      </c>
    </row>
    <row r="482" spans="1:7" x14ac:dyDescent="0.3">
      <c r="A482" s="1" t="s">
        <v>1667</v>
      </c>
      <c r="B482" s="1" t="s">
        <v>1288</v>
      </c>
      <c r="C482" s="1" t="s">
        <v>73</v>
      </c>
      <c r="D482">
        <v>-11.265995</v>
      </c>
      <c r="E482">
        <v>28.935514999999999</v>
      </c>
      <c r="F482" s="1" t="s">
        <v>1498</v>
      </c>
      <c r="G482" s="1" t="s">
        <v>1496</v>
      </c>
    </row>
    <row r="483" spans="1:7" x14ac:dyDescent="0.3">
      <c r="A483" s="1" t="s">
        <v>1667</v>
      </c>
      <c r="B483" s="1" t="s">
        <v>937</v>
      </c>
      <c r="C483" s="1" t="s">
        <v>13</v>
      </c>
      <c r="D483">
        <v>-11.622688999999999</v>
      </c>
      <c r="E483">
        <v>18.483874</v>
      </c>
      <c r="F483" s="1" t="s">
        <v>1495</v>
      </c>
      <c r="G483" s="1" t="s">
        <v>1501</v>
      </c>
    </row>
    <row r="484" spans="1:7" x14ac:dyDescent="0.3">
      <c r="A484" s="1" t="s">
        <v>1667</v>
      </c>
      <c r="B484" s="1" t="s">
        <v>987</v>
      </c>
      <c r="C484" s="1" t="s">
        <v>13</v>
      </c>
      <c r="D484">
        <v>0.52897499999999997</v>
      </c>
      <c r="E484">
        <v>13.849651</v>
      </c>
      <c r="F484" s="1" t="s">
        <v>1500</v>
      </c>
      <c r="G484" s="1" t="s">
        <v>1501</v>
      </c>
    </row>
    <row r="485" spans="1:7" x14ac:dyDescent="0.3">
      <c r="A485" s="1" t="s">
        <v>1667</v>
      </c>
      <c r="B485" s="1" t="s">
        <v>1681</v>
      </c>
      <c r="C485" s="1" t="s">
        <v>40</v>
      </c>
      <c r="D485">
        <v>0.81629799999999997</v>
      </c>
      <c r="E485">
        <v>18.557718000000001</v>
      </c>
      <c r="F485" s="1" t="s">
        <v>1495</v>
      </c>
      <c r="G485" s="1" t="s">
        <v>1496</v>
      </c>
    </row>
    <row r="486" spans="1:7" x14ac:dyDescent="0.3">
      <c r="A486" s="1" t="s">
        <v>1667</v>
      </c>
      <c r="B486" s="1" t="s">
        <v>1485</v>
      </c>
      <c r="C486" s="1" t="s">
        <v>51</v>
      </c>
      <c r="D486">
        <v>1.2691650000000001</v>
      </c>
      <c r="E486">
        <v>18.789956</v>
      </c>
      <c r="F486" s="1" t="s">
        <v>1500</v>
      </c>
      <c r="G486" s="1" t="s">
        <v>1508</v>
      </c>
    </row>
    <row r="487" spans="1:7" x14ac:dyDescent="0.3">
      <c r="A487" s="1" t="s">
        <v>1667</v>
      </c>
      <c r="B487" s="1" t="s">
        <v>992</v>
      </c>
      <c r="C487" s="1" t="s">
        <v>44</v>
      </c>
      <c r="D487">
        <v>-9.3652280000000001</v>
      </c>
      <c r="E487">
        <v>18.674116000000001</v>
      </c>
      <c r="F487" s="1" t="s">
        <v>1498</v>
      </c>
      <c r="G487" s="1" t="s">
        <v>1499</v>
      </c>
    </row>
    <row r="488" spans="1:7" x14ac:dyDescent="0.3">
      <c r="A488" s="1" t="s">
        <v>1667</v>
      </c>
      <c r="B488" s="1" t="s">
        <v>1682</v>
      </c>
      <c r="C488" s="1" t="s">
        <v>131</v>
      </c>
      <c r="D488">
        <v>-1.082322</v>
      </c>
      <c r="E488">
        <v>24.563559999999999</v>
      </c>
      <c r="F488" s="1" t="s">
        <v>1498</v>
      </c>
      <c r="G488" s="1" t="s">
        <v>1501</v>
      </c>
    </row>
    <row r="489" spans="1:7" x14ac:dyDescent="0.3">
      <c r="A489" s="1" t="s">
        <v>1667</v>
      </c>
      <c r="B489" s="1" t="s">
        <v>1070</v>
      </c>
      <c r="C489" s="1" t="s">
        <v>131</v>
      </c>
      <c r="D489">
        <v>-4.1754939999999996</v>
      </c>
      <c r="E489">
        <v>16.704664999999999</v>
      </c>
      <c r="F489" s="1" t="s">
        <v>1500</v>
      </c>
      <c r="G489" s="1" t="s">
        <v>1496</v>
      </c>
    </row>
    <row r="490" spans="1:7" x14ac:dyDescent="0.3">
      <c r="A490" s="1" t="s">
        <v>1667</v>
      </c>
      <c r="B490" s="1" t="s">
        <v>1683</v>
      </c>
      <c r="C490" s="1" t="s">
        <v>37</v>
      </c>
      <c r="D490">
        <v>-8.290025</v>
      </c>
      <c r="E490">
        <v>24.313573999999999</v>
      </c>
      <c r="F490" s="1" t="s">
        <v>1498</v>
      </c>
      <c r="G490" s="1" t="s">
        <v>1496</v>
      </c>
    </row>
    <row r="491" spans="1:7" x14ac:dyDescent="0.3">
      <c r="A491" s="1" t="s">
        <v>1667</v>
      </c>
      <c r="B491" s="1" t="s">
        <v>1428</v>
      </c>
      <c r="C491" s="1" t="s">
        <v>89</v>
      </c>
      <c r="D491">
        <v>-6.8149179999999996</v>
      </c>
      <c r="E491">
        <v>23.258102000000001</v>
      </c>
      <c r="F491" s="1" t="s">
        <v>1495</v>
      </c>
      <c r="G491" s="1" t="s">
        <v>1499</v>
      </c>
    </row>
    <row r="492" spans="1:7" x14ac:dyDescent="0.3">
      <c r="A492" s="1" t="s">
        <v>1667</v>
      </c>
      <c r="B492" s="1" t="s">
        <v>922</v>
      </c>
      <c r="C492" s="1" t="s">
        <v>51</v>
      </c>
      <c r="D492">
        <v>2.4741019999999998</v>
      </c>
      <c r="E492">
        <v>29.297391000000001</v>
      </c>
      <c r="F492" s="1" t="s">
        <v>1498</v>
      </c>
      <c r="G492" s="1" t="s">
        <v>1496</v>
      </c>
    </row>
    <row r="493" spans="1:7" x14ac:dyDescent="0.3">
      <c r="A493" s="1" t="s">
        <v>1667</v>
      </c>
      <c r="B493" s="1" t="s">
        <v>1396</v>
      </c>
      <c r="C493" s="1" t="s">
        <v>18</v>
      </c>
      <c r="D493">
        <v>-3.1608390000000002</v>
      </c>
      <c r="E493">
        <v>13.244503999999999</v>
      </c>
      <c r="F493" s="1" t="s">
        <v>1500</v>
      </c>
      <c r="G493" s="1" t="s">
        <v>1499</v>
      </c>
    </row>
    <row r="494" spans="1:7" x14ac:dyDescent="0.3">
      <c r="A494" s="1" t="s">
        <v>1667</v>
      </c>
      <c r="B494" s="1" t="s">
        <v>1684</v>
      </c>
      <c r="C494" s="1" t="s">
        <v>29</v>
      </c>
      <c r="D494">
        <v>4.1464489999999996</v>
      </c>
      <c r="E494">
        <v>17.793337000000001</v>
      </c>
      <c r="F494" s="1" t="s">
        <v>1495</v>
      </c>
      <c r="G494" s="1" t="s">
        <v>1501</v>
      </c>
    </row>
    <row r="495" spans="1:7" x14ac:dyDescent="0.3">
      <c r="A495" s="1" t="s">
        <v>1667</v>
      </c>
      <c r="B495" s="1" t="s">
        <v>1051</v>
      </c>
      <c r="C495" s="1" t="s">
        <v>40</v>
      </c>
      <c r="D495">
        <v>-12.431227</v>
      </c>
      <c r="E495">
        <v>18.414290999999999</v>
      </c>
      <c r="F495" s="1" t="s">
        <v>1495</v>
      </c>
      <c r="G495" s="1" t="s">
        <v>1499</v>
      </c>
    </row>
    <row r="496" spans="1:7" x14ac:dyDescent="0.3">
      <c r="A496" s="1" t="s">
        <v>1667</v>
      </c>
      <c r="B496" s="1" t="s">
        <v>894</v>
      </c>
      <c r="C496" s="1" t="s">
        <v>21</v>
      </c>
      <c r="D496">
        <v>-5.2526849999999996</v>
      </c>
      <c r="E496">
        <v>12.374528</v>
      </c>
      <c r="F496" s="1" t="s">
        <v>1500</v>
      </c>
      <c r="G496" s="1" t="s">
        <v>1508</v>
      </c>
    </row>
    <row r="497" spans="1:7" x14ac:dyDescent="0.3">
      <c r="A497" s="1" t="s">
        <v>1667</v>
      </c>
      <c r="B497" s="1" t="s">
        <v>1685</v>
      </c>
      <c r="C497" s="1" t="s">
        <v>33</v>
      </c>
      <c r="D497">
        <v>3.4689049999999999</v>
      </c>
      <c r="E497">
        <v>18.19622</v>
      </c>
      <c r="F497" s="1" t="s">
        <v>1495</v>
      </c>
      <c r="G497" s="1" t="s">
        <v>1499</v>
      </c>
    </row>
    <row r="498" spans="1:7" x14ac:dyDescent="0.3">
      <c r="A498" s="1" t="s">
        <v>1667</v>
      </c>
      <c r="B498" s="1" t="s">
        <v>1686</v>
      </c>
      <c r="C498" s="1" t="s">
        <v>78</v>
      </c>
      <c r="D498">
        <v>-6.0946619999999996</v>
      </c>
      <c r="E498">
        <v>20.757277999999999</v>
      </c>
      <c r="F498" s="1" t="s">
        <v>1495</v>
      </c>
      <c r="G498" s="1" t="s">
        <v>1499</v>
      </c>
    </row>
    <row r="499" spans="1:7" x14ac:dyDescent="0.3">
      <c r="A499" s="1" t="s">
        <v>1667</v>
      </c>
      <c r="B499" s="1" t="s">
        <v>1313</v>
      </c>
      <c r="C499" s="1" t="s">
        <v>33</v>
      </c>
      <c r="D499">
        <v>-7.3379339999999997</v>
      </c>
      <c r="E499">
        <v>28.404001999999998</v>
      </c>
      <c r="F499" s="1" t="s">
        <v>1500</v>
      </c>
      <c r="G499" s="1" t="s">
        <v>1508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7C1A-10E4-4546-BC30-DC62A354342E}">
  <dimension ref="A1:L524"/>
  <sheetViews>
    <sheetView workbookViewId="0">
      <selection activeCell="B29" sqref="B29"/>
    </sheetView>
  </sheetViews>
  <sheetFormatPr baseColWidth="10" defaultRowHeight="14.4" x14ac:dyDescent="0.3"/>
  <cols>
    <col min="1" max="1" width="22" bestFit="1" customWidth="1"/>
    <col min="2" max="2" width="18.77734375" bestFit="1" customWidth="1"/>
    <col min="3" max="3" width="25.5546875" bestFit="1" customWidth="1"/>
    <col min="4" max="4" width="9" bestFit="1" customWidth="1"/>
    <col min="5" max="5" width="17.6640625" bestFit="1" customWidth="1"/>
    <col min="6" max="6" width="17.109375" bestFit="1" customWidth="1"/>
    <col min="7" max="7" width="26.21875" bestFit="1" customWidth="1"/>
    <col min="8" max="8" width="28.5546875" bestFit="1" customWidth="1"/>
    <col min="9" max="9" width="23.5546875" bestFit="1" customWidth="1"/>
    <col min="10" max="10" width="24.88671875" bestFit="1" customWidth="1"/>
    <col min="11" max="11" width="26.77734375" bestFit="1" customWidth="1"/>
    <col min="12" max="12" width="28.88671875" bestFit="1" customWidth="1"/>
  </cols>
  <sheetData>
    <row r="1" spans="1:12" x14ac:dyDescent="0.3">
      <c r="A1" t="s">
        <v>0</v>
      </c>
      <c r="B1" t="s">
        <v>801</v>
      </c>
      <c r="C1" t="s">
        <v>1487</v>
      </c>
      <c r="D1" t="s">
        <v>802</v>
      </c>
      <c r="E1" t="s">
        <v>803</v>
      </c>
      <c r="F1" t="s">
        <v>804</v>
      </c>
      <c r="G1" t="s">
        <v>1687</v>
      </c>
      <c r="H1" t="s">
        <v>1688</v>
      </c>
      <c r="I1" t="s">
        <v>1689</v>
      </c>
      <c r="J1" t="s">
        <v>1690</v>
      </c>
      <c r="K1" t="s">
        <v>1691</v>
      </c>
      <c r="L1" t="s">
        <v>1692</v>
      </c>
    </row>
    <row r="2" spans="1:12" x14ac:dyDescent="0.3">
      <c r="A2" s="1" t="s">
        <v>805</v>
      </c>
      <c r="B2" s="2">
        <v>45212</v>
      </c>
      <c r="C2" s="3">
        <v>0.14027777777777778</v>
      </c>
      <c r="D2" s="1" t="s">
        <v>826</v>
      </c>
      <c r="E2">
        <v>19</v>
      </c>
      <c r="F2" s="1" t="s">
        <v>810</v>
      </c>
      <c r="G2" s="1" t="s">
        <v>826</v>
      </c>
      <c r="H2" s="1" t="s">
        <v>37</v>
      </c>
      <c r="I2">
        <v>-9.4708620000000003</v>
      </c>
      <c r="J2">
        <v>29.234387999999999</v>
      </c>
      <c r="K2" s="1" t="s">
        <v>1500</v>
      </c>
      <c r="L2" s="1" t="s">
        <v>1501</v>
      </c>
    </row>
    <row r="3" spans="1:12" x14ac:dyDescent="0.3">
      <c r="A3" s="1" t="s">
        <v>805</v>
      </c>
      <c r="B3" s="2">
        <v>45213</v>
      </c>
      <c r="C3" s="3">
        <v>4.2361111111111113E-2</v>
      </c>
      <c r="D3" s="1" t="s">
        <v>814</v>
      </c>
      <c r="E3">
        <v>119</v>
      </c>
      <c r="F3" s="1" t="s">
        <v>810</v>
      </c>
      <c r="G3" s="1" t="s">
        <v>814</v>
      </c>
      <c r="H3" s="1" t="s">
        <v>62</v>
      </c>
      <c r="I3">
        <v>-2.8211520000000001</v>
      </c>
      <c r="J3">
        <v>20.651419000000001</v>
      </c>
      <c r="K3" s="1" t="s">
        <v>1495</v>
      </c>
      <c r="L3" s="1" t="s">
        <v>1496</v>
      </c>
    </row>
    <row r="4" spans="1:12" x14ac:dyDescent="0.3">
      <c r="A4" s="1" t="s">
        <v>805</v>
      </c>
      <c r="B4" s="2">
        <v>45202</v>
      </c>
      <c r="C4" s="3">
        <v>0.25972222222222224</v>
      </c>
      <c r="D4" s="1" t="s">
        <v>815</v>
      </c>
      <c r="E4">
        <v>79</v>
      </c>
      <c r="F4" s="1" t="s">
        <v>807</v>
      </c>
      <c r="G4" s="1" t="s">
        <v>815</v>
      </c>
      <c r="H4" s="1" t="s">
        <v>33</v>
      </c>
      <c r="I4">
        <v>-1.648264</v>
      </c>
      <c r="J4">
        <v>28.866143999999998</v>
      </c>
      <c r="K4" s="1" t="s">
        <v>1495</v>
      </c>
      <c r="L4" s="1" t="s">
        <v>1496</v>
      </c>
    </row>
    <row r="5" spans="1:12" x14ac:dyDescent="0.3">
      <c r="A5" s="1" t="s">
        <v>898</v>
      </c>
      <c r="B5" s="2">
        <v>45210</v>
      </c>
      <c r="C5" s="3">
        <v>0.56805555555555554</v>
      </c>
      <c r="D5" s="1" t="s">
        <v>904</v>
      </c>
      <c r="E5">
        <v>96</v>
      </c>
      <c r="F5" s="1" t="s">
        <v>807</v>
      </c>
      <c r="G5" s="1" t="s">
        <v>904</v>
      </c>
      <c r="H5" s="1" t="s">
        <v>64</v>
      </c>
      <c r="I5">
        <v>-5.4126279999999998</v>
      </c>
      <c r="J5">
        <v>25.498235999999999</v>
      </c>
      <c r="K5" s="1" t="s">
        <v>1495</v>
      </c>
      <c r="L5" s="1" t="s">
        <v>1501</v>
      </c>
    </row>
    <row r="6" spans="1:12" x14ac:dyDescent="0.3">
      <c r="A6" s="1" t="s">
        <v>805</v>
      </c>
      <c r="B6" s="2">
        <v>45213</v>
      </c>
      <c r="C6" s="3">
        <v>0.31111111111111112</v>
      </c>
      <c r="D6" s="1" t="s">
        <v>819</v>
      </c>
      <c r="E6">
        <v>22</v>
      </c>
      <c r="F6" s="1" t="s">
        <v>810</v>
      </c>
      <c r="G6" s="1" t="s">
        <v>819</v>
      </c>
      <c r="H6" s="1" t="s">
        <v>40</v>
      </c>
      <c r="I6">
        <v>4.8319039999999998</v>
      </c>
      <c r="J6">
        <v>20.733468999999999</v>
      </c>
      <c r="K6" s="1" t="s">
        <v>1495</v>
      </c>
      <c r="L6" s="1" t="s">
        <v>1496</v>
      </c>
    </row>
    <row r="7" spans="1:12" x14ac:dyDescent="0.3">
      <c r="A7" s="1" t="s">
        <v>805</v>
      </c>
      <c r="B7" s="2">
        <v>45218</v>
      </c>
      <c r="C7" s="3">
        <v>0.36875000000000002</v>
      </c>
      <c r="D7" s="1" t="s">
        <v>820</v>
      </c>
      <c r="E7">
        <v>70</v>
      </c>
      <c r="F7" s="1" t="s">
        <v>807</v>
      </c>
      <c r="G7" s="1" t="s">
        <v>820</v>
      </c>
      <c r="H7" s="1" t="s">
        <v>67</v>
      </c>
      <c r="I7">
        <v>-8.4227860000000003</v>
      </c>
      <c r="J7">
        <v>16.781293000000002</v>
      </c>
      <c r="K7" s="1" t="s">
        <v>1498</v>
      </c>
      <c r="L7" s="1" t="s">
        <v>1499</v>
      </c>
    </row>
    <row r="8" spans="1:12" x14ac:dyDescent="0.3">
      <c r="A8" s="1" t="s">
        <v>805</v>
      </c>
      <c r="B8" s="2">
        <v>45208</v>
      </c>
      <c r="C8" s="3">
        <v>7.3611111111111113E-2</v>
      </c>
      <c r="D8" s="1" t="s">
        <v>820</v>
      </c>
      <c r="E8">
        <v>85</v>
      </c>
      <c r="F8" s="1" t="s">
        <v>810</v>
      </c>
      <c r="G8" s="1" t="s">
        <v>820</v>
      </c>
      <c r="H8" s="1" t="s">
        <v>67</v>
      </c>
      <c r="I8">
        <v>-8.4227860000000003</v>
      </c>
      <c r="J8">
        <v>16.781293000000002</v>
      </c>
      <c r="K8" s="1" t="s">
        <v>1498</v>
      </c>
      <c r="L8" s="1" t="s">
        <v>1499</v>
      </c>
    </row>
    <row r="9" spans="1:12" x14ac:dyDescent="0.3">
      <c r="A9" s="1" t="s">
        <v>805</v>
      </c>
      <c r="B9" s="2">
        <v>45204</v>
      </c>
      <c r="C9" s="3">
        <v>0.28333333333333333</v>
      </c>
      <c r="D9" s="1" t="s">
        <v>824</v>
      </c>
      <c r="E9">
        <v>11</v>
      </c>
      <c r="F9" s="1" t="s">
        <v>812</v>
      </c>
      <c r="G9" s="1" t="s">
        <v>824</v>
      </c>
      <c r="H9" s="1" t="s">
        <v>67</v>
      </c>
      <c r="I9">
        <v>-2.2371569999999998</v>
      </c>
      <c r="J9">
        <v>25.926188</v>
      </c>
      <c r="K9" s="1" t="s">
        <v>1500</v>
      </c>
      <c r="L9" s="1" t="s">
        <v>1508</v>
      </c>
    </row>
    <row r="10" spans="1:12" x14ac:dyDescent="0.3">
      <c r="A10" s="1" t="s">
        <v>977</v>
      </c>
      <c r="B10" s="2">
        <v>45215</v>
      </c>
      <c r="C10" s="3">
        <v>0.37638888888888888</v>
      </c>
      <c r="D10" s="1" t="s">
        <v>824</v>
      </c>
      <c r="E10">
        <v>65</v>
      </c>
      <c r="F10" s="1" t="s">
        <v>812</v>
      </c>
      <c r="G10" s="1" t="s">
        <v>824</v>
      </c>
      <c r="H10" s="1" t="s">
        <v>67</v>
      </c>
      <c r="I10">
        <v>-2.2371569999999998</v>
      </c>
      <c r="J10">
        <v>25.926188</v>
      </c>
      <c r="K10" s="1" t="s">
        <v>1500</v>
      </c>
      <c r="L10" s="1" t="s">
        <v>1508</v>
      </c>
    </row>
    <row r="11" spans="1:12" x14ac:dyDescent="0.3">
      <c r="A11" s="1" t="s">
        <v>898</v>
      </c>
      <c r="B11" s="2">
        <v>45216</v>
      </c>
      <c r="C11" s="3">
        <v>0.90277777777777779</v>
      </c>
      <c r="D11" s="1" t="s">
        <v>929</v>
      </c>
      <c r="E11">
        <v>20</v>
      </c>
      <c r="F11" s="1" t="s">
        <v>812</v>
      </c>
      <c r="G11" s="1" t="s">
        <v>929</v>
      </c>
      <c r="H11" s="1" t="s">
        <v>51</v>
      </c>
      <c r="I11">
        <v>-4.2408359999999998</v>
      </c>
      <c r="J11">
        <v>26.210014000000001</v>
      </c>
      <c r="K11" s="1" t="s">
        <v>1498</v>
      </c>
      <c r="L11" s="1" t="s">
        <v>1499</v>
      </c>
    </row>
    <row r="12" spans="1:12" x14ac:dyDescent="0.3">
      <c r="A12" s="1" t="s">
        <v>1073</v>
      </c>
      <c r="B12" s="2">
        <v>45221</v>
      </c>
      <c r="C12" s="3">
        <v>0.37638888888888888</v>
      </c>
      <c r="D12" s="1" t="s">
        <v>1096</v>
      </c>
      <c r="E12">
        <v>59</v>
      </c>
      <c r="F12" s="1" t="s">
        <v>812</v>
      </c>
      <c r="G12" s="1" t="s">
        <v>1096</v>
      </c>
      <c r="H12" s="1" t="s">
        <v>78</v>
      </c>
      <c r="I12">
        <v>-8.4824669999999998</v>
      </c>
      <c r="J12">
        <v>21.897777999999999</v>
      </c>
      <c r="K12" s="1" t="s">
        <v>1495</v>
      </c>
      <c r="L12" s="1" t="s">
        <v>1496</v>
      </c>
    </row>
    <row r="13" spans="1:12" x14ac:dyDescent="0.3">
      <c r="A13" s="1" t="s">
        <v>854</v>
      </c>
      <c r="B13" s="2">
        <v>45216</v>
      </c>
      <c r="C13" s="3">
        <v>0.67361111111111116</v>
      </c>
      <c r="D13" s="1" t="s">
        <v>881</v>
      </c>
      <c r="E13">
        <v>117</v>
      </c>
      <c r="F13" s="1" t="s">
        <v>807</v>
      </c>
      <c r="G13" s="1" t="s">
        <v>881</v>
      </c>
      <c r="H13" s="1" t="s">
        <v>31</v>
      </c>
      <c r="I13">
        <v>-12.141233</v>
      </c>
      <c r="J13">
        <v>15.179043999999999</v>
      </c>
      <c r="K13" s="1" t="s">
        <v>1495</v>
      </c>
      <c r="L13" s="1" t="s">
        <v>1496</v>
      </c>
    </row>
    <row r="14" spans="1:12" x14ac:dyDescent="0.3">
      <c r="A14" s="1" t="s">
        <v>898</v>
      </c>
      <c r="B14" s="2">
        <v>45229</v>
      </c>
      <c r="C14" s="3">
        <v>0.73819444444444449</v>
      </c>
      <c r="D14" s="1" t="s">
        <v>908</v>
      </c>
      <c r="E14">
        <v>36</v>
      </c>
      <c r="F14" s="1" t="s">
        <v>810</v>
      </c>
      <c r="G14" s="1" t="s">
        <v>908</v>
      </c>
      <c r="H14" s="1" t="s">
        <v>67</v>
      </c>
      <c r="I14">
        <v>-11.218453999999999</v>
      </c>
      <c r="J14">
        <v>28.230025000000001</v>
      </c>
      <c r="K14" s="1" t="s">
        <v>1495</v>
      </c>
      <c r="L14" s="1" t="s">
        <v>1501</v>
      </c>
    </row>
    <row r="15" spans="1:12" x14ac:dyDescent="0.3">
      <c r="A15" s="1" t="s">
        <v>805</v>
      </c>
      <c r="B15" s="2">
        <v>45214</v>
      </c>
      <c r="C15" s="3">
        <v>0.71319444444444446</v>
      </c>
      <c r="D15" s="1" t="s">
        <v>828</v>
      </c>
      <c r="E15">
        <v>25</v>
      </c>
      <c r="F15" s="1" t="s">
        <v>807</v>
      </c>
      <c r="G15" s="1" t="s">
        <v>828</v>
      </c>
      <c r="H15" s="1" t="s">
        <v>24</v>
      </c>
      <c r="I15">
        <v>0.172153</v>
      </c>
      <c r="J15">
        <v>21.091376</v>
      </c>
      <c r="K15" s="1" t="s">
        <v>1500</v>
      </c>
      <c r="L15" s="1" t="s">
        <v>1496</v>
      </c>
    </row>
    <row r="16" spans="1:12" x14ac:dyDescent="0.3">
      <c r="A16" s="1" t="s">
        <v>977</v>
      </c>
      <c r="B16" s="2">
        <v>45201</v>
      </c>
      <c r="C16" s="3">
        <v>0.57430555555555551</v>
      </c>
      <c r="D16" s="1" t="s">
        <v>828</v>
      </c>
      <c r="E16">
        <v>75</v>
      </c>
      <c r="F16" s="1" t="s">
        <v>812</v>
      </c>
      <c r="G16" s="1" t="s">
        <v>828</v>
      </c>
      <c r="H16" s="1" t="s">
        <v>24</v>
      </c>
      <c r="I16">
        <v>0.172153</v>
      </c>
      <c r="J16">
        <v>21.091376</v>
      </c>
      <c r="K16" s="1" t="s">
        <v>1500</v>
      </c>
      <c r="L16" s="1" t="s">
        <v>1496</v>
      </c>
    </row>
    <row r="17" spans="1:12" x14ac:dyDescent="0.3">
      <c r="A17" s="1" t="s">
        <v>805</v>
      </c>
      <c r="B17" s="2">
        <v>45217</v>
      </c>
      <c r="C17" s="3">
        <v>0.96875</v>
      </c>
      <c r="D17" s="1" t="s">
        <v>842</v>
      </c>
      <c r="E17">
        <v>97</v>
      </c>
      <c r="F17" s="1" t="s">
        <v>810</v>
      </c>
      <c r="G17" s="1" t="s">
        <v>842</v>
      </c>
      <c r="H17" s="1" t="s">
        <v>29</v>
      </c>
      <c r="I17">
        <v>-10.059846</v>
      </c>
      <c r="J17">
        <v>14.375757999999999</v>
      </c>
      <c r="K17" s="1" t="s">
        <v>1498</v>
      </c>
      <c r="L17" s="1" t="s">
        <v>1499</v>
      </c>
    </row>
    <row r="18" spans="1:12" x14ac:dyDescent="0.3">
      <c r="A18" s="1" t="s">
        <v>1133</v>
      </c>
      <c r="B18" s="2">
        <v>45222</v>
      </c>
      <c r="C18" s="3">
        <v>0.58472222222222225</v>
      </c>
      <c r="D18" s="1" t="s">
        <v>1155</v>
      </c>
      <c r="E18">
        <v>15</v>
      </c>
      <c r="F18" s="1" t="s">
        <v>812</v>
      </c>
      <c r="G18" s="1" t="s">
        <v>1155</v>
      </c>
      <c r="H18" s="1" t="s">
        <v>60</v>
      </c>
      <c r="I18">
        <v>-9.1215879999999991</v>
      </c>
      <c r="J18">
        <v>16.457916999999998</v>
      </c>
      <c r="K18" s="1" t="s">
        <v>1498</v>
      </c>
      <c r="L18" s="1" t="s">
        <v>1508</v>
      </c>
    </row>
    <row r="19" spans="1:12" x14ac:dyDescent="0.3">
      <c r="A19" s="1" t="s">
        <v>1133</v>
      </c>
      <c r="B19" s="2">
        <v>45222</v>
      </c>
      <c r="C19" s="3">
        <v>0.65277777777777779</v>
      </c>
      <c r="D19" s="1" t="s">
        <v>1153</v>
      </c>
      <c r="E19">
        <v>46</v>
      </c>
      <c r="F19" s="1" t="s">
        <v>812</v>
      </c>
      <c r="G19" s="1" t="s">
        <v>1153</v>
      </c>
      <c r="H19" s="1" t="s">
        <v>67</v>
      </c>
      <c r="I19">
        <v>-11.266565999999999</v>
      </c>
      <c r="J19">
        <v>26.245055000000001</v>
      </c>
      <c r="K19" s="1" t="s">
        <v>1500</v>
      </c>
      <c r="L19" s="1" t="s">
        <v>1496</v>
      </c>
    </row>
    <row r="20" spans="1:12" x14ac:dyDescent="0.3">
      <c r="A20" s="1" t="s">
        <v>805</v>
      </c>
      <c r="B20" s="2">
        <v>45206</v>
      </c>
      <c r="C20" s="3">
        <v>0.9194444444444444</v>
      </c>
      <c r="D20" s="1" t="s">
        <v>832</v>
      </c>
      <c r="E20">
        <v>13</v>
      </c>
      <c r="F20" s="1" t="s">
        <v>810</v>
      </c>
      <c r="G20" s="1" t="s">
        <v>832</v>
      </c>
      <c r="H20" s="1" t="s">
        <v>31</v>
      </c>
      <c r="I20">
        <v>-10.56448</v>
      </c>
      <c r="J20">
        <v>19.792876</v>
      </c>
      <c r="K20" s="1" t="s">
        <v>1495</v>
      </c>
      <c r="L20" s="1" t="s">
        <v>1496</v>
      </c>
    </row>
    <row r="21" spans="1:12" x14ac:dyDescent="0.3">
      <c r="A21" s="1" t="s">
        <v>854</v>
      </c>
      <c r="B21" s="2">
        <v>45229</v>
      </c>
      <c r="C21" s="3">
        <v>0.59583333333333333</v>
      </c>
      <c r="D21" s="1" t="s">
        <v>832</v>
      </c>
      <c r="E21">
        <v>88</v>
      </c>
      <c r="F21" s="1" t="s">
        <v>812</v>
      </c>
      <c r="G21" s="1" t="s">
        <v>832</v>
      </c>
      <c r="H21" s="1" t="s">
        <v>31</v>
      </c>
      <c r="I21">
        <v>-10.56448</v>
      </c>
      <c r="J21">
        <v>19.792876</v>
      </c>
      <c r="K21" s="1" t="s">
        <v>1495</v>
      </c>
      <c r="L21" s="1" t="s">
        <v>1496</v>
      </c>
    </row>
    <row r="22" spans="1:12" x14ac:dyDescent="0.3">
      <c r="A22" s="1" t="s">
        <v>1098</v>
      </c>
      <c r="B22" s="2">
        <v>45202</v>
      </c>
      <c r="C22" s="3">
        <v>0.42083333333333334</v>
      </c>
      <c r="D22" s="1" t="s">
        <v>832</v>
      </c>
      <c r="E22">
        <v>84</v>
      </c>
      <c r="F22" s="1" t="s">
        <v>807</v>
      </c>
      <c r="G22" s="1" t="s">
        <v>832</v>
      </c>
      <c r="H22" s="1" t="s">
        <v>31</v>
      </c>
      <c r="I22">
        <v>-10.56448</v>
      </c>
      <c r="J22">
        <v>19.792876</v>
      </c>
      <c r="K22" s="1" t="s">
        <v>1495</v>
      </c>
      <c r="L22" s="1" t="s">
        <v>1496</v>
      </c>
    </row>
    <row r="23" spans="1:12" x14ac:dyDescent="0.3">
      <c r="A23" s="1" t="s">
        <v>805</v>
      </c>
      <c r="B23" s="2">
        <v>45201</v>
      </c>
      <c r="C23" s="3">
        <v>0.88472222222222219</v>
      </c>
      <c r="D23" s="1" t="s">
        <v>833</v>
      </c>
      <c r="E23">
        <v>54</v>
      </c>
      <c r="F23" s="1" t="s">
        <v>812</v>
      </c>
      <c r="G23" s="1" t="s">
        <v>833</v>
      </c>
      <c r="H23" s="1" t="s">
        <v>131</v>
      </c>
      <c r="I23">
        <v>4.6287159999999998</v>
      </c>
      <c r="J23">
        <v>19.407077999999998</v>
      </c>
      <c r="K23" s="1" t="s">
        <v>1498</v>
      </c>
      <c r="L23" s="1" t="s">
        <v>1496</v>
      </c>
    </row>
    <row r="24" spans="1:12" x14ac:dyDescent="0.3">
      <c r="A24" s="1" t="s">
        <v>1014</v>
      </c>
      <c r="B24" s="2">
        <v>45211</v>
      </c>
      <c r="C24" s="3">
        <v>0.47708333333333336</v>
      </c>
      <c r="D24" s="1" t="s">
        <v>833</v>
      </c>
      <c r="E24">
        <v>111</v>
      </c>
      <c r="F24" s="1" t="s">
        <v>807</v>
      </c>
      <c r="G24" s="1" t="s">
        <v>833</v>
      </c>
      <c r="H24" s="1" t="s">
        <v>131</v>
      </c>
      <c r="I24">
        <v>4.6287159999999998</v>
      </c>
      <c r="J24">
        <v>19.407077999999998</v>
      </c>
      <c r="K24" s="1" t="s">
        <v>1498</v>
      </c>
      <c r="L24" s="1" t="s">
        <v>1496</v>
      </c>
    </row>
    <row r="25" spans="1:12" x14ac:dyDescent="0.3">
      <c r="A25" s="1" t="s">
        <v>936</v>
      </c>
      <c r="B25" s="2">
        <v>45209</v>
      </c>
      <c r="C25" s="3">
        <v>0.90138888888888891</v>
      </c>
      <c r="D25" s="1" t="s">
        <v>968</v>
      </c>
      <c r="E25">
        <v>68</v>
      </c>
      <c r="F25" s="1" t="s">
        <v>810</v>
      </c>
      <c r="G25" s="1" t="s">
        <v>968</v>
      </c>
      <c r="H25" s="1" t="s">
        <v>31</v>
      </c>
      <c r="I25">
        <v>-8.3241560000000003</v>
      </c>
      <c r="J25">
        <v>19.543866000000001</v>
      </c>
      <c r="K25" s="1" t="s">
        <v>1498</v>
      </c>
      <c r="L25" s="1" t="s">
        <v>1501</v>
      </c>
    </row>
    <row r="26" spans="1:12" x14ac:dyDescent="0.3">
      <c r="A26" s="1" t="s">
        <v>936</v>
      </c>
      <c r="B26" s="2">
        <v>45221</v>
      </c>
      <c r="C26" s="3">
        <v>0.51736111111111116</v>
      </c>
      <c r="D26" s="1" t="s">
        <v>963</v>
      </c>
      <c r="E26">
        <v>83</v>
      </c>
      <c r="F26" s="1" t="s">
        <v>812</v>
      </c>
      <c r="G26" s="1" t="s">
        <v>963</v>
      </c>
      <c r="H26" s="1" t="s">
        <v>21</v>
      </c>
      <c r="I26">
        <v>-2.9651529999999999</v>
      </c>
      <c r="J26">
        <v>29.79908</v>
      </c>
      <c r="K26" s="1" t="s">
        <v>1498</v>
      </c>
      <c r="L26" s="1" t="s">
        <v>1496</v>
      </c>
    </row>
    <row r="27" spans="1:12" x14ac:dyDescent="0.3">
      <c r="A27" s="1" t="s">
        <v>1073</v>
      </c>
      <c r="B27" s="2">
        <v>45218</v>
      </c>
      <c r="C27" s="3">
        <v>0.67569444444444449</v>
      </c>
      <c r="D27" s="1" t="s">
        <v>963</v>
      </c>
      <c r="E27">
        <v>37</v>
      </c>
      <c r="F27" s="1" t="s">
        <v>812</v>
      </c>
      <c r="G27" s="1" t="s">
        <v>963</v>
      </c>
      <c r="H27" s="1" t="s">
        <v>21</v>
      </c>
      <c r="I27">
        <v>-2.9651529999999999</v>
      </c>
      <c r="J27">
        <v>29.79908</v>
      </c>
      <c r="K27" s="1" t="s">
        <v>1498</v>
      </c>
      <c r="L27" s="1" t="s">
        <v>1496</v>
      </c>
    </row>
    <row r="28" spans="1:12" x14ac:dyDescent="0.3">
      <c r="A28" s="1" t="s">
        <v>805</v>
      </c>
      <c r="B28" s="2">
        <v>45203</v>
      </c>
      <c r="C28" s="3">
        <v>0.51180555555555551</v>
      </c>
      <c r="D28" s="1" t="s">
        <v>835</v>
      </c>
      <c r="E28">
        <v>64</v>
      </c>
      <c r="F28" s="1" t="s">
        <v>812</v>
      </c>
      <c r="G28" s="1" t="s">
        <v>835</v>
      </c>
      <c r="H28" s="1" t="s">
        <v>73</v>
      </c>
      <c r="I28">
        <v>0.23583499999999999</v>
      </c>
      <c r="J28">
        <v>24.889558999999998</v>
      </c>
      <c r="K28" s="1" t="s">
        <v>1500</v>
      </c>
      <c r="L28" s="1" t="s">
        <v>1501</v>
      </c>
    </row>
    <row r="29" spans="1:12" x14ac:dyDescent="0.3">
      <c r="A29" s="1" t="s">
        <v>1098</v>
      </c>
      <c r="B29" s="2">
        <v>45205</v>
      </c>
      <c r="C29" s="3">
        <v>5.2083333333333336E-2</v>
      </c>
      <c r="D29" s="1" t="s">
        <v>1109</v>
      </c>
      <c r="E29">
        <v>81</v>
      </c>
      <c r="F29" s="1" t="s">
        <v>812</v>
      </c>
      <c r="G29" s="1" t="s">
        <v>1109</v>
      </c>
      <c r="H29" s="1" t="s">
        <v>29</v>
      </c>
      <c r="I29">
        <v>1.5802860000000001</v>
      </c>
      <c r="J29">
        <v>20.99053</v>
      </c>
      <c r="K29" s="1" t="s">
        <v>1498</v>
      </c>
      <c r="L29" s="1" t="s">
        <v>1501</v>
      </c>
    </row>
    <row r="30" spans="1:12" x14ac:dyDescent="0.3">
      <c r="A30" s="1" t="s">
        <v>1190</v>
      </c>
      <c r="B30" s="2">
        <v>45220</v>
      </c>
      <c r="C30" s="3">
        <v>0.92777777777777781</v>
      </c>
      <c r="D30" s="1" t="s">
        <v>1109</v>
      </c>
      <c r="E30">
        <v>22</v>
      </c>
      <c r="F30" s="1" t="s">
        <v>810</v>
      </c>
      <c r="G30" s="1" t="s">
        <v>1109</v>
      </c>
      <c r="H30" s="1" t="s">
        <v>29</v>
      </c>
      <c r="I30">
        <v>1.5802860000000001</v>
      </c>
      <c r="J30">
        <v>20.99053</v>
      </c>
      <c r="K30" s="1" t="s">
        <v>1498</v>
      </c>
      <c r="L30" s="1" t="s">
        <v>1501</v>
      </c>
    </row>
    <row r="31" spans="1:12" x14ac:dyDescent="0.3">
      <c r="A31" s="1" t="s">
        <v>805</v>
      </c>
      <c r="B31" s="2">
        <v>45211</v>
      </c>
      <c r="C31" s="3">
        <v>0.22430555555555556</v>
      </c>
      <c r="D31" s="1" t="s">
        <v>837</v>
      </c>
      <c r="E31">
        <v>37</v>
      </c>
      <c r="F31" s="1" t="s">
        <v>807</v>
      </c>
      <c r="G31" s="1" t="s">
        <v>837</v>
      </c>
      <c r="H31" s="1" t="s">
        <v>37</v>
      </c>
      <c r="I31">
        <v>-2.4662510000000002</v>
      </c>
      <c r="J31">
        <v>18.007998000000001</v>
      </c>
      <c r="K31" s="1" t="s">
        <v>1495</v>
      </c>
      <c r="L31" s="1" t="s">
        <v>1496</v>
      </c>
    </row>
    <row r="32" spans="1:12" x14ac:dyDescent="0.3">
      <c r="A32" s="1" t="s">
        <v>805</v>
      </c>
      <c r="B32" s="2">
        <v>45211</v>
      </c>
      <c r="C32" s="3">
        <v>0.27916666666666667</v>
      </c>
      <c r="D32" s="1" t="s">
        <v>838</v>
      </c>
      <c r="E32">
        <v>75</v>
      </c>
      <c r="F32" s="1" t="s">
        <v>807</v>
      </c>
      <c r="G32" s="1" t="s">
        <v>838</v>
      </c>
      <c r="H32" s="1" t="s">
        <v>89</v>
      </c>
      <c r="I32">
        <v>-8.1437910000000002</v>
      </c>
      <c r="J32">
        <v>28.946161</v>
      </c>
      <c r="K32" s="1" t="s">
        <v>1498</v>
      </c>
      <c r="L32" s="1" t="s">
        <v>1501</v>
      </c>
    </row>
    <row r="33" spans="1:12" x14ac:dyDescent="0.3">
      <c r="A33" s="1" t="s">
        <v>898</v>
      </c>
      <c r="B33" s="2">
        <v>45229</v>
      </c>
      <c r="C33" s="3">
        <v>0.44374999999999998</v>
      </c>
      <c r="D33" s="1" t="s">
        <v>912</v>
      </c>
      <c r="E33">
        <v>5</v>
      </c>
      <c r="F33" s="1" t="s">
        <v>807</v>
      </c>
      <c r="G33" s="1" t="s">
        <v>912</v>
      </c>
      <c r="H33" s="1" t="s">
        <v>33</v>
      </c>
      <c r="I33">
        <v>-6.6803710000000001</v>
      </c>
      <c r="J33">
        <v>21.955673000000001</v>
      </c>
      <c r="K33" s="1" t="s">
        <v>1498</v>
      </c>
      <c r="L33" s="1" t="s">
        <v>1508</v>
      </c>
    </row>
    <row r="34" spans="1:12" x14ac:dyDescent="0.3">
      <c r="A34" s="1" t="s">
        <v>805</v>
      </c>
      <c r="B34" s="2">
        <v>45208</v>
      </c>
      <c r="C34" s="3">
        <v>0.95763888888888893</v>
      </c>
      <c r="D34" s="1" t="s">
        <v>839</v>
      </c>
      <c r="E34">
        <v>115</v>
      </c>
      <c r="F34" s="1" t="s">
        <v>807</v>
      </c>
      <c r="G34" s="1" t="s">
        <v>839</v>
      </c>
      <c r="H34" s="1" t="s">
        <v>73</v>
      </c>
      <c r="I34">
        <v>-6.1837850000000003</v>
      </c>
      <c r="J34">
        <v>25.138759</v>
      </c>
      <c r="K34" s="1" t="s">
        <v>1500</v>
      </c>
      <c r="L34" s="1" t="s">
        <v>1496</v>
      </c>
    </row>
    <row r="35" spans="1:12" x14ac:dyDescent="0.3">
      <c r="A35" s="1" t="s">
        <v>805</v>
      </c>
      <c r="B35" s="2">
        <v>45221</v>
      </c>
      <c r="C35" s="3">
        <v>0.83611111111111114</v>
      </c>
      <c r="D35" s="1" t="s">
        <v>840</v>
      </c>
      <c r="E35">
        <v>6</v>
      </c>
      <c r="F35" s="1" t="s">
        <v>812</v>
      </c>
      <c r="G35" s="1" t="s">
        <v>840</v>
      </c>
      <c r="H35" s="1" t="s">
        <v>29</v>
      </c>
      <c r="I35">
        <v>-4.9789079999999997</v>
      </c>
      <c r="J35">
        <v>28.506295000000001</v>
      </c>
      <c r="K35" s="1" t="s">
        <v>1498</v>
      </c>
      <c r="L35" s="1" t="s">
        <v>1499</v>
      </c>
    </row>
    <row r="36" spans="1:12" x14ac:dyDescent="0.3">
      <c r="A36" s="1" t="s">
        <v>977</v>
      </c>
      <c r="B36" s="2">
        <v>45205</v>
      </c>
      <c r="C36" s="3">
        <v>5.2777777777777778E-2</v>
      </c>
      <c r="D36" s="1" t="s">
        <v>840</v>
      </c>
      <c r="E36">
        <v>102</v>
      </c>
      <c r="F36" s="1" t="s">
        <v>810</v>
      </c>
      <c r="G36" s="1" t="s">
        <v>840</v>
      </c>
      <c r="H36" s="1" t="s">
        <v>29</v>
      </c>
      <c r="I36">
        <v>-4.9789079999999997</v>
      </c>
      <c r="J36">
        <v>28.506295000000001</v>
      </c>
      <c r="K36" s="1" t="s">
        <v>1498</v>
      </c>
      <c r="L36" s="1" t="s">
        <v>1499</v>
      </c>
    </row>
    <row r="37" spans="1:12" x14ac:dyDescent="0.3">
      <c r="A37" s="1" t="s">
        <v>854</v>
      </c>
      <c r="B37" s="2">
        <v>45222</v>
      </c>
      <c r="C37" s="3">
        <v>0.63124999999999998</v>
      </c>
      <c r="D37" s="1" t="s">
        <v>876</v>
      </c>
      <c r="E37">
        <v>90</v>
      </c>
      <c r="F37" s="1" t="s">
        <v>807</v>
      </c>
      <c r="G37" s="1" t="s">
        <v>876</v>
      </c>
      <c r="H37" s="1" t="s">
        <v>37</v>
      </c>
      <c r="I37">
        <v>-2.099631</v>
      </c>
      <c r="J37">
        <v>13.974640000000001</v>
      </c>
      <c r="K37" s="1" t="s">
        <v>1500</v>
      </c>
      <c r="L37" s="1" t="s">
        <v>1508</v>
      </c>
    </row>
    <row r="38" spans="1:12" x14ac:dyDescent="0.3">
      <c r="A38" s="1" t="s">
        <v>805</v>
      </c>
      <c r="B38" s="2">
        <v>45208</v>
      </c>
      <c r="C38" s="3">
        <v>0.86388888888888893</v>
      </c>
      <c r="D38" s="1" t="s">
        <v>844</v>
      </c>
      <c r="E38">
        <v>92</v>
      </c>
      <c r="F38" s="1" t="s">
        <v>807</v>
      </c>
      <c r="G38" s="1" t="s">
        <v>844</v>
      </c>
      <c r="H38" s="1" t="s">
        <v>51</v>
      </c>
      <c r="I38">
        <v>-0.77432100000000004</v>
      </c>
      <c r="J38">
        <v>18.628658999999999</v>
      </c>
      <c r="K38" s="1" t="s">
        <v>1498</v>
      </c>
      <c r="L38" s="1" t="s">
        <v>1499</v>
      </c>
    </row>
    <row r="39" spans="1:12" x14ac:dyDescent="0.3">
      <c r="A39" s="1" t="s">
        <v>1190</v>
      </c>
      <c r="B39" s="2">
        <v>45218</v>
      </c>
      <c r="C39" s="3">
        <v>0.63194444444444442</v>
      </c>
      <c r="D39" s="1" t="s">
        <v>844</v>
      </c>
      <c r="E39">
        <v>42</v>
      </c>
      <c r="F39" s="1" t="s">
        <v>810</v>
      </c>
      <c r="G39" s="1" t="s">
        <v>844</v>
      </c>
      <c r="H39" s="1" t="s">
        <v>51</v>
      </c>
      <c r="I39">
        <v>-0.77432100000000004</v>
      </c>
      <c r="J39">
        <v>18.628658999999999</v>
      </c>
      <c r="K39" s="1" t="s">
        <v>1498</v>
      </c>
      <c r="L39" s="1" t="s">
        <v>1499</v>
      </c>
    </row>
    <row r="40" spans="1:12" x14ac:dyDescent="0.3">
      <c r="A40" s="1" t="s">
        <v>1190</v>
      </c>
      <c r="B40" s="2">
        <v>45210</v>
      </c>
      <c r="C40" s="3">
        <v>0.87986111111111109</v>
      </c>
      <c r="D40" s="1" t="s">
        <v>1198</v>
      </c>
      <c r="E40">
        <v>53</v>
      </c>
      <c r="F40" s="1" t="s">
        <v>807</v>
      </c>
      <c r="G40" s="1" t="s">
        <v>1198</v>
      </c>
      <c r="H40" s="1" t="s">
        <v>67</v>
      </c>
      <c r="I40">
        <v>-7.8770429999999996</v>
      </c>
      <c r="J40">
        <v>16.357762999999998</v>
      </c>
      <c r="K40" s="1" t="s">
        <v>1498</v>
      </c>
      <c r="L40" s="1" t="s">
        <v>1496</v>
      </c>
    </row>
    <row r="41" spans="1:12" x14ac:dyDescent="0.3">
      <c r="A41" s="1" t="s">
        <v>805</v>
      </c>
      <c r="B41" s="2">
        <v>45210</v>
      </c>
      <c r="C41" s="3">
        <v>5.1388888888888887E-2</v>
      </c>
      <c r="D41" s="1" t="s">
        <v>846</v>
      </c>
      <c r="E41">
        <v>73</v>
      </c>
      <c r="F41" s="1" t="s">
        <v>807</v>
      </c>
      <c r="G41" s="1" t="s">
        <v>846</v>
      </c>
      <c r="H41" s="1" t="s">
        <v>37</v>
      </c>
      <c r="I41">
        <v>-10.776204</v>
      </c>
      <c r="J41">
        <v>24.672934000000001</v>
      </c>
      <c r="K41" s="1" t="s">
        <v>1498</v>
      </c>
      <c r="L41" s="1" t="s">
        <v>1496</v>
      </c>
    </row>
    <row r="42" spans="1:12" x14ac:dyDescent="0.3">
      <c r="A42" s="1" t="s">
        <v>805</v>
      </c>
      <c r="B42" s="2">
        <v>45228</v>
      </c>
      <c r="C42" s="3">
        <v>0.85347222222222219</v>
      </c>
      <c r="D42" s="1" t="s">
        <v>846</v>
      </c>
      <c r="E42">
        <v>42</v>
      </c>
      <c r="F42" s="1" t="s">
        <v>807</v>
      </c>
      <c r="G42" s="1" t="s">
        <v>846</v>
      </c>
      <c r="H42" s="1" t="s">
        <v>37</v>
      </c>
      <c r="I42">
        <v>-10.776204</v>
      </c>
      <c r="J42">
        <v>24.672934000000001</v>
      </c>
      <c r="K42" s="1" t="s">
        <v>1498</v>
      </c>
      <c r="L42" s="1" t="s">
        <v>1496</v>
      </c>
    </row>
    <row r="43" spans="1:12" x14ac:dyDescent="0.3">
      <c r="A43" s="1" t="s">
        <v>1190</v>
      </c>
      <c r="B43" s="2">
        <v>45214</v>
      </c>
      <c r="C43" s="3">
        <v>0.43472222222222223</v>
      </c>
      <c r="D43" s="1" t="s">
        <v>846</v>
      </c>
      <c r="E43">
        <v>61</v>
      </c>
      <c r="F43" s="1" t="s">
        <v>812</v>
      </c>
      <c r="G43" s="1" t="s">
        <v>846</v>
      </c>
      <c r="H43" s="1" t="s">
        <v>37</v>
      </c>
      <c r="I43">
        <v>-10.776204</v>
      </c>
      <c r="J43">
        <v>24.672934000000001</v>
      </c>
      <c r="K43" s="1" t="s">
        <v>1498</v>
      </c>
      <c r="L43" s="1" t="s">
        <v>1496</v>
      </c>
    </row>
    <row r="44" spans="1:12" x14ac:dyDescent="0.3">
      <c r="A44" s="1" t="s">
        <v>805</v>
      </c>
      <c r="B44" s="2">
        <v>45226</v>
      </c>
      <c r="C44" s="3">
        <v>7.7083333333333337E-2</v>
      </c>
      <c r="D44" s="1" t="s">
        <v>847</v>
      </c>
      <c r="E44">
        <v>101</v>
      </c>
      <c r="F44" s="1" t="s">
        <v>807</v>
      </c>
      <c r="G44" s="1" t="s">
        <v>847</v>
      </c>
      <c r="H44" s="1" t="s">
        <v>21</v>
      </c>
      <c r="I44">
        <v>4.2493650000000001</v>
      </c>
      <c r="J44">
        <v>28.355039999999999</v>
      </c>
      <c r="K44" s="1" t="s">
        <v>1500</v>
      </c>
      <c r="L44" s="1" t="s">
        <v>1501</v>
      </c>
    </row>
    <row r="45" spans="1:12" x14ac:dyDescent="0.3">
      <c r="A45" s="1" t="s">
        <v>1073</v>
      </c>
      <c r="B45" s="2">
        <v>45221</v>
      </c>
      <c r="C45" s="3">
        <v>0.92847222222222225</v>
      </c>
      <c r="D45" s="1" t="s">
        <v>847</v>
      </c>
      <c r="E45">
        <v>21</v>
      </c>
      <c r="F45" s="1" t="s">
        <v>807</v>
      </c>
      <c r="G45" s="1" t="s">
        <v>847</v>
      </c>
      <c r="H45" s="1" t="s">
        <v>21</v>
      </c>
      <c r="I45">
        <v>4.2493650000000001</v>
      </c>
      <c r="J45">
        <v>28.355039999999999</v>
      </c>
      <c r="K45" s="1" t="s">
        <v>1500</v>
      </c>
      <c r="L45" s="1" t="s">
        <v>1501</v>
      </c>
    </row>
    <row r="46" spans="1:12" x14ac:dyDescent="0.3">
      <c r="A46" s="1" t="s">
        <v>805</v>
      </c>
      <c r="B46" s="2">
        <v>45202</v>
      </c>
      <c r="C46" s="3">
        <v>0.2902777777777778</v>
      </c>
      <c r="D46" s="1" t="s">
        <v>848</v>
      </c>
      <c r="E46">
        <v>103</v>
      </c>
      <c r="F46" s="1" t="s">
        <v>810</v>
      </c>
      <c r="G46" s="1" t="s">
        <v>848</v>
      </c>
      <c r="H46" s="1" t="s">
        <v>60</v>
      </c>
      <c r="I46">
        <v>4.9250049999999996</v>
      </c>
      <c r="J46">
        <v>19.887931999999999</v>
      </c>
      <c r="K46" s="1" t="s">
        <v>1498</v>
      </c>
      <c r="L46" s="1" t="s">
        <v>1499</v>
      </c>
    </row>
    <row r="47" spans="1:12" x14ac:dyDescent="0.3">
      <c r="A47" s="1" t="s">
        <v>854</v>
      </c>
      <c r="B47" s="2">
        <v>45203</v>
      </c>
      <c r="C47" s="3">
        <v>0.76041666666666663</v>
      </c>
      <c r="D47" s="1" t="s">
        <v>886</v>
      </c>
      <c r="E47">
        <v>18</v>
      </c>
      <c r="F47" s="1" t="s">
        <v>812</v>
      </c>
      <c r="G47" s="1" t="s">
        <v>886</v>
      </c>
      <c r="H47" s="1" t="s">
        <v>89</v>
      </c>
      <c r="I47">
        <v>0.94539899999999999</v>
      </c>
      <c r="J47">
        <v>14.401821999999999</v>
      </c>
      <c r="K47" s="1" t="s">
        <v>1495</v>
      </c>
      <c r="L47" s="1" t="s">
        <v>1508</v>
      </c>
    </row>
    <row r="48" spans="1:12" x14ac:dyDescent="0.3">
      <c r="A48" s="1" t="s">
        <v>1014</v>
      </c>
      <c r="B48" s="2">
        <v>45225</v>
      </c>
      <c r="C48" s="3">
        <v>0.21527777777777779</v>
      </c>
      <c r="D48" s="1" t="s">
        <v>1043</v>
      </c>
      <c r="E48">
        <v>41</v>
      </c>
      <c r="F48" s="1" t="s">
        <v>812</v>
      </c>
      <c r="G48" s="1" t="s">
        <v>1043</v>
      </c>
      <c r="H48" s="1" t="s">
        <v>44</v>
      </c>
      <c r="I48">
        <v>-4.9552579999999997</v>
      </c>
      <c r="J48">
        <v>22.008103999999999</v>
      </c>
      <c r="K48" s="1" t="s">
        <v>1498</v>
      </c>
      <c r="L48" s="1" t="s">
        <v>1499</v>
      </c>
    </row>
    <row r="49" spans="1:12" x14ac:dyDescent="0.3">
      <c r="A49" s="1" t="s">
        <v>805</v>
      </c>
      <c r="B49" s="2">
        <v>45207</v>
      </c>
      <c r="C49" s="3">
        <v>0.98263888888888884</v>
      </c>
      <c r="D49" s="1" t="s">
        <v>853</v>
      </c>
      <c r="E49">
        <v>25</v>
      </c>
      <c r="F49" s="1" t="s">
        <v>812</v>
      </c>
      <c r="G49" s="1" t="s">
        <v>853</v>
      </c>
      <c r="H49" s="1" t="s">
        <v>131</v>
      </c>
      <c r="I49">
        <v>-11.866133</v>
      </c>
      <c r="J49">
        <v>27.068932</v>
      </c>
      <c r="K49" s="1" t="s">
        <v>1500</v>
      </c>
      <c r="L49" s="1" t="s">
        <v>1499</v>
      </c>
    </row>
    <row r="50" spans="1:12" x14ac:dyDescent="0.3">
      <c r="A50" s="1" t="s">
        <v>1098</v>
      </c>
      <c r="B50" s="2">
        <v>45215</v>
      </c>
      <c r="C50" s="3">
        <v>0.67291666666666672</v>
      </c>
      <c r="D50" s="1" t="s">
        <v>853</v>
      </c>
      <c r="E50">
        <v>117</v>
      </c>
      <c r="F50" s="1" t="s">
        <v>812</v>
      </c>
      <c r="G50" s="1" t="s">
        <v>853</v>
      </c>
      <c r="H50" s="1" t="s">
        <v>131</v>
      </c>
      <c r="I50">
        <v>-11.866133</v>
      </c>
      <c r="J50">
        <v>27.068932</v>
      </c>
      <c r="K50" s="1" t="s">
        <v>1500</v>
      </c>
      <c r="L50" s="1" t="s">
        <v>1499</v>
      </c>
    </row>
    <row r="51" spans="1:12" x14ac:dyDescent="0.3">
      <c r="A51" s="1" t="s">
        <v>1073</v>
      </c>
      <c r="B51" s="2">
        <v>45205</v>
      </c>
      <c r="C51" s="3">
        <v>0.47152777777777777</v>
      </c>
      <c r="D51" s="1" t="s">
        <v>1088</v>
      </c>
      <c r="E51">
        <v>50</v>
      </c>
      <c r="F51" s="1" t="s">
        <v>810</v>
      </c>
      <c r="G51" s="1" t="s">
        <v>1088</v>
      </c>
      <c r="H51" s="1" t="s">
        <v>18</v>
      </c>
      <c r="I51">
        <v>2.628638</v>
      </c>
      <c r="J51">
        <v>28.420582</v>
      </c>
      <c r="K51" s="1" t="s">
        <v>1498</v>
      </c>
      <c r="L51" s="1" t="s">
        <v>1499</v>
      </c>
    </row>
    <row r="52" spans="1:12" x14ac:dyDescent="0.3">
      <c r="A52" s="1" t="s">
        <v>854</v>
      </c>
      <c r="B52" s="2">
        <v>45213</v>
      </c>
      <c r="C52" s="3">
        <v>0.25416666666666665</v>
      </c>
      <c r="D52" s="1" t="s">
        <v>857</v>
      </c>
      <c r="E52">
        <v>73</v>
      </c>
      <c r="F52" s="1" t="s">
        <v>812</v>
      </c>
      <c r="G52" s="1" t="s">
        <v>857</v>
      </c>
      <c r="H52" s="1" t="s">
        <v>13</v>
      </c>
      <c r="I52">
        <v>-5.1030600000000002</v>
      </c>
      <c r="J52">
        <v>22.849231</v>
      </c>
      <c r="K52" s="1" t="s">
        <v>1495</v>
      </c>
      <c r="L52" s="1" t="s">
        <v>1501</v>
      </c>
    </row>
    <row r="53" spans="1:12" x14ac:dyDescent="0.3">
      <c r="A53" s="1" t="s">
        <v>1161</v>
      </c>
      <c r="B53" s="2">
        <v>45207</v>
      </c>
      <c r="C53" s="3">
        <v>0.13333333333333333</v>
      </c>
      <c r="D53" s="1" t="s">
        <v>1165</v>
      </c>
      <c r="E53">
        <v>66</v>
      </c>
      <c r="F53" s="1" t="s">
        <v>810</v>
      </c>
      <c r="G53" s="1" t="s">
        <v>1165</v>
      </c>
      <c r="H53" s="1" t="s">
        <v>57</v>
      </c>
      <c r="I53">
        <v>-5.4073029999999997</v>
      </c>
      <c r="J53">
        <v>29.762294000000001</v>
      </c>
      <c r="K53" s="1" t="s">
        <v>1500</v>
      </c>
      <c r="L53" s="1" t="s">
        <v>1496</v>
      </c>
    </row>
    <row r="54" spans="1:12" x14ac:dyDescent="0.3">
      <c r="A54" s="1" t="s">
        <v>854</v>
      </c>
      <c r="B54" s="2">
        <v>45214</v>
      </c>
      <c r="C54" s="3">
        <v>0.9604166666666667</v>
      </c>
      <c r="D54" s="1" t="s">
        <v>859</v>
      </c>
      <c r="E54">
        <v>38</v>
      </c>
      <c r="F54" s="1" t="s">
        <v>807</v>
      </c>
      <c r="G54" s="1" t="s">
        <v>859</v>
      </c>
      <c r="H54" s="1" t="s">
        <v>137</v>
      </c>
      <c r="I54">
        <v>-11.710407999999999</v>
      </c>
      <c r="J54">
        <v>23.741330999999999</v>
      </c>
      <c r="K54" s="1" t="s">
        <v>1500</v>
      </c>
      <c r="L54" s="1" t="s">
        <v>1499</v>
      </c>
    </row>
    <row r="55" spans="1:12" x14ac:dyDescent="0.3">
      <c r="A55" s="1" t="s">
        <v>1014</v>
      </c>
      <c r="B55" s="2">
        <v>45227</v>
      </c>
      <c r="C55" s="3">
        <v>0.52708333333333335</v>
      </c>
      <c r="D55" s="1" t="s">
        <v>1044</v>
      </c>
      <c r="E55">
        <v>107</v>
      </c>
      <c r="F55" s="1" t="s">
        <v>810</v>
      </c>
      <c r="G55" s="1" t="s">
        <v>1044</v>
      </c>
      <c r="H55" s="1" t="s">
        <v>37</v>
      </c>
      <c r="I55">
        <v>-1.50664</v>
      </c>
      <c r="J55">
        <v>27.795642000000001</v>
      </c>
      <c r="K55" s="1" t="s">
        <v>1495</v>
      </c>
      <c r="L55" s="1" t="s">
        <v>1501</v>
      </c>
    </row>
    <row r="56" spans="1:12" x14ac:dyDescent="0.3">
      <c r="A56" s="1" t="s">
        <v>854</v>
      </c>
      <c r="B56" s="2">
        <v>45221</v>
      </c>
      <c r="C56" s="3">
        <v>0.8618055555555556</v>
      </c>
      <c r="D56" s="1" t="s">
        <v>860</v>
      </c>
      <c r="E56">
        <v>21</v>
      </c>
      <c r="F56" s="1" t="s">
        <v>810</v>
      </c>
      <c r="G56" s="1" t="s">
        <v>860</v>
      </c>
      <c r="H56" s="1" t="s">
        <v>37</v>
      </c>
      <c r="I56">
        <v>-1.864393</v>
      </c>
      <c r="J56">
        <v>21.453434000000001</v>
      </c>
      <c r="K56" s="1" t="s">
        <v>1495</v>
      </c>
      <c r="L56" s="1" t="s">
        <v>1496</v>
      </c>
    </row>
    <row r="57" spans="1:12" x14ac:dyDescent="0.3">
      <c r="A57" s="1" t="s">
        <v>1073</v>
      </c>
      <c r="B57" s="2">
        <v>45207</v>
      </c>
      <c r="C57" s="3">
        <v>0.52638888888888891</v>
      </c>
      <c r="D57" s="1" t="s">
        <v>1097</v>
      </c>
      <c r="E57">
        <v>78</v>
      </c>
      <c r="F57" s="1" t="s">
        <v>812</v>
      </c>
      <c r="G57" s="1" t="s">
        <v>1097</v>
      </c>
      <c r="H57" s="1" t="s">
        <v>24</v>
      </c>
      <c r="I57">
        <v>-9.4229749999999992</v>
      </c>
      <c r="J57">
        <v>29.375005999999999</v>
      </c>
      <c r="K57" s="1" t="s">
        <v>1500</v>
      </c>
      <c r="L57" s="1" t="s">
        <v>1496</v>
      </c>
    </row>
    <row r="58" spans="1:12" x14ac:dyDescent="0.3">
      <c r="A58" s="1" t="s">
        <v>1014</v>
      </c>
      <c r="B58" s="2">
        <v>45222</v>
      </c>
      <c r="C58" s="3">
        <v>0.66319444444444442</v>
      </c>
      <c r="D58" s="1" t="s">
        <v>1031</v>
      </c>
      <c r="E58">
        <v>6</v>
      </c>
      <c r="F58" s="1" t="s">
        <v>812</v>
      </c>
      <c r="G58" s="1" t="s">
        <v>1031</v>
      </c>
      <c r="H58" s="1" t="s">
        <v>62</v>
      </c>
      <c r="I58">
        <v>2.975352</v>
      </c>
      <c r="J58">
        <v>22.535886000000001</v>
      </c>
      <c r="K58" s="1" t="s">
        <v>1498</v>
      </c>
      <c r="L58" s="1" t="s">
        <v>1499</v>
      </c>
    </row>
    <row r="59" spans="1:12" x14ac:dyDescent="0.3">
      <c r="A59" s="1" t="s">
        <v>1161</v>
      </c>
      <c r="B59" s="2">
        <v>45204</v>
      </c>
      <c r="C59" s="3">
        <v>0.23749999999999999</v>
      </c>
      <c r="D59" s="1" t="s">
        <v>1031</v>
      </c>
      <c r="E59">
        <v>21</v>
      </c>
      <c r="F59" s="1" t="s">
        <v>810</v>
      </c>
      <c r="G59" s="1" t="s">
        <v>1031</v>
      </c>
      <c r="H59" s="1" t="s">
        <v>62</v>
      </c>
      <c r="I59">
        <v>2.975352</v>
      </c>
      <c r="J59">
        <v>22.535886000000001</v>
      </c>
      <c r="K59" s="1" t="s">
        <v>1498</v>
      </c>
      <c r="L59" s="1" t="s">
        <v>1499</v>
      </c>
    </row>
    <row r="60" spans="1:12" x14ac:dyDescent="0.3">
      <c r="A60" s="1" t="s">
        <v>1133</v>
      </c>
      <c r="B60" s="2">
        <v>45207</v>
      </c>
      <c r="C60" s="3">
        <v>0.98750000000000004</v>
      </c>
      <c r="D60" s="1" t="s">
        <v>1147</v>
      </c>
      <c r="E60">
        <v>15</v>
      </c>
      <c r="F60" s="1" t="s">
        <v>810</v>
      </c>
      <c r="G60" s="1" t="s">
        <v>1147</v>
      </c>
      <c r="H60" s="1" t="s">
        <v>40</v>
      </c>
      <c r="I60">
        <v>-9.0798120000000004</v>
      </c>
      <c r="J60">
        <v>14.945484</v>
      </c>
      <c r="K60" s="1" t="s">
        <v>1495</v>
      </c>
      <c r="L60" s="1" t="s">
        <v>1496</v>
      </c>
    </row>
    <row r="61" spans="1:12" x14ac:dyDescent="0.3">
      <c r="A61" s="1" t="s">
        <v>1098</v>
      </c>
      <c r="B61" s="2">
        <v>45229</v>
      </c>
      <c r="C61" s="3">
        <v>0.39166666666666666</v>
      </c>
      <c r="D61" s="1" t="s">
        <v>1112</v>
      </c>
      <c r="E61">
        <v>28</v>
      </c>
      <c r="F61" s="1" t="s">
        <v>812</v>
      </c>
      <c r="G61" s="1" t="s">
        <v>1112</v>
      </c>
      <c r="H61" s="1" t="s">
        <v>137</v>
      </c>
      <c r="I61">
        <v>-10.967288</v>
      </c>
      <c r="J61">
        <v>17.617781000000001</v>
      </c>
      <c r="K61" s="1" t="s">
        <v>1498</v>
      </c>
      <c r="L61" s="1" t="s">
        <v>1496</v>
      </c>
    </row>
    <row r="62" spans="1:12" x14ac:dyDescent="0.3">
      <c r="A62" s="1" t="s">
        <v>936</v>
      </c>
      <c r="B62" s="2">
        <v>45202</v>
      </c>
      <c r="C62" s="3">
        <v>0.8520833333333333</v>
      </c>
      <c r="D62" s="1" t="s">
        <v>943</v>
      </c>
      <c r="E62">
        <v>83</v>
      </c>
      <c r="F62" s="1" t="s">
        <v>807</v>
      </c>
      <c r="G62" s="1" t="s">
        <v>943</v>
      </c>
      <c r="H62" s="1" t="s">
        <v>44</v>
      </c>
      <c r="I62">
        <v>-1.607639</v>
      </c>
      <c r="J62">
        <v>17.003636</v>
      </c>
      <c r="K62" s="1" t="s">
        <v>1498</v>
      </c>
      <c r="L62" s="1" t="s">
        <v>1496</v>
      </c>
    </row>
    <row r="63" spans="1:12" x14ac:dyDescent="0.3">
      <c r="A63" s="1" t="s">
        <v>854</v>
      </c>
      <c r="B63" s="2">
        <v>45205</v>
      </c>
      <c r="C63" s="3">
        <v>0.35347222222222224</v>
      </c>
      <c r="D63" s="1" t="s">
        <v>865</v>
      </c>
      <c r="E63">
        <v>52</v>
      </c>
      <c r="F63" s="1" t="s">
        <v>810</v>
      </c>
      <c r="G63" s="1" t="s">
        <v>865</v>
      </c>
      <c r="H63" s="1" t="s">
        <v>37</v>
      </c>
      <c r="I63">
        <v>3.1362930000000002</v>
      </c>
      <c r="J63">
        <v>16.190878000000001</v>
      </c>
      <c r="K63" s="1" t="s">
        <v>1500</v>
      </c>
      <c r="L63" s="1" t="s">
        <v>1508</v>
      </c>
    </row>
    <row r="64" spans="1:12" x14ac:dyDescent="0.3">
      <c r="A64" s="1" t="s">
        <v>854</v>
      </c>
      <c r="B64" s="2">
        <v>45207</v>
      </c>
      <c r="C64" s="3">
        <v>0.10277777777777777</v>
      </c>
      <c r="D64" s="1" t="s">
        <v>866</v>
      </c>
      <c r="E64">
        <v>41</v>
      </c>
      <c r="F64" s="1" t="s">
        <v>807</v>
      </c>
      <c r="G64" s="1" t="s">
        <v>866</v>
      </c>
      <c r="H64" s="1" t="s">
        <v>51</v>
      </c>
      <c r="I64">
        <v>-5.9021970000000001</v>
      </c>
      <c r="J64">
        <v>20.551169999999999</v>
      </c>
      <c r="K64" s="1" t="s">
        <v>1500</v>
      </c>
      <c r="L64" s="1" t="s">
        <v>1499</v>
      </c>
    </row>
    <row r="65" spans="1:12" x14ac:dyDescent="0.3">
      <c r="A65" s="1" t="s">
        <v>898</v>
      </c>
      <c r="B65" s="2">
        <v>45219</v>
      </c>
      <c r="C65" s="3">
        <v>0.4201388888888889</v>
      </c>
      <c r="D65" s="1" t="s">
        <v>930</v>
      </c>
      <c r="E65">
        <v>63</v>
      </c>
      <c r="F65" s="1" t="s">
        <v>812</v>
      </c>
      <c r="G65" s="1" t="s">
        <v>930</v>
      </c>
      <c r="H65" s="1" t="s">
        <v>67</v>
      </c>
      <c r="I65">
        <v>-9.9875139999999991</v>
      </c>
      <c r="J65">
        <v>12.013676999999999</v>
      </c>
      <c r="K65" s="1" t="s">
        <v>1500</v>
      </c>
      <c r="L65" s="1" t="s">
        <v>1501</v>
      </c>
    </row>
    <row r="66" spans="1:12" x14ac:dyDescent="0.3">
      <c r="A66" s="1" t="s">
        <v>854</v>
      </c>
      <c r="B66" s="2">
        <v>45225</v>
      </c>
      <c r="C66" s="3">
        <v>0.71250000000000002</v>
      </c>
      <c r="D66" s="1" t="s">
        <v>867</v>
      </c>
      <c r="E66">
        <v>25</v>
      </c>
      <c r="F66" s="1" t="s">
        <v>807</v>
      </c>
      <c r="G66" s="1" t="s">
        <v>867</v>
      </c>
      <c r="H66" s="1" t="s">
        <v>24</v>
      </c>
      <c r="I66">
        <v>-5.5445120000000001</v>
      </c>
      <c r="J66">
        <v>27.547335</v>
      </c>
      <c r="K66" s="1" t="s">
        <v>1498</v>
      </c>
      <c r="L66" s="1" t="s">
        <v>1496</v>
      </c>
    </row>
    <row r="67" spans="1:12" x14ac:dyDescent="0.3">
      <c r="A67" s="1" t="s">
        <v>898</v>
      </c>
      <c r="B67" s="2">
        <v>45220</v>
      </c>
      <c r="C67" s="3">
        <v>0.43680555555555556</v>
      </c>
      <c r="D67" s="1" t="s">
        <v>867</v>
      </c>
      <c r="E67">
        <v>64</v>
      </c>
      <c r="F67" s="1" t="s">
        <v>810</v>
      </c>
      <c r="G67" s="1" t="s">
        <v>867</v>
      </c>
      <c r="H67" s="1" t="s">
        <v>24</v>
      </c>
      <c r="I67">
        <v>-5.5445120000000001</v>
      </c>
      <c r="J67">
        <v>27.547335</v>
      </c>
      <c r="K67" s="1" t="s">
        <v>1498</v>
      </c>
      <c r="L67" s="1" t="s">
        <v>1496</v>
      </c>
    </row>
    <row r="68" spans="1:12" x14ac:dyDescent="0.3">
      <c r="A68" s="1" t="s">
        <v>1014</v>
      </c>
      <c r="B68" s="2">
        <v>45222</v>
      </c>
      <c r="C68" s="3">
        <v>0.35347222222222224</v>
      </c>
      <c r="D68" s="1" t="s">
        <v>1052</v>
      </c>
      <c r="E68">
        <v>101</v>
      </c>
      <c r="F68" s="1" t="s">
        <v>810</v>
      </c>
      <c r="G68" s="1" t="s">
        <v>1052</v>
      </c>
      <c r="H68" s="1" t="s">
        <v>131</v>
      </c>
      <c r="I68">
        <v>-10.846306999999999</v>
      </c>
      <c r="J68">
        <v>19.201827999999999</v>
      </c>
      <c r="K68" s="1" t="s">
        <v>1498</v>
      </c>
      <c r="L68" s="1" t="s">
        <v>1496</v>
      </c>
    </row>
    <row r="69" spans="1:12" x14ac:dyDescent="0.3">
      <c r="A69" s="1" t="s">
        <v>854</v>
      </c>
      <c r="B69" s="2">
        <v>45213</v>
      </c>
      <c r="C69" s="3">
        <v>0.64583333333333337</v>
      </c>
      <c r="D69" s="1" t="s">
        <v>870</v>
      </c>
      <c r="E69">
        <v>95</v>
      </c>
      <c r="F69" s="1" t="s">
        <v>807</v>
      </c>
      <c r="G69" s="1" t="s">
        <v>870</v>
      </c>
      <c r="H69" s="1" t="s">
        <v>24</v>
      </c>
      <c r="I69">
        <v>-2.9417719999999998</v>
      </c>
      <c r="J69">
        <v>18.587305000000001</v>
      </c>
      <c r="K69" s="1" t="s">
        <v>1495</v>
      </c>
      <c r="L69" s="1" t="s">
        <v>1496</v>
      </c>
    </row>
    <row r="70" spans="1:12" x14ac:dyDescent="0.3">
      <c r="A70" s="1" t="s">
        <v>1190</v>
      </c>
      <c r="B70" s="2">
        <v>45222</v>
      </c>
      <c r="C70" s="3">
        <v>0.83402777777777781</v>
      </c>
      <c r="D70" s="1" t="s">
        <v>870</v>
      </c>
      <c r="E70">
        <v>109</v>
      </c>
      <c r="F70" s="1" t="s">
        <v>810</v>
      </c>
      <c r="G70" s="1" t="s">
        <v>870</v>
      </c>
      <c r="H70" s="1" t="s">
        <v>24</v>
      </c>
      <c r="I70">
        <v>-2.9417719999999998</v>
      </c>
      <c r="J70">
        <v>18.587305000000001</v>
      </c>
      <c r="K70" s="1" t="s">
        <v>1495</v>
      </c>
      <c r="L70" s="1" t="s">
        <v>1496</v>
      </c>
    </row>
    <row r="71" spans="1:12" x14ac:dyDescent="0.3">
      <c r="A71" s="1" t="s">
        <v>854</v>
      </c>
      <c r="B71" s="2">
        <v>45206</v>
      </c>
      <c r="C71" s="3">
        <v>0.5395833333333333</v>
      </c>
      <c r="D71" s="1" t="s">
        <v>871</v>
      </c>
      <c r="E71">
        <v>43</v>
      </c>
      <c r="F71" s="1" t="s">
        <v>807</v>
      </c>
      <c r="G71" s="1" t="s">
        <v>871</v>
      </c>
      <c r="H71" s="1" t="s">
        <v>40</v>
      </c>
      <c r="I71">
        <v>-10.963041</v>
      </c>
      <c r="J71">
        <v>12.269857</v>
      </c>
      <c r="K71" s="1" t="s">
        <v>1498</v>
      </c>
      <c r="L71" s="1" t="s">
        <v>1499</v>
      </c>
    </row>
    <row r="72" spans="1:12" x14ac:dyDescent="0.3">
      <c r="A72" s="1" t="s">
        <v>854</v>
      </c>
      <c r="B72" s="2">
        <v>45201</v>
      </c>
      <c r="C72" s="3">
        <v>0.22500000000000001</v>
      </c>
      <c r="D72" s="1" t="s">
        <v>872</v>
      </c>
      <c r="E72">
        <v>83</v>
      </c>
      <c r="F72" s="1" t="s">
        <v>810</v>
      </c>
      <c r="G72" s="1" t="s">
        <v>872</v>
      </c>
      <c r="H72" s="1" t="s">
        <v>131</v>
      </c>
      <c r="I72">
        <v>0.82868600000000003</v>
      </c>
      <c r="J72">
        <v>26.958843999999999</v>
      </c>
      <c r="K72" s="1" t="s">
        <v>1495</v>
      </c>
      <c r="L72" s="1" t="s">
        <v>1501</v>
      </c>
    </row>
    <row r="73" spans="1:12" x14ac:dyDescent="0.3">
      <c r="A73" s="1" t="s">
        <v>898</v>
      </c>
      <c r="B73" s="2">
        <v>45225</v>
      </c>
      <c r="C73" s="3">
        <v>0.77638888888888891</v>
      </c>
      <c r="D73" s="1" t="s">
        <v>872</v>
      </c>
      <c r="E73">
        <v>71</v>
      </c>
      <c r="F73" s="1" t="s">
        <v>807</v>
      </c>
      <c r="G73" s="1" t="s">
        <v>872</v>
      </c>
      <c r="H73" s="1" t="s">
        <v>131</v>
      </c>
      <c r="I73">
        <v>0.82868600000000003</v>
      </c>
      <c r="J73">
        <v>26.958843999999999</v>
      </c>
      <c r="K73" s="1" t="s">
        <v>1495</v>
      </c>
      <c r="L73" s="1" t="s">
        <v>1501</v>
      </c>
    </row>
    <row r="74" spans="1:12" x14ac:dyDescent="0.3">
      <c r="A74" s="1" t="s">
        <v>1133</v>
      </c>
      <c r="B74" s="2">
        <v>45208</v>
      </c>
      <c r="C74" s="3">
        <v>0.95902777777777781</v>
      </c>
      <c r="D74" s="1" t="s">
        <v>872</v>
      </c>
      <c r="E74">
        <v>98</v>
      </c>
      <c r="F74" s="1" t="s">
        <v>812</v>
      </c>
      <c r="G74" s="1" t="s">
        <v>872</v>
      </c>
      <c r="H74" s="1" t="s">
        <v>131</v>
      </c>
      <c r="I74">
        <v>0.82868600000000003</v>
      </c>
      <c r="J74">
        <v>26.958843999999999</v>
      </c>
      <c r="K74" s="1" t="s">
        <v>1495</v>
      </c>
      <c r="L74" s="1" t="s">
        <v>1501</v>
      </c>
    </row>
    <row r="75" spans="1:12" x14ac:dyDescent="0.3">
      <c r="A75" s="1" t="s">
        <v>977</v>
      </c>
      <c r="B75" s="2">
        <v>45218</v>
      </c>
      <c r="C75" s="3">
        <v>0.37847222222222221</v>
      </c>
      <c r="D75" s="1" t="s">
        <v>984</v>
      </c>
      <c r="E75">
        <v>102</v>
      </c>
      <c r="F75" s="1" t="s">
        <v>807</v>
      </c>
      <c r="G75" s="1" t="s">
        <v>984</v>
      </c>
      <c r="H75" s="1" t="s">
        <v>33</v>
      </c>
      <c r="I75">
        <v>-4.4451280000000004</v>
      </c>
      <c r="J75">
        <v>16.536944999999999</v>
      </c>
      <c r="K75" s="1" t="s">
        <v>1498</v>
      </c>
      <c r="L75" s="1" t="s">
        <v>1496</v>
      </c>
    </row>
    <row r="76" spans="1:12" x14ac:dyDescent="0.3">
      <c r="A76" s="1" t="s">
        <v>977</v>
      </c>
      <c r="B76" s="2">
        <v>45226</v>
      </c>
      <c r="C76" s="3">
        <v>0.10069444444444445</v>
      </c>
      <c r="D76" s="1" t="s">
        <v>980</v>
      </c>
      <c r="E76">
        <v>110</v>
      </c>
      <c r="F76" s="1" t="s">
        <v>810</v>
      </c>
      <c r="G76" s="1" t="s">
        <v>980</v>
      </c>
      <c r="H76" s="1" t="s">
        <v>67</v>
      </c>
      <c r="I76">
        <v>-2.2681789999999999</v>
      </c>
      <c r="J76">
        <v>25.699068</v>
      </c>
      <c r="K76" s="1" t="s">
        <v>1500</v>
      </c>
      <c r="L76" s="1" t="s">
        <v>1501</v>
      </c>
    </row>
    <row r="77" spans="1:12" x14ac:dyDescent="0.3">
      <c r="A77" s="1" t="s">
        <v>854</v>
      </c>
      <c r="B77" s="2">
        <v>45213</v>
      </c>
      <c r="C77" s="3">
        <v>0.94861111111111107</v>
      </c>
      <c r="D77" s="1" t="s">
        <v>874</v>
      </c>
      <c r="E77">
        <v>72</v>
      </c>
      <c r="F77" s="1" t="s">
        <v>810</v>
      </c>
      <c r="G77" s="1" t="s">
        <v>874</v>
      </c>
      <c r="H77" s="1" t="s">
        <v>35</v>
      </c>
      <c r="I77">
        <v>-2.7140689999999998</v>
      </c>
      <c r="J77">
        <v>22.222104000000002</v>
      </c>
      <c r="K77" s="1" t="s">
        <v>1498</v>
      </c>
      <c r="L77" s="1" t="s">
        <v>1508</v>
      </c>
    </row>
    <row r="78" spans="1:12" x14ac:dyDescent="0.3">
      <c r="A78" s="1" t="s">
        <v>898</v>
      </c>
      <c r="B78" s="2">
        <v>45203</v>
      </c>
      <c r="C78" s="3">
        <v>0.99791666666666667</v>
      </c>
      <c r="D78" s="1" t="s">
        <v>914</v>
      </c>
      <c r="E78">
        <v>101</v>
      </c>
      <c r="F78" s="1" t="s">
        <v>812</v>
      </c>
      <c r="G78" s="1" t="s">
        <v>914</v>
      </c>
      <c r="H78" s="1" t="s">
        <v>131</v>
      </c>
      <c r="I78">
        <v>-6.3148239999999998</v>
      </c>
      <c r="J78">
        <v>24.507498999999999</v>
      </c>
      <c r="K78" s="1" t="s">
        <v>1500</v>
      </c>
      <c r="L78" s="1" t="s">
        <v>1501</v>
      </c>
    </row>
    <row r="79" spans="1:12" x14ac:dyDescent="0.3">
      <c r="A79" s="1" t="s">
        <v>1133</v>
      </c>
      <c r="B79" s="2">
        <v>45226</v>
      </c>
      <c r="C79" s="3">
        <v>0.84097222222222223</v>
      </c>
      <c r="D79" s="1" t="s">
        <v>1151</v>
      </c>
      <c r="E79">
        <v>74</v>
      </c>
      <c r="F79" s="1" t="s">
        <v>810</v>
      </c>
      <c r="G79" s="1" t="s">
        <v>1151</v>
      </c>
      <c r="H79" s="1" t="s">
        <v>64</v>
      </c>
      <c r="I79">
        <v>-11.389362</v>
      </c>
      <c r="J79">
        <v>22.240174</v>
      </c>
      <c r="K79" s="1" t="s">
        <v>1495</v>
      </c>
      <c r="L79" s="1" t="s">
        <v>1501</v>
      </c>
    </row>
    <row r="80" spans="1:12" x14ac:dyDescent="0.3">
      <c r="A80" s="1" t="s">
        <v>1161</v>
      </c>
      <c r="B80" s="2">
        <v>45218</v>
      </c>
      <c r="C80" s="3">
        <v>8.8888888888888892E-2</v>
      </c>
      <c r="D80" s="1" t="s">
        <v>1151</v>
      </c>
      <c r="E80">
        <v>12</v>
      </c>
      <c r="F80" s="1" t="s">
        <v>812</v>
      </c>
      <c r="G80" s="1" t="s">
        <v>1151</v>
      </c>
      <c r="H80" s="1" t="s">
        <v>64</v>
      </c>
      <c r="I80">
        <v>-11.389362</v>
      </c>
      <c r="J80">
        <v>22.240174</v>
      </c>
      <c r="K80" s="1" t="s">
        <v>1495</v>
      </c>
      <c r="L80" s="1" t="s">
        <v>1501</v>
      </c>
    </row>
    <row r="81" spans="1:12" x14ac:dyDescent="0.3">
      <c r="A81" s="1" t="s">
        <v>1161</v>
      </c>
      <c r="B81" s="2">
        <v>45209</v>
      </c>
      <c r="C81" s="3">
        <v>0.21527777777777779</v>
      </c>
      <c r="D81" s="1" t="s">
        <v>1151</v>
      </c>
      <c r="E81">
        <v>23</v>
      </c>
      <c r="F81" s="1" t="s">
        <v>812</v>
      </c>
      <c r="G81" s="1" t="s">
        <v>1151</v>
      </c>
      <c r="H81" s="1" t="s">
        <v>64</v>
      </c>
      <c r="I81">
        <v>-11.389362</v>
      </c>
      <c r="J81">
        <v>22.240174</v>
      </c>
      <c r="K81" s="1" t="s">
        <v>1495</v>
      </c>
      <c r="L81" s="1" t="s">
        <v>1501</v>
      </c>
    </row>
    <row r="82" spans="1:12" x14ac:dyDescent="0.3">
      <c r="A82" s="1" t="s">
        <v>854</v>
      </c>
      <c r="B82" s="2">
        <v>45223</v>
      </c>
      <c r="C82" s="3">
        <v>0.41875000000000001</v>
      </c>
      <c r="D82" s="1" t="s">
        <v>880</v>
      </c>
      <c r="E82">
        <v>89</v>
      </c>
      <c r="F82" s="1" t="s">
        <v>807</v>
      </c>
      <c r="G82" s="1" t="s">
        <v>880</v>
      </c>
      <c r="H82" s="1" t="s">
        <v>24</v>
      </c>
      <c r="I82">
        <v>4.4712560000000003</v>
      </c>
      <c r="J82">
        <v>27.107028</v>
      </c>
      <c r="K82" s="1" t="s">
        <v>1500</v>
      </c>
      <c r="L82" s="1" t="s">
        <v>1496</v>
      </c>
    </row>
    <row r="83" spans="1:12" x14ac:dyDescent="0.3">
      <c r="A83" s="1" t="s">
        <v>1098</v>
      </c>
      <c r="B83" s="2">
        <v>45204</v>
      </c>
      <c r="C83" s="3">
        <v>0.47152777777777777</v>
      </c>
      <c r="D83" s="1" t="s">
        <v>1118</v>
      </c>
      <c r="E83">
        <v>10</v>
      </c>
      <c r="F83" s="1" t="s">
        <v>807</v>
      </c>
      <c r="G83" s="1" t="s">
        <v>1118</v>
      </c>
      <c r="H83" s="1" t="s">
        <v>131</v>
      </c>
      <c r="I83">
        <v>4.9455159999999996</v>
      </c>
      <c r="J83">
        <v>23.647746000000001</v>
      </c>
      <c r="K83" s="1" t="s">
        <v>1495</v>
      </c>
      <c r="L83" s="1" t="s">
        <v>1499</v>
      </c>
    </row>
    <row r="84" spans="1:12" x14ac:dyDescent="0.3">
      <c r="A84" s="1" t="s">
        <v>1014</v>
      </c>
      <c r="B84" s="2">
        <v>45221</v>
      </c>
      <c r="C84" s="3">
        <v>0.72499999999999998</v>
      </c>
      <c r="D84" s="1" t="s">
        <v>1030</v>
      </c>
      <c r="E84">
        <v>55</v>
      </c>
      <c r="F84" s="1" t="s">
        <v>810</v>
      </c>
      <c r="G84" s="1" t="s">
        <v>1030</v>
      </c>
      <c r="H84" s="1" t="s">
        <v>57</v>
      </c>
      <c r="I84">
        <v>-1.3976519999999999</v>
      </c>
      <c r="J84">
        <v>14.098819000000001</v>
      </c>
      <c r="K84" s="1" t="s">
        <v>1500</v>
      </c>
      <c r="L84" s="1" t="s">
        <v>1496</v>
      </c>
    </row>
    <row r="85" spans="1:12" x14ac:dyDescent="0.3">
      <c r="A85" s="1" t="s">
        <v>854</v>
      </c>
      <c r="B85" s="2">
        <v>45219</v>
      </c>
      <c r="C85" s="3">
        <v>0.11319444444444444</v>
      </c>
      <c r="D85" s="1" t="s">
        <v>884</v>
      </c>
      <c r="E85">
        <v>19</v>
      </c>
      <c r="F85" s="1" t="s">
        <v>807</v>
      </c>
      <c r="G85" s="1" t="s">
        <v>884</v>
      </c>
      <c r="H85" s="1" t="s">
        <v>40</v>
      </c>
      <c r="I85">
        <v>-9.7712979999999998</v>
      </c>
      <c r="J85">
        <v>19.827895999999999</v>
      </c>
      <c r="K85" s="1" t="s">
        <v>1500</v>
      </c>
      <c r="L85" s="1" t="s">
        <v>1501</v>
      </c>
    </row>
    <row r="86" spans="1:12" x14ac:dyDescent="0.3">
      <c r="A86" s="1" t="s">
        <v>854</v>
      </c>
      <c r="B86" s="2">
        <v>45227</v>
      </c>
      <c r="C86" s="3">
        <v>0.30902777777777779</v>
      </c>
      <c r="D86" s="1" t="s">
        <v>885</v>
      </c>
      <c r="E86">
        <v>118</v>
      </c>
      <c r="F86" s="1" t="s">
        <v>812</v>
      </c>
      <c r="G86" s="1" t="s">
        <v>885</v>
      </c>
      <c r="H86" s="1" t="s">
        <v>31</v>
      </c>
      <c r="I86">
        <v>-10.914952</v>
      </c>
      <c r="J86">
        <v>26.409648000000001</v>
      </c>
      <c r="K86" s="1" t="s">
        <v>1498</v>
      </c>
      <c r="L86" s="1" t="s">
        <v>1499</v>
      </c>
    </row>
    <row r="87" spans="1:12" x14ac:dyDescent="0.3">
      <c r="A87" s="1" t="s">
        <v>1014</v>
      </c>
      <c r="B87" s="2">
        <v>45216</v>
      </c>
      <c r="C87" s="3">
        <v>0.76458333333333328</v>
      </c>
      <c r="D87" s="1" t="s">
        <v>885</v>
      </c>
      <c r="E87">
        <v>53</v>
      </c>
      <c r="F87" s="1" t="s">
        <v>810</v>
      </c>
      <c r="G87" s="1" t="s">
        <v>885</v>
      </c>
      <c r="H87" s="1" t="s">
        <v>31</v>
      </c>
      <c r="I87">
        <v>-10.914952</v>
      </c>
      <c r="J87">
        <v>26.409648000000001</v>
      </c>
      <c r="K87" s="1" t="s">
        <v>1498</v>
      </c>
      <c r="L87" s="1" t="s">
        <v>1499</v>
      </c>
    </row>
    <row r="88" spans="1:12" x14ac:dyDescent="0.3">
      <c r="A88" s="1" t="s">
        <v>1098</v>
      </c>
      <c r="B88" s="2">
        <v>45214</v>
      </c>
      <c r="C88" s="3">
        <v>0.77430555555555558</v>
      </c>
      <c r="D88" s="1" t="s">
        <v>885</v>
      </c>
      <c r="E88">
        <v>118</v>
      </c>
      <c r="F88" s="1" t="s">
        <v>807</v>
      </c>
      <c r="G88" s="1" t="s">
        <v>885</v>
      </c>
      <c r="H88" s="1" t="s">
        <v>31</v>
      </c>
      <c r="I88">
        <v>-10.914952</v>
      </c>
      <c r="J88">
        <v>26.409648000000001</v>
      </c>
      <c r="K88" s="1" t="s">
        <v>1498</v>
      </c>
      <c r="L88" s="1" t="s">
        <v>1499</v>
      </c>
    </row>
    <row r="89" spans="1:12" x14ac:dyDescent="0.3">
      <c r="A89" s="1" t="s">
        <v>854</v>
      </c>
      <c r="B89" s="2">
        <v>45219</v>
      </c>
      <c r="C89" s="3">
        <v>0.10138888888888889</v>
      </c>
      <c r="D89" s="1" t="s">
        <v>888</v>
      </c>
      <c r="E89">
        <v>75</v>
      </c>
      <c r="F89" s="1" t="s">
        <v>807</v>
      </c>
      <c r="G89" s="1" t="s">
        <v>888</v>
      </c>
      <c r="H89" s="1" t="s">
        <v>10</v>
      </c>
      <c r="I89">
        <v>-7.0076900000000002</v>
      </c>
      <c r="J89">
        <v>27.367121999999998</v>
      </c>
      <c r="K89" s="1" t="s">
        <v>1500</v>
      </c>
      <c r="L89" s="1" t="s">
        <v>1508</v>
      </c>
    </row>
    <row r="90" spans="1:12" x14ac:dyDescent="0.3">
      <c r="A90" s="1" t="s">
        <v>854</v>
      </c>
      <c r="B90" s="2">
        <v>45221</v>
      </c>
      <c r="C90" s="3">
        <v>0.77500000000000002</v>
      </c>
      <c r="D90" s="1" t="s">
        <v>889</v>
      </c>
      <c r="E90">
        <v>24</v>
      </c>
      <c r="F90" s="1" t="s">
        <v>807</v>
      </c>
      <c r="G90" s="1" t="s">
        <v>889</v>
      </c>
      <c r="H90" s="1" t="s">
        <v>16</v>
      </c>
      <c r="I90">
        <v>-11.514188000000001</v>
      </c>
      <c r="J90">
        <v>15.971181</v>
      </c>
      <c r="K90" s="1" t="s">
        <v>1495</v>
      </c>
      <c r="L90" s="1" t="s">
        <v>1496</v>
      </c>
    </row>
    <row r="91" spans="1:12" x14ac:dyDescent="0.3">
      <c r="A91" s="1" t="s">
        <v>1190</v>
      </c>
      <c r="B91" s="2">
        <v>45230</v>
      </c>
      <c r="C91" s="3">
        <v>0.40902777777777777</v>
      </c>
      <c r="D91" s="1" t="s">
        <v>1211</v>
      </c>
      <c r="E91">
        <v>80</v>
      </c>
      <c r="F91" s="1" t="s">
        <v>810</v>
      </c>
      <c r="G91" s="1" t="s">
        <v>1211</v>
      </c>
      <c r="H91" s="1" t="s">
        <v>51</v>
      </c>
      <c r="I91">
        <v>0.62055499999999997</v>
      </c>
      <c r="J91">
        <v>21.222035000000002</v>
      </c>
      <c r="K91" s="1" t="s">
        <v>1495</v>
      </c>
      <c r="L91" s="1" t="s">
        <v>1508</v>
      </c>
    </row>
    <row r="92" spans="1:12" x14ac:dyDescent="0.3">
      <c r="A92" s="1" t="s">
        <v>854</v>
      </c>
      <c r="B92" s="2">
        <v>45216</v>
      </c>
      <c r="C92" s="3">
        <v>0.45763888888888887</v>
      </c>
      <c r="D92" s="1" t="s">
        <v>890</v>
      </c>
      <c r="E92">
        <v>39</v>
      </c>
      <c r="F92" s="1" t="s">
        <v>807</v>
      </c>
      <c r="G92" s="1" t="s">
        <v>890</v>
      </c>
      <c r="H92" s="1" t="s">
        <v>33</v>
      </c>
      <c r="I92">
        <v>-9.5266249999999992</v>
      </c>
      <c r="J92">
        <v>27.889690999999999</v>
      </c>
      <c r="K92" s="1" t="s">
        <v>1498</v>
      </c>
      <c r="L92" s="1" t="s">
        <v>1496</v>
      </c>
    </row>
    <row r="93" spans="1:12" x14ac:dyDescent="0.3">
      <c r="A93" s="1" t="s">
        <v>854</v>
      </c>
      <c r="B93" s="2">
        <v>45208</v>
      </c>
      <c r="C93" s="3">
        <v>0.27916666666666667</v>
      </c>
      <c r="D93" s="1" t="s">
        <v>891</v>
      </c>
      <c r="E93">
        <v>41</v>
      </c>
      <c r="F93" s="1" t="s">
        <v>810</v>
      </c>
      <c r="G93" s="1" t="s">
        <v>891</v>
      </c>
      <c r="H93" s="1" t="s">
        <v>89</v>
      </c>
      <c r="I93">
        <v>-9.3066320000000005</v>
      </c>
      <c r="J93">
        <v>20.470889</v>
      </c>
      <c r="K93" s="1" t="s">
        <v>1495</v>
      </c>
      <c r="L93" s="1" t="s">
        <v>1501</v>
      </c>
    </row>
    <row r="94" spans="1:12" x14ac:dyDescent="0.3">
      <c r="A94" s="1" t="s">
        <v>854</v>
      </c>
      <c r="B94" s="2">
        <v>45222</v>
      </c>
      <c r="C94" s="3">
        <v>0.42708333333333331</v>
      </c>
      <c r="D94" s="1" t="s">
        <v>892</v>
      </c>
      <c r="E94">
        <v>82</v>
      </c>
      <c r="F94" s="1" t="s">
        <v>807</v>
      </c>
      <c r="G94" s="1" t="s">
        <v>892</v>
      </c>
      <c r="H94" s="1" t="s">
        <v>26</v>
      </c>
      <c r="I94">
        <v>-4.4697000000000001E-2</v>
      </c>
      <c r="J94">
        <v>22.943373000000001</v>
      </c>
      <c r="K94" s="1" t="s">
        <v>1500</v>
      </c>
      <c r="L94" s="1" t="s">
        <v>1499</v>
      </c>
    </row>
    <row r="95" spans="1:12" x14ac:dyDescent="0.3">
      <c r="A95" s="1" t="s">
        <v>854</v>
      </c>
      <c r="B95" s="2">
        <v>45221</v>
      </c>
      <c r="C95" s="3">
        <v>0.84652777777777777</v>
      </c>
      <c r="D95" s="1" t="s">
        <v>894</v>
      </c>
      <c r="E95">
        <v>96</v>
      </c>
      <c r="F95" s="1" t="s">
        <v>812</v>
      </c>
      <c r="G95" s="1" t="s">
        <v>894</v>
      </c>
      <c r="H95" s="1" t="s">
        <v>21</v>
      </c>
      <c r="I95">
        <v>-5.2526849999999996</v>
      </c>
      <c r="J95">
        <v>12.374528</v>
      </c>
      <c r="K95" s="1" t="s">
        <v>1500</v>
      </c>
      <c r="L95" s="1" t="s">
        <v>1508</v>
      </c>
    </row>
    <row r="96" spans="1:12" x14ac:dyDescent="0.3">
      <c r="A96" s="1" t="s">
        <v>1053</v>
      </c>
      <c r="B96" s="2">
        <v>45205</v>
      </c>
      <c r="C96" s="3">
        <v>0.15416666666666667</v>
      </c>
      <c r="D96" s="1" t="s">
        <v>894</v>
      </c>
      <c r="E96">
        <v>12</v>
      </c>
      <c r="F96" s="1" t="s">
        <v>807</v>
      </c>
      <c r="G96" s="1" t="s">
        <v>894</v>
      </c>
      <c r="H96" s="1" t="s">
        <v>21</v>
      </c>
      <c r="I96">
        <v>-5.2526849999999996</v>
      </c>
      <c r="J96">
        <v>12.374528</v>
      </c>
      <c r="K96" s="1" t="s">
        <v>1500</v>
      </c>
      <c r="L96" s="1" t="s">
        <v>1508</v>
      </c>
    </row>
    <row r="97" spans="1:12" x14ac:dyDescent="0.3">
      <c r="A97" s="1" t="s">
        <v>1133</v>
      </c>
      <c r="B97" s="2">
        <v>45202</v>
      </c>
      <c r="C97" s="3">
        <v>0.16180555555555556</v>
      </c>
      <c r="D97" s="1" t="s">
        <v>1136</v>
      </c>
      <c r="E97">
        <v>61</v>
      </c>
      <c r="F97" s="1" t="s">
        <v>810</v>
      </c>
      <c r="G97" s="1" t="s">
        <v>1136</v>
      </c>
      <c r="H97" s="1" t="s">
        <v>131</v>
      </c>
      <c r="I97">
        <v>-6.5529849999999996</v>
      </c>
      <c r="J97">
        <v>21.990606</v>
      </c>
      <c r="K97" s="1" t="s">
        <v>1500</v>
      </c>
      <c r="L97" s="1" t="s">
        <v>1499</v>
      </c>
    </row>
    <row r="98" spans="1:12" x14ac:dyDescent="0.3">
      <c r="A98" s="1" t="s">
        <v>854</v>
      </c>
      <c r="B98" s="2">
        <v>45214</v>
      </c>
      <c r="C98" s="3">
        <v>0.45763888888888887</v>
      </c>
      <c r="D98" s="1" t="s">
        <v>895</v>
      </c>
      <c r="E98">
        <v>48</v>
      </c>
      <c r="F98" s="1" t="s">
        <v>812</v>
      </c>
      <c r="G98" s="1" t="s">
        <v>895</v>
      </c>
      <c r="H98" s="1" t="s">
        <v>31</v>
      </c>
      <c r="I98">
        <v>-9.3652239999999995</v>
      </c>
      <c r="J98">
        <v>22.593423999999999</v>
      </c>
      <c r="K98" s="1" t="s">
        <v>1495</v>
      </c>
      <c r="L98" s="1" t="s">
        <v>1508</v>
      </c>
    </row>
    <row r="99" spans="1:12" x14ac:dyDescent="0.3">
      <c r="A99" s="1" t="s">
        <v>977</v>
      </c>
      <c r="B99" s="2">
        <v>45206</v>
      </c>
      <c r="C99" s="3">
        <v>0.36249999999999999</v>
      </c>
      <c r="D99" s="1" t="s">
        <v>994</v>
      </c>
      <c r="E99">
        <v>60</v>
      </c>
      <c r="F99" s="1" t="s">
        <v>812</v>
      </c>
      <c r="G99" s="1" t="s">
        <v>994</v>
      </c>
      <c r="H99" s="1" t="s">
        <v>78</v>
      </c>
      <c r="I99">
        <v>-4.2645619999999997</v>
      </c>
      <c r="J99">
        <v>18.960726000000001</v>
      </c>
      <c r="K99" s="1" t="s">
        <v>1498</v>
      </c>
      <c r="L99" s="1" t="s">
        <v>1499</v>
      </c>
    </row>
    <row r="100" spans="1:12" x14ac:dyDescent="0.3">
      <c r="A100" s="1" t="s">
        <v>1133</v>
      </c>
      <c r="B100" s="2">
        <v>45211</v>
      </c>
      <c r="C100" s="3">
        <v>0.10625</v>
      </c>
      <c r="D100" s="1" t="s">
        <v>1142</v>
      </c>
      <c r="E100">
        <v>107</v>
      </c>
      <c r="F100" s="1" t="s">
        <v>807</v>
      </c>
      <c r="G100" s="1" t="s">
        <v>1142</v>
      </c>
      <c r="H100" s="1" t="s">
        <v>29</v>
      </c>
      <c r="I100">
        <v>-5.125</v>
      </c>
      <c r="J100">
        <v>23.513119</v>
      </c>
      <c r="K100" s="1" t="s">
        <v>1495</v>
      </c>
      <c r="L100" s="1" t="s">
        <v>1499</v>
      </c>
    </row>
    <row r="101" spans="1:12" x14ac:dyDescent="0.3">
      <c r="A101" s="1" t="s">
        <v>1098</v>
      </c>
      <c r="B101" s="2">
        <v>45219</v>
      </c>
      <c r="C101" s="3">
        <v>0.68333333333333335</v>
      </c>
      <c r="D101" s="1" t="s">
        <v>1102</v>
      </c>
      <c r="E101">
        <v>99</v>
      </c>
      <c r="F101" s="1" t="s">
        <v>810</v>
      </c>
      <c r="G101" s="1" t="s">
        <v>1102</v>
      </c>
      <c r="H101" s="1" t="s">
        <v>62</v>
      </c>
      <c r="I101">
        <v>-9.5840350000000001</v>
      </c>
      <c r="J101">
        <v>15.966024000000001</v>
      </c>
      <c r="K101" s="1" t="s">
        <v>1495</v>
      </c>
      <c r="L101" s="1" t="s">
        <v>1508</v>
      </c>
    </row>
    <row r="102" spans="1:12" x14ac:dyDescent="0.3">
      <c r="A102" s="1" t="s">
        <v>898</v>
      </c>
      <c r="B102" s="2">
        <v>45216</v>
      </c>
      <c r="C102" s="3">
        <v>0.14166666666666666</v>
      </c>
      <c r="D102" s="1" t="s">
        <v>905</v>
      </c>
      <c r="E102">
        <v>94</v>
      </c>
      <c r="F102" s="1" t="s">
        <v>807</v>
      </c>
      <c r="G102" s="1" t="s">
        <v>905</v>
      </c>
      <c r="H102" s="1" t="s">
        <v>131</v>
      </c>
      <c r="I102">
        <v>1.8103860000000001</v>
      </c>
      <c r="J102">
        <v>15.175582</v>
      </c>
      <c r="K102" s="1" t="s">
        <v>1500</v>
      </c>
      <c r="L102" s="1" t="s">
        <v>1499</v>
      </c>
    </row>
    <row r="103" spans="1:12" x14ac:dyDescent="0.3">
      <c r="A103" s="1" t="s">
        <v>1014</v>
      </c>
      <c r="B103" s="2">
        <v>45216</v>
      </c>
      <c r="C103" s="3">
        <v>0.58333333333333337</v>
      </c>
      <c r="D103" s="1" t="s">
        <v>1023</v>
      </c>
      <c r="E103">
        <v>78</v>
      </c>
      <c r="F103" s="1" t="s">
        <v>812</v>
      </c>
      <c r="G103" s="1" t="s">
        <v>1023</v>
      </c>
      <c r="H103" s="1" t="s">
        <v>24</v>
      </c>
      <c r="I103">
        <v>0.16841400000000001</v>
      </c>
      <c r="J103">
        <v>30.029876999999999</v>
      </c>
      <c r="K103" s="1" t="s">
        <v>1495</v>
      </c>
      <c r="L103" s="1" t="s">
        <v>1499</v>
      </c>
    </row>
    <row r="104" spans="1:12" x14ac:dyDescent="0.3">
      <c r="A104" s="1" t="s">
        <v>898</v>
      </c>
      <c r="B104" s="2">
        <v>45208</v>
      </c>
      <c r="C104" s="3">
        <v>7.2916666666666671E-2</v>
      </c>
      <c r="D104" s="1" t="s">
        <v>907</v>
      </c>
      <c r="E104">
        <v>68</v>
      </c>
      <c r="F104" s="1" t="s">
        <v>807</v>
      </c>
      <c r="G104" s="1" t="s">
        <v>907</v>
      </c>
      <c r="H104" s="1" t="s">
        <v>131</v>
      </c>
      <c r="I104">
        <v>1.017161</v>
      </c>
      <c r="J104">
        <v>16.519689</v>
      </c>
      <c r="K104" s="1" t="s">
        <v>1500</v>
      </c>
      <c r="L104" s="1" t="s">
        <v>1508</v>
      </c>
    </row>
    <row r="105" spans="1:12" x14ac:dyDescent="0.3">
      <c r="A105" s="1" t="s">
        <v>898</v>
      </c>
      <c r="B105" s="2">
        <v>45223</v>
      </c>
      <c r="C105" s="3">
        <v>0.99097222222222225</v>
      </c>
      <c r="D105" s="1" t="s">
        <v>909</v>
      </c>
      <c r="E105">
        <v>23</v>
      </c>
      <c r="F105" s="1" t="s">
        <v>807</v>
      </c>
      <c r="G105" s="1" t="s">
        <v>909</v>
      </c>
      <c r="H105" s="1" t="s">
        <v>35</v>
      </c>
      <c r="I105">
        <v>-8.0922239999999999</v>
      </c>
      <c r="J105">
        <v>15.483708</v>
      </c>
      <c r="K105" s="1" t="s">
        <v>1495</v>
      </c>
      <c r="L105" s="1" t="s">
        <v>1508</v>
      </c>
    </row>
    <row r="106" spans="1:12" x14ac:dyDescent="0.3">
      <c r="A106" s="1" t="s">
        <v>1098</v>
      </c>
      <c r="B106" s="2">
        <v>45220</v>
      </c>
      <c r="C106" s="3">
        <v>0.89375000000000004</v>
      </c>
      <c r="D106" s="1" t="s">
        <v>1127</v>
      </c>
      <c r="E106">
        <v>101</v>
      </c>
      <c r="F106" s="1" t="s">
        <v>812</v>
      </c>
      <c r="G106" s="1" t="s">
        <v>1127</v>
      </c>
      <c r="H106" s="1" t="s">
        <v>26</v>
      </c>
      <c r="I106">
        <v>-2.2876210000000001</v>
      </c>
      <c r="J106">
        <v>27.582545</v>
      </c>
      <c r="K106" s="1" t="s">
        <v>1498</v>
      </c>
      <c r="L106" s="1" t="s">
        <v>1499</v>
      </c>
    </row>
    <row r="107" spans="1:12" x14ac:dyDescent="0.3">
      <c r="A107" s="1" t="s">
        <v>898</v>
      </c>
      <c r="B107" s="2">
        <v>45221</v>
      </c>
      <c r="C107" s="3">
        <v>0.26597222222222222</v>
      </c>
      <c r="D107" s="1" t="s">
        <v>910</v>
      </c>
      <c r="E107">
        <v>88</v>
      </c>
      <c r="F107" s="1" t="s">
        <v>810</v>
      </c>
      <c r="G107" s="1" t="s">
        <v>910</v>
      </c>
      <c r="H107" s="1" t="s">
        <v>64</v>
      </c>
      <c r="I107">
        <v>-1.339734</v>
      </c>
      <c r="J107">
        <v>15.243098</v>
      </c>
      <c r="K107" s="1" t="s">
        <v>1500</v>
      </c>
      <c r="L107" s="1" t="s">
        <v>1508</v>
      </c>
    </row>
    <row r="108" spans="1:12" x14ac:dyDescent="0.3">
      <c r="A108" s="1" t="s">
        <v>898</v>
      </c>
      <c r="B108" s="2">
        <v>45225</v>
      </c>
      <c r="C108" s="3">
        <v>0.96527777777777779</v>
      </c>
      <c r="D108" s="1" t="s">
        <v>927</v>
      </c>
      <c r="E108">
        <v>36</v>
      </c>
      <c r="F108" s="1" t="s">
        <v>807</v>
      </c>
      <c r="G108" s="1" t="s">
        <v>927</v>
      </c>
      <c r="H108" s="1" t="s">
        <v>37</v>
      </c>
      <c r="I108">
        <v>-9.002459</v>
      </c>
      <c r="J108">
        <v>25.182109000000001</v>
      </c>
      <c r="K108" s="1" t="s">
        <v>1495</v>
      </c>
      <c r="L108" s="1" t="s">
        <v>1499</v>
      </c>
    </row>
    <row r="109" spans="1:12" x14ac:dyDescent="0.3">
      <c r="A109" s="1" t="s">
        <v>1053</v>
      </c>
      <c r="B109" s="2">
        <v>45226</v>
      </c>
      <c r="C109" s="3">
        <v>0.58680555555555558</v>
      </c>
      <c r="D109" s="1" t="s">
        <v>1065</v>
      </c>
      <c r="E109">
        <v>33</v>
      </c>
      <c r="F109" s="1" t="s">
        <v>812</v>
      </c>
      <c r="G109" s="1" t="s">
        <v>1065</v>
      </c>
      <c r="H109" s="1" t="s">
        <v>89</v>
      </c>
      <c r="I109">
        <v>-7.7839049999999999</v>
      </c>
      <c r="J109">
        <v>14.114281999999999</v>
      </c>
      <c r="K109" s="1" t="s">
        <v>1500</v>
      </c>
      <c r="L109" s="1" t="s">
        <v>1501</v>
      </c>
    </row>
    <row r="110" spans="1:12" x14ac:dyDescent="0.3">
      <c r="A110" s="1" t="s">
        <v>1073</v>
      </c>
      <c r="B110" s="2">
        <v>45207</v>
      </c>
      <c r="C110" s="3">
        <v>0.14027777777777778</v>
      </c>
      <c r="D110" s="1" t="s">
        <v>1077</v>
      </c>
      <c r="E110">
        <v>46</v>
      </c>
      <c r="F110" s="1" t="s">
        <v>810</v>
      </c>
      <c r="G110" s="1" t="s">
        <v>1077</v>
      </c>
      <c r="H110" s="1" t="s">
        <v>62</v>
      </c>
      <c r="I110">
        <v>-12.112399999999999</v>
      </c>
      <c r="J110">
        <v>15.872226</v>
      </c>
      <c r="K110" s="1" t="s">
        <v>1498</v>
      </c>
      <c r="L110" s="1" t="s">
        <v>1508</v>
      </c>
    </row>
    <row r="111" spans="1:12" x14ac:dyDescent="0.3">
      <c r="A111" s="1" t="s">
        <v>1098</v>
      </c>
      <c r="B111" s="2">
        <v>45220</v>
      </c>
      <c r="C111" s="3">
        <v>0.84791666666666665</v>
      </c>
      <c r="D111" s="1" t="s">
        <v>1077</v>
      </c>
      <c r="E111">
        <v>103</v>
      </c>
      <c r="F111" s="1" t="s">
        <v>807</v>
      </c>
      <c r="G111" s="1" t="s">
        <v>1077</v>
      </c>
      <c r="H111" s="1" t="s">
        <v>62</v>
      </c>
      <c r="I111">
        <v>-12.112399999999999</v>
      </c>
      <c r="J111">
        <v>15.872226</v>
      </c>
      <c r="K111" s="1" t="s">
        <v>1498</v>
      </c>
      <c r="L111" s="1" t="s">
        <v>1508</v>
      </c>
    </row>
    <row r="112" spans="1:12" x14ac:dyDescent="0.3">
      <c r="A112" s="1" t="s">
        <v>1161</v>
      </c>
      <c r="B112" s="2">
        <v>45201</v>
      </c>
      <c r="C112" s="3">
        <v>0.86736111111111114</v>
      </c>
      <c r="D112" s="1" t="s">
        <v>1077</v>
      </c>
      <c r="E112">
        <v>18</v>
      </c>
      <c r="F112" s="1" t="s">
        <v>807</v>
      </c>
      <c r="G112" s="1" t="s">
        <v>1077</v>
      </c>
      <c r="H112" s="1" t="s">
        <v>62</v>
      </c>
      <c r="I112">
        <v>-12.112399999999999</v>
      </c>
      <c r="J112">
        <v>15.872226</v>
      </c>
      <c r="K112" s="1" t="s">
        <v>1498</v>
      </c>
      <c r="L112" s="1" t="s">
        <v>1508</v>
      </c>
    </row>
    <row r="113" spans="1:12" x14ac:dyDescent="0.3">
      <c r="A113" s="1" t="s">
        <v>898</v>
      </c>
      <c r="B113" s="2">
        <v>45217</v>
      </c>
      <c r="C113" s="3">
        <v>0.17499999999999999</v>
      </c>
      <c r="D113" s="1" t="s">
        <v>918</v>
      </c>
      <c r="E113">
        <v>18</v>
      </c>
      <c r="F113" s="1" t="s">
        <v>812</v>
      </c>
      <c r="G113" s="1" t="s">
        <v>918</v>
      </c>
      <c r="H113" s="1" t="s">
        <v>21</v>
      </c>
      <c r="I113">
        <v>-9.4702129999999993</v>
      </c>
      <c r="J113">
        <v>12.826158</v>
      </c>
      <c r="K113" s="1" t="s">
        <v>1500</v>
      </c>
      <c r="L113" s="1" t="s">
        <v>1496</v>
      </c>
    </row>
    <row r="114" spans="1:12" x14ac:dyDescent="0.3">
      <c r="A114" s="1" t="s">
        <v>898</v>
      </c>
      <c r="B114" s="2">
        <v>45209</v>
      </c>
      <c r="C114" s="3">
        <v>0.52430555555555558</v>
      </c>
      <c r="D114" s="1" t="s">
        <v>922</v>
      </c>
      <c r="E114">
        <v>27</v>
      </c>
      <c r="F114" s="1" t="s">
        <v>812</v>
      </c>
      <c r="G114" s="1" t="s">
        <v>922</v>
      </c>
      <c r="H114" s="1" t="s">
        <v>51</v>
      </c>
      <c r="I114">
        <v>2.4741019999999998</v>
      </c>
      <c r="J114">
        <v>29.297391000000001</v>
      </c>
      <c r="K114" s="1" t="s">
        <v>1498</v>
      </c>
      <c r="L114" s="1" t="s">
        <v>1496</v>
      </c>
    </row>
    <row r="115" spans="1:12" x14ac:dyDescent="0.3">
      <c r="A115" s="1" t="s">
        <v>898</v>
      </c>
      <c r="B115" s="2">
        <v>45206</v>
      </c>
      <c r="C115" s="3">
        <v>0.6875</v>
      </c>
      <c r="D115" s="1" t="s">
        <v>926</v>
      </c>
      <c r="E115">
        <v>76</v>
      </c>
      <c r="F115" s="1" t="s">
        <v>812</v>
      </c>
      <c r="G115" s="1" t="s">
        <v>926</v>
      </c>
      <c r="H115" s="1" t="s">
        <v>127</v>
      </c>
      <c r="I115">
        <v>-12.100756000000001</v>
      </c>
      <c r="J115">
        <v>21.938649999999999</v>
      </c>
      <c r="K115" s="1" t="s">
        <v>1498</v>
      </c>
      <c r="L115" s="1" t="s">
        <v>1499</v>
      </c>
    </row>
    <row r="116" spans="1:12" x14ac:dyDescent="0.3">
      <c r="A116" s="1" t="s">
        <v>1098</v>
      </c>
      <c r="B116" s="2">
        <v>45216</v>
      </c>
      <c r="C116" s="3">
        <v>0.69374999999999998</v>
      </c>
      <c r="D116" s="1" t="s">
        <v>926</v>
      </c>
      <c r="E116">
        <v>24</v>
      </c>
      <c r="F116" s="1" t="s">
        <v>812</v>
      </c>
      <c r="G116" s="1" t="s">
        <v>926</v>
      </c>
      <c r="H116" s="1" t="s">
        <v>127</v>
      </c>
      <c r="I116">
        <v>-12.100756000000001</v>
      </c>
      <c r="J116">
        <v>21.938649999999999</v>
      </c>
      <c r="K116" s="1" t="s">
        <v>1498</v>
      </c>
      <c r="L116" s="1" t="s">
        <v>1499</v>
      </c>
    </row>
    <row r="117" spans="1:12" x14ac:dyDescent="0.3">
      <c r="A117" s="1" t="s">
        <v>1098</v>
      </c>
      <c r="B117" s="2">
        <v>45230</v>
      </c>
      <c r="C117" s="3">
        <v>0.99791666666666667</v>
      </c>
      <c r="D117" s="1" t="s">
        <v>1103</v>
      </c>
      <c r="E117">
        <v>72</v>
      </c>
      <c r="F117" s="1" t="s">
        <v>812</v>
      </c>
      <c r="G117" s="1" t="s">
        <v>1103</v>
      </c>
      <c r="H117" s="1" t="s">
        <v>10</v>
      </c>
      <c r="I117">
        <v>-1.9120569999999999</v>
      </c>
      <c r="J117">
        <v>15.236072999999999</v>
      </c>
      <c r="K117" s="1" t="s">
        <v>1495</v>
      </c>
      <c r="L117" s="1" t="s">
        <v>1499</v>
      </c>
    </row>
    <row r="118" spans="1:12" x14ac:dyDescent="0.3">
      <c r="A118" s="1" t="s">
        <v>898</v>
      </c>
      <c r="B118" s="2">
        <v>45206</v>
      </c>
      <c r="C118" s="3">
        <v>0.1673611111111111</v>
      </c>
      <c r="D118" s="1" t="s">
        <v>933</v>
      </c>
      <c r="E118">
        <v>64</v>
      </c>
      <c r="F118" s="1" t="s">
        <v>810</v>
      </c>
      <c r="G118" s="1" t="s">
        <v>933</v>
      </c>
      <c r="H118" s="1" t="s">
        <v>10</v>
      </c>
      <c r="I118">
        <v>0.24202000000000001</v>
      </c>
      <c r="J118">
        <v>17.396256999999999</v>
      </c>
      <c r="K118" s="1" t="s">
        <v>1498</v>
      </c>
      <c r="L118" s="1" t="s">
        <v>1499</v>
      </c>
    </row>
    <row r="119" spans="1:12" x14ac:dyDescent="0.3">
      <c r="A119" s="1" t="s">
        <v>936</v>
      </c>
      <c r="B119" s="2">
        <v>45204</v>
      </c>
      <c r="C119" s="3">
        <v>0.59097222222222223</v>
      </c>
      <c r="D119" s="1" t="s">
        <v>944</v>
      </c>
      <c r="E119">
        <v>108</v>
      </c>
      <c r="F119" s="1" t="s">
        <v>810</v>
      </c>
      <c r="G119" s="1" t="s">
        <v>944</v>
      </c>
      <c r="H119" s="1" t="s">
        <v>51</v>
      </c>
      <c r="I119">
        <v>-8.5675749999999997</v>
      </c>
      <c r="J119">
        <v>26.994581</v>
      </c>
      <c r="K119" s="1" t="s">
        <v>1500</v>
      </c>
      <c r="L119" s="1" t="s">
        <v>1508</v>
      </c>
    </row>
    <row r="120" spans="1:12" x14ac:dyDescent="0.3">
      <c r="A120" s="1" t="s">
        <v>898</v>
      </c>
      <c r="B120" s="2">
        <v>45226</v>
      </c>
      <c r="C120" s="3">
        <v>0.3215277777777778</v>
      </c>
      <c r="D120" s="1" t="s">
        <v>931</v>
      </c>
      <c r="E120">
        <v>22</v>
      </c>
      <c r="F120" s="1" t="s">
        <v>812</v>
      </c>
      <c r="G120" s="1" t="s">
        <v>931</v>
      </c>
      <c r="H120" s="1" t="s">
        <v>131</v>
      </c>
      <c r="I120">
        <v>-10.25074</v>
      </c>
      <c r="J120">
        <v>26.099086</v>
      </c>
      <c r="K120" s="1" t="s">
        <v>1498</v>
      </c>
      <c r="L120" s="1" t="s">
        <v>1499</v>
      </c>
    </row>
    <row r="121" spans="1:12" x14ac:dyDescent="0.3">
      <c r="A121" s="1" t="s">
        <v>1053</v>
      </c>
      <c r="B121" s="2">
        <v>45201</v>
      </c>
      <c r="C121" s="3">
        <v>0.51180555555555551</v>
      </c>
      <c r="D121" s="1" t="s">
        <v>931</v>
      </c>
      <c r="E121">
        <v>62</v>
      </c>
      <c r="F121" s="1" t="s">
        <v>810</v>
      </c>
      <c r="G121" s="1" t="s">
        <v>931</v>
      </c>
      <c r="H121" s="1" t="s">
        <v>131</v>
      </c>
      <c r="I121">
        <v>-10.25074</v>
      </c>
      <c r="J121">
        <v>26.099086</v>
      </c>
      <c r="K121" s="1" t="s">
        <v>1498</v>
      </c>
      <c r="L121" s="1" t="s">
        <v>1499</v>
      </c>
    </row>
    <row r="122" spans="1:12" x14ac:dyDescent="0.3">
      <c r="A122" s="1" t="s">
        <v>1133</v>
      </c>
      <c r="B122" s="2">
        <v>45213</v>
      </c>
      <c r="C122" s="3">
        <v>0.23749999999999999</v>
      </c>
      <c r="D122" s="1" t="s">
        <v>931</v>
      </c>
      <c r="E122">
        <v>68</v>
      </c>
      <c r="F122" s="1" t="s">
        <v>812</v>
      </c>
      <c r="G122" s="1" t="s">
        <v>931</v>
      </c>
      <c r="H122" s="1" t="s">
        <v>131</v>
      </c>
      <c r="I122">
        <v>-10.25074</v>
      </c>
      <c r="J122">
        <v>26.099086</v>
      </c>
      <c r="K122" s="1" t="s">
        <v>1498</v>
      </c>
      <c r="L122" s="1" t="s">
        <v>1499</v>
      </c>
    </row>
    <row r="123" spans="1:12" x14ac:dyDescent="0.3">
      <c r="A123" s="1" t="s">
        <v>898</v>
      </c>
      <c r="B123" s="2">
        <v>45209</v>
      </c>
      <c r="C123" s="3">
        <v>0.32708333333333334</v>
      </c>
      <c r="D123" s="1" t="s">
        <v>932</v>
      </c>
      <c r="E123">
        <v>107</v>
      </c>
      <c r="F123" s="1" t="s">
        <v>810</v>
      </c>
      <c r="G123" s="1" t="s">
        <v>932</v>
      </c>
      <c r="H123" s="1" t="s">
        <v>60</v>
      </c>
      <c r="I123">
        <v>-5.0402180000000003</v>
      </c>
      <c r="J123">
        <v>13.892471</v>
      </c>
      <c r="K123" s="1" t="s">
        <v>1500</v>
      </c>
      <c r="L123" s="1" t="s">
        <v>1501</v>
      </c>
    </row>
    <row r="124" spans="1:12" x14ac:dyDescent="0.3">
      <c r="A124" s="1" t="s">
        <v>1098</v>
      </c>
      <c r="B124" s="2">
        <v>45229</v>
      </c>
      <c r="C124" s="3">
        <v>0.67013888888888884</v>
      </c>
      <c r="D124" s="1" t="s">
        <v>1126</v>
      </c>
      <c r="E124">
        <v>41</v>
      </c>
      <c r="F124" s="1" t="s">
        <v>812</v>
      </c>
      <c r="G124" s="1" t="s">
        <v>1126</v>
      </c>
      <c r="H124" s="1" t="s">
        <v>18</v>
      </c>
      <c r="I124">
        <v>-7.1785899999999998</v>
      </c>
      <c r="J124">
        <v>24.4404</v>
      </c>
      <c r="K124" s="1" t="s">
        <v>1498</v>
      </c>
      <c r="L124" s="1" t="s">
        <v>1508</v>
      </c>
    </row>
    <row r="125" spans="1:12" x14ac:dyDescent="0.3">
      <c r="A125" s="1" t="s">
        <v>1161</v>
      </c>
      <c r="B125" s="2">
        <v>45216</v>
      </c>
      <c r="C125" s="3">
        <v>0.46388888888888891</v>
      </c>
      <c r="D125" s="1" t="s">
        <v>1126</v>
      </c>
      <c r="E125">
        <v>58</v>
      </c>
      <c r="F125" s="1" t="s">
        <v>807</v>
      </c>
      <c r="G125" s="1" t="s">
        <v>1126</v>
      </c>
      <c r="H125" s="1" t="s">
        <v>18</v>
      </c>
      <c r="I125">
        <v>-7.1785899999999998</v>
      </c>
      <c r="J125">
        <v>24.4404</v>
      </c>
      <c r="K125" s="1" t="s">
        <v>1498</v>
      </c>
      <c r="L125" s="1" t="s">
        <v>1508</v>
      </c>
    </row>
    <row r="126" spans="1:12" x14ac:dyDescent="0.3">
      <c r="A126" s="1" t="s">
        <v>1098</v>
      </c>
      <c r="B126" s="2">
        <v>45230</v>
      </c>
      <c r="C126" s="3">
        <v>0.26458333333333334</v>
      </c>
      <c r="D126" s="1" t="s">
        <v>1128</v>
      </c>
      <c r="E126">
        <v>62</v>
      </c>
      <c r="F126" s="1" t="s">
        <v>807</v>
      </c>
      <c r="G126" s="1" t="s">
        <v>1128</v>
      </c>
      <c r="H126" s="1" t="s">
        <v>16</v>
      </c>
      <c r="I126">
        <v>3.6344850000000002</v>
      </c>
      <c r="J126">
        <v>12.158348999999999</v>
      </c>
      <c r="K126" s="1" t="s">
        <v>1495</v>
      </c>
      <c r="L126" s="1" t="s">
        <v>1496</v>
      </c>
    </row>
    <row r="127" spans="1:12" x14ac:dyDescent="0.3">
      <c r="A127" s="1" t="s">
        <v>898</v>
      </c>
      <c r="B127" s="2">
        <v>45201</v>
      </c>
      <c r="C127" s="3">
        <v>0.3125</v>
      </c>
      <c r="D127" s="1" t="s">
        <v>934</v>
      </c>
      <c r="E127">
        <v>90</v>
      </c>
      <c r="F127" s="1" t="s">
        <v>810</v>
      </c>
      <c r="G127" s="1" t="s">
        <v>934</v>
      </c>
      <c r="H127" s="1" t="s">
        <v>57</v>
      </c>
      <c r="I127">
        <v>-12.333232000000001</v>
      </c>
      <c r="J127">
        <v>25.229620000000001</v>
      </c>
      <c r="K127" s="1" t="s">
        <v>1495</v>
      </c>
      <c r="L127" s="1" t="s">
        <v>1508</v>
      </c>
    </row>
    <row r="128" spans="1:12" x14ac:dyDescent="0.3">
      <c r="A128" s="1" t="s">
        <v>1133</v>
      </c>
      <c r="B128" s="2">
        <v>45211</v>
      </c>
      <c r="C128" s="3">
        <v>9.8611111111111108E-2</v>
      </c>
      <c r="D128" s="1" t="s">
        <v>1146</v>
      </c>
      <c r="E128">
        <v>59</v>
      </c>
      <c r="F128" s="1" t="s">
        <v>812</v>
      </c>
      <c r="G128" s="1" t="s">
        <v>1146</v>
      </c>
      <c r="H128" s="1" t="s">
        <v>31</v>
      </c>
      <c r="I128">
        <v>-11.387295999999999</v>
      </c>
      <c r="J128">
        <v>19.384257999999999</v>
      </c>
      <c r="K128" s="1" t="s">
        <v>1500</v>
      </c>
      <c r="L128" s="1" t="s">
        <v>1499</v>
      </c>
    </row>
    <row r="129" spans="1:12" x14ac:dyDescent="0.3">
      <c r="A129" s="1" t="s">
        <v>898</v>
      </c>
      <c r="B129" s="2">
        <v>45219</v>
      </c>
      <c r="C129" s="3">
        <v>0.10347222222222222</v>
      </c>
      <c r="D129" s="1" t="s">
        <v>935</v>
      </c>
      <c r="E129">
        <v>72</v>
      </c>
      <c r="F129" s="1" t="s">
        <v>810</v>
      </c>
      <c r="G129" s="1" t="s">
        <v>935</v>
      </c>
      <c r="H129" s="1" t="s">
        <v>67</v>
      </c>
      <c r="I129">
        <v>-5.7035130000000001</v>
      </c>
      <c r="J129">
        <v>14.331479</v>
      </c>
      <c r="K129" s="1" t="s">
        <v>1495</v>
      </c>
      <c r="L129" s="1" t="s">
        <v>1508</v>
      </c>
    </row>
    <row r="130" spans="1:12" x14ac:dyDescent="0.3">
      <c r="A130" s="1" t="s">
        <v>1190</v>
      </c>
      <c r="B130" s="2">
        <v>45230</v>
      </c>
      <c r="C130" s="3">
        <v>0.22847222222222222</v>
      </c>
      <c r="D130" s="1" t="s">
        <v>935</v>
      </c>
      <c r="E130">
        <v>39</v>
      </c>
      <c r="F130" s="1" t="s">
        <v>812</v>
      </c>
      <c r="G130" s="1" t="s">
        <v>935</v>
      </c>
      <c r="H130" s="1" t="s">
        <v>67</v>
      </c>
      <c r="I130">
        <v>-5.7035130000000001</v>
      </c>
      <c r="J130">
        <v>14.331479</v>
      </c>
      <c r="K130" s="1" t="s">
        <v>1495</v>
      </c>
      <c r="L130" s="1" t="s">
        <v>1508</v>
      </c>
    </row>
    <row r="131" spans="1:12" x14ac:dyDescent="0.3">
      <c r="A131" s="1" t="s">
        <v>1133</v>
      </c>
      <c r="B131" s="2">
        <v>45222</v>
      </c>
      <c r="C131" s="3">
        <v>0.17916666666666667</v>
      </c>
      <c r="D131" s="1" t="s">
        <v>1139</v>
      </c>
      <c r="E131">
        <v>28</v>
      </c>
      <c r="F131" s="1" t="s">
        <v>810</v>
      </c>
      <c r="G131" s="1" t="s">
        <v>1139</v>
      </c>
      <c r="H131" s="1" t="s">
        <v>64</v>
      </c>
      <c r="I131">
        <v>-0.90854400000000002</v>
      </c>
      <c r="J131">
        <v>17.154896999999998</v>
      </c>
      <c r="K131" s="1" t="s">
        <v>1500</v>
      </c>
      <c r="L131" s="1" t="s">
        <v>1499</v>
      </c>
    </row>
    <row r="132" spans="1:12" x14ac:dyDescent="0.3">
      <c r="A132" s="1" t="s">
        <v>936</v>
      </c>
      <c r="B132" s="2">
        <v>45200</v>
      </c>
      <c r="C132" s="3">
        <v>0.51458333333333328</v>
      </c>
      <c r="D132" s="1" t="s">
        <v>937</v>
      </c>
      <c r="E132">
        <v>24</v>
      </c>
      <c r="F132" s="1" t="s">
        <v>812</v>
      </c>
      <c r="G132" s="1" t="s">
        <v>937</v>
      </c>
      <c r="H132" s="1" t="s">
        <v>13</v>
      </c>
      <c r="I132">
        <v>-11.622688999999999</v>
      </c>
      <c r="J132">
        <v>18.483874</v>
      </c>
      <c r="K132" s="1" t="s">
        <v>1495</v>
      </c>
      <c r="L132" s="1" t="s">
        <v>1501</v>
      </c>
    </row>
    <row r="133" spans="1:12" x14ac:dyDescent="0.3">
      <c r="A133" s="1" t="s">
        <v>1098</v>
      </c>
      <c r="B133" s="2">
        <v>45217</v>
      </c>
      <c r="C133" s="3">
        <v>0.89166666666666672</v>
      </c>
      <c r="D133" s="1" t="s">
        <v>1115</v>
      </c>
      <c r="E133">
        <v>108</v>
      </c>
      <c r="F133" s="1" t="s">
        <v>812</v>
      </c>
      <c r="G133" s="1" t="s">
        <v>1115</v>
      </c>
      <c r="H133" s="1" t="s">
        <v>16</v>
      </c>
      <c r="I133">
        <v>-5.3762689999999997</v>
      </c>
      <c r="J133">
        <v>28.189575999999999</v>
      </c>
      <c r="K133" s="1" t="s">
        <v>1495</v>
      </c>
      <c r="L133" s="1" t="s">
        <v>1499</v>
      </c>
    </row>
    <row r="134" spans="1:12" x14ac:dyDescent="0.3">
      <c r="A134" s="1" t="s">
        <v>936</v>
      </c>
      <c r="B134" s="2">
        <v>45221</v>
      </c>
      <c r="C134" s="3">
        <v>0.91041666666666665</v>
      </c>
      <c r="D134" s="1" t="s">
        <v>938</v>
      </c>
      <c r="E134">
        <v>60</v>
      </c>
      <c r="F134" s="1" t="s">
        <v>810</v>
      </c>
      <c r="G134" s="1" t="s">
        <v>938</v>
      </c>
      <c r="H134" s="1" t="s">
        <v>33</v>
      </c>
      <c r="I134">
        <v>-10.414493</v>
      </c>
      <c r="J134">
        <v>12.333356999999999</v>
      </c>
      <c r="K134" s="1" t="s">
        <v>1500</v>
      </c>
      <c r="L134" s="1" t="s">
        <v>1496</v>
      </c>
    </row>
    <row r="135" spans="1:12" x14ac:dyDescent="0.3">
      <c r="A135" s="1" t="s">
        <v>936</v>
      </c>
      <c r="B135" s="2">
        <v>45204</v>
      </c>
      <c r="C135" s="3">
        <v>0.81527777777777777</v>
      </c>
      <c r="D135" s="1" t="s">
        <v>938</v>
      </c>
      <c r="E135">
        <v>71</v>
      </c>
      <c r="F135" s="1" t="s">
        <v>812</v>
      </c>
      <c r="G135" s="1" t="s">
        <v>938</v>
      </c>
      <c r="H135" s="1" t="s">
        <v>33</v>
      </c>
      <c r="I135">
        <v>-10.414493</v>
      </c>
      <c r="J135">
        <v>12.333356999999999</v>
      </c>
      <c r="K135" s="1" t="s">
        <v>1500</v>
      </c>
      <c r="L135" s="1" t="s">
        <v>1496</v>
      </c>
    </row>
    <row r="136" spans="1:12" x14ac:dyDescent="0.3">
      <c r="A136" s="1" t="s">
        <v>977</v>
      </c>
      <c r="B136" s="2">
        <v>45209</v>
      </c>
      <c r="C136" s="3">
        <v>0.82430555555555551</v>
      </c>
      <c r="D136" s="1" t="s">
        <v>938</v>
      </c>
      <c r="E136">
        <v>93</v>
      </c>
      <c r="F136" s="1" t="s">
        <v>812</v>
      </c>
      <c r="G136" s="1" t="s">
        <v>938</v>
      </c>
      <c r="H136" s="1" t="s">
        <v>33</v>
      </c>
      <c r="I136">
        <v>-10.414493</v>
      </c>
      <c r="J136">
        <v>12.333356999999999</v>
      </c>
      <c r="K136" s="1" t="s">
        <v>1500</v>
      </c>
      <c r="L136" s="1" t="s">
        <v>1496</v>
      </c>
    </row>
    <row r="137" spans="1:12" x14ac:dyDescent="0.3">
      <c r="A137" s="1" t="s">
        <v>1190</v>
      </c>
      <c r="B137" s="2">
        <v>45203</v>
      </c>
      <c r="C137" s="3">
        <v>0.25069444444444444</v>
      </c>
      <c r="D137" s="1" t="s">
        <v>938</v>
      </c>
      <c r="E137">
        <v>49</v>
      </c>
      <c r="F137" s="1" t="s">
        <v>810</v>
      </c>
      <c r="G137" s="1" t="s">
        <v>938</v>
      </c>
      <c r="H137" s="1" t="s">
        <v>33</v>
      </c>
      <c r="I137">
        <v>-10.414493</v>
      </c>
      <c r="J137">
        <v>12.333356999999999</v>
      </c>
      <c r="K137" s="1" t="s">
        <v>1500</v>
      </c>
      <c r="L137" s="1" t="s">
        <v>1496</v>
      </c>
    </row>
    <row r="138" spans="1:12" x14ac:dyDescent="0.3">
      <c r="A138" s="1" t="s">
        <v>936</v>
      </c>
      <c r="B138" s="2">
        <v>45212</v>
      </c>
      <c r="C138" s="3">
        <v>0.96527777777777779</v>
      </c>
      <c r="D138" s="1" t="s">
        <v>939</v>
      </c>
      <c r="E138">
        <v>27</v>
      </c>
      <c r="F138" s="1" t="s">
        <v>812</v>
      </c>
      <c r="G138" s="1" t="s">
        <v>939</v>
      </c>
      <c r="H138" s="1" t="s">
        <v>62</v>
      </c>
      <c r="I138">
        <v>0.79124300000000003</v>
      </c>
      <c r="J138">
        <v>25.273389000000002</v>
      </c>
      <c r="K138" s="1" t="s">
        <v>1498</v>
      </c>
      <c r="L138" s="1" t="s">
        <v>1508</v>
      </c>
    </row>
    <row r="139" spans="1:12" x14ac:dyDescent="0.3">
      <c r="A139" s="1" t="s">
        <v>936</v>
      </c>
      <c r="B139" s="2">
        <v>45226</v>
      </c>
      <c r="C139" s="3">
        <v>0.62361111111111112</v>
      </c>
      <c r="D139" s="1" t="s">
        <v>940</v>
      </c>
      <c r="E139">
        <v>98</v>
      </c>
      <c r="F139" s="1" t="s">
        <v>812</v>
      </c>
      <c r="G139" s="1" t="s">
        <v>940</v>
      </c>
      <c r="H139" s="1" t="s">
        <v>89</v>
      </c>
      <c r="I139">
        <v>-7.9987219999999999</v>
      </c>
      <c r="J139">
        <v>12.779335</v>
      </c>
      <c r="K139" s="1" t="s">
        <v>1495</v>
      </c>
      <c r="L139" s="1" t="s">
        <v>1508</v>
      </c>
    </row>
    <row r="140" spans="1:12" x14ac:dyDescent="0.3">
      <c r="A140" s="1" t="s">
        <v>1053</v>
      </c>
      <c r="B140" s="2">
        <v>45225</v>
      </c>
      <c r="C140" s="3">
        <v>0.31736111111111109</v>
      </c>
      <c r="D140" s="1" t="s">
        <v>940</v>
      </c>
      <c r="E140">
        <v>56</v>
      </c>
      <c r="F140" s="1" t="s">
        <v>810</v>
      </c>
      <c r="G140" s="1" t="s">
        <v>940</v>
      </c>
      <c r="H140" s="1" t="s">
        <v>89</v>
      </c>
      <c r="I140">
        <v>-7.9987219999999999</v>
      </c>
      <c r="J140">
        <v>12.779335</v>
      </c>
      <c r="K140" s="1" t="s">
        <v>1495</v>
      </c>
      <c r="L140" s="1" t="s">
        <v>1508</v>
      </c>
    </row>
    <row r="141" spans="1:12" x14ac:dyDescent="0.3">
      <c r="A141" s="1" t="s">
        <v>936</v>
      </c>
      <c r="B141" s="2">
        <v>45211</v>
      </c>
      <c r="C141" s="3">
        <v>0.23472222222222222</v>
      </c>
      <c r="D141" s="1" t="s">
        <v>958</v>
      </c>
      <c r="E141">
        <v>62</v>
      </c>
      <c r="F141" s="1" t="s">
        <v>812</v>
      </c>
      <c r="G141" s="1" t="s">
        <v>958</v>
      </c>
      <c r="H141" s="1" t="s">
        <v>131</v>
      </c>
      <c r="I141">
        <v>-2.3102109999999998</v>
      </c>
      <c r="J141">
        <v>12.362488000000001</v>
      </c>
      <c r="K141" s="1" t="s">
        <v>1495</v>
      </c>
      <c r="L141" s="1" t="s">
        <v>1508</v>
      </c>
    </row>
    <row r="142" spans="1:12" x14ac:dyDescent="0.3">
      <c r="A142" s="1" t="s">
        <v>1014</v>
      </c>
      <c r="B142" s="2">
        <v>45230</v>
      </c>
      <c r="C142" s="3">
        <v>0.48402777777777778</v>
      </c>
      <c r="D142" s="1" t="s">
        <v>1050</v>
      </c>
      <c r="E142">
        <v>37</v>
      </c>
      <c r="F142" s="1" t="s">
        <v>810</v>
      </c>
      <c r="G142" s="1" t="s">
        <v>1050</v>
      </c>
      <c r="H142" s="1" t="s">
        <v>62</v>
      </c>
      <c r="I142">
        <v>-12.564277000000001</v>
      </c>
      <c r="J142">
        <v>28.480798</v>
      </c>
      <c r="K142" s="1" t="s">
        <v>1495</v>
      </c>
      <c r="L142" s="1" t="s">
        <v>1501</v>
      </c>
    </row>
    <row r="143" spans="1:12" x14ac:dyDescent="0.3">
      <c r="A143" s="1" t="s">
        <v>936</v>
      </c>
      <c r="B143" s="2">
        <v>45200</v>
      </c>
      <c r="C143" s="3">
        <v>0.52569444444444446</v>
      </c>
      <c r="D143" s="1" t="s">
        <v>941</v>
      </c>
      <c r="E143">
        <v>88</v>
      </c>
      <c r="F143" s="1" t="s">
        <v>812</v>
      </c>
      <c r="G143" s="1" t="s">
        <v>941</v>
      </c>
      <c r="H143" s="1" t="s">
        <v>64</v>
      </c>
      <c r="I143">
        <v>-1.6097570000000001</v>
      </c>
      <c r="J143">
        <v>30.661662</v>
      </c>
      <c r="K143" s="1" t="s">
        <v>1498</v>
      </c>
      <c r="L143" s="1" t="s">
        <v>1496</v>
      </c>
    </row>
    <row r="144" spans="1:12" x14ac:dyDescent="0.3">
      <c r="A144" s="1" t="s">
        <v>936</v>
      </c>
      <c r="B144" s="2">
        <v>45210</v>
      </c>
      <c r="C144" s="3">
        <v>0.45</v>
      </c>
      <c r="D144" s="1" t="s">
        <v>947</v>
      </c>
      <c r="E144">
        <v>66</v>
      </c>
      <c r="F144" s="1" t="s">
        <v>807</v>
      </c>
      <c r="G144" s="1" t="s">
        <v>947</v>
      </c>
      <c r="H144" s="1" t="s">
        <v>137</v>
      </c>
      <c r="I144">
        <v>-9.7803979999999999</v>
      </c>
      <c r="J144">
        <v>17.686595000000001</v>
      </c>
      <c r="K144" s="1" t="s">
        <v>1498</v>
      </c>
      <c r="L144" s="1" t="s">
        <v>1496</v>
      </c>
    </row>
    <row r="145" spans="1:12" x14ac:dyDescent="0.3">
      <c r="A145" s="1" t="s">
        <v>936</v>
      </c>
      <c r="B145" s="2">
        <v>45228</v>
      </c>
      <c r="C145" s="3">
        <v>0.51180555555555551</v>
      </c>
      <c r="D145" s="1" t="s">
        <v>948</v>
      </c>
      <c r="E145">
        <v>64</v>
      </c>
      <c r="F145" s="1" t="s">
        <v>810</v>
      </c>
      <c r="G145" s="1" t="s">
        <v>948</v>
      </c>
      <c r="H145" s="1" t="s">
        <v>127</v>
      </c>
      <c r="I145">
        <v>-4.4351269999999996</v>
      </c>
      <c r="J145">
        <v>24.825467</v>
      </c>
      <c r="K145" s="1" t="s">
        <v>1498</v>
      </c>
      <c r="L145" s="1" t="s">
        <v>1499</v>
      </c>
    </row>
    <row r="146" spans="1:12" x14ac:dyDescent="0.3">
      <c r="A146" s="1" t="s">
        <v>1161</v>
      </c>
      <c r="B146" s="2">
        <v>45209</v>
      </c>
      <c r="C146" s="3">
        <v>0.53125</v>
      </c>
      <c r="D146" s="1" t="s">
        <v>1171</v>
      </c>
      <c r="E146">
        <v>63</v>
      </c>
      <c r="F146" s="1" t="s">
        <v>807</v>
      </c>
      <c r="G146" s="1" t="s">
        <v>1171</v>
      </c>
      <c r="H146" s="1" t="s">
        <v>78</v>
      </c>
      <c r="I146">
        <v>1.727095</v>
      </c>
      <c r="J146">
        <v>22.099651999999999</v>
      </c>
      <c r="K146" s="1" t="s">
        <v>1498</v>
      </c>
      <c r="L146" s="1" t="s">
        <v>1499</v>
      </c>
    </row>
    <row r="147" spans="1:12" x14ac:dyDescent="0.3">
      <c r="A147" s="1" t="s">
        <v>936</v>
      </c>
      <c r="B147" s="2">
        <v>45224</v>
      </c>
      <c r="C147" s="3">
        <v>0.55277777777777781</v>
      </c>
      <c r="D147" s="1" t="s">
        <v>949</v>
      </c>
      <c r="E147">
        <v>60</v>
      </c>
      <c r="F147" s="1" t="s">
        <v>810</v>
      </c>
      <c r="G147" s="1" t="s">
        <v>949</v>
      </c>
      <c r="H147" s="1" t="s">
        <v>37</v>
      </c>
      <c r="I147">
        <v>-10.439686999999999</v>
      </c>
      <c r="J147">
        <v>20.714210000000001</v>
      </c>
      <c r="K147" s="1" t="s">
        <v>1498</v>
      </c>
      <c r="L147" s="1" t="s">
        <v>1501</v>
      </c>
    </row>
    <row r="148" spans="1:12" x14ac:dyDescent="0.3">
      <c r="A148" s="1" t="s">
        <v>936</v>
      </c>
      <c r="B148" s="2">
        <v>45226</v>
      </c>
      <c r="C148" s="3">
        <v>0.10416666666666667</v>
      </c>
      <c r="D148" s="1" t="s">
        <v>950</v>
      </c>
      <c r="E148">
        <v>110</v>
      </c>
      <c r="F148" s="1" t="s">
        <v>810</v>
      </c>
      <c r="G148" s="1" t="s">
        <v>950</v>
      </c>
      <c r="H148" s="1" t="s">
        <v>13</v>
      </c>
      <c r="I148">
        <v>-2.3677800000000002</v>
      </c>
      <c r="J148">
        <v>18.790323999999998</v>
      </c>
      <c r="K148" s="1" t="s">
        <v>1495</v>
      </c>
      <c r="L148" s="1" t="s">
        <v>1499</v>
      </c>
    </row>
    <row r="149" spans="1:12" x14ac:dyDescent="0.3">
      <c r="A149" s="1" t="s">
        <v>1190</v>
      </c>
      <c r="B149" s="2">
        <v>45219</v>
      </c>
      <c r="C149" s="3">
        <v>0.50624999999999998</v>
      </c>
      <c r="D149" s="1" t="s">
        <v>950</v>
      </c>
      <c r="E149">
        <v>41</v>
      </c>
      <c r="F149" s="1" t="s">
        <v>810</v>
      </c>
      <c r="G149" s="1" t="s">
        <v>950</v>
      </c>
      <c r="H149" s="1" t="s">
        <v>13</v>
      </c>
      <c r="I149">
        <v>-2.3677800000000002</v>
      </c>
      <c r="J149">
        <v>18.790323999999998</v>
      </c>
      <c r="K149" s="1" t="s">
        <v>1495</v>
      </c>
      <c r="L149" s="1" t="s">
        <v>1499</v>
      </c>
    </row>
    <row r="150" spans="1:12" x14ac:dyDescent="0.3">
      <c r="A150" s="1" t="s">
        <v>977</v>
      </c>
      <c r="B150" s="2">
        <v>45216</v>
      </c>
      <c r="C150" s="3">
        <v>0.72986111111111107</v>
      </c>
      <c r="D150" s="1" t="s">
        <v>1010</v>
      </c>
      <c r="E150">
        <v>109</v>
      </c>
      <c r="F150" s="1" t="s">
        <v>812</v>
      </c>
      <c r="G150" s="1" t="s">
        <v>1010</v>
      </c>
      <c r="H150" s="1" t="s">
        <v>57</v>
      </c>
      <c r="I150">
        <v>0.639208</v>
      </c>
      <c r="J150">
        <v>20.701739</v>
      </c>
      <c r="K150" s="1" t="s">
        <v>1498</v>
      </c>
      <c r="L150" s="1" t="s">
        <v>1499</v>
      </c>
    </row>
    <row r="151" spans="1:12" x14ac:dyDescent="0.3">
      <c r="A151" s="1" t="s">
        <v>936</v>
      </c>
      <c r="B151" s="2">
        <v>45201</v>
      </c>
      <c r="C151" s="3">
        <v>0.46805555555555556</v>
      </c>
      <c r="D151" s="1" t="s">
        <v>951</v>
      </c>
      <c r="E151">
        <v>80</v>
      </c>
      <c r="F151" s="1" t="s">
        <v>807</v>
      </c>
      <c r="G151" s="1" t="s">
        <v>951</v>
      </c>
      <c r="H151" s="1" t="s">
        <v>24</v>
      </c>
      <c r="I151">
        <v>-3.3890790000000002</v>
      </c>
      <c r="J151">
        <v>18.374571</v>
      </c>
      <c r="K151" s="1" t="s">
        <v>1495</v>
      </c>
      <c r="L151" s="1" t="s">
        <v>1501</v>
      </c>
    </row>
    <row r="152" spans="1:12" x14ac:dyDescent="0.3">
      <c r="A152" s="1" t="s">
        <v>936</v>
      </c>
      <c r="B152" s="2">
        <v>45204</v>
      </c>
      <c r="C152" s="3">
        <v>0.29722222222222222</v>
      </c>
      <c r="D152" s="1" t="s">
        <v>954</v>
      </c>
      <c r="E152">
        <v>111</v>
      </c>
      <c r="F152" s="1" t="s">
        <v>810</v>
      </c>
      <c r="G152" s="1" t="s">
        <v>954</v>
      </c>
      <c r="H152" s="1" t="s">
        <v>89</v>
      </c>
      <c r="I152">
        <v>-1.342476</v>
      </c>
      <c r="J152">
        <v>15.986086</v>
      </c>
      <c r="K152" s="1" t="s">
        <v>1498</v>
      </c>
      <c r="L152" s="1" t="s">
        <v>1496</v>
      </c>
    </row>
    <row r="153" spans="1:12" x14ac:dyDescent="0.3">
      <c r="A153" s="1" t="s">
        <v>1014</v>
      </c>
      <c r="B153" s="2">
        <v>45227</v>
      </c>
      <c r="C153" s="3">
        <v>0.58750000000000002</v>
      </c>
      <c r="D153" s="1" t="s">
        <v>954</v>
      </c>
      <c r="E153">
        <v>50</v>
      </c>
      <c r="F153" s="1" t="s">
        <v>810</v>
      </c>
      <c r="G153" s="1" t="s">
        <v>954</v>
      </c>
      <c r="H153" s="1" t="s">
        <v>89</v>
      </c>
      <c r="I153">
        <v>-1.342476</v>
      </c>
      <c r="J153">
        <v>15.986086</v>
      </c>
      <c r="K153" s="1" t="s">
        <v>1498</v>
      </c>
      <c r="L153" s="1" t="s">
        <v>1496</v>
      </c>
    </row>
    <row r="154" spans="1:12" x14ac:dyDescent="0.3">
      <c r="A154" s="1" t="s">
        <v>1190</v>
      </c>
      <c r="B154" s="2">
        <v>45229</v>
      </c>
      <c r="C154" s="3">
        <v>0.72291666666666665</v>
      </c>
      <c r="D154" s="1" t="s">
        <v>954</v>
      </c>
      <c r="E154">
        <v>76</v>
      </c>
      <c r="F154" s="1" t="s">
        <v>810</v>
      </c>
      <c r="G154" s="1" t="s">
        <v>954</v>
      </c>
      <c r="H154" s="1" t="s">
        <v>89</v>
      </c>
      <c r="I154">
        <v>-1.342476</v>
      </c>
      <c r="J154">
        <v>15.986086</v>
      </c>
      <c r="K154" s="1" t="s">
        <v>1498</v>
      </c>
      <c r="L154" s="1" t="s">
        <v>1496</v>
      </c>
    </row>
    <row r="155" spans="1:12" x14ac:dyDescent="0.3">
      <c r="A155" s="1" t="s">
        <v>1190</v>
      </c>
      <c r="B155" s="2">
        <v>45216</v>
      </c>
      <c r="C155" s="3">
        <v>0.86527777777777781</v>
      </c>
      <c r="D155" s="1" t="s">
        <v>1201</v>
      </c>
      <c r="E155">
        <v>10</v>
      </c>
      <c r="F155" s="1" t="s">
        <v>810</v>
      </c>
      <c r="G155" s="1" t="s">
        <v>1201</v>
      </c>
      <c r="H155" s="1" t="s">
        <v>57</v>
      </c>
      <c r="I155">
        <v>-1.648326</v>
      </c>
      <c r="J155">
        <v>25.528901999999999</v>
      </c>
      <c r="K155" s="1" t="s">
        <v>1498</v>
      </c>
      <c r="L155" s="1" t="s">
        <v>1499</v>
      </c>
    </row>
    <row r="156" spans="1:12" x14ac:dyDescent="0.3">
      <c r="A156" s="1" t="s">
        <v>977</v>
      </c>
      <c r="B156" s="2">
        <v>45202</v>
      </c>
      <c r="C156" s="3">
        <v>0.21875</v>
      </c>
      <c r="D156" s="1" t="s">
        <v>995</v>
      </c>
      <c r="E156">
        <v>86</v>
      </c>
      <c r="F156" s="1" t="s">
        <v>812</v>
      </c>
      <c r="G156" s="1" t="s">
        <v>995</v>
      </c>
      <c r="H156" s="1" t="s">
        <v>18</v>
      </c>
      <c r="I156">
        <v>-12.112682</v>
      </c>
      <c r="J156">
        <v>19.972052000000001</v>
      </c>
      <c r="K156" s="1" t="s">
        <v>1498</v>
      </c>
      <c r="L156" s="1" t="s">
        <v>1499</v>
      </c>
    </row>
    <row r="157" spans="1:12" x14ac:dyDescent="0.3">
      <c r="A157" s="1" t="s">
        <v>1073</v>
      </c>
      <c r="B157" s="2">
        <v>45210</v>
      </c>
      <c r="C157" s="3">
        <v>0.45833333333333331</v>
      </c>
      <c r="D157" s="1" t="s">
        <v>995</v>
      </c>
      <c r="E157">
        <v>95</v>
      </c>
      <c r="F157" s="1" t="s">
        <v>810</v>
      </c>
      <c r="G157" s="1" t="s">
        <v>995</v>
      </c>
      <c r="H157" s="1" t="s">
        <v>18</v>
      </c>
      <c r="I157">
        <v>-12.112682</v>
      </c>
      <c r="J157">
        <v>19.972052000000001</v>
      </c>
      <c r="K157" s="1" t="s">
        <v>1498</v>
      </c>
      <c r="L157" s="1" t="s">
        <v>1499</v>
      </c>
    </row>
    <row r="158" spans="1:12" x14ac:dyDescent="0.3">
      <c r="A158" s="1" t="s">
        <v>936</v>
      </c>
      <c r="B158" s="2">
        <v>45218</v>
      </c>
      <c r="C158" s="3">
        <v>0.27013888888888887</v>
      </c>
      <c r="D158" s="1" t="s">
        <v>956</v>
      </c>
      <c r="E158">
        <v>40</v>
      </c>
      <c r="F158" s="1" t="s">
        <v>810</v>
      </c>
      <c r="G158" s="1" t="s">
        <v>956</v>
      </c>
      <c r="H158" s="1" t="s">
        <v>127</v>
      </c>
      <c r="I158">
        <v>-1.8045979999999999</v>
      </c>
      <c r="J158">
        <v>12.511096999999999</v>
      </c>
      <c r="K158" s="1" t="s">
        <v>1500</v>
      </c>
      <c r="L158" s="1" t="s">
        <v>1499</v>
      </c>
    </row>
    <row r="159" spans="1:12" x14ac:dyDescent="0.3">
      <c r="A159" s="1" t="s">
        <v>1053</v>
      </c>
      <c r="B159" s="2">
        <v>45212</v>
      </c>
      <c r="C159" s="3">
        <v>0.59930555555555554</v>
      </c>
      <c r="D159" s="1" t="s">
        <v>956</v>
      </c>
      <c r="E159">
        <v>58</v>
      </c>
      <c r="F159" s="1" t="s">
        <v>810</v>
      </c>
      <c r="G159" s="1" t="s">
        <v>956</v>
      </c>
      <c r="H159" s="1" t="s">
        <v>127</v>
      </c>
      <c r="I159">
        <v>-1.8045979999999999</v>
      </c>
      <c r="J159">
        <v>12.511096999999999</v>
      </c>
      <c r="K159" s="1" t="s">
        <v>1500</v>
      </c>
      <c r="L159" s="1" t="s">
        <v>1499</v>
      </c>
    </row>
    <row r="160" spans="1:12" x14ac:dyDescent="0.3">
      <c r="A160" s="1" t="s">
        <v>936</v>
      </c>
      <c r="B160" s="2">
        <v>45203</v>
      </c>
      <c r="C160" s="3">
        <v>0.22152777777777777</v>
      </c>
      <c r="D160" s="1" t="s">
        <v>960</v>
      </c>
      <c r="E160">
        <v>101</v>
      </c>
      <c r="F160" s="1" t="s">
        <v>807</v>
      </c>
      <c r="G160" s="1" t="s">
        <v>960</v>
      </c>
      <c r="H160" s="1" t="s">
        <v>73</v>
      </c>
      <c r="I160">
        <v>3.0603760000000002</v>
      </c>
      <c r="J160">
        <v>19.708034000000001</v>
      </c>
      <c r="K160" s="1" t="s">
        <v>1500</v>
      </c>
      <c r="L160" s="1" t="s">
        <v>1501</v>
      </c>
    </row>
    <row r="161" spans="1:12" x14ac:dyDescent="0.3">
      <c r="A161" s="1" t="s">
        <v>936</v>
      </c>
      <c r="B161" s="2">
        <v>45203</v>
      </c>
      <c r="C161" s="3">
        <v>0.75069444444444444</v>
      </c>
      <c r="D161" s="1" t="s">
        <v>961</v>
      </c>
      <c r="E161">
        <v>64</v>
      </c>
      <c r="F161" s="1" t="s">
        <v>812</v>
      </c>
      <c r="G161" s="1" t="s">
        <v>961</v>
      </c>
      <c r="H161" s="1" t="s">
        <v>78</v>
      </c>
      <c r="I161">
        <v>-4.6818410000000004</v>
      </c>
      <c r="J161">
        <v>17.541618</v>
      </c>
      <c r="K161" s="1" t="s">
        <v>1498</v>
      </c>
      <c r="L161" s="1" t="s">
        <v>1496</v>
      </c>
    </row>
    <row r="162" spans="1:12" x14ac:dyDescent="0.3">
      <c r="A162" s="1" t="s">
        <v>1053</v>
      </c>
      <c r="B162" s="2">
        <v>45224</v>
      </c>
      <c r="C162" s="3">
        <v>0.2013888888888889</v>
      </c>
      <c r="D162" s="1" t="s">
        <v>961</v>
      </c>
      <c r="E162">
        <v>43</v>
      </c>
      <c r="F162" s="1" t="s">
        <v>812</v>
      </c>
      <c r="G162" s="1" t="s">
        <v>961</v>
      </c>
      <c r="H162" s="1" t="s">
        <v>78</v>
      </c>
      <c r="I162">
        <v>-4.6818410000000004</v>
      </c>
      <c r="J162">
        <v>17.541618</v>
      </c>
      <c r="K162" s="1" t="s">
        <v>1498</v>
      </c>
      <c r="L162" s="1" t="s">
        <v>1496</v>
      </c>
    </row>
    <row r="163" spans="1:12" x14ac:dyDescent="0.3">
      <c r="A163" s="1" t="s">
        <v>936</v>
      </c>
      <c r="B163" s="2">
        <v>45228</v>
      </c>
      <c r="C163" s="3">
        <v>0.61458333333333337</v>
      </c>
      <c r="D163" s="1" t="s">
        <v>976</v>
      </c>
      <c r="E163">
        <v>48</v>
      </c>
      <c r="F163" s="1" t="s">
        <v>810</v>
      </c>
      <c r="G163" s="1" t="s">
        <v>976</v>
      </c>
      <c r="H163" s="1" t="s">
        <v>26</v>
      </c>
      <c r="I163">
        <v>-3.6945459999999999</v>
      </c>
      <c r="J163">
        <v>16.809108999999999</v>
      </c>
      <c r="K163" s="1" t="s">
        <v>1495</v>
      </c>
      <c r="L163" s="1" t="s">
        <v>1501</v>
      </c>
    </row>
    <row r="164" spans="1:12" x14ac:dyDescent="0.3">
      <c r="A164" s="1" t="s">
        <v>1190</v>
      </c>
      <c r="B164" s="2">
        <v>45222</v>
      </c>
      <c r="C164" s="3">
        <v>0.7631944444444444</v>
      </c>
      <c r="D164" s="1" t="s">
        <v>976</v>
      </c>
      <c r="E164">
        <v>91</v>
      </c>
      <c r="F164" s="1" t="s">
        <v>812</v>
      </c>
      <c r="G164" s="1" t="s">
        <v>976</v>
      </c>
      <c r="H164" s="1" t="s">
        <v>26</v>
      </c>
      <c r="I164">
        <v>-3.6945459999999999</v>
      </c>
      <c r="J164">
        <v>16.809108999999999</v>
      </c>
      <c r="K164" s="1" t="s">
        <v>1495</v>
      </c>
      <c r="L164" s="1" t="s">
        <v>1501</v>
      </c>
    </row>
    <row r="165" spans="1:12" x14ac:dyDescent="0.3">
      <c r="A165" s="1" t="s">
        <v>936</v>
      </c>
      <c r="B165" s="2">
        <v>45202</v>
      </c>
      <c r="C165" s="3">
        <v>0.78055555555555556</v>
      </c>
      <c r="D165" s="1" t="s">
        <v>965</v>
      </c>
      <c r="E165">
        <v>53</v>
      </c>
      <c r="F165" s="1" t="s">
        <v>812</v>
      </c>
      <c r="G165" s="1" t="s">
        <v>965</v>
      </c>
      <c r="H165" s="1" t="s">
        <v>78</v>
      </c>
      <c r="I165">
        <v>-2.3743210000000001</v>
      </c>
      <c r="J165">
        <v>22.399491000000001</v>
      </c>
      <c r="K165" s="1" t="s">
        <v>1495</v>
      </c>
      <c r="L165" s="1" t="s">
        <v>1496</v>
      </c>
    </row>
    <row r="166" spans="1:12" x14ac:dyDescent="0.3">
      <c r="A166" s="1" t="s">
        <v>1073</v>
      </c>
      <c r="B166" s="2">
        <v>45216</v>
      </c>
      <c r="C166" s="3">
        <v>0.26666666666666666</v>
      </c>
      <c r="D166" s="1" t="s">
        <v>965</v>
      </c>
      <c r="E166">
        <v>90</v>
      </c>
      <c r="F166" s="1" t="s">
        <v>812</v>
      </c>
      <c r="G166" s="1" t="s">
        <v>965</v>
      </c>
      <c r="H166" s="1" t="s">
        <v>78</v>
      </c>
      <c r="I166">
        <v>-2.3743210000000001</v>
      </c>
      <c r="J166">
        <v>22.399491000000001</v>
      </c>
      <c r="K166" s="1" t="s">
        <v>1495</v>
      </c>
      <c r="L166" s="1" t="s">
        <v>1496</v>
      </c>
    </row>
    <row r="167" spans="1:12" x14ac:dyDescent="0.3">
      <c r="A167" s="1" t="s">
        <v>936</v>
      </c>
      <c r="B167" s="2">
        <v>45203</v>
      </c>
      <c r="C167" s="3">
        <v>0.9506944444444444</v>
      </c>
      <c r="D167" s="1" t="s">
        <v>967</v>
      </c>
      <c r="E167">
        <v>8</v>
      </c>
      <c r="F167" s="1" t="s">
        <v>810</v>
      </c>
      <c r="G167" s="1" t="s">
        <v>967</v>
      </c>
      <c r="H167" s="1" t="s">
        <v>13</v>
      </c>
      <c r="I167">
        <v>-0.79406600000000005</v>
      </c>
      <c r="J167">
        <v>12.534793000000001</v>
      </c>
      <c r="K167" s="1" t="s">
        <v>1500</v>
      </c>
      <c r="L167" s="1" t="s">
        <v>1499</v>
      </c>
    </row>
    <row r="168" spans="1:12" x14ac:dyDescent="0.3">
      <c r="A168" s="1" t="s">
        <v>1073</v>
      </c>
      <c r="B168" s="2">
        <v>45204</v>
      </c>
      <c r="C168" s="3">
        <v>0.98611111111111116</v>
      </c>
      <c r="D168" s="1" t="s">
        <v>1086</v>
      </c>
      <c r="E168">
        <v>76</v>
      </c>
      <c r="F168" s="1" t="s">
        <v>810</v>
      </c>
      <c r="G168" s="1" t="s">
        <v>1086</v>
      </c>
      <c r="H168" s="1" t="s">
        <v>127</v>
      </c>
      <c r="I168">
        <v>-4.869434</v>
      </c>
      <c r="J168">
        <v>22.326522000000001</v>
      </c>
      <c r="K168" s="1" t="s">
        <v>1495</v>
      </c>
      <c r="L168" s="1" t="s">
        <v>1496</v>
      </c>
    </row>
    <row r="169" spans="1:12" x14ac:dyDescent="0.3">
      <c r="A169" s="1" t="s">
        <v>936</v>
      </c>
      <c r="B169" s="2">
        <v>45220</v>
      </c>
      <c r="C169" s="3">
        <v>0.41666666666666669</v>
      </c>
      <c r="D169" s="1" t="s">
        <v>972</v>
      </c>
      <c r="E169">
        <v>32</v>
      </c>
      <c r="F169" s="1" t="s">
        <v>810</v>
      </c>
      <c r="G169" s="1" t="s">
        <v>972</v>
      </c>
      <c r="H169" s="1" t="s">
        <v>64</v>
      </c>
      <c r="I169">
        <v>-11.991020000000001</v>
      </c>
      <c r="J169">
        <v>22.514747</v>
      </c>
      <c r="K169" s="1" t="s">
        <v>1495</v>
      </c>
      <c r="L169" s="1" t="s">
        <v>1501</v>
      </c>
    </row>
    <row r="170" spans="1:12" x14ac:dyDescent="0.3">
      <c r="A170" s="1" t="s">
        <v>936</v>
      </c>
      <c r="B170" s="2">
        <v>45227</v>
      </c>
      <c r="C170" s="3">
        <v>0.57777777777777772</v>
      </c>
      <c r="D170" s="1" t="s">
        <v>973</v>
      </c>
      <c r="E170">
        <v>50</v>
      </c>
      <c r="F170" s="1" t="s">
        <v>812</v>
      </c>
      <c r="G170" s="1" t="s">
        <v>973</v>
      </c>
      <c r="H170" s="1" t="s">
        <v>73</v>
      </c>
      <c r="I170">
        <v>-4.5603610000000003</v>
      </c>
      <c r="J170">
        <v>24.113918999999999</v>
      </c>
      <c r="K170" s="1" t="s">
        <v>1495</v>
      </c>
      <c r="L170" s="1" t="s">
        <v>1501</v>
      </c>
    </row>
    <row r="171" spans="1:12" x14ac:dyDescent="0.3">
      <c r="A171" s="1" t="s">
        <v>936</v>
      </c>
      <c r="B171" s="2">
        <v>45230</v>
      </c>
      <c r="C171" s="3">
        <v>0.4861111111111111</v>
      </c>
      <c r="D171" s="1" t="s">
        <v>975</v>
      </c>
      <c r="E171">
        <v>38</v>
      </c>
      <c r="F171" s="1" t="s">
        <v>807</v>
      </c>
      <c r="G171" s="1" t="s">
        <v>975</v>
      </c>
      <c r="H171" s="1" t="s">
        <v>131</v>
      </c>
      <c r="I171">
        <v>-12.336202</v>
      </c>
      <c r="J171">
        <v>13.693683999999999</v>
      </c>
      <c r="K171" s="1" t="s">
        <v>1495</v>
      </c>
      <c r="L171" s="1" t="s">
        <v>1499</v>
      </c>
    </row>
    <row r="172" spans="1:12" x14ac:dyDescent="0.3">
      <c r="A172" s="1" t="s">
        <v>1190</v>
      </c>
      <c r="B172" s="2">
        <v>45207</v>
      </c>
      <c r="C172" s="3">
        <v>0.9604166666666667</v>
      </c>
      <c r="D172" s="1" t="s">
        <v>975</v>
      </c>
      <c r="E172">
        <v>23</v>
      </c>
      <c r="F172" s="1" t="s">
        <v>812</v>
      </c>
      <c r="G172" s="1" t="s">
        <v>975</v>
      </c>
      <c r="H172" s="1" t="s">
        <v>131</v>
      </c>
      <c r="I172">
        <v>-12.336202</v>
      </c>
      <c r="J172">
        <v>13.693683999999999</v>
      </c>
      <c r="K172" s="1" t="s">
        <v>1495</v>
      </c>
      <c r="L172" s="1" t="s">
        <v>1499</v>
      </c>
    </row>
    <row r="173" spans="1:12" x14ac:dyDescent="0.3">
      <c r="A173" s="1" t="s">
        <v>1190</v>
      </c>
      <c r="B173" s="2">
        <v>45217</v>
      </c>
      <c r="C173" s="3">
        <v>0.38472222222222224</v>
      </c>
      <c r="D173" s="1" t="s">
        <v>1210</v>
      </c>
      <c r="E173">
        <v>99</v>
      </c>
      <c r="F173" s="1" t="s">
        <v>810</v>
      </c>
      <c r="G173" s="1" t="s">
        <v>1210</v>
      </c>
      <c r="H173" s="1" t="s">
        <v>18</v>
      </c>
      <c r="I173">
        <v>-4.8157019999999999</v>
      </c>
      <c r="J173">
        <v>27.679798000000002</v>
      </c>
      <c r="K173" s="1" t="s">
        <v>1500</v>
      </c>
      <c r="L173" s="1" t="s">
        <v>1496</v>
      </c>
    </row>
    <row r="174" spans="1:12" x14ac:dyDescent="0.3">
      <c r="A174" s="1" t="s">
        <v>977</v>
      </c>
      <c r="B174" s="2">
        <v>45220</v>
      </c>
      <c r="C174" s="3">
        <v>0.87708333333333333</v>
      </c>
      <c r="D174" s="1" t="s">
        <v>982</v>
      </c>
      <c r="E174">
        <v>78</v>
      </c>
      <c r="F174" s="1" t="s">
        <v>807</v>
      </c>
      <c r="G174" s="1" t="s">
        <v>982</v>
      </c>
      <c r="H174" s="1" t="s">
        <v>64</v>
      </c>
      <c r="I174">
        <v>-7.5418399999999997</v>
      </c>
      <c r="J174">
        <v>16.931206</v>
      </c>
      <c r="K174" s="1" t="s">
        <v>1500</v>
      </c>
      <c r="L174" s="1" t="s">
        <v>1508</v>
      </c>
    </row>
    <row r="175" spans="1:12" x14ac:dyDescent="0.3">
      <c r="A175" s="1" t="s">
        <v>977</v>
      </c>
      <c r="B175" s="2">
        <v>45220</v>
      </c>
      <c r="C175" s="3">
        <v>0.20694444444444443</v>
      </c>
      <c r="D175" s="1" t="s">
        <v>1004</v>
      </c>
      <c r="E175">
        <v>25</v>
      </c>
      <c r="F175" s="1" t="s">
        <v>807</v>
      </c>
      <c r="G175" s="1" t="s">
        <v>1004</v>
      </c>
      <c r="H175" s="1" t="s">
        <v>60</v>
      </c>
      <c r="I175">
        <v>3.3289240000000002</v>
      </c>
      <c r="J175">
        <v>24.412261000000001</v>
      </c>
      <c r="K175" s="1" t="s">
        <v>1495</v>
      </c>
      <c r="L175" s="1" t="s">
        <v>1508</v>
      </c>
    </row>
    <row r="176" spans="1:12" x14ac:dyDescent="0.3">
      <c r="A176" s="1" t="s">
        <v>977</v>
      </c>
      <c r="B176" s="2">
        <v>45207</v>
      </c>
      <c r="C176" s="3">
        <v>0.14930555555555555</v>
      </c>
      <c r="D176" s="1" t="s">
        <v>985</v>
      </c>
      <c r="E176">
        <v>101</v>
      </c>
      <c r="F176" s="1" t="s">
        <v>812</v>
      </c>
      <c r="G176" s="1" t="s">
        <v>985</v>
      </c>
      <c r="H176" s="1" t="s">
        <v>137</v>
      </c>
      <c r="I176">
        <v>-10.872631999999999</v>
      </c>
      <c r="J176">
        <v>12.773279</v>
      </c>
      <c r="K176" s="1" t="s">
        <v>1500</v>
      </c>
      <c r="L176" s="1" t="s">
        <v>1501</v>
      </c>
    </row>
    <row r="177" spans="1:12" x14ac:dyDescent="0.3">
      <c r="A177" s="1" t="s">
        <v>1014</v>
      </c>
      <c r="B177" s="2">
        <v>45209</v>
      </c>
      <c r="C177" s="3">
        <v>0.89861111111111114</v>
      </c>
      <c r="D177" s="1" t="s">
        <v>985</v>
      </c>
      <c r="E177">
        <v>29</v>
      </c>
      <c r="F177" s="1" t="s">
        <v>810</v>
      </c>
      <c r="G177" s="1" t="s">
        <v>985</v>
      </c>
      <c r="H177" s="1" t="s">
        <v>137</v>
      </c>
      <c r="I177">
        <v>-10.872631999999999</v>
      </c>
      <c r="J177">
        <v>12.773279</v>
      </c>
      <c r="K177" s="1" t="s">
        <v>1500</v>
      </c>
      <c r="L177" s="1" t="s">
        <v>1501</v>
      </c>
    </row>
    <row r="178" spans="1:12" x14ac:dyDescent="0.3">
      <c r="A178" s="1" t="s">
        <v>977</v>
      </c>
      <c r="B178" s="2">
        <v>45224</v>
      </c>
      <c r="C178" s="3">
        <v>0.56805555555555554</v>
      </c>
      <c r="D178" s="1" t="s">
        <v>986</v>
      </c>
      <c r="E178">
        <v>27</v>
      </c>
      <c r="F178" s="1" t="s">
        <v>807</v>
      </c>
      <c r="G178" s="1" t="s">
        <v>986</v>
      </c>
      <c r="H178" s="1" t="s">
        <v>44</v>
      </c>
      <c r="I178">
        <v>-10.442425</v>
      </c>
      <c r="J178">
        <v>23.243632000000002</v>
      </c>
      <c r="K178" s="1" t="s">
        <v>1498</v>
      </c>
      <c r="L178" s="1" t="s">
        <v>1508</v>
      </c>
    </row>
    <row r="179" spans="1:12" x14ac:dyDescent="0.3">
      <c r="A179" s="1" t="s">
        <v>977</v>
      </c>
      <c r="B179" s="2">
        <v>45219</v>
      </c>
      <c r="C179" s="3">
        <v>0.80138888888888893</v>
      </c>
      <c r="D179" s="1" t="s">
        <v>987</v>
      </c>
      <c r="E179">
        <v>65</v>
      </c>
      <c r="F179" s="1" t="s">
        <v>810</v>
      </c>
      <c r="G179" s="1" t="s">
        <v>987</v>
      </c>
      <c r="H179" s="1" t="s">
        <v>13</v>
      </c>
      <c r="I179">
        <v>0.52897499999999997</v>
      </c>
      <c r="J179">
        <v>13.849651</v>
      </c>
      <c r="K179" s="1" t="s">
        <v>1500</v>
      </c>
      <c r="L179" s="1" t="s">
        <v>1501</v>
      </c>
    </row>
    <row r="180" spans="1:12" x14ac:dyDescent="0.3">
      <c r="A180" s="1" t="s">
        <v>977</v>
      </c>
      <c r="B180" s="2">
        <v>45209</v>
      </c>
      <c r="C180" s="3">
        <v>0.77708333333333335</v>
      </c>
      <c r="D180" s="1" t="s">
        <v>991</v>
      </c>
      <c r="E180">
        <v>40</v>
      </c>
      <c r="F180" s="1" t="s">
        <v>812</v>
      </c>
      <c r="G180" s="1" t="s">
        <v>991</v>
      </c>
      <c r="H180" s="1" t="s">
        <v>137</v>
      </c>
      <c r="I180">
        <v>-9.5243310000000001</v>
      </c>
      <c r="J180">
        <v>30.541212000000002</v>
      </c>
      <c r="K180" s="1" t="s">
        <v>1500</v>
      </c>
      <c r="L180" s="1" t="s">
        <v>1496</v>
      </c>
    </row>
    <row r="181" spans="1:12" x14ac:dyDescent="0.3">
      <c r="A181" s="1" t="s">
        <v>1190</v>
      </c>
      <c r="B181" s="2">
        <v>45216</v>
      </c>
      <c r="C181" s="3">
        <v>0.72986111111111107</v>
      </c>
      <c r="D181" s="1" t="s">
        <v>991</v>
      </c>
      <c r="E181">
        <v>78</v>
      </c>
      <c r="F181" s="1" t="s">
        <v>810</v>
      </c>
      <c r="G181" s="1" t="s">
        <v>991</v>
      </c>
      <c r="H181" s="1" t="s">
        <v>137</v>
      </c>
      <c r="I181">
        <v>-9.5243310000000001</v>
      </c>
      <c r="J181">
        <v>30.541212000000002</v>
      </c>
      <c r="K181" s="1" t="s">
        <v>1500</v>
      </c>
      <c r="L181" s="1" t="s">
        <v>1496</v>
      </c>
    </row>
    <row r="182" spans="1:12" x14ac:dyDescent="0.3">
      <c r="A182" s="1" t="s">
        <v>977</v>
      </c>
      <c r="B182" s="2">
        <v>45201</v>
      </c>
      <c r="C182" s="3">
        <v>0.82430555555555551</v>
      </c>
      <c r="D182" s="1" t="s">
        <v>992</v>
      </c>
      <c r="E182">
        <v>28</v>
      </c>
      <c r="F182" s="1" t="s">
        <v>810</v>
      </c>
      <c r="G182" s="1" t="s">
        <v>992</v>
      </c>
      <c r="H182" s="1" t="s">
        <v>44</v>
      </c>
      <c r="I182">
        <v>-9.3652280000000001</v>
      </c>
      <c r="J182">
        <v>18.674116000000001</v>
      </c>
      <c r="K182" s="1" t="s">
        <v>1498</v>
      </c>
      <c r="L182" s="1" t="s">
        <v>1499</v>
      </c>
    </row>
    <row r="183" spans="1:12" x14ac:dyDescent="0.3">
      <c r="A183" s="1" t="s">
        <v>977</v>
      </c>
      <c r="B183" s="2">
        <v>45214</v>
      </c>
      <c r="C183" s="3">
        <v>0.94305555555555554</v>
      </c>
      <c r="D183" s="1" t="s">
        <v>998</v>
      </c>
      <c r="E183">
        <v>16</v>
      </c>
      <c r="F183" s="1" t="s">
        <v>807</v>
      </c>
      <c r="G183" s="1" t="s">
        <v>998</v>
      </c>
      <c r="H183" s="1" t="s">
        <v>18</v>
      </c>
      <c r="I183">
        <v>1.210869</v>
      </c>
      <c r="J183">
        <v>25.598741</v>
      </c>
      <c r="K183" s="1" t="s">
        <v>1498</v>
      </c>
      <c r="L183" s="1" t="s">
        <v>1496</v>
      </c>
    </row>
    <row r="184" spans="1:12" x14ac:dyDescent="0.3">
      <c r="A184" s="1" t="s">
        <v>1161</v>
      </c>
      <c r="B184" s="2">
        <v>45210</v>
      </c>
      <c r="C184" s="3">
        <v>0.92638888888888893</v>
      </c>
      <c r="D184" s="1" t="s">
        <v>998</v>
      </c>
      <c r="E184">
        <v>45</v>
      </c>
      <c r="F184" s="1" t="s">
        <v>810</v>
      </c>
      <c r="G184" s="1" t="s">
        <v>998</v>
      </c>
      <c r="H184" s="1" t="s">
        <v>18</v>
      </c>
      <c r="I184">
        <v>1.210869</v>
      </c>
      <c r="J184">
        <v>25.598741</v>
      </c>
      <c r="K184" s="1" t="s">
        <v>1498</v>
      </c>
      <c r="L184" s="1" t="s">
        <v>1496</v>
      </c>
    </row>
    <row r="185" spans="1:12" x14ac:dyDescent="0.3">
      <c r="A185" s="1" t="s">
        <v>1161</v>
      </c>
      <c r="B185" s="2">
        <v>45206</v>
      </c>
      <c r="C185" s="3">
        <v>0.85763888888888884</v>
      </c>
      <c r="D185" s="1" t="s">
        <v>998</v>
      </c>
      <c r="E185">
        <v>45</v>
      </c>
      <c r="F185" s="1" t="s">
        <v>812</v>
      </c>
      <c r="G185" s="1" t="s">
        <v>998</v>
      </c>
      <c r="H185" s="1" t="s">
        <v>18</v>
      </c>
      <c r="I185">
        <v>1.210869</v>
      </c>
      <c r="J185">
        <v>25.598741</v>
      </c>
      <c r="K185" s="1" t="s">
        <v>1498</v>
      </c>
      <c r="L185" s="1" t="s">
        <v>1496</v>
      </c>
    </row>
    <row r="186" spans="1:12" x14ac:dyDescent="0.3">
      <c r="A186" s="1" t="s">
        <v>977</v>
      </c>
      <c r="B186" s="2">
        <v>45207</v>
      </c>
      <c r="C186" s="3">
        <v>0.36805555555555558</v>
      </c>
      <c r="D186" s="1" t="s">
        <v>1000</v>
      </c>
      <c r="E186">
        <v>46</v>
      </c>
      <c r="F186" s="1" t="s">
        <v>807</v>
      </c>
      <c r="G186" s="1" t="s">
        <v>1000</v>
      </c>
      <c r="H186" s="1" t="s">
        <v>37</v>
      </c>
      <c r="I186">
        <v>-10.481026999999999</v>
      </c>
      <c r="J186">
        <v>18.160464000000001</v>
      </c>
      <c r="K186" s="1" t="s">
        <v>1495</v>
      </c>
      <c r="L186" s="1" t="s">
        <v>1499</v>
      </c>
    </row>
    <row r="187" spans="1:12" x14ac:dyDescent="0.3">
      <c r="A187" s="1" t="s">
        <v>977</v>
      </c>
      <c r="B187" s="2">
        <v>45221</v>
      </c>
      <c r="C187" s="3">
        <v>0.26874999999999999</v>
      </c>
      <c r="D187" s="1" t="s">
        <v>1002</v>
      </c>
      <c r="E187">
        <v>18</v>
      </c>
      <c r="F187" s="1" t="s">
        <v>810</v>
      </c>
      <c r="G187" s="1" t="s">
        <v>1002</v>
      </c>
      <c r="H187" s="1" t="s">
        <v>131</v>
      </c>
      <c r="I187">
        <v>-1.8555980000000001</v>
      </c>
      <c r="J187">
        <v>30.421918000000002</v>
      </c>
      <c r="K187" s="1" t="s">
        <v>1500</v>
      </c>
      <c r="L187" s="1" t="s">
        <v>1501</v>
      </c>
    </row>
    <row r="188" spans="1:12" x14ac:dyDescent="0.3">
      <c r="A188" s="1" t="s">
        <v>977</v>
      </c>
      <c r="B188" s="2">
        <v>45208</v>
      </c>
      <c r="C188" s="3">
        <v>0.16944444444444445</v>
      </c>
      <c r="D188" s="1" t="s">
        <v>1005</v>
      </c>
      <c r="E188">
        <v>47</v>
      </c>
      <c r="F188" s="1" t="s">
        <v>807</v>
      </c>
      <c r="G188" s="1" t="s">
        <v>1005</v>
      </c>
      <c r="H188" s="1" t="s">
        <v>29</v>
      </c>
      <c r="I188">
        <v>-4.351254</v>
      </c>
      <c r="J188">
        <v>30.097408999999999</v>
      </c>
      <c r="K188" s="1" t="s">
        <v>1495</v>
      </c>
      <c r="L188" s="1" t="s">
        <v>1508</v>
      </c>
    </row>
    <row r="189" spans="1:12" x14ac:dyDescent="0.3">
      <c r="A189" s="1" t="s">
        <v>1190</v>
      </c>
      <c r="B189" s="2">
        <v>45210</v>
      </c>
      <c r="C189" s="3">
        <v>0.89583333333333337</v>
      </c>
      <c r="D189" s="1" t="s">
        <v>1005</v>
      </c>
      <c r="E189">
        <v>110</v>
      </c>
      <c r="F189" s="1" t="s">
        <v>812</v>
      </c>
      <c r="G189" s="1" t="s">
        <v>1005</v>
      </c>
      <c r="H189" s="1" t="s">
        <v>29</v>
      </c>
      <c r="I189">
        <v>-4.351254</v>
      </c>
      <c r="J189">
        <v>30.097408999999999</v>
      </c>
      <c r="K189" s="1" t="s">
        <v>1495</v>
      </c>
      <c r="L189" s="1" t="s">
        <v>1508</v>
      </c>
    </row>
    <row r="190" spans="1:12" x14ac:dyDescent="0.3">
      <c r="A190" s="1" t="s">
        <v>977</v>
      </c>
      <c r="B190" s="2">
        <v>45226</v>
      </c>
      <c r="C190" s="3">
        <v>0.79027777777777775</v>
      </c>
      <c r="D190" s="1" t="s">
        <v>1007</v>
      </c>
      <c r="E190">
        <v>68</v>
      </c>
      <c r="F190" s="1" t="s">
        <v>812</v>
      </c>
      <c r="G190" s="1" t="s">
        <v>1007</v>
      </c>
      <c r="H190" s="1" t="s">
        <v>60</v>
      </c>
      <c r="I190">
        <v>-0.37665700000000002</v>
      </c>
      <c r="J190">
        <v>25.154807999999999</v>
      </c>
      <c r="K190" s="1" t="s">
        <v>1500</v>
      </c>
      <c r="L190" s="1" t="s">
        <v>1508</v>
      </c>
    </row>
    <row r="191" spans="1:12" x14ac:dyDescent="0.3">
      <c r="A191" s="1" t="s">
        <v>1098</v>
      </c>
      <c r="B191" s="2">
        <v>45226</v>
      </c>
      <c r="C191" s="3">
        <v>0.37777777777777777</v>
      </c>
      <c r="D191" s="1" t="s">
        <v>1100</v>
      </c>
      <c r="E191">
        <v>74</v>
      </c>
      <c r="F191" s="1" t="s">
        <v>812</v>
      </c>
      <c r="G191" s="1" t="s">
        <v>1100</v>
      </c>
      <c r="H191" s="1" t="s">
        <v>16</v>
      </c>
      <c r="I191">
        <v>4.6809229999999999</v>
      </c>
      <c r="J191">
        <v>28.934242000000001</v>
      </c>
      <c r="K191" s="1" t="s">
        <v>1495</v>
      </c>
      <c r="L191" s="1" t="s">
        <v>1508</v>
      </c>
    </row>
    <row r="192" spans="1:12" x14ac:dyDescent="0.3">
      <c r="A192" s="1" t="s">
        <v>1133</v>
      </c>
      <c r="B192" s="2">
        <v>45205</v>
      </c>
      <c r="C192" s="3">
        <v>0.16944444444444445</v>
      </c>
      <c r="D192" s="1" t="s">
        <v>1154</v>
      </c>
      <c r="E192">
        <v>18</v>
      </c>
      <c r="F192" s="1" t="s">
        <v>810</v>
      </c>
      <c r="G192" s="1" t="s">
        <v>1154</v>
      </c>
      <c r="H192" s="1" t="s">
        <v>29</v>
      </c>
      <c r="I192">
        <v>4.8689660000000003</v>
      </c>
      <c r="J192">
        <v>25.112373000000002</v>
      </c>
      <c r="K192" s="1" t="s">
        <v>1500</v>
      </c>
      <c r="L192" s="1" t="s">
        <v>1499</v>
      </c>
    </row>
    <row r="193" spans="1:12" x14ac:dyDescent="0.3">
      <c r="A193" s="1" t="s">
        <v>1014</v>
      </c>
      <c r="B193" s="2">
        <v>45210</v>
      </c>
      <c r="C193" s="3">
        <v>0.28055555555555556</v>
      </c>
      <c r="D193" s="1" t="s">
        <v>1016</v>
      </c>
      <c r="E193">
        <v>43</v>
      </c>
      <c r="F193" s="1" t="s">
        <v>810</v>
      </c>
      <c r="G193" s="1" t="s">
        <v>1016</v>
      </c>
      <c r="H193" s="1" t="s">
        <v>31</v>
      </c>
      <c r="I193">
        <v>-12.342053999999999</v>
      </c>
      <c r="J193">
        <v>18.756862000000002</v>
      </c>
      <c r="K193" s="1" t="s">
        <v>1500</v>
      </c>
      <c r="L193" s="1" t="s">
        <v>1496</v>
      </c>
    </row>
    <row r="194" spans="1:12" x14ac:dyDescent="0.3">
      <c r="A194" s="1" t="s">
        <v>1053</v>
      </c>
      <c r="B194" s="2">
        <v>45228</v>
      </c>
      <c r="C194" s="3">
        <v>0.79166666666666663</v>
      </c>
      <c r="D194" s="1" t="s">
        <v>806</v>
      </c>
      <c r="E194">
        <v>63</v>
      </c>
      <c r="F194" s="1" t="s">
        <v>807</v>
      </c>
      <c r="G194" s="1" t="s">
        <v>806</v>
      </c>
      <c r="H194" s="1" t="s">
        <v>37</v>
      </c>
      <c r="I194">
        <v>-11.144149000000001</v>
      </c>
      <c r="J194">
        <v>27.244658999999999</v>
      </c>
      <c r="K194" s="1" t="s">
        <v>1498</v>
      </c>
      <c r="L194" s="1" t="s">
        <v>1508</v>
      </c>
    </row>
    <row r="195" spans="1:12" x14ac:dyDescent="0.3">
      <c r="A195" s="1" t="s">
        <v>1014</v>
      </c>
      <c r="B195" s="2">
        <v>45208</v>
      </c>
      <c r="C195" s="3">
        <v>0.44374999999999998</v>
      </c>
      <c r="D195" s="1" t="s">
        <v>1027</v>
      </c>
      <c r="E195">
        <v>7</v>
      </c>
      <c r="F195" s="1" t="s">
        <v>812</v>
      </c>
      <c r="G195" s="1" t="s">
        <v>1027</v>
      </c>
      <c r="H195" s="1" t="s">
        <v>18</v>
      </c>
      <c r="I195">
        <v>-6.3324319999999998</v>
      </c>
      <c r="J195">
        <v>24.887858000000001</v>
      </c>
      <c r="K195" s="1" t="s">
        <v>1498</v>
      </c>
      <c r="L195" s="1" t="s">
        <v>1501</v>
      </c>
    </row>
    <row r="196" spans="1:12" x14ac:dyDescent="0.3">
      <c r="A196" s="1" t="s">
        <v>1014</v>
      </c>
      <c r="B196" s="2">
        <v>45221</v>
      </c>
      <c r="C196" s="3">
        <v>0.31319444444444444</v>
      </c>
      <c r="D196" s="1" t="s">
        <v>1045</v>
      </c>
      <c r="E196">
        <v>34</v>
      </c>
      <c r="F196" s="1" t="s">
        <v>810</v>
      </c>
      <c r="G196" s="1" t="s">
        <v>1045</v>
      </c>
      <c r="H196" s="1" t="s">
        <v>29</v>
      </c>
      <c r="I196">
        <v>-10.165072</v>
      </c>
      <c r="J196">
        <v>29.428024000000001</v>
      </c>
      <c r="K196" s="1" t="s">
        <v>1495</v>
      </c>
      <c r="L196" s="1" t="s">
        <v>1499</v>
      </c>
    </row>
    <row r="197" spans="1:12" x14ac:dyDescent="0.3">
      <c r="A197" s="1" t="s">
        <v>1014</v>
      </c>
      <c r="B197" s="2">
        <v>45225</v>
      </c>
      <c r="C197" s="3">
        <v>0.62291666666666667</v>
      </c>
      <c r="D197" s="1" t="s">
        <v>1045</v>
      </c>
      <c r="E197">
        <v>86</v>
      </c>
      <c r="F197" s="1" t="s">
        <v>807</v>
      </c>
      <c r="G197" s="1" t="s">
        <v>1045</v>
      </c>
      <c r="H197" s="1" t="s">
        <v>29</v>
      </c>
      <c r="I197">
        <v>-10.165072</v>
      </c>
      <c r="J197">
        <v>29.428024000000001</v>
      </c>
      <c r="K197" s="1" t="s">
        <v>1495</v>
      </c>
      <c r="L197" s="1" t="s">
        <v>1499</v>
      </c>
    </row>
    <row r="198" spans="1:12" x14ac:dyDescent="0.3">
      <c r="A198" s="1" t="s">
        <v>1190</v>
      </c>
      <c r="B198" s="2">
        <v>45204</v>
      </c>
      <c r="C198" s="3">
        <v>0.57222222222222219</v>
      </c>
      <c r="D198" s="1" t="s">
        <v>953</v>
      </c>
      <c r="E198">
        <v>88</v>
      </c>
      <c r="F198" s="1" t="s">
        <v>812</v>
      </c>
      <c r="G198" s="1" t="s">
        <v>953</v>
      </c>
      <c r="H198" s="1" t="s">
        <v>33</v>
      </c>
      <c r="I198">
        <v>-3.111418</v>
      </c>
      <c r="J198">
        <v>14.144854</v>
      </c>
      <c r="K198" s="1" t="s">
        <v>1498</v>
      </c>
      <c r="L198" s="1" t="s">
        <v>1501</v>
      </c>
    </row>
    <row r="199" spans="1:12" x14ac:dyDescent="0.3">
      <c r="A199" s="1" t="s">
        <v>1014</v>
      </c>
      <c r="B199" s="2">
        <v>45227</v>
      </c>
      <c r="C199" s="3">
        <v>0.14444444444444443</v>
      </c>
      <c r="D199" s="1" t="s">
        <v>1037</v>
      </c>
      <c r="E199">
        <v>11</v>
      </c>
      <c r="F199" s="1" t="s">
        <v>810</v>
      </c>
      <c r="G199" s="1" t="s">
        <v>1037</v>
      </c>
      <c r="H199" s="1" t="s">
        <v>73</v>
      </c>
      <c r="I199">
        <v>2.4425979999999998</v>
      </c>
      <c r="J199">
        <v>24.924308</v>
      </c>
      <c r="K199" s="1" t="s">
        <v>1495</v>
      </c>
      <c r="L199" s="1" t="s">
        <v>1496</v>
      </c>
    </row>
    <row r="200" spans="1:12" x14ac:dyDescent="0.3">
      <c r="A200" s="1" t="s">
        <v>1014</v>
      </c>
      <c r="B200" s="2">
        <v>45205</v>
      </c>
      <c r="C200" s="3">
        <v>0.92986111111111114</v>
      </c>
      <c r="D200" s="1" t="s">
        <v>1038</v>
      </c>
      <c r="E200">
        <v>82</v>
      </c>
      <c r="F200" s="1" t="s">
        <v>812</v>
      </c>
      <c r="G200" s="1" t="s">
        <v>1038</v>
      </c>
      <c r="H200" s="1" t="s">
        <v>137</v>
      </c>
      <c r="I200">
        <v>4.0157999999999996</v>
      </c>
      <c r="J200">
        <v>21.430246</v>
      </c>
      <c r="K200" s="1" t="s">
        <v>1495</v>
      </c>
      <c r="L200" s="1" t="s">
        <v>1508</v>
      </c>
    </row>
    <row r="201" spans="1:12" x14ac:dyDescent="0.3">
      <c r="A201" s="1" t="s">
        <v>1014</v>
      </c>
      <c r="B201" s="2">
        <v>45213</v>
      </c>
      <c r="C201" s="3">
        <v>0.77986111111111112</v>
      </c>
      <c r="D201" s="1" t="s">
        <v>1042</v>
      </c>
      <c r="E201">
        <v>120</v>
      </c>
      <c r="F201" s="1" t="s">
        <v>807</v>
      </c>
      <c r="G201" s="1" t="s">
        <v>1042</v>
      </c>
      <c r="H201" s="1" t="s">
        <v>35</v>
      </c>
      <c r="I201">
        <v>-7.5969509999999998</v>
      </c>
      <c r="J201">
        <v>22.153986</v>
      </c>
      <c r="K201" s="1" t="s">
        <v>1500</v>
      </c>
      <c r="L201" s="1" t="s">
        <v>1496</v>
      </c>
    </row>
    <row r="202" spans="1:12" x14ac:dyDescent="0.3">
      <c r="A202" s="1" t="s">
        <v>1098</v>
      </c>
      <c r="B202" s="2">
        <v>45206</v>
      </c>
      <c r="C202" s="3">
        <v>0.44305555555555554</v>
      </c>
      <c r="D202" s="1" t="s">
        <v>1106</v>
      </c>
      <c r="E202">
        <v>48</v>
      </c>
      <c r="F202" s="1" t="s">
        <v>812</v>
      </c>
      <c r="G202" s="1" t="s">
        <v>1106</v>
      </c>
      <c r="H202" s="1" t="s">
        <v>18</v>
      </c>
      <c r="I202">
        <v>0.16327700000000001</v>
      </c>
      <c r="J202">
        <v>14.871577</v>
      </c>
      <c r="K202" s="1" t="s">
        <v>1498</v>
      </c>
      <c r="L202" s="1" t="s">
        <v>1499</v>
      </c>
    </row>
    <row r="203" spans="1:12" x14ac:dyDescent="0.3">
      <c r="A203" s="1" t="s">
        <v>1133</v>
      </c>
      <c r="B203" s="2">
        <v>45225</v>
      </c>
      <c r="C203" s="3">
        <v>0.28888888888888886</v>
      </c>
      <c r="D203" s="1" t="s">
        <v>1106</v>
      </c>
      <c r="E203">
        <v>89</v>
      </c>
      <c r="F203" s="1" t="s">
        <v>807</v>
      </c>
      <c r="G203" s="1" t="s">
        <v>1106</v>
      </c>
      <c r="H203" s="1" t="s">
        <v>18</v>
      </c>
      <c r="I203">
        <v>0.16327700000000001</v>
      </c>
      <c r="J203">
        <v>14.871577</v>
      </c>
      <c r="K203" s="1" t="s">
        <v>1498</v>
      </c>
      <c r="L203" s="1" t="s">
        <v>1499</v>
      </c>
    </row>
    <row r="204" spans="1:12" x14ac:dyDescent="0.3">
      <c r="A204" s="1" t="s">
        <v>1014</v>
      </c>
      <c r="B204" s="2">
        <v>45209</v>
      </c>
      <c r="C204" s="3">
        <v>0.8520833333333333</v>
      </c>
      <c r="D204" s="1" t="s">
        <v>1051</v>
      </c>
      <c r="E204">
        <v>91</v>
      </c>
      <c r="F204" s="1" t="s">
        <v>812</v>
      </c>
      <c r="G204" s="1" t="s">
        <v>1051</v>
      </c>
      <c r="H204" s="1" t="s">
        <v>40</v>
      </c>
      <c r="I204">
        <v>-12.431227</v>
      </c>
      <c r="J204">
        <v>18.414290999999999</v>
      </c>
      <c r="K204" s="1" t="s">
        <v>1495</v>
      </c>
      <c r="L204" s="1" t="s">
        <v>1499</v>
      </c>
    </row>
    <row r="205" spans="1:12" x14ac:dyDescent="0.3">
      <c r="A205" s="1" t="s">
        <v>1098</v>
      </c>
      <c r="B205" s="2">
        <v>45201</v>
      </c>
      <c r="C205" s="3">
        <v>5.7638888888888892E-2</v>
      </c>
      <c r="D205" s="1" t="s">
        <v>1099</v>
      </c>
      <c r="E205">
        <v>103</v>
      </c>
      <c r="F205" s="1" t="s">
        <v>807</v>
      </c>
      <c r="G205" s="1" t="s">
        <v>1099</v>
      </c>
      <c r="H205" s="1" t="s">
        <v>24</v>
      </c>
      <c r="I205">
        <v>-11.594525000000001</v>
      </c>
      <c r="J205">
        <v>29.744895</v>
      </c>
      <c r="K205" s="1" t="s">
        <v>1500</v>
      </c>
      <c r="L205" s="1" t="s">
        <v>1501</v>
      </c>
    </row>
    <row r="206" spans="1:12" x14ac:dyDescent="0.3">
      <c r="A206" s="1" t="s">
        <v>1053</v>
      </c>
      <c r="B206" s="2">
        <v>45202</v>
      </c>
      <c r="C206" s="3">
        <v>0.71736111111111112</v>
      </c>
      <c r="D206" s="1" t="s">
        <v>1068</v>
      </c>
      <c r="E206">
        <v>115</v>
      </c>
      <c r="F206" s="1" t="s">
        <v>812</v>
      </c>
      <c r="G206" s="1" t="s">
        <v>1068</v>
      </c>
      <c r="H206" s="1" t="s">
        <v>37</v>
      </c>
      <c r="I206">
        <v>-1.5936220000000001</v>
      </c>
      <c r="J206">
        <v>14.928856</v>
      </c>
      <c r="K206" s="1" t="s">
        <v>1495</v>
      </c>
      <c r="L206" s="1" t="s">
        <v>1496</v>
      </c>
    </row>
    <row r="207" spans="1:12" x14ac:dyDescent="0.3">
      <c r="A207" s="1" t="s">
        <v>1053</v>
      </c>
      <c r="B207" s="2">
        <v>45203</v>
      </c>
      <c r="C207" s="3">
        <v>0.65208333333333335</v>
      </c>
      <c r="D207" s="1" t="s">
        <v>1058</v>
      </c>
      <c r="E207">
        <v>65</v>
      </c>
      <c r="F207" s="1" t="s">
        <v>812</v>
      </c>
      <c r="G207" s="1" t="s">
        <v>1058</v>
      </c>
      <c r="H207" s="1" t="s">
        <v>24</v>
      </c>
      <c r="I207">
        <v>2.016505</v>
      </c>
      <c r="J207">
        <v>14.294164</v>
      </c>
      <c r="K207" s="1" t="s">
        <v>1495</v>
      </c>
      <c r="L207" s="1" t="s">
        <v>1499</v>
      </c>
    </row>
    <row r="208" spans="1:12" x14ac:dyDescent="0.3">
      <c r="A208" s="1" t="s">
        <v>1073</v>
      </c>
      <c r="B208" s="2">
        <v>45207</v>
      </c>
      <c r="C208" s="3">
        <v>0.57916666666666672</v>
      </c>
      <c r="D208" s="1" t="s">
        <v>1079</v>
      </c>
      <c r="E208">
        <v>68</v>
      </c>
      <c r="F208" s="1" t="s">
        <v>807</v>
      </c>
      <c r="G208" s="1" t="s">
        <v>1079</v>
      </c>
      <c r="H208" s="1" t="s">
        <v>10</v>
      </c>
      <c r="I208">
        <v>-3.7720639999999999</v>
      </c>
      <c r="J208">
        <v>16.006277999999998</v>
      </c>
      <c r="K208" s="1" t="s">
        <v>1495</v>
      </c>
      <c r="L208" s="1" t="s">
        <v>1501</v>
      </c>
    </row>
    <row r="209" spans="1:12" x14ac:dyDescent="0.3">
      <c r="A209" s="1" t="s">
        <v>1098</v>
      </c>
      <c r="B209" s="2">
        <v>45227</v>
      </c>
      <c r="C209" s="3">
        <v>0.91527777777777775</v>
      </c>
      <c r="D209" s="1" t="s">
        <v>1079</v>
      </c>
      <c r="E209">
        <v>26</v>
      </c>
      <c r="F209" s="1" t="s">
        <v>810</v>
      </c>
      <c r="G209" s="1" t="s">
        <v>1079</v>
      </c>
      <c r="H209" s="1" t="s">
        <v>10</v>
      </c>
      <c r="I209">
        <v>-3.7720639999999999</v>
      </c>
      <c r="J209">
        <v>16.006277999999998</v>
      </c>
      <c r="K209" s="1" t="s">
        <v>1495</v>
      </c>
      <c r="L209" s="1" t="s">
        <v>1501</v>
      </c>
    </row>
    <row r="210" spans="1:12" x14ac:dyDescent="0.3">
      <c r="A210" s="1" t="s">
        <v>1133</v>
      </c>
      <c r="B210" s="2">
        <v>45218</v>
      </c>
      <c r="C210" s="3">
        <v>0.9916666666666667</v>
      </c>
      <c r="D210" s="1" t="s">
        <v>1079</v>
      </c>
      <c r="E210">
        <v>82</v>
      </c>
      <c r="F210" s="1" t="s">
        <v>807</v>
      </c>
      <c r="G210" s="1" t="s">
        <v>1079</v>
      </c>
      <c r="H210" s="1" t="s">
        <v>10</v>
      </c>
      <c r="I210">
        <v>-3.7720639999999999</v>
      </c>
      <c r="J210">
        <v>16.006277999999998</v>
      </c>
      <c r="K210" s="1" t="s">
        <v>1495</v>
      </c>
      <c r="L210" s="1" t="s">
        <v>1501</v>
      </c>
    </row>
    <row r="211" spans="1:12" x14ac:dyDescent="0.3">
      <c r="A211" s="1" t="s">
        <v>1190</v>
      </c>
      <c r="B211" s="2">
        <v>45206</v>
      </c>
      <c r="C211" s="3">
        <v>0.56388888888888888</v>
      </c>
      <c r="D211" s="1" t="s">
        <v>1204</v>
      </c>
      <c r="E211">
        <v>37</v>
      </c>
      <c r="F211" s="1" t="s">
        <v>807</v>
      </c>
      <c r="G211" s="1" t="s">
        <v>1204</v>
      </c>
      <c r="H211" s="1" t="s">
        <v>127</v>
      </c>
      <c r="I211">
        <v>0.20866199999999999</v>
      </c>
      <c r="J211">
        <v>18.556439000000001</v>
      </c>
      <c r="K211" s="1" t="s">
        <v>1498</v>
      </c>
      <c r="L211" s="1" t="s">
        <v>1508</v>
      </c>
    </row>
    <row r="212" spans="1:12" x14ac:dyDescent="0.3">
      <c r="A212" s="1" t="s">
        <v>1190</v>
      </c>
      <c r="B212" s="2">
        <v>45205</v>
      </c>
      <c r="C212" s="3">
        <v>0.52708333333333335</v>
      </c>
      <c r="D212" s="1" t="s">
        <v>1195</v>
      </c>
      <c r="E212">
        <v>40</v>
      </c>
      <c r="F212" s="1" t="s">
        <v>812</v>
      </c>
      <c r="G212" s="1" t="s">
        <v>1195</v>
      </c>
      <c r="H212" s="1" t="s">
        <v>131</v>
      </c>
      <c r="I212">
        <v>-5.42171</v>
      </c>
      <c r="J212">
        <v>24.202960999999998</v>
      </c>
      <c r="K212" s="1" t="s">
        <v>1495</v>
      </c>
      <c r="L212" s="1" t="s">
        <v>1496</v>
      </c>
    </row>
    <row r="213" spans="1:12" x14ac:dyDescent="0.3">
      <c r="A213" s="1" t="s">
        <v>1098</v>
      </c>
      <c r="B213" s="2">
        <v>45225</v>
      </c>
      <c r="C213" s="3">
        <v>0.14722222222222223</v>
      </c>
      <c r="D213" s="1" t="s">
        <v>1132</v>
      </c>
      <c r="E213">
        <v>44</v>
      </c>
      <c r="F213" s="1" t="s">
        <v>807</v>
      </c>
      <c r="G213" s="1" t="s">
        <v>1132</v>
      </c>
      <c r="H213" s="1" t="s">
        <v>21</v>
      </c>
      <c r="I213">
        <v>4.2904629999999999</v>
      </c>
      <c r="J213">
        <v>26.354195000000001</v>
      </c>
      <c r="K213" s="1" t="s">
        <v>1500</v>
      </c>
      <c r="L213" s="1" t="s">
        <v>1496</v>
      </c>
    </row>
    <row r="214" spans="1:12" x14ac:dyDescent="0.3">
      <c r="A214" s="1" t="s">
        <v>1053</v>
      </c>
      <c r="B214" s="2">
        <v>45221</v>
      </c>
      <c r="C214" s="3">
        <v>0.27847222222222223</v>
      </c>
      <c r="D214" s="1" t="s">
        <v>1066</v>
      </c>
      <c r="E214">
        <v>83</v>
      </c>
      <c r="F214" s="1" t="s">
        <v>812</v>
      </c>
      <c r="G214" s="1" t="s">
        <v>1066</v>
      </c>
      <c r="H214" s="1" t="s">
        <v>13</v>
      </c>
      <c r="I214">
        <v>-12.292039000000001</v>
      </c>
      <c r="J214">
        <v>27.538202999999999</v>
      </c>
      <c r="K214" s="1" t="s">
        <v>1500</v>
      </c>
      <c r="L214" s="1" t="s">
        <v>1499</v>
      </c>
    </row>
    <row r="215" spans="1:12" x14ac:dyDescent="0.3">
      <c r="A215" s="1" t="s">
        <v>1053</v>
      </c>
      <c r="B215" s="2">
        <v>45218</v>
      </c>
      <c r="C215" s="3">
        <v>0.28611111111111109</v>
      </c>
      <c r="D215" s="1" t="s">
        <v>1069</v>
      </c>
      <c r="E215">
        <v>89</v>
      </c>
      <c r="F215" s="1" t="s">
        <v>807</v>
      </c>
      <c r="G215" s="1" t="s">
        <v>1069</v>
      </c>
      <c r="H215" s="1" t="s">
        <v>40</v>
      </c>
      <c r="I215">
        <v>-7.5129409999999996</v>
      </c>
      <c r="J215">
        <v>18.701522000000001</v>
      </c>
      <c r="K215" s="1" t="s">
        <v>1498</v>
      </c>
      <c r="L215" s="1" t="s">
        <v>1508</v>
      </c>
    </row>
    <row r="216" spans="1:12" x14ac:dyDescent="0.3">
      <c r="A216" s="1" t="s">
        <v>1190</v>
      </c>
      <c r="B216" s="2">
        <v>45230</v>
      </c>
      <c r="C216" s="3">
        <v>0.86805555555555558</v>
      </c>
      <c r="D216" s="1" t="s">
        <v>1199</v>
      </c>
      <c r="E216">
        <v>103</v>
      </c>
      <c r="F216" s="1" t="s">
        <v>812</v>
      </c>
      <c r="G216" s="1" t="s">
        <v>1199</v>
      </c>
      <c r="H216" s="1" t="s">
        <v>26</v>
      </c>
      <c r="I216">
        <v>-2.8532869999999999</v>
      </c>
      <c r="J216">
        <v>22.117896000000002</v>
      </c>
      <c r="K216" s="1" t="s">
        <v>1495</v>
      </c>
      <c r="L216" s="1" t="s">
        <v>1499</v>
      </c>
    </row>
    <row r="217" spans="1:12" x14ac:dyDescent="0.3">
      <c r="A217" s="1" t="s">
        <v>1161</v>
      </c>
      <c r="B217" s="2">
        <v>45228</v>
      </c>
      <c r="C217" s="3">
        <v>0.73611111111111116</v>
      </c>
      <c r="D217" s="1" t="s">
        <v>1176</v>
      </c>
      <c r="E217">
        <v>66</v>
      </c>
      <c r="F217" s="1" t="s">
        <v>812</v>
      </c>
      <c r="G217" s="1" t="s">
        <v>1176</v>
      </c>
      <c r="H217" s="1" t="s">
        <v>57</v>
      </c>
      <c r="I217">
        <v>-4.4831099999999999</v>
      </c>
      <c r="J217">
        <v>25.406548000000001</v>
      </c>
      <c r="K217" s="1" t="s">
        <v>1495</v>
      </c>
      <c r="L217" s="1" t="s">
        <v>1508</v>
      </c>
    </row>
    <row r="218" spans="1:12" x14ac:dyDescent="0.3">
      <c r="A218" s="1" t="s">
        <v>1133</v>
      </c>
      <c r="B218" s="2">
        <v>45210</v>
      </c>
      <c r="C218" s="3">
        <v>0.16805555555555557</v>
      </c>
      <c r="D218" s="1" t="s">
        <v>1149</v>
      </c>
      <c r="E218">
        <v>110</v>
      </c>
      <c r="F218" s="1" t="s">
        <v>807</v>
      </c>
      <c r="G218" s="1" t="s">
        <v>1149</v>
      </c>
      <c r="H218" s="1" t="s">
        <v>37</v>
      </c>
      <c r="I218">
        <v>-9.9565739999999998</v>
      </c>
      <c r="J218">
        <v>21.017202000000001</v>
      </c>
      <c r="K218" s="1" t="s">
        <v>1498</v>
      </c>
      <c r="L218" s="1" t="s">
        <v>1499</v>
      </c>
    </row>
    <row r="219" spans="1:12" x14ac:dyDescent="0.3">
      <c r="A219" s="1" t="s">
        <v>1053</v>
      </c>
      <c r="B219" s="2">
        <v>45217</v>
      </c>
      <c r="C219" s="3">
        <v>0.36875000000000002</v>
      </c>
      <c r="D219" s="1" t="s">
        <v>1070</v>
      </c>
      <c r="E219">
        <v>8</v>
      </c>
      <c r="F219" s="1" t="s">
        <v>807</v>
      </c>
      <c r="G219" s="1" t="s">
        <v>1070</v>
      </c>
      <c r="H219" s="1" t="s">
        <v>131</v>
      </c>
      <c r="I219">
        <v>-4.1754939999999996</v>
      </c>
      <c r="J219">
        <v>16.704664999999999</v>
      </c>
      <c r="K219" s="1" t="s">
        <v>1500</v>
      </c>
      <c r="L219" s="1" t="s">
        <v>1496</v>
      </c>
    </row>
    <row r="220" spans="1:12" x14ac:dyDescent="0.3">
      <c r="A220" s="1" t="s">
        <v>1098</v>
      </c>
      <c r="B220" s="2">
        <v>45219</v>
      </c>
      <c r="C220" s="3">
        <v>0.18124999999999999</v>
      </c>
      <c r="D220" s="1" t="s">
        <v>1070</v>
      </c>
      <c r="E220">
        <v>97</v>
      </c>
      <c r="F220" s="1" t="s">
        <v>810</v>
      </c>
      <c r="G220" s="1" t="s">
        <v>1070</v>
      </c>
      <c r="H220" s="1" t="s">
        <v>131</v>
      </c>
      <c r="I220">
        <v>-4.1754939999999996</v>
      </c>
      <c r="J220">
        <v>16.704664999999999</v>
      </c>
      <c r="K220" s="1" t="s">
        <v>1500</v>
      </c>
      <c r="L220" s="1" t="s">
        <v>1496</v>
      </c>
    </row>
    <row r="221" spans="1:12" x14ac:dyDescent="0.3">
      <c r="A221" s="1" t="s">
        <v>1053</v>
      </c>
      <c r="B221" s="2">
        <v>45200</v>
      </c>
      <c r="C221" s="3">
        <v>0.49305555555555558</v>
      </c>
      <c r="D221" s="1" t="s">
        <v>1071</v>
      </c>
      <c r="E221">
        <v>113</v>
      </c>
      <c r="F221" s="1" t="s">
        <v>807</v>
      </c>
      <c r="G221" s="1" t="s">
        <v>1071</v>
      </c>
      <c r="H221" s="1" t="s">
        <v>21</v>
      </c>
      <c r="I221">
        <v>-1.5419050000000001</v>
      </c>
      <c r="J221">
        <v>14.730632999999999</v>
      </c>
      <c r="K221" s="1" t="s">
        <v>1500</v>
      </c>
      <c r="L221" s="1" t="s">
        <v>1501</v>
      </c>
    </row>
    <row r="222" spans="1:12" x14ac:dyDescent="0.3">
      <c r="A222" s="1" t="s">
        <v>1190</v>
      </c>
      <c r="B222" s="2">
        <v>45230</v>
      </c>
      <c r="C222" s="3">
        <v>0.3034722222222222</v>
      </c>
      <c r="D222" s="1" t="s">
        <v>1209</v>
      </c>
      <c r="E222">
        <v>83</v>
      </c>
      <c r="F222" s="1" t="s">
        <v>812</v>
      </c>
      <c r="G222" s="1" t="s">
        <v>1209</v>
      </c>
      <c r="H222" s="1" t="s">
        <v>62</v>
      </c>
      <c r="I222">
        <v>-9.8208710000000004</v>
      </c>
      <c r="J222">
        <v>23.229807000000001</v>
      </c>
      <c r="K222" s="1" t="s">
        <v>1495</v>
      </c>
      <c r="L222" s="1" t="s">
        <v>1508</v>
      </c>
    </row>
    <row r="223" spans="1:12" x14ac:dyDescent="0.3">
      <c r="A223" s="1" t="s">
        <v>1073</v>
      </c>
      <c r="B223" s="2">
        <v>45200</v>
      </c>
      <c r="C223" s="3">
        <v>0.83263888888888893</v>
      </c>
      <c r="D223" s="1" t="s">
        <v>1081</v>
      </c>
      <c r="E223">
        <v>27</v>
      </c>
      <c r="F223" s="1" t="s">
        <v>807</v>
      </c>
      <c r="G223" s="1" t="s">
        <v>1081</v>
      </c>
      <c r="H223" s="1" t="s">
        <v>21</v>
      </c>
      <c r="I223">
        <v>1.2419519999999999</v>
      </c>
      <c r="J223">
        <v>25.261382999999999</v>
      </c>
      <c r="K223" s="1" t="s">
        <v>1498</v>
      </c>
      <c r="L223" s="1" t="s">
        <v>1499</v>
      </c>
    </row>
    <row r="224" spans="1:12" x14ac:dyDescent="0.3">
      <c r="A224" s="1" t="s">
        <v>1073</v>
      </c>
      <c r="B224" s="2">
        <v>45222</v>
      </c>
      <c r="C224" s="3">
        <v>0.4152777777777778</v>
      </c>
      <c r="D224" s="1" t="s">
        <v>1083</v>
      </c>
      <c r="E224">
        <v>73</v>
      </c>
      <c r="F224" s="1" t="s">
        <v>807</v>
      </c>
      <c r="G224" s="1" t="s">
        <v>1083</v>
      </c>
      <c r="H224" s="1" t="s">
        <v>89</v>
      </c>
      <c r="I224">
        <v>-4.8128659999999996</v>
      </c>
      <c r="J224">
        <v>18.559304999999998</v>
      </c>
      <c r="K224" s="1" t="s">
        <v>1495</v>
      </c>
      <c r="L224" s="1" t="s">
        <v>1501</v>
      </c>
    </row>
    <row r="225" spans="1:12" x14ac:dyDescent="0.3">
      <c r="A225" s="1" t="s">
        <v>1073</v>
      </c>
      <c r="B225" s="2">
        <v>45205</v>
      </c>
      <c r="C225" s="3">
        <v>0.19166666666666668</v>
      </c>
      <c r="D225" s="1" t="s">
        <v>1084</v>
      </c>
      <c r="E225">
        <v>34</v>
      </c>
      <c r="F225" s="1" t="s">
        <v>807</v>
      </c>
      <c r="G225" s="1" t="s">
        <v>1084</v>
      </c>
      <c r="H225" s="1" t="s">
        <v>35</v>
      </c>
      <c r="I225">
        <v>-4.7886769999999999</v>
      </c>
      <c r="J225">
        <v>23.600221999999999</v>
      </c>
      <c r="K225" s="1" t="s">
        <v>1500</v>
      </c>
      <c r="L225" s="1" t="s">
        <v>1501</v>
      </c>
    </row>
    <row r="226" spans="1:12" x14ac:dyDescent="0.3">
      <c r="A226" s="1" t="s">
        <v>1073</v>
      </c>
      <c r="B226" s="2">
        <v>45223</v>
      </c>
      <c r="C226" s="3">
        <v>0.45069444444444445</v>
      </c>
      <c r="D226" s="1" t="s">
        <v>1089</v>
      </c>
      <c r="E226">
        <v>14</v>
      </c>
      <c r="F226" s="1" t="s">
        <v>812</v>
      </c>
      <c r="G226" s="1" t="s">
        <v>1089</v>
      </c>
      <c r="H226" s="1" t="s">
        <v>13</v>
      </c>
      <c r="I226">
        <v>-2.571777</v>
      </c>
      <c r="J226">
        <v>12.120642</v>
      </c>
      <c r="K226" s="1" t="s">
        <v>1500</v>
      </c>
      <c r="L226" s="1" t="s">
        <v>1499</v>
      </c>
    </row>
    <row r="227" spans="1:12" x14ac:dyDescent="0.3">
      <c r="A227" s="1" t="s">
        <v>1073</v>
      </c>
      <c r="B227" s="2">
        <v>45202</v>
      </c>
      <c r="C227" s="3">
        <v>4.791666666666667E-2</v>
      </c>
      <c r="D227" s="1" t="s">
        <v>1091</v>
      </c>
      <c r="E227">
        <v>115</v>
      </c>
      <c r="F227" s="1" t="s">
        <v>810</v>
      </c>
      <c r="G227" s="1" t="s">
        <v>1091</v>
      </c>
      <c r="H227" s="1" t="s">
        <v>13</v>
      </c>
      <c r="I227">
        <v>-10.577049000000001</v>
      </c>
      <c r="J227">
        <v>23.721854</v>
      </c>
      <c r="K227" s="1" t="s">
        <v>1498</v>
      </c>
      <c r="L227" s="1" t="s">
        <v>1501</v>
      </c>
    </row>
    <row r="228" spans="1:12" x14ac:dyDescent="0.3">
      <c r="A228" s="1" t="s">
        <v>1073</v>
      </c>
      <c r="B228" s="2">
        <v>45213</v>
      </c>
      <c r="C228" s="3">
        <v>0.34236111111111112</v>
      </c>
      <c r="D228" s="1" t="s">
        <v>1094</v>
      </c>
      <c r="E228">
        <v>63</v>
      </c>
      <c r="F228" s="1" t="s">
        <v>810</v>
      </c>
      <c r="G228" s="1" t="s">
        <v>1094</v>
      </c>
      <c r="H228" s="1" t="s">
        <v>21</v>
      </c>
      <c r="I228">
        <v>0.31740800000000002</v>
      </c>
      <c r="J228">
        <v>27.197666999999999</v>
      </c>
      <c r="K228" s="1" t="s">
        <v>1495</v>
      </c>
      <c r="L228" s="1" t="s">
        <v>1508</v>
      </c>
    </row>
    <row r="229" spans="1:12" x14ac:dyDescent="0.3">
      <c r="A229" s="1" t="s">
        <v>1098</v>
      </c>
      <c r="B229" s="2">
        <v>45202</v>
      </c>
      <c r="C229" s="3">
        <v>0.77916666666666667</v>
      </c>
      <c r="D229" s="1" t="s">
        <v>1117</v>
      </c>
      <c r="E229">
        <v>61</v>
      </c>
      <c r="F229" s="1" t="s">
        <v>812</v>
      </c>
      <c r="G229" s="1" t="s">
        <v>1117</v>
      </c>
      <c r="H229" s="1" t="s">
        <v>37</v>
      </c>
      <c r="I229">
        <v>-12.229338</v>
      </c>
      <c r="J229">
        <v>29.587834999999998</v>
      </c>
      <c r="K229" s="1" t="s">
        <v>1498</v>
      </c>
      <c r="L229" s="1" t="s">
        <v>1508</v>
      </c>
    </row>
    <row r="230" spans="1:12" x14ac:dyDescent="0.3">
      <c r="A230" s="1" t="s">
        <v>1190</v>
      </c>
      <c r="B230" s="2">
        <v>45201</v>
      </c>
      <c r="C230" s="3">
        <v>0.92222222222222228</v>
      </c>
      <c r="D230" s="1" t="s">
        <v>997</v>
      </c>
      <c r="E230">
        <v>32</v>
      </c>
      <c r="F230" s="1" t="s">
        <v>807</v>
      </c>
      <c r="G230" s="1" t="s">
        <v>997</v>
      </c>
      <c r="H230" s="1" t="s">
        <v>26</v>
      </c>
      <c r="I230">
        <v>1.5278670000000001</v>
      </c>
      <c r="J230">
        <v>13.899388999999999</v>
      </c>
      <c r="K230" s="1" t="s">
        <v>1500</v>
      </c>
      <c r="L230" s="1" t="s">
        <v>1499</v>
      </c>
    </row>
    <row r="231" spans="1:12" x14ac:dyDescent="0.3">
      <c r="A231" s="1" t="s">
        <v>1133</v>
      </c>
      <c r="B231" s="2">
        <v>45220</v>
      </c>
      <c r="C231" s="3">
        <v>0.81180555555555556</v>
      </c>
      <c r="D231" s="1" t="s">
        <v>1135</v>
      </c>
      <c r="E231">
        <v>100</v>
      </c>
      <c r="F231" s="1" t="s">
        <v>812</v>
      </c>
      <c r="G231" s="1" t="s">
        <v>1135</v>
      </c>
      <c r="H231" s="1" t="s">
        <v>51</v>
      </c>
      <c r="I231">
        <v>-0.98830399999999996</v>
      </c>
      <c r="J231">
        <v>28.099966999999999</v>
      </c>
      <c r="K231" s="1" t="s">
        <v>1500</v>
      </c>
      <c r="L231" s="1" t="s">
        <v>1499</v>
      </c>
    </row>
    <row r="232" spans="1:12" x14ac:dyDescent="0.3">
      <c r="A232" s="1" t="s">
        <v>1190</v>
      </c>
      <c r="B232" s="2">
        <v>45210</v>
      </c>
      <c r="C232" s="3">
        <v>0.70347222222222228</v>
      </c>
      <c r="D232" s="1" t="s">
        <v>1196</v>
      </c>
      <c r="E232">
        <v>20</v>
      </c>
      <c r="F232" s="1" t="s">
        <v>807</v>
      </c>
      <c r="G232" s="1" t="s">
        <v>1196</v>
      </c>
      <c r="H232" s="1" t="s">
        <v>60</v>
      </c>
      <c r="I232">
        <v>-0.79459900000000006</v>
      </c>
      <c r="J232">
        <v>26.775570999999999</v>
      </c>
      <c r="K232" s="1" t="s">
        <v>1495</v>
      </c>
      <c r="L232" s="1" t="s">
        <v>1499</v>
      </c>
    </row>
    <row r="233" spans="1:12" x14ac:dyDescent="0.3">
      <c r="A233" s="1" t="s">
        <v>1190</v>
      </c>
      <c r="B233" s="2">
        <v>45213</v>
      </c>
      <c r="C233" s="3">
        <v>0.7631944444444444</v>
      </c>
      <c r="D233" s="1" t="s">
        <v>1196</v>
      </c>
      <c r="E233">
        <v>119</v>
      </c>
      <c r="F233" s="1" t="s">
        <v>812</v>
      </c>
      <c r="G233" s="1" t="s">
        <v>1196</v>
      </c>
      <c r="H233" s="1" t="s">
        <v>60</v>
      </c>
      <c r="I233">
        <v>-0.79459900000000006</v>
      </c>
      <c r="J233">
        <v>26.775570999999999</v>
      </c>
      <c r="K233" s="1" t="s">
        <v>1495</v>
      </c>
      <c r="L233" s="1" t="s">
        <v>1499</v>
      </c>
    </row>
    <row r="234" spans="1:12" x14ac:dyDescent="0.3">
      <c r="A234" s="1" t="s">
        <v>1098</v>
      </c>
      <c r="B234" s="2">
        <v>45220</v>
      </c>
      <c r="C234" s="3">
        <v>0.11041666666666666</v>
      </c>
      <c r="D234" s="1" t="s">
        <v>1101</v>
      </c>
      <c r="E234">
        <v>111</v>
      </c>
      <c r="F234" s="1" t="s">
        <v>812</v>
      </c>
      <c r="G234" s="1" t="s">
        <v>1101</v>
      </c>
      <c r="H234" s="1" t="s">
        <v>10</v>
      </c>
      <c r="I234">
        <v>-4.1250960000000001</v>
      </c>
      <c r="J234">
        <v>27.799897999999999</v>
      </c>
      <c r="K234" s="1" t="s">
        <v>1500</v>
      </c>
      <c r="L234" s="1" t="s">
        <v>1508</v>
      </c>
    </row>
    <row r="235" spans="1:12" x14ac:dyDescent="0.3">
      <c r="A235" s="1" t="s">
        <v>1098</v>
      </c>
      <c r="B235" s="2">
        <v>45221</v>
      </c>
      <c r="C235" s="3">
        <v>0.50555555555555554</v>
      </c>
      <c r="D235" s="1" t="s">
        <v>1120</v>
      </c>
      <c r="E235">
        <v>51</v>
      </c>
      <c r="F235" s="1" t="s">
        <v>807</v>
      </c>
      <c r="G235" s="1" t="s">
        <v>1120</v>
      </c>
      <c r="H235" s="1" t="s">
        <v>16</v>
      </c>
      <c r="I235">
        <v>-1.231033</v>
      </c>
      <c r="J235">
        <v>28.851388</v>
      </c>
      <c r="K235" s="1" t="s">
        <v>1500</v>
      </c>
      <c r="L235" s="1" t="s">
        <v>1496</v>
      </c>
    </row>
    <row r="236" spans="1:12" x14ac:dyDescent="0.3">
      <c r="A236" s="1" t="s">
        <v>1190</v>
      </c>
      <c r="B236" s="2">
        <v>45223</v>
      </c>
      <c r="C236" s="3">
        <v>0.40069444444444446</v>
      </c>
      <c r="D236" s="1" t="s">
        <v>1120</v>
      </c>
      <c r="E236">
        <v>41</v>
      </c>
      <c r="F236" s="1" t="s">
        <v>812</v>
      </c>
      <c r="G236" s="1" t="s">
        <v>1120</v>
      </c>
      <c r="H236" s="1" t="s">
        <v>16</v>
      </c>
      <c r="I236">
        <v>-1.231033</v>
      </c>
      <c r="J236">
        <v>28.851388</v>
      </c>
      <c r="K236" s="1" t="s">
        <v>1500</v>
      </c>
      <c r="L236" s="1" t="s">
        <v>1496</v>
      </c>
    </row>
    <row r="237" spans="1:12" x14ac:dyDescent="0.3">
      <c r="A237" s="1" t="s">
        <v>1098</v>
      </c>
      <c r="B237" s="2">
        <v>45205</v>
      </c>
      <c r="C237" s="3">
        <v>0.47430555555555554</v>
      </c>
      <c r="D237" s="1" t="s">
        <v>1111</v>
      </c>
      <c r="E237">
        <v>25</v>
      </c>
      <c r="F237" s="1" t="s">
        <v>807</v>
      </c>
      <c r="G237" s="1" t="s">
        <v>1111</v>
      </c>
      <c r="H237" s="1" t="s">
        <v>127</v>
      </c>
      <c r="I237">
        <v>-1.013558</v>
      </c>
      <c r="J237">
        <v>17.346937</v>
      </c>
      <c r="K237" s="1" t="s">
        <v>1495</v>
      </c>
      <c r="L237" s="1" t="s">
        <v>1499</v>
      </c>
    </row>
    <row r="238" spans="1:12" x14ac:dyDescent="0.3">
      <c r="A238" s="1" t="s">
        <v>1133</v>
      </c>
      <c r="B238" s="2">
        <v>45211</v>
      </c>
      <c r="C238" s="3">
        <v>0.31666666666666665</v>
      </c>
      <c r="D238" s="1" t="s">
        <v>1141</v>
      </c>
      <c r="E238">
        <v>93</v>
      </c>
      <c r="F238" s="1" t="s">
        <v>812</v>
      </c>
      <c r="G238" s="1" t="s">
        <v>1141</v>
      </c>
      <c r="H238" s="1" t="s">
        <v>137</v>
      </c>
      <c r="I238">
        <v>1.286548</v>
      </c>
      <c r="J238">
        <v>29.823702999999998</v>
      </c>
      <c r="K238" s="1" t="s">
        <v>1498</v>
      </c>
      <c r="L238" s="1" t="s">
        <v>1501</v>
      </c>
    </row>
    <row r="239" spans="1:12" x14ac:dyDescent="0.3">
      <c r="A239" s="1" t="s">
        <v>1098</v>
      </c>
      <c r="B239" s="2">
        <v>45209</v>
      </c>
      <c r="C239" s="3">
        <v>0.36527777777777776</v>
      </c>
      <c r="D239" s="1" t="s">
        <v>1116</v>
      </c>
      <c r="E239">
        <v>120</v>
      </c>
      <c r="F239" s="1" t="s">
        <v>807</v>
      </c>
      <c r="G239" s="1" t="s">
        <v>1116</v>
      </c>
      <c r="H239" s="1" t="s">
        <v>35</v>
      </c>
      <c r="I239">
        <v>-1.4110389999999999</v>
      </c>
      <c r="J239">
        <v>21.261644</v>
      </c>
      <c r="K239" s="1" t="s">
        <v>1498</v>
      </c>
      <c r="L239" s="1" t="s">
        <v>1501</v>
      </c>
    </row>
    <row r="240" spans="1:12" x14ac:dyDescent="0.3">
      <c r="A240" s="1" t="s">
        <v>1190</v>
      </c>
      <c r="B240" s="2">
        <v>45215</v>
      </c>
      <c r="C240" s="3">
        <v>0.99027777777777781</v>
      </c>
      <c r="D240" s="1" t="s">
        <v>1116</v>
      </c>
      <c r="E240">
        <v>66</v>
      </c>
      <c r="F240" s="1" t="s">
        <v>812</v>
      </c>
      <c r="G240" s="1" t="s">
        <v>1116</v>
      </c>
      <c r="H240" s="1" t="s">
        <v>35</v>
      </c>
      <c r="I240">
        <v>-1.4110389999999999</v>
      </c>
      <c r="J240">
        <v>21.261644</v>
      </c>
      <c r="K240" s="1" t="s">
        <v>1498</v>
      </c>
      <c r="L240" s="1" t="s">
        <v>1501</v>
      </c>
    </row>
    <row r="241" spans="1:12" x14ac:dyDescent="0.3">
      <c r="A241" s="1" t="s">
        <v>1161</v>
      </c>
      <c r="B241" s="2">
        <v>45225</v>
      </c>
      <c r="C241" s="3">
        <v>0.62569444444444444</v>
      </c>
      <c r="D241" s="1" t="s">
        <v>1167</v>
      </c>
      <c r="E241">
        <v>108</v>
      </c>
      <c r="F241" s="1" t="s">
        <v>812</v>
      </c>
      <c r="G241" s="1" t="s">
        <v>1167</v>
      </c>
      <c r="H241" s="1" t="s">
        <v>31</v>
      </c>
      <c r="I241">
        <v>-10.611184</v>
      </c>
      <c r="J241">
        <v>23.022268</v>
      </c>
      <c r="K241" s="1" t="s">
        <v>1495</v>
      </c>
      <c r="L241" s="1" t="s">
        <v>1501</v>
      </c>
    </row>
    <row r="242" spans="1:12" x14ac:dyDescent="0.3">
      <c r="A242" s="1" t="s">
        <v>1098</v>
      </c>
      <c r="B242" s="2">
        <v>45230</v>
      </c>
      <c r="C242" s="3">
        <v>0.86388888888888893</v>
      </c>
      <c r="D242" s="1" t="s">
        <v>1119</v>
      </c>
      <c r="E242">
        <v>57</v>
      </c>
      <c r="F242" s="1" t="s">
        <v>807</v>
      </c>
      <c r="G242" s="1" t="s">
        <v>1119</v>
      </c>
      <c r="H242" s="1" t="s">
        <v>21</v>
      </c>
      <c r="I242">
        <v>-4.1694589999999998</v>
      </c>
      <c r="J242">
        <v>23.376487000000001</v>
      </c>
      <c r="K242" s="1" t="s">
        <v>1500</v>
      </c>
      <c r="L242" s="1" t="s">
        <v>1508</v>
      </c>
    </row>
    <row r="243" spans="1:12" x14ac:dyDescent="0.3">
      <c r="A243" s="1" t="s">
        <v>1133</v>
      </c>
      <c r="B243" s="2">
        <v>45216</v>
      </c>
      <c r="C243" s="3">
        <v>0.70902777777777781</v>
      </c>
      <c r="D243" s="1" t="s">
        <v>1143</v>
      </c>
      <c r="E243">
        <v>39</v>
      </c>
      <c r="F243" s="1" t="s">
        <v>807</v>
      </c>
      <c r="G243" s="1" t="s">
        <v>1143</v>
      </c>
      <c r="H243" s="1" t="s">
        <v>10</v>
      </c>
      <c r="I243">
        <v>-0.34051900000000002</v>
      </c>
      <c r="J243">
        <v>17.079799000000001</v>
      </c>
      <c r="K243" s="1" t="s">
        <v>1495</v>
      </c>
      <c r="L243" s="1" t="s">
        <v>1496</v>
      </c>
    </row>
    <row r="244" spans="1:12" x14ac:dyDescent="0.3">
      <c r="A244" s="1" t="s">
        <v>1098</v>
      </c>
      <c r="B244" s="2">
        <v>45204</v>
      </c>
      <c r="C244" s="3">
        <v>0.90555555555555556</v>
      </c>
      <c r="D244" s="1" t="s">
        <v>1124</v>
      </c>
      <c r="E244">
        <v>61</v>
      </c>
      <c r="F244" s="1" t="s">
        <v>807</v>
      </c>
      <c r="G244" s="1" t="s">
        <v>1124</v>
      </c>
      <c r="H244" s="1" t="s">
        <v>26</v>
      </c>
      <c r="I244">
        <v>4.497306</v>
      </c>
      <c r="J244">
        <v>12.857251</v>
      </c>
      <c r="K244" s="1" t="s">
        <v>1495</v>
      </c>
      <c r="L244" s="1" t="s">
        <v>1496</v>
      </c>
    </row>
    <row r="245" spans="1:12" x14ac:dyDescent="0.3">
      <c r="A245" s="1" t="s">
        <v>1098</v>
      </c>
      <c r="B245" s="2">
        <v>45230</v>
      </c>
      <c r="C245" s="3">
        <v>0.6333333333333333</v>
      </c>
      <c r="D245" s="1" t="s">
        <v>1129</v>
      </c>
      <c r="E245">
        <v>34</v>
      </c>
      <c r="F245" s="1" t="s">
        <v>807</v>
      </c>
      <c r="G245" s="1" t="s">
        <v>1129</v>
      </c>
      <c r="H245" s="1" t="s">
        <v>57</v>
      </c>
      <c r="I245">
        <v>2.486888</v>
      </c>
      <c r="J245">
        <v>23.798074</v>
      </c>
      <c r="K245" s="1" t="s">
        <v>1495</v>
      </c>
      <c r="L245" s="1" t="s">
        <v>1501</v>
      </c>
    </row>
    <row r="246" spans="1:12" x14ac:dyDescent="0.3">
      <c r="A246" s="1" t="s">
        <v>1098</v>
      </c>
      <c r="B246" s="2">
        <v>45202</v>
      </c>
      <c r="C246" s="3">
        <v>0.41249999999999998</v>
      </c>
      <c r="D246" s="1" t="s">
        <v>1131</v>
      </c>
      <c r="E246">
        <v>35</v>
      </c>
      <c r="F246" s="1" t="s">
        <v>807</v>
      </c>
      <c r="G246" s="1" t="s">
        <v>1131</v>
      </c>
      <c r="H246" s="1" t="s">
        <v>26</v>
      </c>
      <c r="I246">
        <v>-6.4197189999999997</v>
      </c>
      <c r="J246">
        <v>22.287264</v>
      </c>
      <c r="K246" s="1" t="s">
        <v>1500</v>
      </c>
      <c r="L246" s="1" t="s">
        <v>1496</v>
      </c>
    </row>
    <row r="247" spans="1:12" x14ac:dyDescent="0.3">
      <c r="A247" s="1" t="s">
        <v>1133</v>
      </c>
      <c r="B247" s="2">
        <v>45216</v>
      </c>
      <c r="C247" s="3">
        <v>0.76041666666666663</v>
      </c>
      <c r="D247" s="1" t="s">
        <v>1138</v>
      </c>
      <c r="E247">
        <v>48</v>
      </c>
      <c r="F247" s="1" t="s">
        <v>807</v>
      </c>
      <c r="G247" s="1" t="s">
        <v>1138</v>
      </c>
      <c r="H247" s="1" t="s">
        <v>10</v>
      </c>
      <c r="I247">
        <v>-11.002602</v>
      </c>
      <c r="J247">
        <v>23.918247999999998</v>
      </c>
      <c r="K247" s="1" t="s">
        <v>1495</v>
      </c>
      <c r="L247" s="1" t="s">
        <v>1501</v>
      </c>
    </row>
    <row r="248" spans="1:12" x14ac:dyDescent="0.3">
      <c r="A248" s="1" t="s">
        <v>1161</v>
      </c>
      <c r="B248" s="2">
        <v>45211</v>
      </c>
      <c r="C248" s="3">
        <v>0.61875000000000002</v>
      </c>
      <c r="D248" s="1" t="s">
        <v>1169</v>
      </c>
      <c r="E248">
        <v>92</v>
      </c>
      <c r="F248" s="1" t="s">
        <v>807</v>
      </c>
      <c r="G248" s="1" t="s">
        <v>1169</v>
      </c>
      <c r="H248" s="1" t="s">
        <v>73</v>
      </c>
      <c r="I248">
        <v>-0.85624699999999998</v>
      </c>
      <c r="J248">
        <v>28.624870000000001</v>
      </c>
      <c r="K248" s="1" t="s">
        <v>1500</v>
      </c>
      <c r="L248" s="1" t="s">
        <v>1496</v>
      </c>
    </row>
    <row r="249" spans="1:12" x14ac:dyDescent="0.3">
      <c r="A249" s="1" t="s">
        <v>1133</v>
      </c>
      <c r="B249" s="2">
        <v>45220</v>
      </c>
      <c r="C249" s="3">
        <v>0.15902777777777777</v>
      </c>
      <c r="D249" s="1" t="s">
        <v>1148</v>
      </c>
      <c r="E249">
        <v>60</v>
      </c>
      <c r="F249" s="1" t="s">
        <v>812</v>
      </c>
      <c r="G249" s="1" t="s">
        <v>1148</v>
      </c>
      <c r="H249" s="1" t="s">
        <v>73</v>
      </c>
      <c r="I249">
        <v>-9.4133639999999996</v>
      </c>
      <c r="J249">
        <v>15.682482</v>
      </c>
      <c r="K249" s="1" t="s">
        <v>1498</v>
      </c>
      <c r="L249" s="1" t="s">
        <v>1499</v>
      </c>
    </row>
    <row r="250" spans="1:12" x14ac:dyDescent="0.3">
      <c r="A250" s="1" t="s">
        <v>1133</v>
      </c>
      <c r="B250" s="2">
        <v>45211</v>
      </c>
      <c r="C250" s="3">
        <v>0.72291666666666665</v>
      </c>
      <c r="D250" s="1" t="s">
        <v>1150</v>
      </c>
      <c r="E250">
        <v>28</v>
      </c>
      <c r="F250" s="1" t="s">
        <v>807</v>
      </c>
      <c r="G250" s="1" t="s">
        <v>1150</v>
      </c>
      <c r="H250" s="1" t="s">
        <v>127</v>
      </c>
      <c r="I250">
        <v>-6.9624990000000002</v>
      </c>
      <c r="J250">
        <v>20.759834999999999</v>
      </c>
      <c r="K250" s="1" t="s">
        <v>1498</v>
      </c>
      <c r="L250" s="1" t="s">
        <v>1499</v>
      </c>
    </row>
    <row r="251" spans="1:12" x14ac:dyDescent="0.3">
      <c r="A251" s="1" t="s">
        <v>1190</v>
      </c>
      <c r="B251" s="2">
        <v>45228</v>
      </c>
      <c r="C251" s="3">
        <v>0.67222222222222228</v>
      </c>
      <c r="D251" s="1" t="s">
        <v>1193</v>
      </c>
      <c r="E251">
        <v>106</v>
      </c>
      <c r="F251" s="1" t="s">
        <v>807</v>
      </c>
      <c r="G251" s="1" t="s">
        <v>1193</v>
      </c>
      <c r="H251" s="1" t="s">
        <v>137</v>
      </c>
      <c r="I251">
        <v>2.0392079999999999</v>
      </c>
      <c r="J251">
        <v>19.090841999999999</v>
      </c>
      <c r="K251" s="1" t="s">
        <v>1498</v>
      </c>
      <c r="L251" s="1" t="s">
        <v>1508</v>
      </c>
    </row>
    <row r="252" spans="1:12" x14ac:dyDescent="0.3">
      <c r="A252" s="1" t="s">
        <v>1161</v>
      </c>
      <c r="B252" s="2">
        <v>45228</v>
      </c>
      <c r="C252" s="3">
        <v>8.611111111111111E-2</v>
      </c>
      <c r="D252" s="1" t="s">
        <v>1170</v>
      </c>
      <c r="E252">
        <v>43</v>
      </c>
      <c r="F252" s="1" t="s">
        <v>812</v>
      </c>
      <c r="G252" s="1" t="s">
        <v>1170</v>
      </c>
      <c r="H252" s="1" t="s">
        <v>35</v>
      </c>
      <c r="I252">
        <v>-6.4883290000000002</v>
      </c>
      <c r="J252">
        <v>25.103404000000001</v>
      </c>
      <c r="K252" s="1" t="s">
        <v>1495</v>
      </c>
      <c r="L252" s="1" t="s">
        <v>1501</v>
      </c>
    </row>
    <row r="253" spans="1:12" x14ac:dyDescent="0.3">
      <c r="A253" s="1" t="s">
        <v>1161</v>
      </c>
      <c r="B253" s="2">
        <v>45216</v>
      </c>
      <c r="C253" s="3">
        <v>7.8472222222222221E-2</v>
      </c>
      <c r="D253" s="1" t="s">
        <v>1178</v>
      </c>
      <c r="E253">
        <v>48</v>
      </c>
      <c r="F253" s="1" t="s">
        <v>810</v>
      </c>
      <c r="G253" s="1" t="s">
        <v>1178</v>
      </c>
      <c r="H253" s="1" t="s">
        <v>31</v>
      </c>
      <c r="I253">
        <v>-8.0864899999999995</v>
      </c>
      <c r="J253">
        <v>14.555277</v>
      </c>
      <c r="K253" s="1" t="s">
        <v>1500</v>
      </c>
      <c r="L253" s="1" t="s">
        <v>1496</v>
      </c>
    </row>
    <row r="254" spans="1:12" x14ac:dyDescent="0.3">
      <c r="A254" s="1" t="s">
        <v>1190</v>
      </c>
      <c r="B254" s="2">
        <v>45224</v>
      </c>
      <c r="C254" s="3">
        <v>0.77500000000000002</v>
      </c>
      <c r="D254" s="1" t="s">
        <v>1200</v>
      </c>
      <c r="E254">
        <v>107</v>
      </c>
      <c r="F254" s="1" t="s">
        <v>812</v>
      </c>
      <c r="G254" s="1" t="s">
        <v>1200</v>
      </c>
      <c r="H254" s="1" t="s">
        <v>60</v>
      </c>
      <c r="I254">
        <v>-5.7200150000000001</v>
      </c>
      <c r="J254">
        <v>25.022109</v>
      </c>
      <c r="K254" s="1" t="s">
        <v>1495</v>
      </c>
      <c r="L254" s="1" t="s">
        <v>1501</v>
      </c>
    </row>
    <row r="255" spans="1:12" x14ac:dyDescent="0.3">
      <c r="A255" s="1" t="s">
        <v>1190</v>
      </c>
      <c r="B255" s="2">
        <v>45216</v>
      </c>
      <c r="C255" s="3">
        <v>0.27430555555555558</v>
      </c>
      <c r="D255" s="1" t="s">
        <v>1200</v>
      </c>
      <c r="E255">
        <v>30</v>
      </c>
      <c r="F255" s="1" t="s">
        <v>810</v>
      </c>
      <c r="G255" s="1" t="s">
        <v>1200</v>
      </c>
      <c r="H255" s="1" t="s">
        <v>60</v>
      </c>
      <c r="I255">
        <v>-5.7200150000000001</v>
      </c>
      <c r="J255">
        <v>25.022109</v>
      </c>
      <c r="K255" s="1" t="s">
        <v>1495</v>
      </c>
      <c r="L255" s="1" t="s">
        <v>1501</v>
      </c>
    </row>
    <row r="256" spans="1:12" x14ac:dyDescent="0.3">
      <c r="A256" s="1" t="s">
        <v>1214</v>
      </c>
      <c r="B256" s="2">
        <v>45202</v>
      </c>
      <c r="C256" s="3">
        <v>0.52916666666666667</v>
      </c>
      <c r="D256" s="1" t="s">
        <v>1215</v>
      </c>
      <c r="E256">
        <v>109</v>
      </c>
      <c r="F256" s="1" t="s">
        <v>810</v>
      </c>
      <c r="G256" s="1" t="s">
        <v>1215</v>
      </c>
      <c r="H256" s="1" t="s">
        <v>127</v>
      </c>
      <c r="I256">
        <v>-7.1483749999999997</v>
      </c>
      <c r="J256">
        <v>26.014271000000001</v>
      </c>
      <c r="K256" s="1" t="s">
        <v>1495</v>
      </c>
      <c r="L256" s="1" t="s">
        <v>1499</v>
      </c>
    </row>
    <row r="257" spans="1:12" x14ac:dyDescent="0.3">
      <c r="A257" s="1" t="s">
        <v>1214</v>
      </c>
      <c r="B257" s="2">
        <v>45203</v>
      </c>
      <c r="C257" s="3">
        <v>0.21388888888888888</v>
      </c>
      <c r="D257" s="1" t="s">
        <v>1216</v>
      </c>
      <c r="E257">
        <v>5</v>
      </c>
      <c r="F257" s="1" t="s">
        <v>807</v>
      </c>
      <c r="G257" s="1" t="s">
        <v>1216</v>
      </c>
      <c r="H257" s="1" t="s">
        <v>131</v>
      </c>
      <c r="I257">
        <v>-6.5332999999999997</v>
      </c>
      <c r="J257">
        <v>20.098018</v>
      </c>
      <c r="K257" s="1" t="s">
        <v>1498</v>
      </c>
      <c r="L257" s="1" t="s">
        <v>1499</v>
      </c>
    </row>
    <row r="258" spans="1:12" x14ac:dyDescent="0.3">
      <c r="A258" s="1" t="s">
        <v>1214</v>
      </c>
      <c r="B258" s="2">
        <v>45215</v>
      </c>
      <c r="C258" s="3">
        <v>0.45763888888888887</v>
      </c>
      <c r="D258" s="1" t="s">
        <v>1217</v>
      </c>
      <c r="E258">
        <v>100</v>
      </c>
      <c r="F258" s="1" t="s">
        <v>807</v>
      </c>
      <c r="G258" s="1" t="s">
        <v>1217</v>
      </c>
      <c r="H258" s="1" t="s">
        <v>37</v>
      </c>
      <c r="I258">
        <v>-11.793894</v>
      </c>
      <c r="J258">
        <v>20.433340999999999</v>
      </c>
      <c r="K258" s="1" t="s">
        <v>1495</v>
      </c>
      <c r="L258" s="1" t="s">
        <v>1508</v>
      </c>
    </row>
    <row r="259" spans="1:12" x14ac:dyDescent="0.3">
      <c r="A259" s="1" t="s">
        <v>1214</v>
      </c>
      <c r="B259" s="2">
        <v>45212</v>
      </c>
      <c r="C259" s="3">
        <v>0.31111111111111112</v>
      </c>
      <c r="D259" s="1" t="s">
        <v>819</v>
      </c>
      <c r="E259">
        <v>79</v>
      </c>
      <c r="F259" s="1" t="s">
        <v>807</v>
      </c>
      <c r="G259" s="1" t="s">
        <v>819</v>
      </c>
      <c r="H259" s="1" t="s">
        <v>40</v>
      </c>
      <c r="I259">
        <v>4.8319039999999998</v>
      </c>
      <c r="J259">
        <v>20.733468999999999</v>
      </c>
      <c r="K259" s="1" t="s">
        <v>1495</v>
      </c>
      <c r="L259" s="1" t="s">
        <v>1496</v>
      </c>
    </row>
    <row r="260" spans="1:12" x14ac:dyDescent="0.3">
      <c r="A260" s="1" t="s">
        <v>1214</v>
      </c>
      <c r="B260" s="2">
        <v>45224</v>
      </c>
      <c r="C260" s="3">
        <v>0.34791666666666665</v>
      </c>
      <c r="D260" s="1" t="s">
        <v>1219</v>
      </c>
      <c r="E260">
        <v>14</v>
      </c>
      <c r="F260" s="1" t="s">
        <v>807</v>
      </c>
      <c r="G260" s="1" t="s">
        <v>1219</v>
      </c>
      <c r="H260" s="1" t="s">
        <v>13</v>
      </c>
      <c r="I260">
        <v>-7.789663</v>
      </c>
      <c r="J260">
        <v>26.529098000000001</v>
      </c>
      <c r="K260" s="1" t="s">
        <v>1495</v>
      </c>
      <c r="L260" s="1" t="s">
        <v>1508</v>
      </c>
    </row>
    <row r="261" spans="1:12" x14ac:dyDescent="0.3">
      <c r="A261" s="1" t="s">
        <v>1214</v>
      </c>
      <c r="B261" s="2">
        <v>45220</v>
      </c>
      <c r="C261" s="3">
        <v>0.48888888888888887</v>
      </c>
      <c r="D261" s="1" t="s">
        <v>895</v>
      </c>
      <c r="E261">
        <v>49</v>
      </c>
      <c r="F261" s="1" t="s">
        <v>812</v>
      </c>
      <c r="G261" s="1" t="s">
        <v>895</v>
      </c>
      <c r="H261" s="1" t="s">
        <v>31</v>
      </c>
      <c r="I261">
        <v>-9.3652239999999995</v>
      </c>
      <c r="J261">
        <v>22.593423999999999</v>
      </c>
      <c r="K261" s="1" t="s">
        <v>1495</v>
      </c>
      <c r="L261" s="1" t="s">
        <v>1508</v>
      </c>
    </row>
    <row r="262" spans="1:12" x14ac:dyDescent="0.3">
      <c r="A262" s="1" t="s">
        <v>1214</v>
      </c>
      <c r="B262" s="2">
        <v>45207</v>
      </c>
      <c r="C262" s="3">
        <v>7.0833333333333331E-2</v>
      </c>
      <c r="D262" s="1" t="s">
        <v>1220</v>
      </c>
      <c r="E262">
        <v>94</v>
      </c>
      <c r="F262" s="1" t="s">
        <v>810</v>
      </c>
      <c r="G262" s="1" t="s">
        <v>1220</v>
      </c>
      <c r="H262" s="1" t="s">
        <v>60</v>
      </c>
      <c r="I262">
        <v>-1.1284540000000001</v>
      </c>
      <c r="J262">
        <v>23.000360000000001</v>
      </c>
      <c r="K262" s="1" t="s">
        <v>1495</v>
      </c>
      <c r="L262" s="1" t="s">
        <v>1496</v>
      </c>
    </row>
    <row r="263" spans="1:12" x14ac:dyDescent="0.3">
      <c r="A263" s="1" t="s">
        <v>1214</v>
      </c>
      <c r="B263" s="2">
        <v>45203</v>
      </c>
      <c r="C263" s="3">
        <v>0.59652777777777777</v>
      </c>
      <c r="D263" s="1" t="s">
        <v>1221</v>
      </c>
      <c r="E263">
        <v>13</v>
      </c>
      <c r="F263" s="1" t="s">
        <v>810</v>
      </c>
      <c r="G263" s="1" t="s">
        <v>1221</v>
      </c>
      <c r="H263" s="1" t="s">
        <v>13</v>
      </c>
      <c r="I263">
        <v>-1.9540519999999999</v>
      </c>
      <c r="J263">
        <v>12.667945</v>
      </c>
      <c r="K263" s="1" t="s">
        <v>1498</v>
      </c>
      <c r="L263" s="1" t="s">
        <v>1499</v>
      </c>
    </row>
    <row r="264" spans="1:12" x14ac:dyDescent="0.3">
      <c r="A264" s="1" t="s">
        <v>1214</v>
      </c>
      <c r="B264" s="2">
        <v>45205</v>
      </c>
      <c r="C264" s="3">
        <v>0.52986111111111112</v>
      </c>
      <c r="D264" s="1" t="s">
        <v>889</v>
      </c>
      <c r="E264">
        <v>74</v>
      </c>
      <c r="F264" s="1" t="s">
        <v>810</v>
      </c>
      <c r="G264" s="1" t="s">
        <v>889</v>
      </c>
      <c r="H264" s="1" t="s">
        <v>16</v>
      </c>
      <c r="I264">
        <v>-11.514188000000001</v>
      </c>
      <c r="J264">
        <v>15.971181</v>
      </c>
      <c r="K264" s="1" t="s">
        <v>1495</v>
      </c>
      <c r="L264" s="1" t="s">
        <v>1496</v>
      </c>
    </row>
    <row r="265" spans="1:12" x14ac:dyDescent="0.3">
      <c r="A265" s="1" t="s">
        <v>1214</v>
      </c>
      <c r="B265" s="2">
        <v>45209</v>
      </c>
      <c r="C265" s="3">
        <v>0.92152777777777772</v>
      </c>
      <c r="D265" s="1" t="s">
        <v>997</v>
      </c>
      <c r="E265">
        <v>119</v>
      </c>
      <c r="F265" s="1" t="s">
        <v>807</v>
      </c>
      <c r="G265" s="1" t="s">
        <v>997</v>
      </c>
      <c r="H265" s="1" t="s">
        <v>26</v>
      </c>
      <c r="I265">
        <v>1.5278670000000001</v>
      </c>
      <c r="J265">
        <v>13.899388999999999</v>
      </c>
      <c r="K265" s="1" t="s">
        <v>1500</v>
      </c>
      <c r="L265" s="1" t="s">
        <v>1499</v>
      </c>
    </row>
    <row r="266" spans="1:12" x14ac:dyDescent="0.3">
      <c r="A266" s="1" t="s">
        <v>1214</v>
      </c>
      <c r="B266" s="2">
        <v>45204</v>
      </c>
      <c r="C266" s="3">
        <v>0.61597222222222225</v>
      </c>
      <c r="D266" s="1" t="s">
        <v>1223</v>
      </c>
      <c r="E266">
        <v>41</v>
      </c>
      <c r="F266" s="1" t="s">
        <v>812</v>
      </c>
      <c r="G266" s="1" t="s">
        <v>1223</v>
      </c>
      <c r="H266" s="1" t="s">
        <v>64</v>
      </c>
      <c r="I266">
        <v>1.3006180000000001</v>
      </c>
      <c r="J266">
        <v>29.060970999999999</v>
      </c>
      <c r="K266" s="1" t="s">
        <v>1500</v>
      </c>
      <c r="L266" s="1" t="s">
        <v>1501</v>
      </c>
    </row>
    <row r="267" spans="1:12" x14ac:dyDescent="0.3">
      <c r="A267" s="1" t="s">
        <v>1214</v>
      </c>
      <c r="B267" s="2">
        <v>45219</v>
      </c>
      <c r="C267" s="3">
        <v>0.47638888888888886</v>
      </c>
      <c r="D267" s="1" t="s">
        <v>814</v>
      </c>
      <c r="E267">
        <v>57</v>
      </c>
      <c r="F267" s="1" t="s">
        <v>807</v>
      </c>
      <c r="G267" s="1" t="s">
        <v>814</v>
      </c>
      <c r="H267" s="1" t="s">
        <v>62</v>
      </c>
      <c r="I267">
        <v>-2.8211520000000001</v>
      </c>
      <c r="J267">
        <v>20.651419000000001</v>
      </c>
      <c r="K267" s="1" t="s">
        <v>1495</v>
      </c>
      <c r="L267" s="1" t="s">
        <v>1496</v>
      </c>
    </row>
    <row r="268" spans="1:12" x14ac:dyDescent="0.3">
      <c r="A268" s="1" t="s">
        <v>1214</v>
      </c>
      <c r="B268" s="2">
        <v>45222</v>
      </c>
      <c r="C268" s="3">
        <v>0.74861111111111112</v>
      </c>
      <c r="D268" s="1" t="s">
        <v>1224</v>
      </c>
      <c r="E268">
        <v>28</v>
      </c>
      <c r="F268" s="1" t="s">
        <v>810</v>
      </c>
      <c r="G268" s="1" t="s">
        <v>1224</v>
      </c>
      <c r="H268" s="1" t="s">
        <v>24</v>
      </c>
      <c r="I268">
        <v>-11.468578000000001</v>
      </c>
      <c r="J268">
        <v>16.914501999999999</v>
      </c>
      <c r="K268" s="1" t="s">
        <v>1498</v>
      </c>
      <c r="L268" s="1" t="s">
        <v>1496</v>
      </c>
    </row>
    <row r="269" spans="1:12" x14ac:dyDescent="0.3">
      <c r="A269" s="1" t="s">
        <v>1214</v>
      </c>
      <c r="B269" s="2">
        <v>45221</v>
      </c>
      <c r="C269" s="3">
        <v>0.28333333333333333</v>
      </c>
      <c r="D269" s="1" t="s">
        <v>1226</v>
      </c>
      <c r="E269">
        <v>22</v>
      </c>
      <c r="F269" s="1" t="s">
        <v>807</v>
      </c>
      <c r="G269" s="1" t="s">
        <v>1226</v>
      </c>
      <c r="H269" s="1" t="s">
        <v>64</v>
      </c>
      <c r="I269">
        <v>-2.6665070000000002</v>
      </c>
      <c r="J269">
        <v>18.623692999999999</v>
      </c>
      <c r="K269" s="1" t="s">
        <v>1500</v>
      </c>
      <c r="L269" s="1" t="s">
        <v>1501</v>
      </c>
    </row>
    <row r="270" spans="1:12" x14ac:dyDescent="0.3">
      <c r="A270" s="1" t="s">
        <v>1214</v>
      </c>
      <c r="B270" s="2">
        <v>45214</v>
      </c>
      <c r="C270" s="3">
        <v>0.69791666666666663</v>
      </c>
      <c r="D270" s="1" t="s">
        <v>1229</v>
      </c>
      <c r="E270">
        <v>98</v>
      </c>
      <c r="F270" s="1" t="s">
        <v>812</v>
      </c>
      <c r="G270" s="1" t="s">
        <v>1229</v>
      </c>
      <c r="H270" s="1" t="s">
        <v>44</v>
      </c>
      <c r="I270">
        <v>-12.192204</v>
      </c>
      <c r="J270">
        <v>28.468682000000001</v>
      </c>
      <c r="K270" s="1" t="s">
        <v>1500</v>
      </c>
      <c r="L270" s="1" t="s">
        <v>1501</v>
      </c>
    </row>
    <row r="271" spans="1:12" x14ac:dyDescent="0.3">
      <c r="A271" s="1" t="s">
        <v>1214</v>
      </c>
      <c r="B271" s="2">
        <v>45218</v>
      </c>
      <c r="C271" s="3">
        <v>0.12708333333333333</v>
      </c>
      <c r="D271" s="1" t="s">
        <v>1081</v>
      </c>
      <c r="E271">
        <v>58</v>
      </c>
      <c r="F271" s="1" t="s">
        <v>810</v>
      </c>
      <c r="G271" s="1" t="s">
        <v>1081</v>
      </c>
      <c r="H271" s="1" t="s">
        <v>21</v>
      </c>
      <c r="I271">
        <v>1.2419519999999999</v>
      </c>
      <c r="J271">
        <v>25.261382999999999</v>
      </c>
      <c r="K271" s="1" t="s">
        <v>1498</v>
      </c>
      <c r="L271" s="1" t="s">
        <v>1499</v>
      </c>
    </row>
    <row r="272" spans="1:12" x14ac:dyDescent="0.3">
      <c r="A272" s="1" t="s">
        <v>1214</v>
      </c>
      <c r="B272" s="2">
        <v>45216</v>
      </c>
      <c r="C272" s="3">
        <v>0.27500000000000002</v>
      </c>
      <c r="D272" s="1" t="s">
        <v>1231</v>
      </c>
      <c r="E272">
        <v>119</v>
      </c>
      <c r="F272" s="1" t="s">
        <v>812</v>
      </c>
      <c r="G272" s="1" t="s">
        <v>1231</v>
      </c>
      <c r="H272" s="1" t="s">
        <v>21</v>
      </c>
      <c r="I272">
        <v>2.4414509999999998</v>
      </c>
      <c r="J272">
        <v>30.167489</v>
      </c>
      <c r="K272" s="1" t="s">
        <v>1495</v>
      </c>
      <c r="L272" s="1" t="s">
        <v>1508</v>
      </c>
    </row>
    <row r="273" spans="1:12" x14ac:dyDescent="0.3">
      <c r="A273" s="1" t="s">
        <v>1214</v>
      </c>
      <c r="B273" s="2">
        <v>45217</v>
      </c>
      <c r="C273" s="3">
        <v>0.1736111111111111</v>
      </c>
      <c r="D273" s="1" t="s">
        <v>941</v>
      </c>
      <c r="E273">
        <v>53</v>
      </c>
      <c r="F273" s="1" t="s">
        <v>810</v>
      </c>
      <c r="G273" s="1" t="s">
        <v>941</v>
      </c>
      <c r="H273" s="1" t="s">
        <v>64</v>
      </c>
      <c r="I273">
        <v>-1.6097570000000001</v>
      </c>
      <c r="J273">
        <v>30.661662</v>
      </c>
      <c r="K273" s="1" t="s">
        <v>1498</v>
      </c>
      <c r="L273" s="1" t="s">
        <v>1496</v>
      </c>
    </row>
    <row r="274" spans="1:12" x14ac:dyDescent="0.3">
      <c r="A274" s="1" t="s">
        <v>1214</v>
      </c>
      <c r="B274" s="2">
        <v>45210</v>
      </c>
      <c r="C274" s="3">
        <v>0.68611111111111112</v>
      </c>
      <c r="D274" s="1" t="s">
        <v>1232</v>
      </c>
      <c r="E274">
        <v>62</v>
      </c>
      <c r="F274" s="1" t="s">
        <v>810</v>
      </c>
      <c r="G274" s="1" t="s">
        <v>1232</v>
      </c>
      <c r="H274" s="1" t="s">
        <v>89</v>
      </c>
      <c r="I274">
        <v>8.5490999999999998E-2</v>
      </c>
      <c r="J274">
        <v>26.296129000000001</v>
      </c>
      <c r="K274" s="1" t="s">
        <v>1500</v>
      </c>
      <c r="L274" s="1" t="s">
        <v>1501</v>
      </c>
    </row>
    <row r="275" spans="1:12" x14ac:dyDescent="0.3">
      <c r="A275" s="1" t="s">
        <v>1214</v>
      </c>
      <c r="B275" s="2">
        <v>45225</v>
      </c>
      <c r="C275" s="3">
        <v>0.40694444444444444</v>
      </c>
      <c r="D275" s="1" t="s">
        <v>1238</v>
      </c>
      <c r="E275">
        <v>74</v>
      </c>
      <c r="F275" s="1" t="s">
        <v>807</v>
      </c>
      <c r="G275" s="1" t="s">
        <v>1238</v>
      </c>
      <c r="H275" s="1" t="s">
        <v>40</v>
      </c>
      <c r="I275">
        <v>-4.6957509999999996</v>
      </c>
      <c r="J275">
        <v>14.233525999999999</v>
      </c>
      <c r="K275" s="1" t="s">
        <v>1498</v>
      </c>
      <c r="L275" s="1" t="s">
        <v>1508</v>
      </c>
    </row>
    <row r="276" spans="1:12" x14ac:dyDescent="0.3">
      <c r="A276" s="1" t="s">
        <v>1214</v>
      </c>
      <c r="B276" s="2">
        <v>45200</v>
      </c>
      <c r="C276" s="3">
        <v>0.51111111111111107</v>
      </c>
      <c r="D276" s="1" t="s">
        <v>1239</v>
      </c>
      <c r="E276">
        <v>22</v>
      </c>
      <c r="F276" s="1" t="s">
        <v>812</v>
      </c>
      <c r="G276" s="1" t="s">
        <v>1239</v>
      </c>
      <c r="H276" s="1" t="s">
        <v>51</v>
      </c>
      <c r="I276">
        <v>-10.939712999999999</v>
      </c>
      <c r="J276">
        <v>18.276230999999999</v>
      </c>
      <c r="K276" s="1" t="s">
        <v>1498</v>
      </c>
      <c r="L276" s="1" t="s">
        <v>1501</v>
      </c>
    </row>
    <row r="277" spans="1:12" x14ac:dyDescent="0.3">
      <c r="A277" s="1" t="s">
        <v>1240</v>
      </c>
      <c r="B277" s="2">
        <v>45221</v>
      </c>
      <c r="C277" s="3">
        <v>0.56597222222222221</v>
      </c>
      <c r="D277" s="1" t="s">
        <v>1241</v>
      </c>
      <c r="E277">
        <v>87</v>
      </c>
      <c r="F277" s="1" t="s">
        <v>810</v>
      </c>
      <c r="G277" s="1" t="s">
        <v>1241</v>
      </c>
      <c r="H277" s="1" t="s">
        <v>73</v>
      </c>
      <c r="I277">
        <v>4.7777349999999998</v>
      </c>
      <c r="J277">
        <v>16.392204</v>
      </c>
      <c r="K277" s="1" t="s">
        <v>1495</v>
      </c>
      <c r="L277" s="1" t="s">
        <v>1501</v>
      </c>
    </row>
    <row r="278" spans="1:12" x14ac:dyDescent="0.3">
      <c r="A278" s="1" t="s">
        <v>1240</v>
      </c>
      <c r="B278" s="2">
        <v>45215</v>
      </c>
      <c r="C278" s="3">
        <v>5.6944444444444443E-2</v>
      </c>
      <c r="D278" s="1" t="s">
        <v>1226</v>
      </c>
      <c r="E278">
        <v>99</v>
      </c>
      <c r="F278" s="1" t="s">
        <v>810</v>
      </c>
      <c r="G278" s="1" t="s">
        <v>1226</v>
      </c>
      <c r="H278" s="1" t="s">
        <v>64</v>
      </c>
      <c r="I278">
        <v>-2.6665070000000002</v>
      </c>
      <c r="J278">
        <v>18.623692999999999</v>
      </c>
      <c r="K278" s="1" t="s">
        <v>1500</v>
      </c>
      <c r="L278" s="1" t="s">
        <v>1501</v>
      </c>
    </row>
    <row r="279" spans="1:12" x14ac:dyDescent="0.3">
      <c r="A279" s="1" t="s">
        <v>1240</v>
      </c>
      <c r="B279" s="2">
        <v>45230</v>
      </c>
      <c r="C279" s="3">
        <v>0.86250000000000004</v>
      </c>
      <c r="D279" s="1" t="s">
        <v>876</v>
      </c>
      <c r="E279">
        <v>67</v>
      </c>
      <c r="F279" s="1" t="s">
        <v>807</v>
      </c>
      <c r="G279" s="1" t="s">
        <v>876</v>
      </c>
      <c r="H279" s="1" t="s">
        <v>37</v>
      </c>
      <c r="I279">
        <v>-2.099631</v>
      </c>
      <c r="J279">
        <v>13.974640000000001</v>
      </c>
      <c r="K279" s="1" t="s">
        <v>1500</v>
      </c>
      <c r="L279" s="1" t="s">
        <v>1508</v>
      </c>
    </row>
    <row r="280" spans="1:12" x14ac:dyDescent="0.3">
      <c r="A280" s="1" t="s">
        <v>1240</v>
      </c>
      <c r="B280" s="2">
        <v>45205</v>
      </c>
      <c r="C280" s="3">
        <v>0.72916666666666663</v>
      </c>
      <c r="D280" s="1" t="s">
        <v>1244</v>
      </c>
      <c r="E280">
        <v>106</v>
      </c>
      <c r="F280" s="1" t="s">
        <v>812</v>
      </c>
      <c r="G280" s="1" t="s">
        <v>1244</v>
      </c>
      <c r="H280" s="1" t="s">
        <v>24</v>
      </c>
      <c r="I280">
        <v>-4.4958720000000003</v>
      </c>
      <c r="J280">
        <v>18.514112000000001</v>
      </c>
      <c r="K280" s="1" t="s">
        <v>1498</v>
      </c>
      <c r="L280" s="1" t="s">
        <v>1508</v>
      </c>
    </row>
    <row r="281" spans="1:12" x14ac:dyDescent="0.3">
      <c r="A281" s="1" t="s">
        <v>1240</v>
      </c>
      <c r="B281" s="2">
        <v>45227</v>
      </c>
      <c r="C281" s="3">
        <v>0.92291666666666672</v>
      </c>
      <c r="D281" s="1" t="s">
        <v>931</v>
      </c>
      <c r="E281">
        <v>26</v>
      </c>
      <c r="F281" s="1" t="s">
        <v>812</v>
      </c>
      <c r="G281" s="1" t="s">
        <v>931</v>
      </c>
      <c r="H281" s="1" t="s">
        <v>131</v>
      </c>
      <c r="I281">
        <v>-10.25074</v>
      </c>
      <c r="J281">
        <v>26.099086</v>
      </c>
      <c r="K281" s="1" t="s">
        <v>1498</v>
      </c>
      <c r="L281" s="1" t="s">
        <v>1499</v>
      </c>
    </row>
    <row r="282" spans="1:12" x14ac:dyDescent="0.3">
      <c r="A282" s="1" t="s">
        <v>1240</v>
      </c>
      <c r="B282" s="2">
        <v>45225</v>
      </c>
      <c r="C282" s="3">
        <v>0.62361111111111112</v>
      </c>
      <c r="D282" s="1" t="s">
        <v>1245</v>
      </c>
      <c r="E282">
        <v>22</v>
      </c>
      <c r="F282" s="1" t="s">
        <v>807</v>
      </c>
      <c r="G282" s="1" t="s">
        <v>1245</v>
      </c>
      <c r="H282" s="1" t="s">
        <v>44</v>
      </c>
      <c r="I282">
        <v>-0.47411900000000001</v>
      </c>
      <c r="J282">
        <v>27.184329000000002</v>
      </c>
      <c r="K282" s="1" t="s">
        <v>1495</v>
      </c>
      <c r="L282" s="1" t="s">
        <v>1501</v>
      </c>
    </row>
    <row r="283" spans="1:12" x14ac:dyDescent="0.3">
      <c r="A283" s="1" t="s">
        <v>1240</v>
      </c>
      <c r="B283" s="2">
        <v>45201</v>
      </c>
      <c r="C283" s="3">
        <v>0.72638888888888886</v>
      </c>
      <c r="D283" s="1" t="s">
        <v>1246</v>
      </c>
      <c r="E283">
        <v>97</v>
      </c>
      <c r="F283" s="1" t="s">
        <v>810</v>
      </c>
      <c r="G283" s="1" t="s">
        <v>1246</v>
      </c>
      <c r="H283" s="1" t="s">
        <v>57</v>
      </c>
      <c r="I283">
        <v>-4.3639070000000002</v>
      </c>
      <c r="J283">
        <v>16.283307000000001</v>
      </c>
      <c r="K283" s="1" t="s">
        <v>1495</v>
      </c>
      <c r="L283" s="1" t="s">
        <v>1499</v>
      </c>
    </row>
    <row r="284" spans="1:12" x14ac:dyDescent="0.3">
      <c r="A284" s="1" t="s">
        <v>1240</v>
      </c>
      <c r="B284" s="2">
        <v>45216</v>
      </c>
      <c r="C284" s="3">
        <v>0.18333333333333332</v>
      </c>
      <c r="D284" s="1" t="s">
        <v>1112</v>
      </c>
      <c r="E284">
        <v>67</v>
      </c>
      <c r="F284" s="1" t="s">
        <v>810</v>
      </c>
      <c r="G284" s="1" t="s">
        <v>1112</v>
      </c>
      <c r="H284" s="1" t="s">
        <v>137</v>
      </c>
      <c r="I284">
        <v>-10.967288</v>
      </c>
      <c r="J284">
        <v>17.617781000000001</v>
      </c>
      <c r="K284" s="1" t="s">
        <v>1498</v>
      </c>
      <c r="L284" s="1" t="s">
        <v>1496</v>
      </c>
    </row>
    <row r="285" spans="1:12" x14ac:dyDescent="0.3">
      <c r="A285" s="1" t="s">
        <v>1240</v>
      </c>
      <c r="B285" s="2">
        <v>45207</v>
      </c>
      <c r="C285" s="3">
        <v>0.34236111111111112</v>
      </c>
      <c r="D285" s="1" t="s">
        <v>1247</v>
      </c>
      <c r="E285">
        <v>28</v>
      </c>
      <c r="F285" s="1" t="s">
        <v>807</v>
      </c>
      <c r="G285" s="1" t="s">
        <v>1247</v>
      </c>
      <c r="H285" s="1" t="s">
        <v>26</v>
      </c>
      <c r="I285">
        <v>0.40267799999999998</v>
      </c>
      <c r="J285">
        <v>16.000858000000001</v>
      </c>
      <c r="K285" s="1" t="s">
        <v>1500</v>
      </c>
      <c r="L285" s="1" t="s">
        <v>1508</v>
      </c>
    </row>
    <row r="286" spans="1:12" x14ac:dyDescent="0.3">
      <c r="A286" s="1" t="s">
        <v>1240</v>
      </c>
      <c r="B286" s="2">
        <v>45210</v>
      </c>
      <c r="C286" s="3">
        <v>0.83680555555555558</v>
      </c>
      <c r="D286" s="1" t="s">
        <v>1248</v>
      </c>
      <c r="E286">
        <v>118</v>
      </c>
      <c r="F286" s="1" t="s">
        <v>807</v>
      </c>
      <c r="G286" s="1" t="s">
        <v>1248</v>
      </c>
      <c r="H286" s="1" t="s">
        <v>16</v>
      </c>
      <c r="I286">
        <v>-11.407966</v>
      </c>
      <c r="J286">
        <v>28.378274000000001</v>
      </c>
      <c r="K286" s="1" t="s">
        <v>1498</v>
      </c>
      <c r="L286" s="1" t="s">
        <v>1501</v>
      </c>
    </row>
    <row r="287" spans="1:12" x14ac:dyDescent="0.3">
      <c r="A287" s="1" t="s">
        <v>1240</v>
      </c>
      <c r="B287" s="2">
        <v>45229</v>
      </c>
      <c r="C287" s="3">
        <v>0.62083333333333335</v>
      </c>
      <c r="D287" s="1" t="s">
        <v>1249</v>
      </c>
      <c r="E287">
        <v>74</v>
      </c>
      <c r="F287" s="1" t="s">
        <v>812</v>
      </c>
      <c r="G287" s="1" t="s">
        <v>1249</v>
      </c>
      <c r="H287" s="1" t="s">
        <v>127</v>
      </c>
      <c r="I287">
        <v>-12.488033</v>
      </c>
      <c r="J287">
        <v>16.139648000000001</v>
      </c>
      <c r="K287" s="1" t="s">
        <v>1498</v>
      </c>
      <c r="L287" s="1" t="s">
        <v>1499</v>
      </c>
    </row>
    <row r="288" spans="1:12" x14ac:dyDescent="0.3">
      <c r="A288" s="1" t="s">
        <v>1240</v>
      </c>
      <c r="B288" s="2">
        <v>45211</v>
      </c>
      <c r="C288" s="3">
        <v>0.10694444444444444</v>
      </c>
      <c r="D288" s="1" t="s">
        <v>894</v>
      </c>
      <c r="E288">
        <v>87</v>
      </c>
      <c r="F288" s="1" t="s">
        <v>812</v>
      </c>
      <c r="G288" s="1" t="s">
        <v>894</v>
      </c>
      <c r="H288" s="1" t="s">
        <v>21</v>
      </c>
      <c r="I288">
        <v>-5.2526849999999996</v>
      </c>
      <c r="J288">
        <v>12.374528</v>
      </c>
      <c r="K288" s="1" t="s">
        <v>1500</v>
      </c>
      <c r="L288" s="1" t="s">
        <v>1508</v>
      </c>
    </row>
    <row r="289" spans="1:12" x14ac:dyDescent="0.3">
      <c r="A289" s="1" t="s">
        <v>1240</v>
      </c>
      <c r="B289" s="2">
        <v>45223</v>
      </c>
      <c r="C289" s="3">
        <v>0.25208333333333333</v>
      </c>
      <c r="D289" s="1" t="s">
        <v>1052</v>
      </c>
      <c r="E289">
        <v>12</v>
      </c>
      <c r="F289" s="1" t="s">
        <v>810</v>
      </c>
      <c r="G289" s="1" t="s">
        <v>1052</v>
      </c>
      <c r="H289" s="1" t="s">
        <v>131</v>
      </c>
      <c r="I289">
        <v>-10.846306999999999</v>
      </c>
      <c r="J289">
        <v>19.201827999999999</v>
      </c>
      <c r="K289" s="1" t="s">
        <v>1498</v>
      </c>
      <c r="L289" s="1" t="s">
        <v>1496</v>
      </c>
    </row>
    <row r="290" spans="1:12" x14ac:dyDescent="0.3">
      <c r="A290" s="1" t="s">
        <v>1240</v>
      </c>
      <c r="B290" s="2">
        <v>45227</v>
      </c>
      <c r="C290" s="3">
        <v>9.166666666666666E-2</v>
      </c>
      <c r="D290" s="1" t="s">
        <v>1251</v>
      </c>
      <c r="E290">
        <v>112</v>
      </c>
      <c r="F290" s="1" t="s">
        <v>807</v>
      </c>
      <c r="G290" s="1" t="s">
        <v>1251</v>
      </c>
      <c r="H290" s="1" t="s">
        <v>51</v>
      </c>
      <c r="I290">
        <v>-10.161428000000001</v>
      </c>
      <c r="J290">
        <v>19.362325999999999</v>
      </c>
      <c r="K290" s="1" t="s">
        <v>1500</v>
      </c>
      <c r="L290" s="1" t="s">
        <v>1508</v>
      </c>
    </row>
    <row r="291" spans="1:12" x14ac:dyDescent="0.3">
      <c r="A291" s="1" t="s">
        <v>1240</v>
      </c>
      <c r="B291" s="2">
        <v>45225</v>
      </c>
      <c r="C291" s="3">
        <v>0.78194444444444444</v>
      </c>
      <c r="D291" s="1" t="s">
        <v>1252</v>
      </c>
      <c r="E291">
        <v>113</v>
      </c>
      <c r="F291" s="1" t="s">
        <v>810</v>
      </c>
      <c r="G291" s="1" t="s">
        <v>1252</v>
      </c>
      <c r="H291" s="1" t="s">
        <v>37</v>
      </c>
      <c r="I291">
        <v>-7.9425049999999997</v>
      </c>
      <c r="J291">
        <v>24.111059000000001</v>
      </c>
      <c r="K291" s="1" t="s">
        <v>1500</v>
      </c>
      <c r="L291" s="1" t="s">
        <v>1501</v>
      </c>
    </row>
    <row r="292" spans="1:12" x14ac:dyDescent="0.3">
      <c r="A292" s="1" t="s">
        <v>1240</v>
      </c>
      <c r="B292" s="2">
        <v>45221</v>
      </c>
      <c r="C292" s="3">
        <v>0.71736111111111112</v>
      </c>
      <c r="D292" s="1" t="s">
        <v>837</v>
      </c>
      <c r="E292">
        <v>14</v>
      </c>
      <c r="F292" s="1" t="s">
        <v>807</v>
      </c>
      <c r="G292" s="1" t="s">
        <v>837</v>
      </c>
      <c r="H292" s="1" t="s">
        <v>37</v>
      </c>
      <c r="I292">
        <v>-2.4662510000000002</v>
      </c>
      <c r="J292">
        <v>18.007998000000001</v>
      </c>
      <c r="K292" s="1" t="s">
        <v>1495</v>
      </c>
      <c r="L292" s="1" t="s">
        <v>1496</v>
      </c>
    </row>
    <row r="293" spans="1:12" x14ac:dyDescent="0.3">
      <c r="A293" s="1" t="s">
        <v>1240</v>
      </c>
      <c r="B293" s="2">
        <v>45215</v>
      </c>
      <c r="C293" s="3">
        <v>0.28819444444444442</v>
      </c>
      <c r="D293" s="1" t="s">
        <v>1253</v>
      </c>
      <c r="E293">
        <v>109</v>
      </c>
      <c r="F293" s="1" t="s">
        <v>807</v>
      </c>
      <c r="G293" s="1" t="s">
        <v>1253</v>
      </c>
      <c r="H293" s="1" t="s">
        <v>62</v>
      </c>
      <c r="I293">
        <v>-11.157245</v>
      </c>
      <c r="J293">
        <v>21.262627999999999</v>
      </c>
      <c r="K293" s="1" t="s">
        <v>1495</v>
      </c>
      <c r="L293" s="1" t="s">
        <v>1501</v>
      </c>
    </row>
    <row r="294" spans="1:12" x14ac:dyDescent="0.3">
      <c r="A294" s="1" t="s">
        <v>1240</v>
      </c>
      <c r="B294" s="2">
        <v>45210</v>
      </c>
      <c r="C294" s="3">
        <v>0.39166666666666666</v>
      </c>
      <c r="D294" s="1" t="s">
        <v>907</v>
      </c>
      <c r="E294">
        <v>85</v>
      </c>
      <c r="F294" s="1" t="s">
        <v>810</v>
      </c>
      <c r="G294" s="1" t="s">
        <v>907</v>
      </c>
      <c r="H294" s="1" t="s">
        <v>131</v>
      </c>
      <c r="I294">
        <v>1.017161</v>
      </c>
      <c r="J294">
        <v>16.519689</v>
      </c>
      <c r="K294" s="1" t="s">
        <v>1500</v>
      </c>
      <c r="L294" s="1" t="s">
        <v>1508</v>
      </c>
    </row>
    <row r="295" spans="1:12" x14ac:dyDescent="0.3">
      <c r="A295" s="1" t="s">
        <v>1240</v>
      </c>
      <c r="B295" s="2">
        <v>45214</v>
      </c>
      <c r="C295" s="3">
        <v>0.7368055555555556</v>
      </c>
      <c r="D295" s="1" t="s">
        <v>1257</v>
      </c>
      <c r="E295">
        <v>34</v>
      </c>
      <c r="F295" s="1" t="s">
        <v>812</v>
      </c>
      <c r="G295" s="1" t="s">
        <v>1257</v>
      </c>
      <c r="H295" s="1" t="s">
        <v>51</v>
      </c>
      <c r="I295">
        <v>5.3608999999999997E-2</v>
      </c>
      <c r="J295">
        <v>28.346852999999999</v>
      </c>
      <c r="K295" s="1" t="s">
        <v>1500</v>
      </c>
      <c r="L295" s="1" t="s">
        <v>1501</v>
      </c>
    </row>
    <row r="296" spans="1:12" x14ac:dyDescent="0.3">
      <c r="A296" s="1" t="s">
        <v>1240</v>
      </c>
      <c r="B296" s="2">
        <v>45215</v>
      </c>
      <c r="C296" s="3">
        <v>0.58750000000000002</v>
      </c>
      <c r="D296" s="1" t="s">
        <v>1259</v>
      </c>
      <c r="E296">
        <v>24</v>
      </c>
      <c r="F296" s="1" t="s">
        <v>810</v>
      </c>
      <c r="G296" s="1" t="s">
        <v>1259</v>
      </c>
      <c r="H296" s="1" t="s">
        <v>78</v>
      </c>
      <c r="I296">
        <v>2.5458379999999998</v>
      </c>
      <c r="J296">
        <v>13.308655</v>
      </c>
      <c r="K296" s="1" t="s">
        <v>1495</v>
      </c>
      <c r="L296" s="1" t="s">
        <v>1501</v>
      </c>
    </row>
    <row r="297" spans="1:12" x14ac:dyDescent="0.3">
      <c r="A297" s="1" t="s">
        <v>1240</v>
      </c>
      <c r="B297" s="2">
        <v>45225</v>
      </c>
      <c r="C297" s="3">
        <v>0.97916666666666663</v>
      </c>
      <c r="D297" s="1" t="s">
        <v>1091</v>
      </c>
      <c r="E297">
        <v>6</v>
      </c>
      <c r="F297" s="1" t="s">
        <v>807</v>
      </c>
      <c r="G297" s="1" t="s">
        <v>1091</v>
      </c>
      <c r="H297" s="1" t="s">
        <v>13</v>
      </c>
      <c r="I297">
        <v>-10.577049000000001</v>
      </c>
      <c r="J297">
        <v>23.721854</v>
      </c>
      <c r="K297" s="1" t="s">
        <v>1498</v>
      </c>
      <c r="L297" s="1" t="s">
        <v>1501</v>
      </c>
    </row>
    <row r="298" spans="1:12" x14ac:dyDescent="0.3">
      <c r="A298" s="1" t="s">
        <v>1240</v>
      </c>
      <c r="B298" s="2">
        <v>45213</v>
      </c>
      <c r="C298" s="3">
        <v>6.6666666666666666E-2</v>
      </c>
      <c r="D298" s="1" t="s">
        <v>1146</v>
      </c>
      <c r="E298">
        <v>63</v>
      </c>
      <c r="F298" s="1" t="s">
        <v>807</v>
      </c>
      <c r="G298" s="1" t="s">
        <v>1146</v>
      </c>
      <c r="H298" s="1" t="s">
        <v>31</v>
      </c>
      <c r="I298">
        <v>-11.387295999999999</v>
      </c>
      <c r="J298">
        <v>19.384257999999999</v>
      </c>
      <c r="K298" s="1" t="s">
        <v>1500</v>
      </c>
      <c r="L298" s="1" t="s">
        <v>1499</v>
      </c>
    </row>
    <row r="299" spans="1:12" x14ac:dyDescent="0.3">
      <c r="A299" s="1" t="s">
        <v>1240</v>
      </c>
      <c r="B299" s="2">
        <v>45217</v>
      </c>
      <c r="C299" s="3">
        <v>0.77569444444444446</v>
      </c>
      <c r="D299" s="1" t="s">
        <v>965</v>
      </c>
      <c r="E299">
        <v>84</v>
      </c>
      <c r="F299" s="1" t="s">
        <v>807</v>
      </c>
      <c r="G299" s="1" t="s">
        <v>965</v>
      </c>
      <c r="H299" s="1" t="s">
        <v>78</v>
      </c>
      <c r="I299">
        <v>-2.3743210000000001</v>
      </c>
      <c r="J299">
        <v>22.399491000000001</v>
      </c>
      <c r="K299" s="1" t="s">
        <v>1495</v>
      </c>
      <c r="L299" s="1" t="s">
        <v>1496</v>
      </c>
    </row>
    <row r="300" spans="1:12" x14ac:dyDescent="0.3">
      <c r="A300" s="1" t="s">
        <v>1240</v>
      </c>
      <c r="B300" s="2">
        <v>45223</v>
      </c>
      <c r="C300" s="3">
        <v>0.5541666666666667</v>
      </c>
      <c r="D300" s="1" t="s">
        <v>1263</v>
      </c>
      <c r="E300">
        <v>86</v>
      </c>
      <c r="F300" s="1" t="s">
        <v>810</v>
      </c>
      <c r="G300" s="1" t="s">
        <v>1263</v>
      </c>
      <c r="H300" s="1" t="s">
        <v>31</v>
      </c>
      <c r="I300">
        <v>-12.050063</v>
      </c>
      <c r="J300">
        <v>26.636987999999999</v>
      </c>
      <c r="K300" s="1" t="s">
        <v>1500</v>
      </c>
      <c r="L300" s="1" t="s">
        <v>1508</v>
      </c>
    </row>
    <row r="301" spans="1:12" x14ac:dyDescent="0.3">
      <c r="A301" s="1" t="s">
        <v>1240</v>
      </c>
      <c r="B301" s="2">
        <v>45204</v>
      </c>
      <c r="C301" s="3">
        <v>0.26458333333333334</v>
      </c>
      <c r="D301" s="1" t="s">
        <v>1193</v>
      </c>
      <c r="E301">
        <v>90</v>
      </c>
      <c r="F301" s="1" t="s">
        <v>812</v>
      </c>
      <c r="G301" s="1" t="s">
        <v>1193</v>
      </c>
      <c r="H301" s="1" t="s">
        <v>137</v>
      </c>
      <c r="I301">
        <v>2.0392079999999999</v>
      </c>
      <c r="J301">
        <v>19.090841999999999</v>
      </c>
      <c r="K301" s="1" t="s">
        <v>1498</v>
      </c>
      <c r="L301" s="1" t="s">
        <v>1508</v>
      </c>
    </row>
    <row r="302" spans="1:12" x14ac:dyDescent="0.3">
      <c r="A302" s="1" t="s">
        <v>1240</v>
      </c>
      <c r="B302" s="2">
        <v>45226</v>
      </c>
      <c r="C302" s="3">
        <v>0.31319444444444444</v>
      </c>
      <c r="D302" s="1" t="s">
        <v>1265</v>
      </c>
      <c r="E302">
        <v>66</v>
      </c>
      <c r="F302" s="1" t="s">
        <v>812</v>
      </c>
      <c r="G302" s="1" t="s">
        <v>1265</v>
      </c>
      <c r="H302" s="1" t="s">
        <v>60</v>
      </c>
      <c r="I302">
        <v>-12.839263000000001</v>
      </c>
      <c r="J302">
        <v>12.355677</v>
      </c>
      <c r="K302" s="1" t="s">
        <v>1500</v>
      </c>
      <c r="L302" s="1" t="s">
        <v>1499</v>
      </c>
    </row>
    <row r="303" spans="1:12" x14ac:dyDescent="0.3">
      <c r="A303" s="1" t="s">
        <v>1240</v>
      </c>
      <c r="B303" s="2">
        <v>45210</v>
      </c>
      <c r="C303" s="3">
        <v>0.36666666666666664</v>
      </c>
      <c r="D303" s="1" t="s">
        <v>1267</v>
      </c>
      <c r="E303">
        <v>67</v>
      </c>
      <c r="F303" s="1" t="s">
        <v>810</v>
      </c>
      <c r="G303" s="1" t="s">
        <v>1267</v>
      </c>
      <c r="H303" s="1" t="s">
        <v>137</v>
      </c>
      <c r="I303">
        <v>-8.0301989999999996</v>
      </c>
      <c r="J303">
        <v>24.122495000000001</v>
      </c>
      <c r="K303" s="1" t="s">
        <v>1495</v>
      </c>
      <c r="L303" s="1" t="s">
        <v>1501</v>
      </c>
    </row>
    <row r="304" spans="1:12" x14ac:dyDescent="0.3">
      <c r="A304" s="1" t="s">
        <v>1268</v>
      </c>
      <c r="B304" s="2">
        <v>45225</v>
      </c>
      <c r="C304" s="3">
        <v>0.94861111111111107</v>
      </c>
      <c r="D304" s="1" t="s">
        <v>1270</v>
      </c>
      <c r="E304">
        <v>30</v>
      </c>
      <c r="F304" s="1" t="s">
        <v>807</v>
      </c>
      <c r="G304" s="1" t="s">
        <v>1270</v>
      </c>
      <c r="H304" s="1" t="s">
        <v>40</v>
      </c>
      <c r="I304">
        <v>-10.653247</v>
      </c>
      <c r="J304">
        <v>14.685601</v>
      </c>
      <c r="K304" s="1" t="s">
        <v>1498</v>
      </c>
      <c r="L304" s="1" t="s">
        <v>1496</v>
      </c>
    </row>
    <row r="305" spans="1:12" x14ac:dyDescent="0.3">
      <c r="A305" s="1" t="s">
        <v>1268</v>
      </c>
      <c r="B305" s="2">
        <v>45202</v>
      </c>
      <c r="C305" s="3">
        <v>0.69930555555555551</v>
      </c>
      <c r="D305" s="1" t="s">
        <v>1271</v>
      </c>
      <c r="E305">
        <v>63</v>
      </c>
      <c r="F305" s="1" t="s">
        <v>810</v>
      </c>
      <c r="G305" s="1" t="s">
        <v>1271</v>
      </c>
      <c r="H305" s="1" t="s">
        <v>73</v>
      </c>
      <c r="I305">
        <v>1.400674</v>
      </c>
      <c r="J305">
        <v>13.503126999999999</v>
      </c>
      <c r="K305" s="1" t="s">
        <v>1495</v>
      </c>
      <c r="L305" s="1" t="s">
        <v>1501</v>
      </c>
    </row>
    <row r="306" spans="1:12" x14ac:dyDescent="0.3">
      <c r="A306" s="1" t="s">
        <v>1268</v>
      </c>
      <c r="B306" s="2">
        <v>45211</v>
      </c>
      <c r="C306" s="3">
        <v>4.583333333333333E-2</v>
      </c>
      <c r="D306" s="1" t="s">
        <v>1115</v>
      </c>
      <c r="E306">
        <v>18</v>
      </c>
      <c r="F306" s="1" t="s">
        <v>812</v>
      </c>
      <c r="G306" s="1" t="s">
        <v>1115</v>
      </c>
      <c r="H306" s="1" t="s">
        <v>16</v>
      </c>
      <c r="I306">
        <v>-5.3762689999999997</v>
      </c>
      <c r="J306">
        <v>28.189575999999999</v>
      </c>
      <c r="K306" s="1" t="s">
        <v>1495</v>
      </c>
      <c r="L306" s="1" t="s">
        <v>1499</v>
      </c>
    </row>
    <row r="307" spans="1:12" x14ac:dyDescent="0.3">
      <c r="A307" s="1" t="s">
        <v>1268</v>
      </c>
      <c r="B307" s="2">
        <v>45212</v>
      </c>
      <c r="C307" s="3">
        <v>0.41736111111111113</v>
      </c>
      <c r="D307" s="1" t="s">
        <v>1273</v>
      </c>
      <c r="E307">
        <v>55</v>
      </c>
      <c r="F307" s="1" t="s">
        <v>810</v>
      </c>
      <c r="G307" s="1" t="s">
        <v>1273</v>
      </c>
      <c r="H307" s="1" t="s">
        <v>78</v>
      </c>
      <c r="I307">
        <v>1.938083</v>
      </c>
      <c r="J307">
        <v>28.25281</v>
      </c>
      <c r="K307" s="1" t="s">
        <v>1498</v>
      </c>
      <c r="L307" s="1" t="s">
        <v>1508</v>
      </c>
    </row>
    <row r="308" spans="1:12" x14ac:dyDescent="0.3">
      <c r="A308" s="1" t="s">
        <v>1268</v>
      </c>
      <c r="B308" s="2">
        <v>45214</v>
      </c>
      <c r="C308" s="3">
        <v>0.63472222222222219</v>
      </c>
      <c r="D308" s="1" t="s">
        <v>1275</v>
      </c>
      <c r="E308">
        <v>112</v>
      </c>
      <c r="F308" s="1" t="s">
        <v>810</v>
      </c>
      <c r="G308" s="1" t="s">
        <v>1275</v>
      </c>
      <c r="H308" s="1" t="s">
        <v>60</v>
      </c>
      <c r="I308">
        <v>-6.1490739999999997</v>
      </c>
      <c r="J308">
        <v>23.304411000000002</v>
      </c>
      <c r="K308" s="1" t="s">
        <v>1495</v>
      </c>
      <c r="L308" s="1" t="s">
        <v>1501</v>
      </c>
    </row>
    <row r="309" spans="1:12" x14ac:dyDescent="0.3">
      <c r="A309" s="1" t="s">
        <v>1268</v>
      </c>
      <c r="B309" s="2">
        <v>45211</v>
      </c>
      <c r="C309" s="3">
        <v>0.72499999999999998</v>
      </c>
      <c r="D309" s="1" t="s">
        <v>1116</v>
      </c>
      <c r="E309">
        <v>84</v>
      </c>
      <c r="F309" s="1" t="s">
        <v>812</v>
      </c>
      <c r="G309" s="1" t="s">
        <v>1116</v>
      </c>
      <c r="H309" s="1" t="s">
        <v>35</v>
      </c>
      <c r="I309">
        <v>-1.4110389999999999</v>
      </c>
      <c r="J309">
        <v>21.261644</v>
      </c>
      <c r="K309" s="1" t="s">
        <v>1498</v>
      </c>
      <c r="L309" s="1" t="s">
        <v>1501</v>
      </c>
    </row>
    <row r="310" spans="1:12" x14ac:dyDescent="0.3">
      <c r="A310" s="1" t="s">
        <v>1268</v>
      </c>
      <c r="B310" s="2">
        <v>45213</v>
      </c>
      <c r="C310" s="3">
        <v>0.23819444444444443</v>
      </c>
      <c r="D310" s="1" t="s">
        <v>1276</v>
      </c>
      <c r="E310">
        <v>53</v>
      </c>
      <c r="F310" s="1" t="s">
        <v>810</v>
      </c>
      <c r="G310" s="1" t="s">
        <v>1276</v>
      </c>
      <c r="H310" s="1" t="s">
        <v>89</v>
      </c>
      <c r="I310">
        <v>-8.4985189999999999</v>
      </c>
      <c r="J310">
        <v>12.929456999999999</v>
      </c>
      <c r="K310" s="1" t="s">
        <v>1498</v>
      </c>
      <c r="L310" s="1" t="s">
        <v>1496</v>
      </c>
    </row>
    <row r="311" spans="1:12" x14ac:dyDescent="0.3">
      <c r="A311" s="1" t="s">
        <v>1268</v>
      </c>
      <c r="B311" s="2">
        <v>45202</v>
      </c>
      <c r="C311" s="3">
        <v>0.8041666666666667</v>
      </c>
      <c r="D311" s="1" t="s">
        <v>1277</v>
      </c>
      <c r="E311">
        <v>115</v>
      </c>
      <c r="F311" s="1" t="s">
        <v>810</v>
      </c>
      <c r="G311" s="1" t="s">
        <v>1277</v>
      </c>
      <c r="H311" s="1" t="s">
        <v>127</v>
      </c>
      <c r="I311">
        <v>1.2391989999999999</v>
      </c>
      <c r="J311">
        <v>15.386718999999999</v>
      </c>
      <c r="K311" s="1" t="s">
        <v>1495</v>
      </c>
      <c r="L311" s="1" t="s">
        <v>1501</v>
      </c>
    </row>
    <row r="312" spans="1:12" x14ac:dyDescent="0.3">
      <c r="A312" s="1" t="s">
        <v>1268</v>
      </c>
      <c r="B312" s="2">
        <v>45204</v>
      </c>
      <c r="C312" s="3">
        <v>0.53125</v>
      </c>
      <c r="D312" s="1" t="s">
        <v>975</v>
      </c>
      <c r="E312">
        <v>47</v>
      </c>
      <c r="F312" s="1" t="s">
        <v>807</v>
      </c>
      <c r="G312" s="1" t="s">
        <v>975</v>
      </c>
      <c r="H312" s="1" t="s">
        <v>131</v>
      </c>
      <c r="I312">
        <v>-12.336202</v>
      </c>
      <c r="J312">
        <v>13.693683999999999</v>
      </c>
      <c r="K312" s="1" t="s">
        <v>1495</v>
      </c>
      <c r="L312" s="1" t="s">
        <v>1499</v>
      </c>
    </row>
    <row r="313" spans="1:12" x14ac:dyDescent="0.3">
      <c r="A313" s="1" t="s">
        <v>1268</v>
      </c>
      <c r="B313" s="2">
        <v>45211</v>
      </c>
      <c r="C313" s="3">
        <v>0.12847222222222221</v>
      </c>
      <c r="D313" s="1" t="s">
        <v>1281</v>
      </c>
      <c r="E313">
        <v>110</v>
      </c>
      <c r="F313" s="1" t="s">
        <v>810</v>
      </c>
      <c r="G313" s="1" t="s">
        <v>1281</v>
      </c>
      <c r="H313" s="1" t="s">
        <v>21</v>
      </c>
      <c r="I313">
        <v>2.453036</v>
      </c>
      <c r="J313">
        <v>20.555484</v>
      </c>
      <c r="K313" s="1" t="s">
        <v>1495</v>
      </c>
      <c r="L313" s="1" t="s">
        <v>1496</v>
      </c>
    </row>
    <row r="314" spans="1:12" x14ac:dyDescent="0.3">
      <c r="A314" s="1" t="s">
        <v>1268</v>
      </c>
      <c r="B314" s="2">
        <v>45211</v>
      </c>
      <c r="C314" s="3">
        <v>0.33750000000000002</v>
      </c>
      <c r="D314" s="1" t="s">
        <v>1282</v>
      </c>
      <c r="E314">
        <v>88</v>
      </c>
      <c r="F314" s="1" t="s">
        <v>810</v>
      </c>
      <c r="G314" s="1" t="s">
        <v>1282</v>
      </c>
      <c r="H314" s="1" t="s">
        <v>10</v>
      </c>
      <c r="I314">
        <v>-12.364127999999999</v>
      </c>
      <c r="J314">
        <v>19.576150999999999</v>
      </c>
      <c r="K314" s="1" t="s">
        <v>1500</v>
      </c>
      <c r="L314" s="1" t="s">
        <v>1508</v>
      </c>
    </row>
    <row r="315" spans="1:12" x14ac:dyDescent="0.3">
      <c r="A315" s="1" t="s">
        <v>1268</v>
      </c>
      <c r="B315" s="2">
        <v>45219</v>
      </c>
      <c r="C315" s="3">
        <v>0.82638888888888884</v>
      </c>
      <c r="D315" s="1" t="s">
        <v>847</v>
      </c>
      <c r="E315">
        <v>93</v>
      </c>
      <c r="F315" s="1" t="s">
        <v>812</v>
      </c>
      <c r="G315" s="1" t="s">
        <v>847</v>
      </c>
      <c r="H315" s="1" t="s">
        <v>21</v>
      </c>
      <c r="I315">
        <v>4.2493650000000001</v>
      </c>
      <c r="J315">
        <v>28.355039999999999</v>
      </c>
      <c r="K315" s="1" t="s">
        <v>1500</v>
      </c>
      <c r="L315" s="1" t="s">
        <v>1501</v>
      </c>
    </row>
    <row r="316" spans="1:12" x14ac:dyDescent="0.3">
      <c r="A316" s="1" t="s">
        <v>1268</v>
      </c>
      <c r="B316" s="2">
        <v>45209</v>
      </c>
      <c r="C316" s="3">
        <v>0.55833333333333335</v>
      </c>
      <c r="D316" s="1" t="s">
        <v>1287</v>
      </c>
      <c r="E316">
        <v>66</v>
      </c>
      <c r="F316" s="1" t="s">
        <v>810</v>
      </c>
      <c r="G316" s="1" t="s">
        <v>1287</v>
      </c>
      <c r="H316" s="1" t="s">
        <v>10</v>
      </c>
      <c r="I316">
        <v>-12.595355</v>
      </c>
      <c r="J316">
        <v>17.897442000000002</v>
      </c>
      <c r="K316" s="1" t="s">
        <v>1498</v>
      </c>
      <c r="L316" s="1" t="s">
        <v>1499</v>
      </c>
    </row>
    <row r="317" spans="1:12" x14ac:dyDescent="0.3">
      <c r="A317" s="1" t="s">
        <v>1268</v>
      </c>
      <c r="B317" s="2">
        <v>45224</v>
      </c>
      <c r="C317" s="3">
        <v>0.11527777777777778</v>
      </c>
      <c r="D317" s="1" t="s">
        <v>1288</v>
      </c>
      <c r="E317">
        <v>45</v>
      </c>
      <c r="F317" s="1" t="s">
        <v>810</v>
      </c>
      <c r="G317" s="1" t="s">
        <v>1288</v>
      </c>
      <c r="H317" s="1" t="s">
        <v>73</v>
      </c>
      <c r="I317">
        <v>-11.265995</v>
      </c>
      <c r="J317">
        <v>28.935514999999999</v>
      </c>
      <c r="K317" s="1" t="s">
        <v>1498</v>
      </c>
      <c r="L317" s="1" t="s">
        <v>1496</v>
      </c>
    </row>
    <row r="318" spans="1:12" x14ac:dyDescent="0.3">
      <c r="A318" s="1" t="s">
        <v>1268</v>
      </c>
      <c r="B318" s="2">
        <v>45228</v>
      </c>
      <c r="C318" s="3">
        <v>0.74791666666666667</v>
      </c>
      <c r="D318" s="1" t="s">
        <v>1267</v>
      </c>
      <c r="E318">
        <v>27</v>
      </c>
      <c r="F318" s="1" t="s">
        <v>807</v>
      </c>
      <c r="G318" s="1" t="s">
        <v>1267</v>
      </c>
      <c r="H318" s="1" t="s">
        <v>137</v>
      </c>
      <c r="I318">
        <v>-8.0301989999999996</v>
      </c>
      <c r="J318">
        <v>24.122495000000001</v>
      </c>
      <c r="K318" s="1" t="s">
        <v>1495</v>
      </c>
      <c r="L318" s="1" t="s">
        <v>1501</v>
      </c>
    </row>
    <row r="319" spans="1:12" x14ac:dyDescent="0.3">
      <c r="A319" s="1" t="s">
        <v>1268</v>
      </c>
      <c r="B319" s="2">
        <v>45205</v>
      </c>
      <c r="C319" s="3">
        <v>0.17847222222222223</v>
      </c>
      <c r="D319" s="1" t="s">
        <v>1289</v>
      </c>
      <c r="E319">
        <v>42</v>
      </c>
      <c r="F319" s="1" t="s">
        <v>810</v>
      </c>
      <c r="G319" s="1" t="s">
        <v>1289</v>
      </c>
      <c r="H319" s="1" t="s">
        <v>31</v>
      </c>
      <c r="I319">
        <v>3.611561</v>
      </c>
      <c r="J319">
        <v>17.725974999999998</v>
      </c>
      <c r="K319" s="1" t="s">
        <v>1500</v>
      </c>
      <c r="L319" s="1" t="s">
        <v>1501</v>
      </c>
    </row>
    <row r="320" spans="1:12" x14ac:dyDescent="0.3">
      <c r="A320" s="1" t="s">
        <v>1268</v>
      </c>
      <c r="B320" s="2">
        <v>45209</v>
      </c>
      <c r="C320" s="3">
        <v>0.35486111111111113</v>
      </c>
      <c r="D320" s="1" t="s">
        <v>1223</v>
      </c>
      <c r="E320">
        <v>99</v>
      </c>
      <c r="F320" s="1" t="s">
        <v>810</v>
      </c>
      <c r="G320" s="1" t="s">
        <v>1223</v>
      </c>
      <c r="H320" s="1" t="s">
        <v>64</v>
      </c>
      <c r="I320">
        <v>1.3006180000000001</v>
      </c>
      <c r="J320">
        <v>29.060970999999999</v>
      </c>
      <c r="K320" s="1" t="s">
        <v>1500</v>
      </c>
      <c r="L320" s="1" t="s">
        <v>1501</v>
      </c>
    </row>
    <row r="321" spans="1:12" x14ac:dyDescent="0.3">
      <c r="A321" s="1" t="s">
        <v>1268</v>
      </c>
      <c r="B321" s="2">
        <v>45213</v>
      </c>
      <c r="C321" s="3">
        <v>0.35138888888888886</v>
      </c>
      <c r="D321" s="1" t="s">
        <v>1291</v>
      </c>
      <c r="E321">
        <v>86</v>
      </c>
      <c r="F321" s="1" t="s">
        <v>812</v>
      </c>
      <c r="G321" s="1" t="s">
        <v>1291</v>
      </c>
      <c r="H321" s="1" t="s">
        <v>78</v>
      </c>
      <c r="I321">
        <v>4.8228650000000002</v>
      </c>
      <c r="J321">
        <v>30.555627000000001</v>
      </c>
      <c r="K321" s="1" t="s">
        <v>1498</v>
      </c>
      <c r="L321" s="1" t="s">
        <v>1499</v>
      </c>
    </row>
    <row r="322" spans="1:12" x14ac:dyDescent="0.3">
      <c r="A322" s="1" t="s">
        <v>1268</v>
      </c>
      <c r="B322" s="2">
        <v>45209</v>
      </c>
      <c r="C322" s="3">
        <v>0.65972222222222221</v>
      </c>
      <c r="D322" s="1" t="s">
        <v>1065</v>
      </c>
      <c r="E322">
        <v>67</v>
      </c>
      <c r="F322" s="1" t="s">
        <v>812</v>
      </c>
      <c r="G322" s="1" t="s">
        <v>1065</v>
      </c>
      <c r="H322" s="1" t="s">
        <v>89</v>
      </c>
      <c r="I322">
        <v>-7.7839049999999999</v>
      </c>
      <c r="J322">
        <v>14.114281999999999</v>
      </c>
      <c r="K322" s="1" t="s">
        <v>1500</v>
      </c>
      <c r="L322" s="1" t="s">
        <v>1501</v>
      </c>
    </row>
    <row r="323" spans="1:12" x14ac:dyDescent="0.3">
      <c r="A323" s="1" t="s">
        <v>1268</v>
      </c>
      <c r="B323" s="2">
        <v>45230</v>
      </c>
      <c r="C323" s="3">
        <v>0.32361111111111113</v>
      </c>
      <c r="D323" s="1" t="s">
        <v>948</v>
      </c>
      <c r="E323">
        <v>105</v>
      </c>
      <c r="F323" s="1" t="s">
        <v>807</v>
      </c>
      <c r="G323" s="1" t="s">
        <v>948</v>
      </c>
      <c r="H323" s="1" t="s">
        <v>127</v>
      </c>
      <c r="I323">
        <v>-4.4351269999999996</v>
      </c>
      <c r="J323">
        <v>24.825467</v>
      </c>
      <c r="K323" s="1" t="s">
        <v>1498</v>
      </c>
      <c r="L323" s="1" t="s">
        <v>1499</v>
      </c>
    </row>
    <row r="324" spans="1:12" x14ac:dyDescent="0.3">
      <c r="A324" s="1" t="s">
        <v>1293</v>
      </c>
      <c r="B324" s="2">
        <v>45207</v>
      </c>
      <c r="C324" s="3">
        <v>0.59930555555555554</v>
      </c>
      <c r="D324" s="1" t="s">
        <v>931</v>
      </c>
      <c r="E324">
        <v>59</v>
      </c>
      <c r="F324" s="1" t="s">
        <v>807</v>
      </c>
      <c r="G324" s="1" t="s">
        <v>931</v>
      </c>
      <c r="H324" s="1" t="s">
        <v>131</v>
      </c>
      <c r="I324">
        <v>-10.25074</v>
      </c>
      <c r="J324">
        <v>26.099086</v>
      </c>
      <c r="K324" s="1" t="s">
        <v>1498</v>
      </c>
      <c r="L324" s="1" t="s">
        <v>1499</v>
      </c>
    </row>
    <row r="325" spans="1:12" x14ac:dyDescent="0.3">
      <c r="A325" s="1" t="s">
        <v>1293</v>
      </c>
      <c r="B325" s="2">
        <v>45221</v>
      </c>
      <c r="C325" s="3">
        <v>0.78055555555555556</v>
      </c>
      <c r="D325" s="1" t="s">
        <v>1219</v>
      </c>
      <c r="E325">
        <v>67</v>
      </c>
      <c r="F325" s="1" t="s">
        <v>807</v>
      </c>
      <c r="G325" s="1" t="s">
        <v>1219</v>
      </c>
      <c r="H325" s="1" t="s">
        <v>13</v>
      </c>
      <c r="I325">
        <v>-7.789663</v>
      </c>
      <c r="J325">
        <v>26.529098000000001</v>
      </c>
      <c r="K325" s="1" t="s">
        <v>1495</v>
      </c>
      <c r="L325" s="1" t="s">
        <v>1508</v>
      </c>
    </row>
    <row r="326" spans="1:12" x14ac:dyDescent="0.3">
      <c r="A326" s="1" t="s">
        <v>1293</v>
      </c>
      <c r="B326" s="2">
        <v>45226</v>
      </c>
      <c r="C326" s="3">
        <v>0.96458333333333335</v>
      </c>
      <c r="D326" s="1" t="s">
        <v>1297</v>
      </c>
      <c r="E326">
        <v>27</v>
      </c>
      <c r="F326" s="1" t="s">
        <v>810</v>
      </c>
      <c r="G326" s="1" t="s">
        <v>1297</v>
      </c>
      <c r="H326" s="1" t="s">
        <v>137</v>
      </c>
      <c r="I326">
        <v>-11.354772000000001</v>
      </c>
      <c r="J326">
        <v>21.957325999999998</v>
      </c>
      <c r="K326" s="1" t="s">
        <v>1500</v>
      </c>
      <c r="L326" s="1" t="s">
        <v>1508</v>
      </c>
    </row>
    <row r="327" spans="1:12" x14ac:dyDescent="0.3">
      <c r="A327" s="1" t="s">
        <v>1293</v>
      </c>
      <c r="B327" s="2">
        <v>45222</v>
      </c>
      <c r="C327" s="3">
        <v>0.59722222222222221</v>
      </c>
      <c r="D327" s="1" t="s">
        <v>1002</v>
      </c>
      <c r="E327">
        <v>22</v>
      </c>
      <c r="F327" s="1" t="s">
        <v>810</v>
      </c>
      <c r="G327" s="1" t="s">
        <v>1002</v>
      </c>
      <c r="H327" s="1" t="s">
        <v>131</v>
      </c>
      <c r="I327">
        <v>-1.8555980000000001</v>
      </c>
      <c r="J327">
        <v>30.421918000000002</v>
      </c>
      <c r="K327" s="1" t="s">
        <v>1500</v>
      </c>
      <c r="L327" s="1" t="s">
        <v>1501</v>
      </c>
    </row>
    <row r="328" spans="1:12" x14ac:dyDescent="0.3">
      <c r="A328" s="1" t="s">
        <v>1293</v>
      </c>
      <c r="B328" s="2">
        <v>45202</v>
      </c>
      <c r="C328" s="3">
        <v>0.37638888888888888</v>
      </c>
      <c r="D328" s="1" t="s">
        <v>1300</v>
      </c>
      <c r="E328">
        <v>28</v>
      </c>
      <c r="F328" s="1" t="s">
        <v>807</v>
      </c>
      <c r="G328" s="1" t="s">
        <v>1300</v>
      </c>
      <c r="H328" s="1" t="s">
        <v>51</v>
      </c>
      <c r="I328">
        <v>-7.402336</v>
      </c>
      <c r="J328">
        <v>27.376697</v>
      </c>
      <c r="K328" s="1" t="s">
        <v>1498</v>
      </c>
      <c r="L328" s="1" t="s">
        <v>1499</v>
      </c>
    </row>
    <row r="329" spans="1:12" x14ac:dyDescent="0.3">
      <c r="A329" s="1" t="s">
        <v>1293</v>
      </c>
      <c r="B329" s="2">
        <v>45200</v>
      </c>
      <c r="C329" s="3">
        <v>0.44513888888888886</v>
      </c>
      <c r="D329" s="1" t="s">
        <v>1301</v>
      </c>
      <c r="E329">
        <v>112</v>
      </c>
      <c r="F329" s="1" t="s">
        <v>807</v>
      </c>
      <c r="G329" s="1" t="s">
        <v>1301</v>
      </c>
      <c r="H329" s="1" t="s">
        <v>24</v>
      </c>
      <c r="I329">
        <v>-10.945031</v>
      </c>
      <c r="J329">
        <v>27.922274000000002</v>
      </c>
      <c r="K329" s="1" t="s">
        <v>1498</v>
      </c>
      <c r="L329" s="1" t="s">
        <v>1496</v>
      </c>
    </row>
    <row r="330" spans="1:12" x14ac:dyDescent="0.3">
      <c r="A330" s="1" t="s">
        <v>1293</v>
      </c>
      <c r="B330" s="2">
        <v>45203</v>
      </c>
      <c r="C330" s="3">
        <v>0.91041666666666665</v>
      </c>
      <c r="D330" s="1" t="s">
        <v>1273</v>
      </c>
      <c r="E330">
        <v>62</v>
      </c>
      <c r="F330" s="1" t="s">
        <v>807</v>
      </c>
      <c r="G330" s="1" t="s">
        <v>1273</v>
      </c>
      <c r="H330" s="1" t="s">
        <v>78</v>
      </c>
      <c r="I330">
        <v>1.938083</v>
      </c>
      <c r="J330">
        <v>28.25281</v>
      </c>
      <c r="K330" s="1" t="s">
        <v>1498</v>
      </c>
      <c r="L330" s="1" t="s">
        <v>1508</v>
      </c>
    </row>
    <row r="331" spans="1:12" x14ac:dyDescent="0.3">
      <c r="A331" s="1" t="s">
        <v>1293</v>
      </c>
      <c r="B331" s="2">
        <v>45216</v>
      </c>
      <c r="C331" s="3">
        <v>0.2326388888888889</v>
      </c>
      <c r="D331" s="1" t="s">
        <v>1303</v>
      </c>
      <c r="E331">
        <v>11</v>
      </c>
      <c r="F331" s="1" t="s">
        <v>812</v>
      </c>
      <c r="G331" s="1" t="s">
        <v>1303</v>
      </c>
      <c r="H331" s="1" t="s">
        <v>29</v>
      </c>
      <c r="I331">
        <v>-3.8119990000000001</v>
      </c>
      <c r="J331">
        <v>20.420048000000001</v>
      </c>
      <c r="K331" s="1" t="s">
        <v>1500</v>
      </c>
      <c r="L331" s="1" t="s">
        <v>1501</v>
      </c>
    </row>
    <row r="332" spans="1:12" x14ac:dyDescent="0.3">
      <c r="A332" s="1" t="s">
        <v>1293</v>
      </c>
      <c r="B332" s="2">
        <v>45205</v>
      </c>
      <c r="C332" s="3">
        <v>0.44097222222222221</v>
      </c>
      <c r="D332" s="1" t="s">
        <v>1304</v>
      </c>
      <c r="E332">
        <v>115</v>
      </c>
      <c r="F332" s="1" t="s">
        <v>810</v>
      </c>
      <c r="G332" s="1" t="s">
        <v>1304</v>
      </c>
      <c r="H332" s="1" t="s">
        <v>21</v>
      </c>
      <c r="I332">
        <v>-1.3024210000000001</v>
      </c>
      <c r="J332">
        <v>13.601914000000001</v>
      </c>
      <c r="K332" s="1" t="s">
        <v>1500</v>
      </c>
      <c r="L332" s="1" t="s">
        <v>1499</v>
      </c>
    </row>
    <row r="333" spans="1:12" x14ac:dyDescent="0.3">
      <c r="A333" s="1" t="s">
        <v>1293</v>
      </c>
      <c r="B333" s="2">
        <v>45221</v>
      </c>
      <c r="C333" s="3">
        <v>0.55902777777777779</v>
      </c>
      <c r="D333" s="1" t="s">
        <v>1306</v>
      </c>
      <c r="E333">
        <v>22</v>
      </c>
      <c r="F333" s="1" t="s">
        <v>807</v>
      </c>
      <c r="G333" s="1" t="s">
        <v>1306</v>
      </c>
      <c r="H333" s="1" t="s">
        <v>40</v>
      </c>
      <c r="I333">
        <v>0.65288900000000005</v>
      </c>
      <c r="J333">
        <v>24.243953999999999</v>
      </c>
      <c r="K333" s="1" t="s">
        <v>1495</v>
      </c>
      <c r="L333" s="1" t="s">
        <v>1496</v>
      </c>
    </row>
    <row r="334" spans="1:12" x14ac:dyDescent="0.3">
      <c r="A334" s="1" t="s">
        <v>1293</v>
      </c>
      <c r="B334" s="2">
        <v>45200</v>
      </c>
      <c r="C334" s="3">
        <v>0.98541666666666672</v>
      </c>
      <c r="D334" s="1" t="s">
        <v>997</v>
      </c>
      <c r="E334">
        <v>29</v>
      </c>
      <c r="F334" s="1" t="s">
        <v>812</v>
      </c>
      <c r="G334" s="1" t="s">
        <v>997</v>
      </c>
      <c r="H334" s="1" t="s">
        <v>26</v>
      </c>
      <c r="I334">
        <v>1.5278670000000001</v>
      </c>
      <c r="J334">
        <v>13.899388999999999</v>
      </c>
      <c r="K334" s="1" t="s">
        <v>1500</v>
      </c>
      <c r="L334" s="1" t="s">
        <v>1499</v>
      </c>
    </row>
    <row r="335" spans="1:12" x14ac:dyDescent="0.3">
      <c r="A335" s="1" t="s">
        <v>1293</v>
      </c>
      <c r="B335" s="2">
        <v>45200</v>
      </c>
      <c r="C335" s="3">
        <v>0.92569444444444449</v>
      </c>
      <c r="D335" s="1" t="s">
        <v>814</v>
      </c>
      <c r="E335">
        <v>76</v>
      </c>
      <c r="F335" s="1" t="s">
        <v>812</v>
      </c>
      <c r="G335" s="1" t="s">
        <v>814</v>
      </c>
      <c r="H335" s="1" t="s">
        <v>62</v>
      </c>
      <c r="I335">
        <v>-2.8211520000000001</v>
      </c>
      <c r="J335">
        <v>20.651419000000001</v>
      </c>
      <c r="K335" s="1" t="s">
        <v>1495</v>
      </c>
      <c r="L335" s="1" t="s">
        <v>1496</v>
      </c>
    </row>
    <row r="336" spans="1:12" x14ac:dyDescent="0.3">
      <c r="A336" s="1" t="s">
        <v>1293</v>
      </c>
      <c r="B336" s="2">
        <v>45203</v>
      </c>
      <c r="C336" s="3">
        <v>0.71597222222222223</v>
      </c>
      <c r="D336" s="1" t="s">
        <v>1308</v>
      </c>
      <c r="E336">
        <v>68</v>
      </c>
      <c r="F336" s="1" t="s">
        <v>810</v>
      </c>
      <c r="G336" s="1" t="s">
        <v>1308</v>
      </c>
      <c r="H336" s="1" t="s">
        <v>131</v>
      </c>
      <c r="I336">
        <v>-7.9866700000000002</v>
      </c>
      <c r="J336">
        <v>17.757847000000002</v>
      </c>
      <c r="K336" s="1" t="s">
        <v>1495</v>
      </c>
      <c r="L336" s="1" t="s">
        <v>1499</v>
      </c>
    </row>
    <row r="337" spans="1:12" x14ac:dyDescent="0.3">
      <c r="A337" s="1" t="s">
        <v>1293</v>
      </c>
      <c r="B337" s="2">
        <v>45211</v>
      </c>
      <c r="C337" s="3">
        <v>0.42499999999999999</v>
      </c>
      <c r="D337" s="1" t="s">
        <v>973</v>
      </c>
      <c r="E337">
        <v>57</v>
      </c>
      <c r="F337" s="1" t="s">
        <v>810</v>
      </c>
      <c r="G337" s="1" t="s">
        <v>973</v>
      </c>
      <c r="H337" s="1" t="s">
        <v>73</v>
      </c>
      <c r="I337">
        <v>-4.5603610000000003</v>
      </c>
      <c r="J337">
        <v>24.113918999999999</v>
      </c>
      <c r="K337" s="1" t="s">
        <v>1495</v>
      </c>
      <c r="L337" s="1" t="s">
        <v>1501</v>
      </c>
    </row>
    <row r="338" spans="1:12" x14ac:dyDescent="0.3">
      <c r="A338" s="1" t="s">
        <v>1293</v>
      </c>
      <c r="B338" s="2">
        <v>45221</v>
      </c>
      <c r="C338" s="3">
        <v>0.6479166666666667</v>
      </c>
      <c r="D338" s="1" t="s">
        <v>1310</v>
      </c>
      <c r="E338">
        <v>67</v>
      </c>
      <c r="F338" s="1" t="s">
        <v>807</v>
      </c>
      <c r="G338" s="1" t="s">
        <v>1310</v>
      </c>
      <c r="H338" s="1" t="s">
        <v>127</v>
      </c>
      <c r="I338">
        <v>-11.924048000000001</v>
      </c>
      <c r="J338">
        <v>24.177174999999998</v>
      </c>
      <c r="K338" s="1" t="s">
        <v>1500</v>
      </c>
      <c r="L338" s="1" t="s">
        <v>1508</v>
      </c>
    </row>
    <row r="339" spans="1:12" x14ac:dyDescent="0.3">
      <c r="A339" s="1" t="s">
        <v>1293</v>
      </c>
      <c r="B339" s="2">
        <v>45230</v>
      </c>
      <c r="C339" s="3">
        <v>0.84722222222222221</v>
      </c>
      <c r="D339" s="1" t="s">
        <v>866</v>
      </c>
      <c r="E339">
        <v>58</v>
      </c>
      <c r="F339" s="1" t="s">
        <v>812</v>
      </c>
      <c r="G339" s="1" t="s">
        <v>866</v>
      </c>
      <c r="H339" s="1" t="s">
        <v>51</v>
      </c>
      <c r="I339">
        <v>-5.9021970000000001</v>
      </c>
      <c r="J339">
        <v>20.551169999999999</v>
      </c>
      <c r="K339" s="1" t="s">
        <v>1500</v>
      </c>
      <c r="L339" s="1" t="s">
        <v>1499</v>
      </c>
    </row>
    <row r="340" spans="1:12" x14ac:dyDescent="0.3">
      <c r="A340" s="1" t="s">
        <v>1293</v>
      </c>
      <c r="B340" s="2">
        <v>45219</v>
      </c>
      <c r="C340" s="3">
        <v>0.52708333333333335</v>
      </c>
      <c r="D340" s="1" t="s">
        <v>1215</v>
      </c>
      <c r="E340">
        <v>95</v>
      </c>
      <c r="F340" s="1" t="s">
        <v>807</v>
      </c>
      <c r="G340" s="1" t="s">
        <v>1215</v>
      </c>
      <c r="H340" s="1" t="s">
        <v>127</v>
      </c>
      <c r="I340">
        <v>-7.1483749999999997</v>
      </c>
      <c r="J340">
        <v>26.014271000000001</v>
      </c>
      <c r="K340" s="1" t="s">
        <v>1495</v>
      </c>
      <c r="L340" s="1" t="s">
        <v>1499</v>
      </c>
    </row>
    <row r="341" spans="1:12" x14ac:dyDescent="0.3">
      <c r="A341" s="1" t="s">
        <v>1293</v>
      </c>
      <c r="B341" s="2">
        <v>45212</v>
      </c>
      <c r="C341" s="3">
        <v>0.75486111111111109</v>
      </c>
      <c r="D341" s="1" t="s">
        <v>922</v>
      </c>
      <c r="E341">
        <v>112</v>
      </c>
      <c r="F341" s="1" t="s">
        <v>812</v>
      </c>
      <c r="G341" s="1" t="s">
        <v>922</v>
      </c>
      <c r="H341" s="1" t="s">
        <v>51</v>
      </c>
      <c r="I341">
        <v>2.4741019999999998</v>
      </c>
      <c r="J341">
        <v>29.297391000000001</v>
      </c>
      <c r="K341" s="1" t="s">
        <v>1498</v>
      </c>
      <c r="L341" s="1" t="s">
        <v>1496</v>
      </c>
    </row>
    <row r="342" spans="1:12" x14ac:dyDescent="0.3">
      <c r="A342" s="1" t="s">
        <v>1293</v>
      </c>
      <c r="B342" s="2">
        <v>45221</v>
      </c>
      <c r="C342" s="3">
        <v>0.18055555555555555</v>
      </c>
      <c r="D342" s="1" t="s">
        <v>815</v>
      </c>
      <c r="E342">
        <v>8</v>
      </c>
      <c r="F342" s="1" t="s">
        <v>807</v>
      </c>
      <c r="G342" s="1" t="s">
        <v>815</v>
      </c>
      <c r="H342" s="1" t="s">
        <v>33</v>
      </c>
      <c r="I342">
        <v>-1.648264</v>
      </c>
      <c r="J342">
        <v>28.866143999999998</v>
      </c>
      <c r="K342" s="1" t="s">
        <v>1495</v>
      </c>
      <c r="L342" s="1" t="s">
        <v>1496</v>
      </c>
    </row>
    <row r="343" spans="1:12" x14ac:dyDescent="0.3">
      <c r="A343" s="1" t="s">
        <v>1293</v>
      </c>
      <c r="B343" s="2">
        <v>45203</v>
      </c>
      <c r="C343" s="3">
        <v>0.30486111111111114</v>
      </c>
      <c r="D343" s="1" t="s">
        <v>1217</v>
      </c>
      <c r="E343">
        <v>106</v>
      </c>
      <c r="F343" s="1" t="s">
        <v>810</v>
      </c>
      <c r="G343" s="1" t="s">
        <v>1217</v>
      </c>
      <c r="H343" s="1" t="s">
        <v>37</v>
      </c>
      <c r="I343">
        <v>-11.793894</v>
      </c>
      <c r="J343">
        <v>20.433340999999999</v>
      </c>
      <c r="K343" s="1" t="s">
        <v>1495</v>
      </c>
      <c r="L343" s="1" t="s">
        <v>1508</v>
      </c>
    </row>
    <row r="344" spans="1:12" x14ac:dyDescent="0.3">
      <c r="A344" s="1" t="s">
        <v>1293</v>
      </c>
      <c r="B344" s="2">
        <v>45203</v>
      </c>
      <c r="C344" s="3">
        <v>0.22430555555555556</v>
      </c>
      <c r="D344" s="1" t="s">
        <v>918</v>
      </c>
      <c r="E344">
        <v>102</v>
      </c>
      <c r="F344" s="1" t="s">
        <v>812</v>
      </c>
      <c r="G344" s="1" t="s">
        <v>918</v>
      </c>
      <c r="H344" s="1" t="s">
        <v>21</v>
      </c>
      <c r="I344">
        <v>-9.4702129999999993</v>
      </c>
      <c r="J344">
        <v>12.826158</v>
      </c>
      <c r="K344" s="1" t="s">
        <v>1500</v>
      </c>
      <c r="L344" s="1" t="s">
        <v>1496</v>
      </c>
    </row>
    <row r="345" spans="1:12" x14ac:dyDescent="0.3">
      <c r="A345" s="1" t="s">
        <v>1293</v>
      </c>
      <c r="B345" s="2">
        <v>45222</v>
      </c>
      <c r="C345" s="3">
        <v>0.18888888888888888</v>
      </c>
      <c r="D345" s="1" t="s">
        <v>1115</v>
      </c>
      <c r="E345">
        <v>33</v>
      </c>
      <c r="F345" s="1" t="s">
        <v>807</v>
      </c>
      <c r="G345" s="1" t="s">
        <v>1115</v>
      </c>
      <c r="H345" s="1" t="s">
        <v>16</v>
      </c>
      <c r="I345">
        <v>-5.3762689999999997</v>
      </c>
      <c r="J345">
        <v>28.189575999999999</v>
      </c>
      <c r="K345" s="1" t="s">
        <v>1495</v>
      </c>
      <c r="L345" s="1" t="s">
        <v>1499</v>
      </c>
    </row>
    <row r="346" spans="1:12" x14ac:dyDescent="0.3">
      <c r="A346" s="1" t="s">
        <v>1293</v>
      </c>
      <c r="B346" s="2">
        <v>45212</v>
      </c>
      <c r="C346" s="3">
        <v>0.56805555555555554</v>
      </c>
      <c r="D346" s="1" t="s">
        <v>1313</v>
      </c>
      <c r="E346">
        <v>42</v>
      </c>
      <c r="F346" s="1" t="s">
        <v>810</v>
      </c>
      <c r="G346" s="1" t="s">
        <v>1313</v>
      </c>
      <c r="H346" s="1" t="s">
        <v>33</v>
      </c>
      <c r="I346">
        <v>-7.3379339999999997</v>
      </c>
      <c r="J346">
        <v>28.404001999999998</v>
      </c>
      <c r="K346" s="1" t="s">
        <v>1500</v>
      </c>
      <c r="L346" s="1" t="s">
        <v>1508</v>
      </c>
    </row>
    <row r="347" spans="1:12" x14ac:dyDescent="0.3">
      <c r="A347" s="1" t="s">
        <v>1293</v>
      </c>
      <c r="B347" s="2">
        <v>45204</v>
      </c>
      <c r="C347" s="3">
        <v>0.76666666666666672</v>
      </c>
      <c r="D347" s="1" t="s">
        <v>1314</v>
      </c>
      <c r="E347">
        <v>9</v>
      </c>
      <c r="F347" s="1" t="s">
        <v>812</v>
      </c>
      <c r="G347" s="1" t="s">
        <v>1314</v>
      </c>
      <c r="H347" s="1" t="s">
        <v>33</v>
      </c>
      <c r="I347">
        <v>-12.560556999999999</v>
      </c>
      <c r="J347">
        <v>13.204014000000001</v>
      </c>
      <c r="K347" s="1" t="s">
        <v>1498</v>
      </c>
      <c r="L347" s="1" t="s">
        <v>1496</v>
      </c>
    </row>
    <row r="348" spans="1:12" x14ac:dyDescent="0.3">
      <c r="A348" s="1" t="s">
        <v>1315</v>
      </c>
      <c r="B348" s="2">
        <v>45216</v>
      </c>
      <c r="C348" s="3">
        <v>0.97013888888888888</v>
      </c>
      <c r="D348" s="1" t="s">
        <v>1131</v>
      </c>
      <c r="E348">
        <v>13</v>
      </c>
      <c r="F348" s="1" t="s">
        <v>812</v>
      </c>
      <c r="G348" s="1" t="s">
        <v>1131</v>
      </c>
      <c r="H348" s="1" t="s">
        <v>26</v>
      </c>
      <c r="I348">
        <v>-6.4197189999999997</v>
      </c>
      <c r="J348">
        <v>22.287264</v>
      </c>
      <c r="K348" s="1" t="s">
        <v>1500</v>
      </c>
      <c r="L348" s="1" t="s">
        <v>1496</v>
      </c>
    </row>
    <row r="349" spans="1:12" x14ac:dyDescent="0.3">
      <c r="A349" s="1" t="s">
        <v>1315</v>
      </c>
      <c r="B349" s="2">
        <v>45230</v>
      </c>
      <c r="C349" s="3">
        <v>0.63888888888888884</v>
      </c>
      <c r="D349" s="1" t="s">
        <v>1316</v>
      </c>
      <c r="E349">
        <v>77</v>
      </c>
      <c r="F349" s="1" t="s">
        <v>810</v>
      </c>
      <c r="G349" s="1" t="s">
        <v>1316</v>
      </c>
      <c r="H349" s="1" t="s">
        <v>64</v>
      </c>
      <c r="I349">
        <v>-0.57104900000000003</v>
      </c>
      <c r="J349">
        <v>15.317663</v>
      </c>
      <c r="K349" s="1" t="s">
        <v>1495</v>
      </c>
      <c r="L349" s="1" t="s">
        <v>1508</v>
      </c>
    </row>
    <row r="350" spans="1:12" x14ac:dyDescent="0.3">
      <c r="A350" s="1" t="s">
        <v>1315</v>
      </c>
      <c r="B350" s="2">
        <v>45223</v>
      </c>
      <c r="C350" s="3">
        <v>0.61111111111111116</v>
      </c>
      <c r="D350" s="1" t="s">
        <v>1267</v>
      </c>
      <c r="E350">
        <v>88</v>
      </c>
      <c r="F350" s="1" t="s">
        <v>807</v>
      </c>
      <c r="G350" s="1" t="s">
        <v>1267</v>
      </c>
      <c r="H350" s="1" t="s">
        <v>137</v>
      </c>
      <c r="I350">
        <v>-8.0301989999999996</v>
      </c>
      <c r="J350">
        <v>24.122495000000001</v>
      </c>
      <c r="K350" s="1" t="s">
        <v>1495</v>
      </c>
      <c r="L350" s="1" t="s">
        <v>1501</v>
      </c>
    </row>
    <row r="351" spans="1:12" x14ac:dyDescent="0.3">
      <c r="A351" s="1" t="s">
        <v>1315</v>
      </c>
      <c r="B351" s="2">
        <v>45206</v>
      </c>
      <c r="C351" s="3">
        <v>0.63680555555555551</v>
      </c>
      <c r="D351" s="1" t="s">
        <v>1320</v>
      </c>
      <c r="E351">
        <v>32</v>
      </c>
      <c r="F351" s="1" t="s">
        <v>812</v>
      </c>
      <c r="G351" s="1" t="s">
        <v>1320</v>
      </c>
      <c r="H351" s="1" t="s">
        <v>21</v>
      </c>
      <c r="I351">
        <v>-11.514817000000001</v>
      </c>
      <c r="J351">
        <v>24.891375</v>
      </c>
      <c r="K351" s="1" t="s">
        <v>1500</v>
      </c>
      <c r="L351" s="1" t="s">
        <v>1508</v>
      </c>
    </row>
    <row r="352" spans="1:12" x14ac:dyDescent="0.3">
      <c r="A352" s="1" t="s">
        <v>1315</v>
      </c>
      <c r="B352" s="2">
        <v>45210</v>
      </c>
      <c r="C352" s="3">
        <v>0.38958333333333334</v>
      </c>
      <c r="D352" s="1" t="s">
        <v>994</v>
      </c>
      <c r="E352">
        <v>85</v>
      </c>
      <c r="F352" s="1" t="s">
        <v>807</v>
      </c>
      <c r="G352" s="1" t="s">
        <v>994</v>
      </c>
      <c r="H352" s="1" t="s">
        <v>78</v>
      </c>
      <c r="I352">
        <v>-4.2645619999999997</v>
      </c>
      <c r="J352">
        <v>18.960726000000001</v>
      </c>
      <c r="K352" s="1" t="s">
        <v>1498</v>
      </c>
      <c r="L352" s="1" t="s">
        <v>1499</v>
      </c>
    </row>
    <row r="353" spans="1:12" x14ac:dyDescent="0.3">
      <c r="A353" s="1" t="s">
        <v>1315</v>
      </c>
      <c r="B353" s="2">
        <v>45217</v>
      </c>
      <c r="C353" s="3">
        <v>0.75555555555555554</v>
      </c>
      <c r="D353" s="1" t="s">
        <v>1321</v>
      </c>
      <c r="E353">
        <v>100</v>
      </c>
      <c r="F353" s="1" t="s">
        <v>807</v>
      </c>
      <c r="G353" s="1" t="s">
        <v>1321</v>
      </c>
      <c r="H353" s="1" t="s">
        <v>127</v>
      </c>
      <c r="I353">
        <v>-3.003879</v>
      </c>
      <c r="J353">
        <v>23.633893</v>
      </c>
      <c r="K353" s="1" t="s">
        <v>1495</v>
      </c>
      <c r="L353" s="1" t="s">
        <v>1496</v>
      </c>
    </row>
    <row r="354" spans="1:12" x14ac:dyDescent="0.3">
      <c r="A354" s="1" t="s">
        <v>1315</v>
      </c>
      <c r="B354" s="2">
        <v>45210</v>
      </c>
      <c r="C354" s="3">
        <v>0.90833333333333333</v>
      </c>
      <c r="D354" s="1" t="s">
        <v>1232</v>
      </c>
      <c r="E354">
        <v>57</v>
      </c>
      <c r="F354" s="1" t="s">
        <v>812</v>
      </c>
      <c r="G354" s="1" t="s">
        <v>1232</v>
      </c>
      <c r="H354" s="1" t="s">
        <v>89</v>
      </c>
      <c r="I354">
        <v>8.5490999999999998E-2</v>
      </c>
      <c r="J354">
        <v>26.296129000000001</v>
      </c>
      <c r="K354" s="1" t="s">
        <v>1500</v>
      </c>
      <c r="L354" s="1" t="s">
        <v>1501</v>
      </c>
    </row>
    <row r="355" spans="1:12" x14ac:dyDescent="0.3">
      <c r="A355" s="1" t="s">
        <v>1315</v>
      </c>
      <c r="B355" s="2">
        <v>45220</v>
      </c>
      <c r="C355" s="3">
        <v>0.58402777777777781</v>
      </c>
      <c r="D355" s="1" t="s">
        <v>1323</v>
      </c>
      <c r="E355">
        <v>92</v>
      </c>
      <c r="F355" s="1" t="s">
        <v>812</v>
      </c>
      <c r="G355" s="1" t="s">
        <v>1323</v>
      </c>
      <c r="H355" s="1" t="s">
        <v>89</v>
      </c>
      <c r="I355">
        <v>-11.588665000000001</v>
      </c>
      <c r="J355">
        <v>15.241552</v>
      </c>
      <c r="K355" s="1" t="s">
        <v>1498</v>
      </c>
      <c r="L355" s="1" t="s">
        <v>1508</v>
      </c>
    </row>
    <row r="356" spans="1:12" x14ac:dyDescent="0.3">
      <c r="A356" s="1" t="s">
        <v>1315</v>
      </c>
      <c r="B356" s="2">
        <v>45206</v>
      </c>
      <c r="C356" s="3">
        <v>0.95694444444444449</v>
      </c>
      <c r="D356" s="1" t="s">
        <v>992</v>
      </c>
      <c r="E356">
        <v>32</v>
      </c>
      <c r="F356" s="1" t="s">
        <v>810</v>
      </c>
      <c r="G356" s="1" t="s">
        <v>992</v>
      </c>
      <c r="H356" s="1" t="s">
        <v>44</v>
      </c>
      <c r="I356">
        <v>-9.3652280000000001</v>
      </c>
      <c r="J356">
        <v>18.674116000000001</v>
      </c>
      <c r="K356" s="1" t="s">
        <v>1498</v>
      </c>
      <c r="L356" s="1" t="s">
        <v>1499</v>
      </c>
    </row>
    <row r="357" spans="1:12" x14ac:dyDescent="0.3">
      <c r="A357" s="1" t="s">
        <v>1315</v>
      </c>
      <c r="B357" s="2">
        <v>45220</v>
      </c>
      <c r="C357" s="3">
        <v>0.46944444444444444</v>
      </c>
      <c r="D357" s="1" t="s">
        <v>1071</v>
      </c>
      <c r="E357">
        <v>17</v>
      </c>
      <c r="F357" s="1" t="s">
        <v>810</v>
      </c>
      <c r="G357" s="1" t="s">
        <v>1071</v>
      </c>
      <c r="H357" s="1" t="s">
        <v>21</v>
      </c>
      <c r="I357">
        <v>-1.5419050000000001</v>
      </c>
      <c r="J357">
        <v>14.730632999999999</v>
      </c>
      <c r="K357" s="1" t="s">
        <v>1500</v>
      </c>
      <c r="L357" s="1" t="s">
        <v>1501</v>
      </c>
    </row>
    <row r="358" spans="1:12" x14ac:dyDescent="0.3">
      <c r="A358" s="1" t="s">
        <v>1315</v>
      </c>
      <c r="B358" s="2">
        <v>45201</v>
      </c>
      <c r="C358" s="3">
        <v>0.52777777777777779</v>
      </c>
      <c r="D358" s="1" t="s">
        <v>1327</v>
      </c>
      <c r="E358">
        <v>20</v>
      </c>
      <c r="F358" s="1" t="s">
        <v>810</v>
      </c>
      <c r="G358" s="1" t="s">
        <v>1327</v>
      </c>
      <c r="H358" s="1" t="s">
        <v>26</v>
      </c>
      <c r="I358">
        <v>0.45116099999999998</v>
      </c>
      <c r="J358">
        <v>17.265761000000001</v>
      </c>
      <c r="K358" s="1" t="s">
        <v>1498</v>
      </c>
      <c r="L358" s="1" t="s">
        <v>1499</v>
      </c>
    </row>
    <row r="359" spans="1:12" x14ac:dyDescent="0.3">
      <c r="A359" s="1" t="s">
        <v>1315</v>
      </c>
      <c r="B359" s="2">
        <v>45215</v>
      </c>
      <c r="C359" s="3">
        <v>9.3055555555555558E-2</v>
      </c>
      <c r="D359" s="1" t="s">
        <v>1332</v>
      </c>
      <c r="E359">
        <v>87</v>
      </c>
      <c r="F359" s="1" t="s">
        <v>807</v>
      </c>
      <c r="G359" s="1" t="s">
        <v>1332</v>
      </c>
      <c r="H359" s="1" t="s">
        <v>16</v>
      </c>
      <c r="I359">
        <v>-7.6951369999999999</v>
      </c>
      <c r="J359">
        <v>13.346605</v>
      </c>
      <c r="K359" s="1" t="s">
        <v>1498</v>
      </c>
      <c r="L359" s="1" t="s">
        <v>1496</v>
      </c>
    </row>
    <row r="360" spans="1:12" x14ac:dyDescent="0.3">
      <c r="A360" s="1" t="s">
        <v>1315</v>
      </c>
      <c r="B360" s="2">
        <v>45212</v>
      </c>
      <c r="C360" s="3">
        <v>0.11527777777777778</v>
      </c>
      <c r="D360" s="1" t="s">
        <v>1126</v>
      </c>
      <c r="E360">
        <v>15</v>
      </c>
      <c r="F360" s="1" t="s">
        <v>810</v>
      </c>
      <c r="G360" s="1" t="s">
        <v>1126</v>
      </c>
      <c r="H360" s="1" t="s">
        <v>18</v>
      </c>
      <c r="I360">
        <v>-7.1785899999999998</v>
      </c>
      <c r="J360">
        <v>24.4404</v>
      </c>
      <c r="K360" s="1" t="s">
        <v>1498</v>
      </c>
      <c r="L360" s="1" t="s">
        <v>1508</v>
      </c>
    </row>
    <row r="361" spans="1:12" x14ac:dyDescent="0.3">
      <c r="A361" s="1" t="s">
        <v>1315</v>
      </c>
      <c r="B361" s="2">
        <v>45210</v>
      </c>
      <c r="C361" s="3">
        <v>0.49722222222222223</v>
      </c>
      <c r="D361" s="1" t="s">
        <v>1039</v>
      </c>
      <c r="E361">
        <v>75</v>
      </c>
      <c r="F361" s="1" t="s">
        <v>812</v>
      </c>
      <c r="G361" s="1" t="s">
        <v>1039</v>
      </c>
      <c r="H361" s="1" t="s">
        <v>21</v>
      </c>
      <c r="I361">
        <v>-9.3900009999999998</v>
      </c>
      <c r="J361">
        <v>30.001517</v>
      </c>
      <c r="K361" s="1" t="s">
        <v>1500</v>
      </c>
      <c r="L361" s="1" t="s">
        <v>1508</v>
      </c>
    </row>
    <row r="362" spans="1:12" x14ac:dyDescent="0.3">
      <c r="A362" s="1" t="s">
        <v>1315</v>
      </c>
      <c r="B362" s="2">
        <v>45224</v>
      </c>
      <c r="C362" s="3">
        <v>0.19513888888888889</v>
      </c>
      <c r="D362" s="1" t="s">
        <v>1334</v>
      </c>
      <c r="E362">
        <v>81</v>
      </c>
      <c r="F362" s="1" t="s">
        <v>810</v>
      </c>
      <c r="G362" s="1" t="s">
        <v>1334</v>
      </c>
      <c r="H362" s="1" t="s">
        <v>26</v>
      </c>
      <c r="I362">
        <v>-1.500685</v>
      </c>
      <c r="J362">
        <v>26.563376000000002</v>
      </c>
      <c r="K362" s="1" t="s">
        <v>1495</v>
      </c>
      <c r="L362" s="1" t="s">
        <v>1508</v>
      </c>
    </row>
    <row r="363" spans="1:12" x14ac:dyDescent="0.3">
      <c r="A363" s="1" t="s">
        <v>1335</v>
      </c>
      <c r="B363" s="2">
        <v>45223</v>
      </c>
      <c r="C363" s="3">
        <v>0.29375000000000001</v>
      </c>
      <c r="D363" s="1" t="s">
        <v>1244</v>
      </c>
      <c r="E363">
        <v>42</v>
      </c>
      <c r="F363" s="1" t="s">
        <v>812</v>
      </c>
      <c r="G363" s="1" t="s">
        <v>1244</v>
      </c>
      <c r="H363" s="1" t="s">
        <v>24</v>
      </c>
      <c r="I363">
        <v>-4.4958720000000003</v>
      </c>
      <c r="J363">
        <v>18.514112000000001</v>
      </c>
      <c r="K363" s="1" t="s">
        <v>1498</v>
      </c>
      <c r="L363" s="1" t="s">
        <v>1508</v>
      </c>
    </row>
    <row r="364" spans="1:12" x14ac:dyDescent="0.3">
      <c r="A364" s="1" t="s">
        <v>1335</v>
      </c>
      <c r="B364" s="2">
        <v>45213</v>
      </c>
      <c r="C364" s="3">
        <v>0.1451388888888889</v>
      </c>
      <c r="D364" s="1" t="s">
        <v>1239</v>
      </c>
      <c r="E364">
        <v>105</v>
      </c>
      <c r="F364" s="1" t="s">
        <v>810</v>
      </c>
      <c r="G364" s="1" t="s">
        <v>1239</v>
      </c>
      <c r="H364" s="1" t="s">
        <v>51</v>
      </c>
      <c r="I364">
        <v>-10.939712999999999</v>
      </c>
      <c r="J364">
        <v>18.276230999999999</v>
      </c>
      <c r="K364" s="1" t="s">
        <v>1498</v>
      </c>
      <c r="L364" s="1" t="s">
        <v>1501</v>
      </c>
    </row>
    <row r="365" spans="1:12" x14ac:dyDescent="0.3">
      <c r="A365" s="1" t="s">
        <v>1335</v>
      </c>
      <c r="B365" s="2">
        <v>45209</v>
      </c>
      <c r="C365" s="3">
        <v>0.90763888888888888</v>
      </c>
      <c r="D365" s="1" t="s">
        <v>1338</v>
      </c>
      <c r="E365">
        <v>99</v>
      </c>
      <c r="F365" s="1" t="s">
        <v>812</v>
      </c>
      <c r="G365" s="1" t="s">
        <v>1338</v>
      </c>
      <c r="H365" s="1" t="s">
        <v>29</v>
      </c>
      <c r="I365">
        <v>-7.6757720000000003</v>
      </c>
      <c r="J365">
        <v>30.222971000000001</v>
      </c>
      <c r="K365" s="1" t="s">
        <v>1495</v>
      </c>
      <c r="L365" s="1" t="s">
        <v>1496</v>
      </c>
    </row>
    <row r="366" spans="1:12" x14ac:dyDescent="0.3">
      <c r="A366" s="1" t="s">
        <v>1335</v>
      </c>
      <c r="B366" s="2">
        <v>45216</v>
      </c>
      <c r="C366" s="3">
        <v>0.70138888888888884</v>
      </c>
      <c r="D366" s="1" t="s">
        <v>937</v>
      </c>
      <c r="E366">
        <v>80</v>
      </c>
      <c r="F366" s="1" t="s">
        <v>807</v>
      </c>
      <c r="G366" s="1" t="s">
        <v>937</v>
      </c>
      <c r="H366" s="1" t="s">
        <v>13</v>
      </c>
      <c r="I366">
        <v>-11.622688999999999</v>
      </c>
      <c r="J366">
        <v>18.483874</v>
      </c>
      <c r="K366" s="1" t="s">
        <v>1495</v>
      </c>
      <c r="L366" s="1" t="s">
        <v>1501</v>
      </c>
    </row>
    <row r="367" spans="1:12" x14ac:dyDescent="0.3">
      <c r="A367" s="1" t="s">
        <v>1335</v>
      </c>
      <c r="B367" s="2">
        <v>45226</v>
      </c>
      <c r="C367" s="3">
        <v>0.96944444444444444</v>
      </c>
      <c r="D367" s="1" t="s">
        <v>960</v>
      </c>
      <c r="E367">
        <v>68</v>
      </c>
      <c r="F367" s="1" t="s">
        <v>807</v>
      </c>
      <c r="G367" s="1" t="s">
        <v>960</v>
      </c>
      <c r="H367" s="1" t="s">
        <v>73</v>
      </c>
      <c r="I367">
        <v>3.0603760000000002</v>
      </c>
      <c r="J367">
        <v>19.708034000000001</v>
      </c>
      <c r="K367" s="1" t="s">
        <v>1500</v>
      </c>
      <c r="L367" s="1" t="s">
        <v>1501</v>
      </c>
    </row>
    <row r="368" spans="1:12" x14ac:dyDescent="0.3">
      <c r="A368" s="1" t="s">
        <v>1335</v>
      </c>
      <c r="B368" s="2">
        <v>45205</v>
      </c>
      <c r="C368" s="3">
        <v>0.46388888888888891</v>
      </c>
      <c r="D368" s="1" t="s">
        <v>1341</v>
      </c>
      <c r="E368">
        <v>103</v>
      </c>
      <c r="F368" s="1" t="s">
        <v>807</v>
      </c>
      <c r="G368" s="1" t="s">
        <v>1341</v>
      </c>
      <c r="H368" s="1" t="s">
        <v>131</v>
      </c>
      <c r="I368">
        <v>-0.17258100000000001</v>
      </c>
      <c r="J368">
        <v>23.775555000000001</v>
      </c>
      <c r="K368" s="1" t="s">
        <v>1495</v>
      </c>
      <c r="L368" s="1" t="s">
        <v>1508</v>
      </c>
    </row>
    <row r="369" spans="1:12" x14ac:dyDescent="0.3">
      <c r="A369" s="1" t="s">
        <v>1335</v>
      </c>
      <c r="B369" s="2">
        <v>45228</v>
      </c>
      <c r="C369" s="3">
        <v>0.15902777777777777</v>
      </c>
      <c r="D369" s="1" t="s">
        <v>1211</v>
      </c>
      <c r="E369">
        <v>30</v>
      </c>
      <c r="F369" s="1" t="s">
        <v>807</v>
      </c>
      <c r="G369" s="1" t="s">
        <v>1211</v>
      </c>
      <c r="H369" s="1" t="s">
        <v>51</v>
      </c>
      <c r="I369">
        <v>0.62055499999999997</v>
      </c>
      <c r="J369">
        <v>21.222035000000002</v>
      </c>
      <c r="K369" s="1" t="s">
        <v>1495</v>
      </c>
      <c r="L369" s="1" t="s">
        <v>1508</v>
      </c>
    </row>
    <row r="370" spans="1:12" x14ac:dyDescent="0.3">
      <c r="A370" s="1" t="s">
        <v>1335</v>
      </c>
      <c r="B370" s="2">
        <v>45216</v>
      </c>
      <c r="C370" s="3">
        <v>9.4444444444444442E-2</v>
      </c>
      <c r="D370" s="1" t="s">
        <v>1344</v>
      </c>
      <c r="E370">
        <v>74</v>
      </c>
      <c r="F370" s="1" t="s">
        <v>807</v>
      </c>
      <c r="G370" s="1" t="s">
        <v>1344</v>
      </c>
      <c r="H370" s="1" t="s">
        <v>67</v>
      </c>
      <c r="I370">
        <v>4.8265669999999998</v>
      </c>
      <c r="J370">
        <v>28.535277000000001</v>
      </c>
      <c r="K370" s="1" t="s">
        <v>1500</v>
      </c>
      <c r="L370" s="1" t="s">
        <v>1499</v>
      </c>
    </row>
    <row r="371" spans="1:12" x14ac:dyDescent="0.3">
      <c r="A371" s="1" t="s">
        <v>1335</v>
      </c>
      <c r="B371" s="2">
        <v>45222</v>
      </c>
      <c r="C371" s="3">
        <v>0.77777777777777779</v>
      </c>
      <c r="D371" s="1" t="s">
        <v>1345</v>
      </c>
      <c r="E371">
        <v>102</v>
      </c>
      <c r="F371" s="1" t="s">
        <v>812</v>
      </c>
      <c r="G371" s="1" t="s">
        <v>1345</v>
      </c>
      <c r="H371" s="1" t="s">
        <v>18</v>
      </c>
      <c r="I371">
        <v>-1.3938550000000001</v>
      </c>
      <c r="J371">
        <v>15.097554000000001</v>
      </c>
      <c r="K371" s="1" t="s">
        <v>1498</v>
      </c>
      <c r="L371" s="1" t="s">
        <v>1499</v>
      </c>
    </row>
    <row r="372" spans="1:12" x14ac:dyDescent="0.3">
      <c r="A372" s="1" t="s">
        <v>1335</v>
      </c>
      <c r="B372" s="2">
        <v>45202</v>
      </c>
      <c r="C372" s="3">
        <v>0.64513888888888893</v>
      </c>
      <c r="D372" s="1" t="s">
        <v>1346</v>
      </c>
      <c r="E372">
        <v>106</v>
      </c>
      <c r="F372" s="1" t="s">
        <v>812</v>
      </c>
      <c r="G372" s="1" t="s">
        <v>1346</v>
      </c>
      <c r="H372" s="1" t="s">
        <v>62</v>
      </c>
      <c r="I372">
        <v>1.981107</v>
      </c>
      <c r="J372">
        <v>23.932569000000001</v>
      </c>
      <c r="K372" s="1" t="s">
        <v>1500</v>
      </c>
      <c r="L372" s="1" t="s">
        <v>1508</v>
      </c>
    </row>
    <row r="373" spans="1:12" x14ac:dyDescent="0.3">
      <c r="A373" s="1" t="s">
        <v>1335</v>
      </c>
      <c r="B373" s="2">
        <v>45216</v>
      </c>
      <c r="C373" s="3">
        <v>0.46041666666666664</v>
      </c>
      <c r="D373" s="1" t="s">
        <v>1347</v>
      </c>
      <c r="E373">
        <v>36</v>
      </c>
      <c r="F373" s="1" t="s">
        <v>812</v>
      </c>
      <c r="G373" s="1" t="s">
        <v>1347</v>
      </c>
      <c r="H373" s="1" t="s">
        <v>131</v>
      </c>
      <c r="I373">
        <v>-11.231472</v>
      </c>
      <c r="J373">
        <v>25.388874000000001</v>
      </c>
      <c r="K373" s="1" t="s">
        <v>1498</v>
      </c>
      <c r="L373" s="1" t="s">
        <v>1499</v>
      </c>
    </row>
    <row r="374" spans="1:12" x14ac:dyDescent="0.3">
      <c r="A374" s="1" t="s">
        <v>1335</v>
      </c>
      <c r="B374" s="2">
        <v>45211</v>
      </c>
      <c r="C374" s="3">
        <v>0.21944444444444444</v>
      </c>
      <c r="D374" s="1" t="s">
        <v>1349</v>
      </c>
      <c r="E374">
        <v>5</v>
      </c>
      <c r="F374" s="1" t="s">
        <v>807</v>
      </c>
      <c r="G374" s="1" t="s">
        <v>1349</v>
      </c>
      <c r="H374" s="1" t="s">
        <v>131</v>
      </c>
      <c r="I374">
        <v>-8.9586360000000003</v>
      </c>
      <c r="J374">
        <v>17.157720000000001</v>
      </c>
      <c r="K374" s="1" t="s">
        <v>1500</v>
      </c>
      <c r="L374" s="1" t="s">
        <v>1508</v>
      </c>
    </row>
    <row r="375" spans="1:12" x14ac:dyDescent="0.3">
      <c r="A375" s="1" t="s">
        <v>1335</v>
      </c>
      <c r="B375" s="2">
        <v>45229</v>
      </c>
      <c r="C375" s="3">
        <v>6.5972222222222224E-2</v>
      </c>
      <c r="D375" s="1" t="s">
        <v>872</v>
      </c>
      <c r="E375">
        <v>93</v>
      </c>
      <c r="F375" s="1" t="s">
        <v>807</v>
      </c>
      <c r="G375" s="1" t="s">
        <v>872</v>
      </c>
      <c r="H375" s="1" t="s">
        <v>131</v>
      </c>
      <c r="I375">
        <v>0.82868600000000003</v>
      </c>
      <c r="J375">
        <v>26.958843999999999</v>
      </c>
      <c r="K375" s="1" t="s">
        <v>1495</v>
      </c>
      <c r="L375" s="1" t="s">
        <v>1501</v>
      </c>
    </row>
    <row r="376" spans="1:12" x14ac:dyDescent="0.3">
      <c r="A376" s="1" t="s">
        <v>1335</v>
      </c>
      <c r="B376" s="2">
        <v>45229</v>
      </c>
      <c r="C376" s="3">
        <v>0.97222222222222221</v>
      </c>
      <c r="D376" s="1" t="s">
        <v>1276</v>
      </c>
      <c r="E376">
        <v>5</v>
      </c>
      <c r="F376" s="1" t="s">
        <v>812</v>
      </c>
      <c r="G376" s="1" t="s">
        <v>1276</v>
      </c>
      <c r="H376" s="1" t="s">
        <v>89</v>
      </c>
      <c r="I376">
        <v>-8.4985189999999999</v>
      </c>
      <c r="J376">
        <v>12.929456999999999</v>
      </c>
      <c r="K376" s="1" t="s">
        <v>1498</v>
      </c>
      <c r="L376" s="1" t="s">
        <v>1496</v>
      </c>
    </row>
    <row r="377" spans="1:12" x14ac:dyDescent="0.3">
      <c r="A377" s="1" t="s">
        <v>1335</v>
      </c>
      <c r="B377" s="2">
        <v>45208</v>
      </c>
      <c r="C377" s="3">
        <v>0.10833333333333334</v>
      </c>
      <c r="D377" s="1" t="s">
        <v>1356</v>
      </c>
      <c r="E377">
        <v>102</v>
      </c>
      <c r="F377" s="1" t="s">
        <v>810</v>
      </c>
      <c r="G377" s="1" t="s">
        <v>1356</v>
      </c>
      <c r="H377" s="1" t="s">
        <v>21</v>
      </c>
      <c r="I377">
        <v>-1.4700059999999999</v>
      </c>
      <c r="J377">
        <v>18.680958</v>
      </c>
      <c r="K377" s="1" t="s">
        <v>1500</v>
      </c>
      <c r="L377" s="1" t="s">
        <v>1499</v>
      </c>
    </row>
    <row r="378" spans="1:12" x14ac:dyDescent="0.3">
      <c r="A378" s="1" t="s">
        <v>1335</v>
      </c>
      <c r="B378" s="2">
        <v>45221</v>
      </c>
      <c r="C378" s="3">
        <v>4.9305555555555554E-2</v>
      </c>
      <c r="D378" s="1" t="s">
        <v>1141</v>
      </c>
      <c r="E378">
        <v>53</v>
      </c>
      <c r="F378" s="1" t="s">
        <v>810</v>
      </c>
      <c r="G378" s="1" t="s">
        <v>1141</v>
      </c>
      <c r="H378" s="1" t="s">
        <v>137</v>
      </c>
      <c r="I378">
        <v>1.286548</v>
      </c>
      <c r="J378">
        <v>29.823702999999998</v>
      </c>
      <c r="K378" s="1" t="s">
        <v>1498</v>
      </c>
      <c r="L378" s="1" t="s">
        <v>1501</v>
      </c>
    </row>
    <row r="379" spans="1:12" x14ac:dyDescent="0.3">
      <c r="A379" s="1" t="s">
        <v>1335</v>
      </c>
      <c r="B379" s="2">
        <v>45207</v>
      </c>
      <c r="C379" s="3">
        <v>0.66805555555555551</v>
      </c>
      <c r="D379" s="1" t="s">
        <v>1358</v>
      </c>
      <c r="E379">
        <v>113</v>
      </c>
      <c r="F379" s="1" t="s">
        <v>807</v>
      </c>
      <c r="G379" s="1" t="s">
        <v>1358</v>
      </c>
      <c r="H379" s="1" t="s">
        <v>62</v>
      </c>
      <c r="I379">
        <v>-7.1587569999999996</v>
      </c>
      <c r="J379">
        <v>18.975141000000001</v>
      </c>
      <c r="K379" s="1" t="s">
        <v>1495</v>
      </c>
      <c r="L379" s="1" t="s">
        <v>1496</v>
      </c>
    </row>
    <row r="380" spans="1:12" x14ac:dyDescent="0.3">
      <c r="A380" s="1" t="s">
        <v>1335</v>
      </c>
      <c r="B380" s="2">
        <v>45230</v>
      </c>
      <c r="C380" s="3">
        <v>0.50277777777777777</v>
      </c>
      <c r="D380" s="1" t="s">
        <v>1200</v>
      </c>
      <c r="E380">
        <v>99</v>
      </c>
      <c r="F380" s="1" t="s">
        <v>807</v>
      </c>
      <c r="G380" s="1" t="s">
        <v>1200</v>
      </c>
      <c r="H380" s="1" t="s">
        <v>60</v>
      </c>
      <c r="I380">
        <v>-5.7200150000000001</v>
      </c>
      <c r="J380">
        <v>25.022109</v>
      </c>
      <c r="K380" s="1" t="s">
        <v>1495</v>
      </c>
      <c r="L380" s="1" t="s">
        <v>1501</v>
      </c>
    </row>
    <row r="381" spans="1:12" x14ac:dyDescent="0.3">
      <c r="A381" s="1" t="s">
        <v>1335</v>
      </c>
      <c r="B381" s="2">
        <v>45228</v>
      </c>
      <c r="C381" s="3">
        <v>0.62152777777777779</v>
      </c>
      <c r="D381" s="1" t="s">
        <v>871</v>
      </c>
      <c r="E381">
        <v>98</v>
      </c>
      <c r="F381" s="1" t="s">
        <v>812</v>
      </c>
      <c r="G381" s="1" t="s">
        <v>871</v>
      </c>
      <c r="H381" s="1" t="s">
        <v>40</v>
      </c>
      <c r="I381">
        <v>-10.963041</v>
      </c>
      <c r="J381">
        <v>12.269857</v>
      </c>
      <c r="K381" s="1" t="s">
        <v>1498</v>
      </c>
      <c r="L381" s="1" t="s">
        <v>1499</v>
      </c>
    </row>
    <row r="382" spans="1:12" x14ac:dyDescent="0.3">
      <c r="A382" s="1" t="s">
        <v>1335</v>
      </c>
      <c r="B382" s="2">
        <v>45200</v>
      </c>
      <c r="C382" s="3">
        <v>0.46666666666666667</v>
      </c>
      <c r="D382" s="1" t="s">
        <v>1360</v>
      </c>
      <c r="E382">
        <v>31</v>
      </c>
      <c r="F382" s="1" t="s">
        <v>810</v>
      </c>
      <c r="G382" s="1" t="s">
        <v>1360</v>
      </c>
      <c r="H382" s="1" t="s">
        <v>67</v>
      </c>
      <c r="I382">
        <v>-9.5619429999999994</v>
      </c>
      <c r="J382">
        <v>21.445726000000001</v>
      </c>
      <c r="K382" s="1" t="s">
        <v>1498</v>
      </c>
      <c r="L382" s="1" t="s">
        <v>1508</v>
      </c>
    </row>
    <row r="383" spans="1:12" x14ac:dyDescent="0.3">
      <c r="A383" s="1" t="s">
        <v>1361</v>
      </c>
      <c r="B383" s="2">
        <v>45226</v>
      </c>
      <c r="C383" s="3">
        <v>0.20902777777777778</v>
      </c>
      <c r="D383" s="1" t="s">
        <v>1276</v>
      </c>
      <c r="E383">
        <v>81</v>
      </c>
      <c r="F383" s="1" t="s">
        <v>812</v>
      </c>
      <c r="G383" s="1" t="s">
        <v>1276</v>
      </c>
      <c r="H383" s="1" t="s">
        <v>89</v>
      </c>
      <c r="I383">
        <v>-8.4985189999999999</v>
      </c>
      <c r="J383">
        <v>12.929456999999999</v>
      </c>
      <c r="K383" s="1" t="s">
        <v>1498</v>
      </c>
      <c r="L383" s="1" t="s">
        <v>1496</v>
      </c>
    </row>
    <row r="384" spans="1:12" x14ac:dyDescent="0.3">
      <c r="A384" s="1" t="s">
        <v>1361</v>
      </c>
      <c r="B384" s="2">
        <v>45214</v>
      </c>
      <c r="C384" s="3">
        <v>0.74097222222222225</v>
      </c>
      <c r="D384" s="1" t="s">
        <v>1052</v>
      </c>
      <c r="E384">
        <v>8</v>
      </c>
      <c r="F384" s="1" t="s">
        <v>807</v>
      </c>
      <c r="G384" s="1" t="s">
        <v>1052</v>
      </c>
      <c r="H384" s="1" t="s">
        <v>131</v>
      </c>
      <c r="I384">
        <v>-10.846306999999999</v>
      </c>
      <c r="J384">
        <v>19.201827999999999</v>
      </c>
      <c r="K384" s="1" t="s">
        <v>1498</v>
      </c>
      <c r="L384" s="1" t="s">
        <v>1496</v>
      </c>
    </row>
    <row r="385" spans="1:12" x14ac:dyDescent="0.3">
      <c r="A385" s="1" t="s">
        <v>1361</v>
      </c>
      <c r="B385" s="2">
        <v>45214</v>
      </c>
      <c r="C385" s="3">
        <v>0.16041666666666668</v>
      </c>
      <c r="D385" s="1" t="s">
        <v>1248</v>
      </c>
      <c r="E385">
        <v>108</v>
      </c>
      <c r="F385" s="1" t="s">
        <v>812</v>
      </c>
      <c r="G385" s="1" t="s">
        <v>1248</v>
      </c>
      <c r="H385" s="1" t="s">
        <v>16</v>
      </c>
      <c r="I385">
        <v>-11.407966</v>
      </c>
      <c r="J385">
        <v>28.378274000000001</v>
      </c>
      <c r="K385" s="1" t="s">
        <v>1498</v>
      </c>
      <c r="L385" s="1" t="s">
        <v>1501</v>
      </c>
    </row>
    <row r="386" spans="1:12" x14ac:dyDescent="0.3">
      <c r="A386" s="1" t="s">
        <v>1361</v>
      </c>
      <c r="B386" s="2">
        <v>45225</v>
      </c>
      <c r="C386" s="3">
        <v>0.17152777777777778</v>
      </c>
      <c r="D386" s="1" t="s">
        <v>1364</v>
      </c>
      <c r="E386">
        <v>104</v>
      </c>
      <c r="F386" s="1" t="s">
        <v>810</v>
      </c>
      <c r="G386" s="1" t="s">
        <v>1364</v>
      </c>
      <c r="H386" s="1" t="s">
        <v>62</v>
      </c>
      <c r="I386">
        <v>1.2463919999999999</v>
      </c>
      <c r="J386">
        <v>13.266916999999999</v>
      </c>
      <c r="K386" s="1" t="s">
        <v>1495</v>
      </c>
      <c r="L386" s="1" t="s">
        <v>1499</v>
      </c>
    </row>
    <row r="387" spans="1:12" x14ac:dyDescent="0.3">
      <c r="A387" s="1" t="s">
        <v>1361</v>
      </c>
      <c r="B387" s="2">
        <v>45200</v>
      </c>
      <c r="C387" s="3">
        <v>7.8472222222222221E-2</v>
      </c>
      <c r="D387" s="1" t="s">
        <v>1045</v>
      </c>
      <c r="E387">
        <v>40</v>
      </c>
      <c r="F387" s="1" t="s">
        <v>807</v>
      </c>
      <c r="G387" s="1" t="s">
        <v>1045</v>
      </c>
      <c r="H387" s="1" t="s">
        <v>29</v>
      </c>
      <c r="I387">
        <v>-10.165072</v>
      </c>
      <c r="J387">
        <v>29.428024000000001</v>
      </c>
      <c r="K387" s="1" t="s">
        <v>1495</v>
      </c>
      <c r="L387" s="1" t="s">
        <v>1499</v>
      </c>
    </row>
    <row r="388" spans="1:12" x14ac:dyDescent="0.3">
      <c r="A388" s="1" t="s">
        <v>1361</v>
      </c>
      <c r="B388" s="2">
        <v>45206</v>
      </c>
      <c r="C388" s="3">
        <v>0.51597222222222228</v>
      </c>
      <c r="D388" s="1" t="s">
        <v>1366</v>
      </c>
      <c r="E388">
        <v>108</v>
      </c>
      <c r="F388" s="1" t="s">
        <v>807</v>
      </c>
      <c r="G388" s="1" t="s">
        <v>1366</v>
      </c>
      <c r="H388" s="1" t="s">
        <v>64</v>
      </c>
      <c r="I388">
        <v>-10.227569000000001</v>
      </c>
      <c r="J388">
        <v>18.887930999999998</v>
      </c>
      <c r="K388" s="1" t="s">
        <v>1500</v>
      </c>
      <c r="L388" s="1" t="s">
        <v>1501</v>
      </c>
    </row>
    <row r="389" spans="1:12" x14ac:dyDescent="0.3">
      <c r="A389" s="1" t="s">
        <v>1361</v>
      </c>
      <c r="B389" s="2">
        <v>45221</v>
      </c>
      <c r="C389" s="3">
        <v>0.8618055555555556</v>
      </c>
      <c r="D389" s="1" t="s">
        <v>1367</v>
      </c>
      <c r="E389">
        <v>65</v>
      </c>
      <c r="F389" s="1" t="s">
        <v>807</v>
      </c>
      <c r="G389" s="1" t="s">
        <v>1367</v>
      </c>
      <c r="H389" s="1" t="s">
        <v>37</v>
      </c>
      <c r="I389">
        <v>-3.9148719999999999</v>
      </c>
      <c r="J389">
        <v>12.260933</v>
      </c>
      <c r="K389" s="1" t="s">
        <v>1498</v>
      </c>
      <c r="L389" s="1" t="s">
        <v>1496</v>
      </c>
    </row>
    <row r="390" spans="1:12" x14ac:dyDescent="0.3">
      <c r="A390" s="1" t="s">
        <v>1361</v>
      </c>
      <c r="B390" s="2">
        <v>45202</v>
      </c>
      <c r="C390" s="3">
        <v>0.77569444444444446</v>
      </c>
      <c r="D390" s="1" t="s">
        <v>1346</v>
      </c>
      <c r="E390">
        <v>72</v>
      </c>
      <c r="F390" s="1" t="s">
        <v>807</v>
      </c>
      <c r="G390" s="1" t="s">
        <v>1346</v>
      </c>
      <c r="H390" s="1" t="s">
        <v>62</v>
      </c>
      <c r="I390">
        <v>1.981107</v>
      </c>
      <c r="J390">
        <v>23.932569000000001</v>
      </c>
      <c r="K390" s="1" t="s">
        <v>1500</v>
      </c>
      <c r="L390" s="1" t="s">
        <v>1508</v>
      </c>
    </row>
    <row r="391" spans="1:12" x14ac:dyDescent="0.3">
      <c r="A391" s="1" t="s">
        <v>1361</v>
      </c>
      <c r="B391" s="2">
        <v>45220</v>
      </c>
      <c r="C391" s="3">
        <v>0.61875000000000002</v>
      </c>
      <c r="D391" s="1" t="s">
        <v>1356</v>
      </c>
      <c r="E391">
        <v>79</v>
      </c>
      <c r="F391" s="1" t="s">
        <v>807</v>
      </c>
      <c r="G391" s="1" t="s">
        <v>1356</v>
      </c>
      <c r="H391" s="1" t="s">
        <v>21</v>
      </c>
      <c r="I391">
        <v>-1.4700059999999999</v>
      </c>
      <c r="J391">
        <v>18.680958</v>
      </c>
      <c r="K391" s="1" t="s">
        <v>1500</v>
      </c>
      <c r="L391" s="1" t="s">
        <v>1499</v>
      </c>
    </row>
    <row r="392" spans="1:12" x14ac:dyDescent="0.3">
      <c r="A392" s="1" t="s">
        <v>1361</v>
      </c>
      <c r="B392" s="2">
        <v>45204</v>
      </c>
      <c r="C392" s="3">
        <v>0.12291666666666666</v>
      </c>
      <c r="D392" s="1" t="s">
        <v>1275</v>
      </c>
      <c r="E392">
        <v>34</v>
      </c>
      <c r="F392" s="1" t="s">
        <v>807</v>
      </c>
      <c r="G392" s="1" t="s">
        <v>1275</v>
      </c>
      <c r="H392" s="1" t="s">
        <v>60</v>
      </c>
      <c r="I392">
        <v>-6.1490739999999997</v>
      </c>
      <c r="J392">
        <v>23.304411000000002</v>
      </c>
      <c r="K392" s="1" t="s">
        <v>1495</v>
      </c>
      <c r="L392" s="1" t="s">
        <v>1501</v>
      </c>
    </row>
    <row r="393" spans="1:12" x14ac:dyDescent="0.3">
      <c r="A393" s="1" t="s">
        <v>1361</v>
      </c>
      <c r="B393" s="2">
        <v>45205</v>
      </c>
      <c r="C393" s="3">
        <v>0.76875000000000004</v>
      </c>
      <c r="D393" s="1" t="s">
        <v>1370</v>
      </c>
      <c r="E393">
        <v>36</v>
      </c>
      <c r="F393" s="1" t="s">
        <v>807</v>
      </c>
      <c r="G393" s="1" t="s">
        <v>1370</v>
      </c>
      <c r="H393" s="1" t="s">
        <v>62</v>
      </c>
      <c r="I393">
        <v>-0.469945</v>
      </c>
      <c r="J393">
        <v>21.038527999999999</v>
      </c>
      <c r="K393" s="1" t="s">
        <v>1500</v>
      </c>
      <c r="L393" s="1" t="s">
        <v>1496</v>
      </c>
    </row>
    <row r="394" spans="1:12" x14ac:dyDescent="0.3">
      <c r="A394" s="1" t="s">
        <v>1361</v>
      </c>
      <c r="B394" s="2">
        <v>45205</v>
      </c>
      <c r="C394" s="3">
        <v>0.34513888888888888</v>
      </c>
      <c r="D394" s="1" t="s">
        <v>980</v>
      </c>
      <c r="E394">
        <v>109</v>
      </c>
      <c r="F394" s="1" t="s">
        <v>810</v>
      </c>
      <c r="G394" s="1" t="s">
        <v>980</v>
      </c>
      <c r="H394" s="1" t="s">
        <v>67</v>
      </c>
      <c r="I394">
        <v>-2.2681789999999999</v>
      </c>
      <c r="J394">
        <v>25.699068</v>
      </c>
      <c r="K394" s="1" t="s">
        <v>1500</v>
      </c>
      <c r="L394" s="1" t="s">
        <v>1501</v>
      </c>
    </row>
    <row r="395" spans="1:12" x14ac:dyDescent="0.3">
      <c r="A395" s="1" t="s">
        <v>1361</v>
      </c>
      <c r="B395" s="2">
        <v>45214</v>
      </c>
      <c r="C395" s="3">
        <v>0.16805555555555557</v>
      </c>
      <c r="D395" s="1" t="s">
        <v>1373</v>
      </c>
      <c r="E395">
        <v>106</v>
      </c>
      <c r="F395" s="1" t="s">
        <v>807</v>
      </c>
      <c r="G395" s="1" t="s">
        <v>1373</v>
      </c>
      <c r="H395" s="1" t="s">
        <v>21</v>
      </c>
      <c r="I395">
        <v>-11.207139</v>
      </c>
      <c r="J395">
        <v>18.702511999999999</v>
      </c>
      <c r="K395" s="1" t="s">
        <v>1495</v>
      </c>
      <c r="L395" s="1" t="s">
        <v>1496</v>
      </c>
    </row>
    <row r="396" spans="1:12" x14ac:dyDescent="0.3">
      <c r="A396" s="1" t="s">
        <v>1361</v>
      </c>
      <c r="B396" s="2">
        <v>45215</v>
      </c>
      <c r="C396" s="3">
        <v>0.5805555555555556</v>
      </c>
      <c r="D396" s="1" t="s">
        <v>1037</v>
      </c>
      <c r="E396">
        <v>102</v>
      </c>
      <c r="F396" s="1" t="s">
        <v>812</v>
      </c>
      <c r="G396" s="1" t="s">
        <v>1037</v>
      </c>
      <c r="H396" s="1" t="s">
        <v>73</v>
      </c>
      <c r="I396">
        <v>2.4425979999999998</v>
      </c>
      <c r="J396">
        <v>24.924308</v>
      </c>
      <c r="K396" s="1" t="s">
        <v>1495</v>
      </c>
      <c r="L396" s="1" t="s">
        <v>1496</v>
      </c>
    </row>
    <row r="397" spans="1:12" x14ac:dyDescent="0.3">
      <c r="A397" s="1" t="s">
        <v>1361</v>
      </c>
      <c r="B397" s="2">
        <v>45217</v>
      </c>
      <c r="C397" s="3">
        <v>0.62708333333333333</v>
      </c>
      <c r="D397" s="1" t="s">
        <v>956</v>
      </c>
      <c r="E397">
        <v>33</v>
      </c>
      <c r="F397" s="1" t="s">
        <v>807</v>
      </c>
      <c r="G397" s="1" t="s">
        <v>956</v>
      </c>
      <c r="H397" s="1" t="s">
        <v>127</v>
      </c>
      <c r="I397">
        <v>-1.8045979999999999</v>
      </c>
      <c r="J397">
        <v>12.511096999999999</v>
      </c>
      <c r="K397" s="1" t="s">
        <v>1500</v>
      </c>
      <c r="L397" s="1" t="s">
        <v>1499</v>
      </c>
    </row>
    <row r="398" spans="1:12" x14ac:dyDescent="0.3">
      <c r="A398" s="1" t="s">
        <v>1361</v>
      </c>
      <c r="B398" s="2">
        <v>45202</v>
      </c>
      <c r="C398" s="3">
        <v>0.35</v>
      </c>
      <c r="D398" s="1" t="s">
        <v>1374</v>
      </c>
      <c r="E398">
        <v>78</v>
      </c>
      <c r="F398" s="1" t="s">
        <v>807</v>
      </c>
      <c r="G398" s="1" t="s">
        <v>1374</v>
      </c>
      <c r="H398" s="1" t="s">
        <v>16</v>
      </c>
      <c r="I398">
        <v>4.0988100000000003</v>
      </c>
      <c r="J398">
        <v>29.843810999999999</v>
      </c>
      <c r="K398" s="1" t="s">
        <v>1500</v>
      </c>
      <c r="L398" s="1" t="s">
        <v>1499</v>
      </c>
    </row>
    <row r="399" spans="1:12" x14ac:dyDescent="0.3">
      <c r="A399" s="1" t="s">
        <v>1361</v>
      </c>
      <c r="B399" s="2">
        <v>45204</v>
      </c>
      <c r="C399" s="3">
        <v>0.55000000000000004</v>
      </c>
      <c r="D399" s="1" t="s">
        <v>1031</v>
      </c>
      <c r="E399">
        <v>113</v>
      </c>
      <c r="F399" s="1" t="s">
        <v>810</v>
      </c>
      <c r="G399" s="1" t="s">
        <v>1031</v>
      </c>
      <c r="H399" s="1" t="s">
        <v>62</v>
      </c>
      <c r="I399">
        <v>2.975352</v>
      </c>
      <c r="J399">
        <v>22.535886000000001</v>
      </c>
      <c r="K399" s="1" t="s">
        <v>1498</v>
      </c>
      <c r="L399" s="1" t="s">
        <v>1499</v>
      </c>
    </row>
    <row r="400" spans="1:12" x14ac:dyDescent="0.3">
      <c r="A400" s="1" t="s">
        <v>1361</v>
      </c>
      <c r="B400" s="2">
        <v>45220</v>
      </c>
      <c r="C400" s="3">
        <v>0.67708333333333337</v>
      </c>
      <c r="D400" s="1" t="s">
        <v>1375</v>
      </c>
      <c r="E400">
        <v>107</v>
      </c>
      <c r="F400" s="1" t="s">
        <v>812</v>
      </c>
      <c r="G400" s="1" t="s">
        <v>1375</v>
      </c>
      <c r="H400" s="1" t="s">
        <v>73</v>
      </c>
      <c r="I400">
        <v>-6.4670189999999996</v>
      </c>
      <c r="J400">
        <v>29.487309</v>
      </c>
      <c r="K400" s="1" t="s">
        <v>1498</v>
      </c>
      <c r="L400" s="1" t="s">
        <v>1501</v>
      </c>
    </row>
    <row r="401" spans="1:12" x14ac:dyDescent="0.3">
      <c r="A401" s="1" t="s">
        <v>1361</v>
      </c>
      <c r="B401" s="2">
        <v>45220</v>
      </c>
      <c r="C401" s="3">
        <v>0.74305555555555558</v>
      </c>
      <c r="D401" s="1" t="s">
        <v>1195</v>
      </c>
      <c r="E401">
        <v>54</v>
      </c>
      <c r="F401" s="1" t="s">
        <v>810</v>
      </c>
      <c r="G401" s="1" t="s">
        <v>1195</v>
      </c>
      <c r="H401" s="1" t="s">
        <v>131</v>
      </c>
      <c r="I401">
        <v>-5.42171</v>
      </c>
      <c r="J401">
        <v>24.202960999999998</v>
      </c>
      <c r="K401" s="1" t="s">
        <v>1495</v>
      </c>
      <c r="L401" s="1" t="s">
        <v>1496</v>
      </c>
    </row>
    <row r="402" spans="1:12" x14ac:dyDescent="0.3">
      <c r="A402" s="1" t="s">
        <v>1361</v>
      </c>
      <c r="B402" s="2">
        <v>45200</v>
      </c>
      <c r="C402" s="3">
        <v>0.53472222222222221</v>
      </c>
      <c r="D402" s="1" t="s">
        <v>1376</v>
      </c>
      <c r="E402">
        <v>50</v>
      </c>
      <c r="F402" s="1" t="s">
        <v>812</v>
      </c>
      <c r="G402" s="1" t="s">
        <v>1376</v>
      </c>
      <c r="H402" s="1" t="s">
        <v>13</v>
      </c>
      <c r="I402">
        <v>-7.7587710000000003</v>
      </c>
      <c r="J402">
        <v>17.880848</v>
      </c>
      <c r="K402" s="1" t="s">
        <v>1500</v>
      </c>
      <c r="L402" s="1" t="s">
        <v>1496</v>
      </c>
    </row>
    <row r="403" spans="1:12" x14ac:dyDescent="0.3">
      <c r="A403" s="1" t="s">
        <v>1361</v>
      </c>
      <c r="B403" s="2">
        <v>45222</v>
      </c>
      <c r="C403" s="3">
        <v>0.47916666666666669</v>
      </c>
      <c r="D403" s="1" t="s">
        <v>1377</v>
      </c>
      <c r="E403">
        <v>112</v>
      </c>
      <c r="F403" s="1" t="s">
        <v>810</v>
      </c>
      <c r="G403" s="1" t="s">
        <v>1377</v>
      </c>
      <c r="H403" s="1" t="s">
        <v>127</v>
      </c>
      <c r="I403">
        <v>-8.8118569999999998</v>
      </c>
      <c r="J403">
        <v>14.465711000000001</v>
      </c>
      <c r="K403" s="1" t="s">
        <v>1495</v>
      </c>
      <c r="L403" s="1" t="s">
        <v>1508</v>
      </c>
    </row>
    <row r="404" spans="1:12" x14ac:dyDescent="0.3">
      <c r="A404" s="1" t="s">
        <v>1380</v>
      </c>
      <c r="B404" s="2">
        <v>45226</v>
      </c>
      <c r="C404" s="3">
        <v>0.22500000000000001</v>
      </c>
      <c r="D404" s="1" t="s">
        <v>1381</v>
      </c>
      <c r="E404">
        <v>11</v>
      </c>
      <c r="F404" s="1" t="s">
        <v>810</v>
      </c>
      <c r="G404" s="1" t="s">
        <v>1381</v>
      </c>
      <c r="H404" s="1" t="s">
        <v>35</v>
      </c>
      <c r="I404">
        <v>-0.157111</v>
      </c>
      <c r="J404">
        <v>25.415125</v>
      </c>
      <c r="K404" s="1" t="s">
        <v>1498</v>
      </c>
      <c r="L404" s="1" t="s">
        <v>1496</v>
      </c>
    </row>
    <row r="405" spans="1:12" x14ac:dyDescent="0.3">
      <c r="A405" s="1" t="s">
        <v>1380</v>
      </c>
      <c r="B405" s="2">
        <v>45209</v>
      </c>
      <c r="C405" s="3">
        <v>0.98888888888888893</v>
      </c>
      <c r="D405" s="1" t="s">
        <v>1275</v>
      </c>
      <c r="E405">
        <v>51</v>
      </c>
      <c r="F405" s="1" t="s">
        <v>810</v>
      </c>
      <c r="G405" s="1" t="s">
        <v>1275</v>
      </c>
      <c r="H405" s="1" t="s">
        <v>60</v>
      </c>
      <c r="I405">
        <v>-6.1490739999999997</v>
      </c>
      <c r="J405">
        <v>23.304411000000002</v>
      </c>
      <c r="K405" s="1" t="s">
        <v>1495</v>
      </c>
      <c r="L405" s="1" t="s">
        <v>1501</v>
      </c>
    </row>
    <row r="406" spans="1:12" x14ac:dyDescent="0.3">
      <c r="A406" s="1" t="s">
        <v>1380</v>
      </c>
      <c r="B406" s="2">
        <v>45227</v>
      </c>
      <c r="C406" s="3">
        <v>0.75138888888888888</v>
      </c>
      <c r="D406" s="1" t="s">
        <v>1263</v>
      </c>
      <c r="E406">
        <v>42</v>
      </c>
      <c r="F406" s="1" t="s">
        <v>807</v>
      </c>
      <c r="G406" s="1" t="s">
        <v>1263</v>
      </c>
      <c r="H406" s="1" t="s">
        <v>31</v>
      </c>
      <c r="I406">
        <v>-12.050063</v>
      </c>
      <c r="J406">
        <v>26.636987999999999</v>
      </c>
      <c r="K406" s="1" t="s">
        <v>1500</v>
      </c>
      <c r="L406" s="1" t="s">
        <v>1508</v>
      </c>
    </row>
    <row r="407" spans="1:12" x14ac:dyDescent="0.3">
      <c r="A407" s="1" t="s">
        <v>1380</v>
      </c>
      <c r="B407" s="2">
        <v>45220</v>
      </c>
      <c r="C407" s="3">
        <v>0.75416666666666665</v>
      </c>
      <c r="D407" s="1" t="s">
        <v>947</v>
      </c>
      <c r="E407">
        <v>85</v>
      </c>
      <c r="F407" s="1" t="s">
        <v>807</v>
      </c>
      <c r="G407" s="1" t="s">
        <v>947</v>
      </c>
      <c r="H407" s="1" t="s">
        <v>137</v>
      </c>
      <c r="I407">
        <v>-9.7803979999999999</v>
      </c>
      <c r="J407">
        <v>17.686595000000001</v>
      </c>
      <c r="K407" s="1" t="s">
        <v>1498</v>
      </c>
      <c r="L407" s="1" t="s">
        <v>1496</v>
      </c>
    </row>
    <row r="408" spans="1:12" x14ac:dyDescent="0.3">
      <c r="A408" s="1" t="s">
        <v>1380</v>
      </c>
      <c r="B408" s="2">
        <v>45229</v>
      </c>
      <c r="C408" s="3">
        <v>0.63124999999999998</v>
      </c>
      <c r="D408" s="1" t="s">
        <v>1384</v>
      </c>
      <c r="E408">
        <v>81</v>
      </c>
      <c r="F408" s="1" t="s">
        <v>807</v>
      </c>
      <c r="G408" s="1" t="s">
        <v>1384</v>
      </c>
      <c r="H408" s="1" t="s">
        <v>13</v>
      </c>
      <c r="I408">
        <v>-10.574821</v>
      </c>
      <c r="J408">
        <v>25.324966</v>
      </c>
      <c r="K408" s="1" t="s">
        <v>1495</v>
      </c>
      <c r="L408" s="1" t="s">
        <v>1496</v>
      </c>
    </row>
    <row r="409" spans="1:12" x14ac:dyDescent="0.3">
      <c r="A409" s="1" t="s">
        <v>1380</v>
      </c>
      <c r="B409" s="2">
        <v>45210</v>
      </c>
      <c r="C409" s="3">
        <v>0.96111111111111114</v>
      </c>
      <c r="D409" s="1" t="s">
        <v>972</v>
      </c>
      <c r="E409">
        <v>66</v>
      </c>
      <c r="F409" s="1" t="s">
        <v>807</v>
      </c>
      <c r="G409" s="1" t="s">
        <v>972</v>
      </c>
      <c r="H409" s="1" t="s">
        <v>64</v>
      </c>
      <c r="I409">
        <v>-11.991020000000001</v>
      </c>
      <c r="J409">
        <v>22.514747</v>
      </c>
      <c r="K409" s="1" t="s">
        <v>1495</v>
      </c>
      <c r="L409" s="1" t="s">
        <v>1501</v>
      </c>
    </row>
    <row r="410" spans="1:12" x14ac:dyDescent="0.3">
      <c r="A410" s="1" t="s">
        <v>1380</v>
      </c>
      <c r="B410" s="2">
        <v>45230</v>
      </c>
      <c r="C410" s="3">
        <v>0.11944444444444445</v>
      </c>
      <c r="D410" s="1" t="s">
        <v>991</v>
      </c>
      <c r="E410">
        <v>8</v>
      </c>
      <c r="F410" s="1" t="s">
        <v>810</v>
      </c>
      <c r="G410" s="1" t="s">
        <v>991</v>
      </c>
      <c r="H410" s="1" t="s">
        <v>137</v>
      </c>
      <c r="I410">
        <v>-9.5243310000000001</v>
      </c>
      <c r="J410">
        <v>30.541212000000002</v>
      </c>
      <c r="K410" s="1" t="s">
        <v>1500</v>
      </c>
      <c r="L410" s="1" t="s">
        <v>1496</v>
      </c>
    </row>
    <row r="411" spans="1:12" x14ac:dyDescent="0.3">
      <c r="A411" s="1" t="s">
        <v>1380</v>
      </c>
      <c r="B411" s="2">
        <v>45222</v>
      </c>
      <c r="C411" s="3">
        <v>0.90277777777777779</v>
      </c>
      <c r="D411" s="1" t="s">
        <v>1042</v>
      </c>
      <c r="E411">
        <v>31</v>
      </c>
      <c r="F411" s="1" t="s">
        <v>812</v>
      </c>
      <c r="G411" s="1" t="s">
        <v>1042</v>
      </c>
      <c r="H411" s="1" t="s">
        <v>35</v>
      </c>
      <c r="I411">
        <v>-7.5969509999999998</v>
      </c>
      <c r="J411">
        <v>22.153986</v>
      </c>
      <c r="K411" s="1" t="s">
        <v>1500</v>
      </c>
      <c r="L411" s="1" t="s">
        <v>1496</v>
      </c>
    </row>
    <row r="412" spans="1:12" x14ac:dyDescent="0.3">
      <c r="A412" s="1" t="s">
        <v>1380</v>
      </c>
      <c r="B412" s="2">
        <v>45223</v>
      </c>
      <c r="C412" s="3">
        <v>0.43611111111111112</v>
      </c>
      <c r="D412" s="1" t="s">
        <v>997</v>
      </c>
      <c r="E412">
        <v>26</v>
      </c>
      <c r="F412" s="1" t="s">
        <v>807</v>
      </c>
      <c r="G412" s="1" t="s">
        <v>997</v>
      </c>
      <c r="H412" s="1" t="s">
        <v>26</v>
      </c>
      <c r="I412">
        <v>1.5278670000000001</v>
      </c>
      <c r="J412">
        <v>13.899388999999999</v>
      </c>
      <c r="K412" s="1" t="s">
        <v>1500</v>
      </c>
      <c r="L412" s="1" t="s">
        <v>1499</v>
      </c>
    </row>
    <row r="413" spans="1:12" x14ac:dyDescent="0.3">
      <c r="A413" s="1" t="s">
        <v>1380</v>
      </c>
      <c r="B413" s="2">
        <v>45200</v>
      </c>
      <c r="C413" s="3">
        <v>0.34236111111111112</v>
      </c>
      <c r="D413" s="1" t="s">
        <v>1088</v>
      </c>
      <c r="E413">
        <v>86</v>
      </c>
      <c r="F413" s="1" t="s">
        <v>810</v>
      </c>
      <c r="G413" s="1" t="s">
        <v>1088</v>
      </c>
      <c r="H413" s="1" t="s">
        <v>18</v>
      </c>
      <c r="I413">
        <v>2.628638</v>
      </c>
      <c r="J413">
        <v>28.420582</v>
      </c>
      <c r="K413" s="1" t="s">
        <v>1498</v>
      </c>
      <c r="L413" s="1" t="s">
        <v>1499</v>
      </c>
    </row>
    <row r="414" spans="1:12" x14ac:dyDescent="0.3">
      <c r="A414" s="1" t="s">
        <v>1380</v>
      </c>
      <c r="B414" s="2">
        <v>45228</v>
      </c>
      <c r="C414" s="3">
        <v>0.56319444444444444</v>
      </c>
      <c r="D414" s="1" t="s">
        <v>1288</v>
      </c>
      <c r="E414">
        <v>44</v>
      </c>
      <c r="F414" s="1" t="s">
        <v>807</v>
      </c>
      <c r="G414" s="1" t="s">
        <v>1288</v>
      </c>
      <c r="H414" s="1" t="s">
        <v>73</v>
      </c>
      <c r="I414">
        <v>-11.265995</v>
      </c>
      <c r="J414">
        <v>28.935514999999999</v>
      </c>
      <c r="K414" s="1" t="s">
        <v>1498</v>
      </c>
      <c r="L414" s="1" t="s">
        <v>1496</v>
      </c>
    </row>
    <row r="415" spans="1:12" x14ac:dyDescent="0.3">
      <c r="A415" s="1" t="s">
        <v>1380</v>
      </c>
      <c r="B415" s="2">
        <v>45228</v>
      </c>
      <c r="C415" s="3">
        <v>0.51527777777777772</v>
      </c>
      <c r="D415" s="1" t="s">
        <v>1389</v>
      </c>
      <c r="E415">
        <v>105</v>
      </c>
      <c r="F415" s="1" t="s">
        <v>807</v>
      </c>
      <c r="G415" s="1" t="s">
        <v>1389</v>
      </c>
      <c r="H415" s="1" t="s">
        <v>73</v>
      </c>
      <c r="I415">
        <v>-0.919767</v>
      </c>
      <c r="J415">
        <v>18.905538</v>
      </c>
      <c r="K415" s="1" t="s">
        <v>1495</v>
      </c>
      <c r="L415" s="1" t="s">
        <v>1496</v>
      </c>
    </row>
    <row r="416" spans="1:12" x14ac:dyDescent="0.3">
      <c r="A416" s="1" t="s">
        <v>1380</v>
      </c>
      <c r="B416" s="2">
        <v>45226</v>
      </c>
      <c r="C416" s="3">
        <v>0.65972222222222221</v>
      </c>
      <c r="D416" s="1" t="s">
        <v>1099</v>
      </c>
      <c r="E416">
        <v>65</v>
      </c>
      <c r="F416" s="1" t="s">
        <v>810</v>
      </c>
      <c r="G416" s="1" t="s">
        <v>1099</v>
      </c>
      <c r="H416" s="1" t="s">
        <v>24</v>
      </c>
      <c r="I416">
        <v>-11.594525000000001</v>
      </c>
      <c r="J416">
        <v>29.744895</v>
      </c>
      <c r="K416" s="1" t="s">
        <v>1500</v>
      </c>
      <c r="L416" s="1" t="s">
        <v>1501</v>
      </c>
    </row>
    <row r="417" spans="1:12" x14ac:dyDescent="0.3">
      <c r="A417" s="1" t="s">
        <v>1380</v>
      </c>
      <c r="B417" s="2">
        <v>45227</v>
      </c>
      <c r="C417" s="3">
        <v>0.77847222222222223</v>
      </c>
      <c r="D417" s="1" t="s">
        <v>1245</v>
      </c>
      <c r="E417">
        <v>67</v>
      </c>
      <c r="F417" s="1" t="s">
        <v>812</v>
      </c>
      <c r="G417" s="1" t="s">
        <v>1245</v>
      </c>
      <c r="H417" s="1" t="s">
        <v>44</v>
      </c>
      <c r="I417">
        <v>-0.47411900000000001</v>
      </c>
      <c r="J417">
        <v>27.184329000000002</v>
      </c>
      <c r="K417" s="1" t="s">
        <v>1495</v>
      </c>
      <c r="L417" s="1" t="s">
        <v>1501</v>
      </c>
    </row>
    <row r="418" spans="1:12" x14ac:dyDescent="0.3">
      <c r="A418" s="1" t="s">
        <v>1380</v>
      </c>
      <c r="B418" s="2">
        <v>45225</v>
      </c>
      <c r="C418" s="3">
        <v>5.4166666666666669E-2</v>
      </c>
      <c r="D418" s="1" t="s">
        <v>1392</v>
      </c>
      <c r="E418">
        <v>38</v>
      </c>
      <c r="F418" s="1" t="s">
        <v>812</v>
      </c>
      <c r="G418" s="1" t="s">
        <v>1392</v>
      </c>
      <c r="H418" s="1" t="s">
        <v>137</v>
      </c>
      <c r="I418">
        <v>-4.2184999999999997</v>
      </c>
      <c r="J418">
        <v>23.077093999999999</v>
      </c>
      <c r="K418" s="1" t="s">
        <v>1498</v>
      </c>
      <c r="L418" s="1" t="s">
        <v>1496</v>
      </c>
    </row>
    <row r="419" spans="1:12" x14ac:dyDescent="0.3">
      <c r="A419" s="1" t="s">
        <v>1380</v>
      </c>
      <c r="B419" s="2">
        <v>45230</v>
      </c>
      <c r="C419" s="3">
        <v>0.12777777777777777</v>
      </c>
      <c r="D419" s="1" t="s">
        <v>1301</v>
      </c>
      <c r="E419">
        <v>87</v>
      </c>
      <c r="F419" s="1" t="s">
        <v>812</v>
      </c>
      <c r="G419" s="1" t="s">
        <v>1301</v>
      </c>
      <c r="H419" s="1" t="s">
        <v>24</v>
      </c>
      <c r="I419">
        <v>-10.945031</v>
      </c>
      <c r="J419">
        <v>27.922274000000002</v>
      </c>
      <c r="K419" s="1" t="s">
        <v>1498</v>
      </c>
      <c r="L419" s="1" t="s">
        <v>1496</v>
      </c>
    </row>
    <row r="420" spans="1:12" x14ac:dyDescent="0.3">
      <c r="A420" s="1" t="s">
        <v>1380</v>
      </c>
      <c r="B420" s="2">
        <v>45202</v>
      </c>
      <c r="C420" s="3">
        <v>0.74791666666666667</v>
      </c>
      <c r="D420" s="1" t="s">
        <v>953</v>
      </c>
      <c r="E420">
        <v>28</v>
      </c>
      <c r="F420" s="1" t="s">
        <v>810</v>
      </c>
      <c r="G420" s="1" t="s">
        <v>953</v>
      </c>
      <c r="H420" s="1" t="s">
        <v>33</v>
      </c>
      <c r="I420">
        <v>-3.111418</v>
      </c>
      <c r="J420">
        <v>14.144854</v>
      </c>
      <c r="K420" s="1" t="s">
        <v>1498</v>
      </c>
      <c r="L420" s="1" t="s">
        <v>1501</v>
      </c>
    </row>
    <row r="421" spans="1:12" x14ac:dyDescent="0.3">
      <c r="A421" s="1" t="s">
        <v>1380</v>
      </c>
      <c r="B421" s="2">
        <v>45219</v>
      </c>
      <c r="C421" s="3">
        <v>0.65625</v>
      </c>
      <c r="D421" s="1" t="s">
        <v>1091</v>
      </c>
      <c r="E421">
        <v>118</v>
      </c>
      <c r="F421" s="1" t="s">
        <v>810</v>
      </c>
      <c r="G421" s="1" t="s">
        <v>1091</v>
      </c>
      <c r="H421" s="1" t="s">
        <v>13</v>
      </c>
      <c r="I421">
        <v>-10.577049000000001</v>
      </c>
      <c r="J421">
        <v>23.721854</v>
      </c>
      <c r="K421" s="1" t="s">
        <v>1498</v>
      </c>
      <c r="L421" s="1" t="s">
        <v>1501</v>
      </c>
    </row>
    <row r="422" spans="1:12" x14ac:dyDescent="0.3">
      <c r="A422" s="1" t="s">
        <v>1380</v>
      </c>
      <c r="B422" s="2">
        <v>45200</v>
      </c>
      <c r="C422" s="3">
        <v>0.57013888888888886</v>
      </c>
      <c r="D422" s="1" t="s">
        <v>1394</v>
      </c>
      <c r="E422">
        <v>53</v>
      </c>
      <c r="F422" s="1" t="s">
        <v>812</v>
      </c>
      <c r="G422" s="1" t="s">
        <v>1394</v>
      </c>
      <c r="H422" s="1" t="s">
        <v>62</v>
      </c>
      <c r="I422">
        <v>2.8552499999999998</v>
      </c>
      <c r="J422">
        <v>14.077933</v>
      </c>
      <c r="K422" s="1" t="s">
        <v>1498</v>
      </c>
      <c r="L422" s="1" t="s">
        <v>1501</v>
      </c>
    </row>
    <row r="423" spans="1:12" x14ac:dyDescent="0.3">
      <c r="A423" s="1" t="s">
        <v>1380</v>
      </c>
      <c r="B423" s="2">
        <v>45205</v>
      </c>
      <c r="C423" s="3">
        <v>0.8305555555555556</v>
      </c>
      <c r="D423" s="1" t="s">
        <v>1395</v>
      </c>
      <c r="E423">
        <v>52</v>
      </c>
      <c r="F423" s="1" t="s">
        <v>807</v>
      </c>
      <c r="G423" s="1" t="s">
        <v>1395</v>
      </c>
      <c r="H423" s="1" t="s">
        <v>127</v>
      </c>
      <c r="I423">
        <v>-2.2199559999999998</v>
      </c>
      <c r="J423">
        <v>22.614449</v>
      </c>
      <c r="K423" s="1" t="s">
        <v>1500</v>
      </c>
      <c r="L423" s="1" t="s">
        <v>1508</v>
      </c>
    </row>
    <row r="424" spans="1:12" x14ac:dyDescent="0.3">
      <c r="A424" s="1" t="s">
        <v>1380</v>
      </c>
      <c r="B424" s="2">
        <v>45213</v>
      </c>
      <c r="C424" s="3">
        <v>0.21041666666666667</v>
      </c>
      <c r="D424" s="1" t="s">
        <v>1396</v>
      </c>
      <c r="E424">
        <v>28</v>
      </c>
      <c r="F424" s="1" t="s">
        <v>812</v>
      </c>
      <c r="G424" s="1" t="s">
        <v>1396</v>
      </c>
      <c r="H424" s="1" t="s">
        <v>18</v>
      </c>
      <c r="I424">
        <v>-3.1608390000000002</v>
      </c>
      <c r="J424">
        <v>13.244503999999999</v>
      </c>
      <c r="K424" s="1" t="s">
        <v>1500</v>
      </c>
      <c r="L424" s="1" t="s">
        <v>1499</v>
      </c>
    </row>
    <row r="425" spans="1:12" x14ac:dyDescent="0.3">
      <c r="A425" s="1" t="s">
        <v>1380</v>
      </c>
      <c r="B425" s="2">
        <v>45217</v>
      </c>
      <c r="C425" s="3">
        <v>0.99930555555555556</v>
      </c>
      <c r="D425" s="1" t="s">
        <v>1112</v>
      </c>
      <c r="E425">
        <v>38</v>
      </c>
      <c r="F425" s="1" t="s">
        <v>810</v>
      </c>
      <c r="G425" s="1" t="s">
        <v>1112</v>
      </c>
      <c r="H425" s="1" t="s">
        <v>137</v>
      </c>
      <c r="I425">
        <v>-10.967288</v>
      </c>
      <c r="J425">
        <v>17.617781000000001</v>
      </c>
      <c r="K425" s="1" t="s">
        <v>1498</v>
      </c>
      <c r="L425" s="1" t="s">
        <v>1496</v>
      </c>
    </row>
    <row r="426" spans="1:12" x14ac:dyDescent="0.3">
      <c r="A426" s="1" t="s">
        <v>1380</v>
      </c>
      <c r="B426" s="2">
        <v>45221</v>
      </c>
      <c r="C426" s="3">
        <v>0.38819444444444445</v>
      </c>
      <c r="D426" s="1" t="s">
        <v>1398</v>
      </c>
      <c r="E426">
        <v>64</v>
      </c>
      <c r="F426" s="1" t="s">
        <v>810</v>
      </c>
      <c r="G426" s="1" t="s">
        <v>1398</v>
      </c>
      <c r="H426" s="1" t="s">
        <v>73</v>
      </c>
      <c r="I426">
        <v>-12.070842000000001</v>
      </c>
      <c r="J426">
        <v>14.757847</v>
      </c>
      <c r="K426" s="1" t="s">
        <v>1498</v>
      </c>
      <c r="L426" s="1" t="s">
        <v>1501</v>
      </c>
    </row>
    <row r="427" spans="1:12" x14ac:dyDescent="0.3">
      <c r="A427" s="1" t="s">
        <v>1380</v>
      </c>
      <c r="B427" s="2">
        <v>45207</v>
      </c>
      <c r="C427" s="3">
        <v>0.12708333333333333</v>
      </c>
      <c r="D427" s="1" t="s">
        <v>944</v>
      </c>
      <c r="E427">
        <v>38</v>
      </c>
      <c r="F427" s="1" t="s">
        <v>807</v>
      </c>
      <c r="G427" s="1" t="s">
        <v>944</v>
      </c>
      <c r="H427" s="1" t="s">
        <v>51</v>
      </c>
      <c r="I427">
        <v>-8.5675749999999997</v>
      </c>
      <c r="J427">
        <v>26.994581</v>
      </c>
      <c r="K427" s="1" t="s">
        <v>1500</v>
      </c>
      <c r="L427" s="1" t="s">
        <v>1508</v>
      </c>
    </row>
    <row r="428" spans="1:12" x14ac:dyDescent="0.3">
      <c r="A428" s="1" t="s">
        <v>1401</v>
      </c>
      <c r="B428" s="2">
        <v>45208</v>
      </c>
      <c r="C428" s="3">
        <v>0.52847222222222223</v>
      </c>
      <c r="D428" s="1" t="s">
        <v>985</v>
      </c>
      <c r="E428">
        <v>33</v>
      </c>
      <c r="F428" s="1" t="s">
        <v>810</v>
      </c>
      <c r="G428" s="1" t="s">
        <v>985</v>
      </c>
      <c r="H428" s="1" t="s">
        <v>137</v>
      </c>
      <c r="I428">
        <v>-10.872631999999999</v>
      </c>
      <c r="J428">
        <v>12.773279</v>
      </c>
      <c r="K428" s="1" t="s">
        <v>1500</v>
      </c>
      <c r="L428" s="1" t="s">
        <v>1501</v>
      </c>
    </row>
    <row r="429" spans="1:12" x14ac:dyDescent="0.3">
      <c r="A429" s="1" t="s">
        <v>1401</v>
      </c>
      <c r="B429" s="2">
        <v>45215</v>
      </c>
      <c r="C429" s="3">
        <v>0.77638888888888891</v>
      </c>
      <c r="D429" s="1" t="s">
        <v>1402</v>
      </c>
      <c r="E429">
        <v>87</v>
      </c>
      <c r="F429" s="1" t="s">
        <v>812</v>
      </c>
      <c r="G429" s="1" t="s">
        <v>1402</v>
      </c>
      <c r="H429" s="1" t="s">
        <v>29</v>
      </c>
      <c r="I429">
        <v>2.5665840000000002</v>
      </c>
      <c r="J429">
        <v>15.764796</v>
      </c>
      <c r="K429" s="1" t="s">
        <v>1500</v>
      </c>
      <c r="L429" s="1" t="s">
        <v>1501</v>
      </c>
    </row>
    <row r="430" spans="1:12" x14ac:dyDescent="0.3">
      <c r="A430" s="1" t="s">
        <v>1401</v>
      </c>
      <c r="B430" s="2">
        <v>45215</v>
      </c>
      <c r="C430" s="3">
        <v>4.9305555555555554E-2</v>
      </c>
      <c r="D430" s="1" t="s">
        <v>1259</v>
      </c>
      <c r="E430">
        <v>33</v>
      </c>
      <c r="F430" s="1" t="s">
        <v>810</v>
      </c>
      <c r="G430" s="1" t="s">
        <v>1259</v>
      </c>
      <c r="H430" s="1" t="s">
        <v>78</v>
      </c>
      <c r="I430">
        <v>2.5458379999999998</v>
      </c>
      <c r="J430">
        <v>13.308655</v>
      </c>
      <c r="K430" s="1" t="s">
        <v>1495</v>
      </c>
      <c r="L430" s="1" t="s">
        <v>1501</v>
      </c>
    </row>
    <row r="431" spans="1:12" x14ac:dyDescent="0.3">
      <c r="A431" s="1" t="s">
        <v>1401</v>
      </c>
      <c r="B431" s="2">
        <v>45222</v>
      </c>
      <c r="C431" s="3">
        <v>0.50138888888888888</v>
      </c>
      <c r="D431" s="1" t="s">
        <v>1404</v>
      </c>
      <c r="E431">
        <v>39</v>
      </c>
      <c r="F431" s="1" t="s">
        <v>807</v>
      </c>
      <c r="G431" s="1" t="s">
        <v>1404</v>
      </c>
      <c r="H431" s="1" t="s">
        <v>18</v>
      </c>
      <c r="I431">
        <v>-11.89448</v>
      </c>
      <c r="J431">
        <v>19.216214999999998</v>
      </c>
      <c r="K431" s="1" t="s">
        <v>1500</v>
      </c>
      <c r="L431" s="1" t="s">
        <v>1501</v>
      </c>
    </row>
    <row r="432" spans="1:12" x14ac:dyDescent="0.3">
      <c r="A432" s="1" t="s">
        <v>1401</v>
      </c>
      <c r="B432" s="2">
        <v>45212</v>
      </c>
      <c r="C432" s="3">
        <v>0.44722222222222224</v>
      </c>
      <c r="D432" s="1" t="s">
        <v>1300</v>
      </c>
      <c r="E432">
        <v>88</v>
      </c>
      <c r="F432" s="1" t="s">
        <v>810</v>
      </c>
      <c r="G432" s="1" t="s">
        <v>1300</v>
      </c>
      <c r="H432" s="1" t="s">
        <v>51</v>
      </c>
      <c r="I432">
        <v>-7.402336</v>
      </c>
      <c r="J432">
        <v>27.376697</v>
      </c>
      <c r="K432" s="1" t="s">
        <v>1498</v>
      </c>
      <c r="L432" s="1" t="s">
        <v>1499</v>
      </c>
    </row>
    <row r="433" spans="1:12" x14ac:dyDescent="0.3">
      <c r="A433" s="1" t="s">
        <v>1401</v>
      </c>
      <c r="B433" s="2">
        <v>45207</v>
      </c>
      <c r="C433" s="3">
        <v>7.4305555555555555E-2</v>
      </c>
      <c r="D433" s="1" t="s">
        <v>1358</v>
      </c>
      <c r="E433">
        <v>57</v>
      </c>
      <c r="F433" s="1" t="s">
        <v>807</v>
      </c>
      <c r="G433" s="1" t="s">
        <v>1358</v>
      </c>
      <c r="H433" s="1" t="s">
        <v>62</v>
      </c>
      <c r="I433">
        <v>-7.1587569999999996</v>
      </c>
      <c r="J433">
        <v>18.975141000000001</v>
      </c>
      <c r="K433" s="1" t="s">
        <v>1495</v>
      </c>
      <c r="L433" s="1" t="s">
        <v>1496</v>
      </c>
    </row>
    <row r="434" spans="1:12" x14ac:dyDescent="0.3">
      <c r="A434" s="1" t="s">
        <v>1401</v>
      </c>
      <c r="B434" s="2">
        <v>45215</v>
      </c>
      <c r="C434" s="3">
        <v>0.37291666666666667</v>
      </c>
      <c r="D434" s="1" t="s">
        <v>1077</v>
      </c>
      <c r="E434">
        <v>70</v>
      </c>
      <c r="F434" s="1" t="s">
        <v>810</v>
      </c>
      <c r="G434" s="1" t="s">
        <v>1077</v>
      </c>
      <c r="H434" s="1" t="s">
        <v>62</v>
      </c>
      <c r="I434">
        <v>-12.112399999999999</v>
      </c>
      <c r="J434">
        <v>15.872226</v>
      </c>
      <c r="K434" s="1" t="s">
        <v>1498</v>
      </c>
      <c r="L434" s="1" t="s">
        <v>1508</v>
      </c>
    </row>
    <row r="435" spans="1:12" x14ac:dyDescent="0.3">
      <c r="A435" s="1" t="s">
        <v>1401</v>
      </c>
      <c r="B435" s="2">
        <v>45227</v>
      </c>
      <c r="C435" s="3">
        <v>0.29722222222222222</v>
      </c>
      <c r="D435" s="1" t="s">
        <v>1408</v>
      </c>
      <c r="E435">
        <v>92</v>
      </c>
      <c r="F435" s="1" t="s">
        <v>812</v>
      </c>
      <c r="G435" s="1" t="s">
        <v>1408</v>
      </c>
      <c r="H435" s="1" t="s">
        <v>18</v>
      </c>
      <c r="I435">
        <v>-5.5559329999999996</v>
      </c>
      <c r="J435">
        <v>13.508692999999999</v>
      </c>
      <c r="K435" s="1" t="s">
        <v>1500</v>
      </c>
      <c r="L435" s="1" t="s">
        <v>1508</v>
      </c>
    </row>
    <row r="436" spans="1:12" x14ac:dyDescent="0.3">
      <c r="A436" s="1" t="s">
        <v>1401</v>
      </c>
      <c r="B436" s="2">
        <v>45224</v>
      </c>
      <c r="C436" s="3">
        <v>0.4284722222222222</v>
      </c>
      <c r="D436" s="1" t="s">
        <v>828</v>
      </c>
      <c r="E436">
        <v>65</v>
      </c>
      <c r="F436" s="1" t="s">
        <v>810</v>
      </c>
      <c r="G436" s="1" t="s">
        <v>828</v>
      </c>
      <c r="H436" s="1" t="s">
        <v>24</v>
      </c>
      <c r="I436">
        <v>0.172153</v>
      </c>
      <c r="J436">
        <v>21.091376</v>
      </c>
      <c r="K436" s="1" t="s">
        <v>1500</v>
      </c>
      <c r="L436" s="1" t="s">
        <v>1496</v>
      </c>
    </row>
    <row r="437" spans="1:12" x14ac:dyDescent="0.3">
      <c r="A437" s="1" t="s">
        <v>1401</v>
      </c>
      <c r="B437" s="2">
        <v>45214</v>
      </c>
      <c r="C437" s="3">
        <v>0.2902777777777778</v>
      </c>
      <c r="D437" s="1" t="s">
        <v>1265</v>
      </c>
      <c r="E437">
        <v>27</v>
      </c>
      <c r="F437" s="1" t="s">
        <v>810</v>
      </c>
      <c r="G437" s="1" t="s">
        <v>1265</v>
      </c>
      <c r="H437" s="1" t="s">
        <v>60</v>
      </c>
      <c r="I437">
        <v>-12.839263000000001</v>
      </c>
      <c r="J437">
        <v>12.355677</v>
      </c>
      <c r="K437" s="1" t="s">
        <v>1500</v>
      </c>
      <c r="L437" s="1" t="s">
        <v>1499</v>
      </c>
    </row>
    <row r="438" spans="1:12" x14ac:dyDescent="0.3">
      <c r="A438" s="1" t="s">
        <v>1401</v>
      </c>
      <c r="B438" s="2">
        <v>45215</v>
      </c>
      <c r="C438" s="3">
        <v>0.70486111111111116</v>
      </c>
      <c r="D438" s="1" t="s">
        <v>1050</v>
      </c>
      <c r="E438">
        <v>107</v>
      </c>
      <c r="F438" s="1" t="s">
        <v>807</v>
      </c>
      <c r="G438" s="1" t="s">
        <v>1050</v>
      </c>
      <c r="H438" s="1" t="s">
        <v>62</v>
      </c>
      <c r="I438">
        <v>-12.564277000000001</v>
      </c>
      <c r="J438">
        <v>28.480798</v>
      </c>
      <c r="K438" s="1" t="s">
        <v>1495</v>
      </c>
      <c r="L438" s="1" t="s">
        <v>1501</v>
      </c>
    </row>
    <row r="439" spans="1:12" x14ac:dyDescent="0.3">
      <c r="A439" s="1" t="s">
        <v>1401</v>
      </c>
      <c r="B439" s="2">
        <v>45211</v>
      </c>
      <c r="C439" s="3">
        <v>6.3888888888888884E-2</v>
      </c>
      <c r="D439" s="1" t="s">
        <v>1410</v>
      </c>
      <c r="E439">
        <v>6</v>
      </c>
      <c r="F439" s="1" t="s">
        <v>812</v>
      </c>
      <c r="G439" s="1" t="s">
        <v>1410</v>
      </c>
      <c r="H439" s="1" t="s">
        <v>57</v>
      </c>
      <c r="I439">
        <v>1.7832440000000001</v>
      </c>
      <c r="J439">
        <v>25.477405999999998</v>
      </c>
      <c r="K439" s="1" t="s">
        <v>1495</v>
      </c>
      <c r="L439" s="1" t="s">
        <v>1499</v>
      </c>
    </row>
    <row r="440" spans="1:12" x14ac:dyDescent="0.3">
      <c r="A440" s="1" t="s">
        <v>1401</v>
      </c>
      <c r="B440" s="2">
        <v>45209</v>
      </c>
      <c r="C440" s="3">
        <v>0.93888888888888888</v>
      </c>
      <c r="D440" s="1" t="s">
        <v>867</v>
      </c>
      <c r="E440">
        <v>37</v>
      </c>
      <c r="F440" s="1" t="s">
        <v>810</v>
      </c>
      <c r="G440" s="1" t="s">
        <v>867</v>
      </c>
      <c r="H440" s="1" t="s">
        <v>24</v>
      </c>
      <c r="I440">
        <v>-5.5445120000000001</v>
      </c>
      <c r="J440">
        <v>27.547335</v>
      </c>
      <c r="K440" s="1" t="s">
        <v>1498</v>
      </c>
      <c r="L440" s="1" t="s">
        <v>1496</v>
      </c>
    </row>
    <row r="441" spans="1:12" x14ac:dyDescent="0.3">
      <c r="A441" s="1" t="s">
        <v>1401</v>
      </c>
      <c r="B441" s="2">
        <v>45206</v>
      </c>
      <c r="C441" s="3">
        <v>0.28680555555555554</v>
      </c>
      <c r="D441" s="1" t="s">
        <v>867</v>
      </c>
      <c r="E441">
        <v>96</v>
      </c>
      <c r="F441" s="1" t="s">
        <v>810</v>
      </c>
      <c r="G441" s="1" t="s">
        <v>867</v>
      </c>
      <c r="H441" s="1" t="s">
        <v>24</v>
      </c>
      <c r="I441">
        <v>-5.5445120000000001</v>
      </c>
      <c r="J441">
        <v>27.547335</v>
      </c>
      <c r="K441" s="1" t="s">
        <v>1498</v>
      </c>
      <c r="L441" s="1" t="s">
        <v>1496</v>
      </c>
    </row>
    <row r="442" spans="1:12" x14ac:dyDescent="0.3">
      <c r="A442" s="1" t="s">
        <v>1401</v>
      </c>
      <c r="B442" s="2">
        <v>45201</v>
      </c>
      <c r="C442" s="3">
        <v>0.29305555555555557</v>
      </c>
      <c r="D442" s="1" t="s">
        <v>1360</v>
      </c>
      <c r="E442">
        <v>95</v>
      </c>
      <c r="F442" s="1" t="s">
        <v>812</v>
      </c>
      <c r="G442" s="1" t="s">
        <v>1360</v>
      </c>
      <c r="H442" s="1" t="s">
        <v>67</v>
      </c>
      <c r="I442">
        <v>-9.5619429999999994</v>
      </c>
      <c r="J442">
        <v>21.445726000000001</v>
      </c>
      <c r="K442" s="1" t="s">
        <v>1498</v>
      </c>
      <c r="L442" s="1" t="s">
        <v>1508</v>
      </c>
    </row>
    <row r="443" spans="1:12" x14ac:dyDescent="0.3">
      <c r="A443" s="1" t="s">
        <v>1401</v>
      </c>
      <c r="B443" s="2">
        <v>45214</v>
      </c>
      <c r="C443" s="3">
        <v>0.68402777777777779</v>
      </c>
      <c r="D443" s="1" t="s">
        <v>908</v>
      </c>
      <c r="E443">
        <v>119</v>
      </c>
      <c r="F443" s="1" t="s">
        <v>812</v>
      </c>
      <c r="G443" s="1" t="s">
        <v>908</v>
      </c>
      <c r="H443" s="1" t="s">
        <v>67</v>
      </c>
      <c r="I443">
        <v>-11.218453999999999</v>
      </c>
      <c r="J443">
        <v>28.230025000000001</v>
      </c>
      <c r="K443" s="1" t="s">
        <v>1495</v>
      </c>
      <c r="L443" s="1" t="s">
        <v>1501</v>
      </c>
    </row>
    <row r="444" spans="1:12" x14ac:dyDescent="0.3">
      <c r="A444" s="1" t="s">
        <v>1401</v>
      </c>
      <c r="B444" s="2">
        <v>45220</v>
      </c>
      <c r="C444" s="3">
        <v>0.15486111111111112</v>
      </c>
      <c r="D444" s="1" t="s">
        <v>1209</v>
      </c>
      <c r="E444">
        <v>53</v>
      </c>
      <c r="F444" s="1" t="s">
        <v>807</v>
      </c>
      <c r="G444" s="1" t="s">
        <v>1209</v>
      </c>
      <c r="H444" s="1" t="s">
        <v>62</v>
      </c>
      <c r="I444">
        <v>-9.8208710000000004</v>
      </c>
      <c r="J444">
        <v>23.229807000000001</v>
      </c>
      <c r="K444" s="1" t="s">
        <v>1495</v>
      </c>
      <c r="L444" s="1" t="s">
        <v>1508</v>
      </c>
    </row>
    <row r="445" spans="1:12" x14ac:dyDescent="0.3">
      <c r="A445" s="1" t="s">
        <v>1401</v>
      </c>
      <c r="B445" s="2">
        <v>45205</v>
      </c>
      <c r="C445" s="3">
        <v>0.65069444444444446</v>
      </c>
      <c r="D445" s="1" t="s">
        <v>1413</v>
      </c>
      <c r="E445">
        <v>63</v>
      </c>
      <c r="F445" s="1" t="s">
        <v>807</v>
      </c>
      <c r="G445" s="1" t="s">
        <v>1413</v>
      </c>
      <c r="H445" s="1" t="s">
        <v>62</v>
      </c>
      <c r="I445">
        <v>-10.977309</v>
      </c>
      <c r="J445">
        <v>12.408281000000001</v>
      </c>
      <c r="K445" s="1" t="s">
        <v>1495</v>
      </c>
      <c r="L445" s="1" t="s">
        <v>1501</v>
      </c>
    </row>
    <row r="446" spans="1:12" x14ac:dyDescent="0.3">
      <c r="A446" s="1" t="s">
        <v>1401</v>
      </c>
      <c r="B446" s="2">
        <v>45217</v>
      </c>
      <c r="C446" s="3">
        <v>0.47361111111111109</v>
      </c>
      <c r="D446" s="1" t="s">
        <v>944</v>
      </c>
      <c r="E446">
        <v>37</v>
      </c>
      <c r="F446" s="1" t="s">
        <v>812</v>
      </c>
      <c r="G446" s="1" t="s">
        <v>944</v>
      </c>
      <c r="H446" s="1" t="s">
        <v>51</v>
      </c>
      <c r="I446">
        <v>-8.5675749999999997</v>
      </c>
      <c r="J446">
        <v>26.994581</v>
      </c>
      <c r="K446" s="1" t="s">
        <v>1500</v>
      </c>
      <c r="L446" s="1" t="s">
        <v>1508</v>
      </c>
    </row>
    <row r="447" spans="1:12" x14ac:dyDescent="0.3">
      <c r="A447" s="1" t="s">
        <v>1401</v>
      </c>
      <c r="B447" s="2">
        <v>45201</v>
      </c>
      <c r="C447" s="3">
        <v>0.24583333333333332</v>
      </c>
      <c r="D447" s="1" t="s">
        <v>1143</v>
      </c>
      <c r="E447">
        <v>91</v>
      </c>
      <c r="F447" s="1" t="s">
        <v>810</v>
      </c>
      <c r="G447" s="1" t="s">
        <v>1143</v>
      </c>
      <c r="H447" s="1" t="s">
        <v>10</v>
      </c>
      <c r="I447">
        <v>-0.34051900000000002</v>
      </c>
      <c r="J447">
        <v>17.079799000000001</v>
      </c>
      <c r="K447" s="1" t="s">
        <v>1495</v>
      </c>
      <c r="L447" s="1" t="s">
        <v>1496</v>
      </c>
    </row>
    <row r="448" spans="1:12" x14ac:dyDescent="0.3">
      <c r="A448" s="1" t="s">
        <v>1415</v>
      </c>
      <c r="B448" s="2">
        <v>45218</v>
      </c>
      <c r="C448" s="3">
        <v>0.58958333333333335</v>
      </c>
      <c r="D448" s="1" t="s">
        <v>1320</v>
      </c>
      <c r="E448">
        <v>21</v>
      </c>
      <c r="F448" s="1" t="s">
        <v>807</v>
      </c>
      <c r="G448" s="1" t="s">
        <v>1320</v>
      </c>
      <c r="H448" s="1" t="s">
        <v>21</v>
      </c>
      <c r="I448">
        <v>-11.514817000000001</v>
      </c>
      <c r="J448">
        <v>24.891375</v>
      </c>
      <c r="K448" s="1" t="s">
        <v>1500</v>
      </c>
      <c r="L448" s="1" t="s">
        <v>1508</v>
      </c>
    </row>
    <row r="449" spans="1:12" x14ac:dyDescent="0.3">
      <c r="A449" s="1" t="s">
        <v>1415</v>
      </c>
      <c r="B449" s="2">
        <v>45224</v>
      </c>
      <c r="C449" s="3">
        <v>0.10486111111111111</v>
      </c>
      <c r="D449" s="1" t="s">
        <v>1424</v>
      </c>
      <c r="E449">
        <v>98</v>
      </c>
      <c r="F449" s="1" t="s">
        <v>812</v>
      </c>
      <c r="G449" s="1" t="s">
        <v>1424</v>
      </c>
      <c r="H449" s="1" t="s">
        <v>37</v>
      </c>
      <c r="I449">
        <v>-7.0007840000000003</v>
      </c>
      <c r="J449">
        <v>22.787997000000001</v>
      </c>
      <c r="K449" s="1" t="s">
        <v>1495</v>
      </c>
      <c r="L449" s="1" t="s">
        <v>1501</v>
      </c>
    </row>
    <row r="450" spans="1:12" x14ac:dyDescent="0.3">
      <c r="A450" s="1" t="s">
        <v>1415</v>
      </c>
      <c r="B450" s="2">
        <v>45210</v>
      </c>
      <c r="C450" s="3">
        <v>0.8354166666666667</v>
      </c>
      <c r="D450" s="1" t="s">
        <v>880</v>
      </c>
      <c r="E450">
        <v>80</v>
      </c>
      <c r="F450" s="1" t="s">
        <v>810</v>
      </c>
      <c r="G450" s="1" t="s">
        <v>880</v>
      </c>
      <c r="H450" s="1" t="s">
        <v>24</v>
      </c>
      <c r="I450">
        <v>4.4712560000000003</v>
      </c>
      <c r="J450">
        <v>27.107028</v>
      </c>
      <c r="K450" s="1" t="s">
        <v>1500</v>
      </c>
      <c r="L450" s="1" t="s">
        <v>1496</v>
      </c>
    </row>
    <row r="451" spans="1:12" x14ac:dyDescent="0.3">
      <c r="A451" s="1" t="s">
        <v>1415</v>
      </c>
      <c r="B451" s="2">
        <v>45206</v>
      </c>
      <c r="C451" s="3">
        <v>0.23333333333333334</v>
      </c>
      <c r="D451" s="1" t="s">
        <v>1425</v>
      </c>
      <c r="E451">
        <v>26</v>
      </c>
      <c r="F451" s="1" t="s">
        <v>812</v>
      </c>
      <c r="G451" s="1" t="s">
        <v>1425</v>
      </c>
      <c r="H451" s="1" t="s">
        <v>44</v>
      </c>
      <c r="I451">
        <v>-4.6311460000000002</v>
      </c>
      <c r="J451">
        <v>25.314723000000001</v>
      </c>
      <c r="K451" s="1" t="s">
        <v>1498</v>
      </c>
      <c r="L451" s="1" t="s">
        <v>1499</v>
      </c>
    </row>
    <row r="452" spans="1:12" x14ac:dyDescent="0.3">
      <c r="A452" s="1" t="s">
        <v>1415</v>
      </c>
      <c r="B452" s="2">
        <v>45224</v>
      </c>
      <c r="C452" s="3">
        <v>0.2298611111111111</v>
      </c>
      <c r="D452" s="1" t="s">
        <v>1426</v>
      </c>
      <c r="E452">
        <v>20</v>
      </c>
      <c r="F452" s="1" t="s">
        <v>807</v>
      </c>
      <c r="G452" s="1" t="s">
        <v>1426</v>
      </c>
      <c r="H452" s="1" t="s">
        <v>131</v>
      </c>
      <c r="I452">
        <v>-10.298385</v>
      </c>
      <c r="J452">
        <v>29.698117</v>
      </c>
      <c r="K452" s="1" t="s">
        <v>1495</v>
      </c>
      <c r="L452" s="1" t="s">
        <v>1508</v>
      </c>
    </row>
    <row r="453" spans="1:12" x14ac:dyDescent="0.3">
      <c r="A453" s="1" t="s">
        <v>1415</v>
      </c>
      <c r="B453" s="2">
        <v>45219</v>
      </c>
      <c r="C453" s="3">
        <v>0.56944444444444442</v>
      </c>
      <c r="D453" s="1" t="s">
        <v>1358</v>
      </c>
      <c r="E453">
        <v>96</v>
      </c>
      <c r="F453" s="1" t="s">
        <v>807</v>
      </c>
      <c r="G453" s="1" t="s">
        <v>1358</v>
      </c>
      <c r="H453" s="1" t="s">
        <v>62</v>
      </c>
      <c r="I453">
        <v>-7.1587569999999996</v>
      </c>
      <c r="J453">
        <v>18.975141000000001</v>
      </c>
      <c r="K453" s="1" t="s">
        <v>1495</v>
      </c>
      <c r="L453" s="1" t="s">
        <v>1496</v>
      </c>
    </row>
    <row r="454" spans="1:12" x14ac:dyDescent="0.3">
      <c r="A454" s="1" t="s">
        <v>1415</v>
      </c>
      <c r="B454" s="2">
        <v>45213</v>
      </c>
      <c r="C454" s="3">
        <v>0.51875000000000004</v>
      </c>
      <c r="D454" s="1" t="s">
        <v>1344</v>
      </c>
      <c r="E454">
        <v>88</v>
      </c>
      <c r="F454" s="1" t="s">
        <v>810</v>
      </c>
      <c r="G454" s="1" t="s">
        <v>1344</v>
      </c>
      <c r="H454" s="1" t="s">
        <v>67</v>
      </c>
      <c r="I454">
        <v>4.8265669999999998</v>
      </c>
      <c r="J454">
        <v>28.535277000000001</v>
      </c>
      <c r="K454" s="1" t="s">
        <v>1500</v>
      </c>
      <c r="L454" s="1" t="s">
        <v>1499</v>
      </c>
    </row>
    <row r="455" spans="1:12" x14ac:dyDescent="0.3">
      <c r="A455" s="1" t="s">
        <v>1415</v>
      </c>
      <c r="B455" s="2">
        <v>45230</v>
      </c>
      <c r="C455" s="3">
        <v>0.64166666666666672</v>
      </c>
      <c r="D455" s="1" t="s">
        <v>1428</v>
      </c>
      <c r="E455">
        <v>106</v>
      </c>
      <c r="F455" s="1" t="s">
        <v>807</v>
      </c>
      <c r="G455" s="1" t="s">
        <v>1428</v>
      </c>
      <c r="H455" s="1" t="s">
        <v>89</v>
      </c>
      <c r="I455">
        <v>-6.8149179999999996</v>
      </c>
      <c r="J455">
        <v>23.258102000000001</v>
      </c>
      <c r="K455" s="1" t="s">
        <v>1495</v>
      </c>
      <c r="L455" s="1" t="s">
        <v>1499</v>
      </c>
    </row>
    <row r="456" spans="1:12" x14ac:dyDescent="0.3">
      <c r="A456" s="1" t="s">
        <v>1415</v>
      </c>
      <c r="B456" s="2">
        <v>45206</v>
      </c>
      <c r="C456" s="3">
        <v>0.97430555555555554</v>
      </c>
      <c r="D456" s="1" t="s">
        <v>1429</v>
      </c>
      <c r="E456">
        <v>53</v>
      </c>
      <c r="F456" s="1" t="s">
        <v>810</v>
      </c>
      <c r="G456" s="1" t="s">
        <v>1429</v>
      </c>
      <c r="H456" s="1" t="s">
        <v>24</v>
      </c>
      <c r="I456">
        <v>-2.926736</v>
      </c>
      <c r="J456">
        <v>18.170461</v>
      </c>
      <c r="K456" s="1" t="s">
        <v>1495</v>
      </c>
      <c r="L456" s="1" t="s">
        <v>1496</v>
      </c>
    </row>
    <row r="457" spans="1:12" x14ac:dyDescent="0.3">
      <c r="A457" s="1" t="s">
        <v>1415</v>
      </c>
      <c r="B457" s="2">
        <v>45207</v>
      </c>
      <c r="C457" s="3">
        <v>0.9555555555555556</v>
      </c>
      <c r="D457" s="1" t="s">
        <v>1058</v>
      </c>
      <c r="E457">
        <v>73</v>
      </c>
      <c r="F457" s="1" t="s">
        <v>810</v>
      </c>
      <c r="G457" s="1" t="s">
        <v>1058</v>
      </c>
      <c r="H457" s="1" t="s">
        <v>24</v>
      </c>
      <c r="I457">
        <v>2.016505</v>
      </c>
      <c r="J457">
        <v>14.294164</v>
      </c>
      <c r="K457" s="1" t="s">
        <v>1495</v>
      </c>
      <c r="L457" s="1" t="s">
        <v>1499</v>
      </c>
    </row>
    <row r="458" spans="1:12" x14ac:dyDescent="0.3">
      <c r="A458" s="1" t="s">
        <v>1415</v>
      </c>
      <c r="B458" s="2">
        <v>45203</v>
      </c>
      <c r="C458" s="3">
        <v>0.52222222222222225</v>
      </c>
      <c r="D458" s="1" t="s">
        <v>1300</v>
      </c>
      <c r="E458">
        <v>11</v>
      </c>
      <c r="F458" s="1" t="s">
        <v>810</v>
      </c>
      <c r="G458" s="1" t="s">
        <v>1300</v>
      </c>
      <c r="H458" s="1" t="s">
        <v>51</v>
      </c>
      <c r="I458">
        <v>-7.402336</v>
      </c>
      <c r="J458">
        <v>27.376697</v>
      </c>
      <c r="K458" s="1" t="s">
        <v>1498</v>
      </c>
      <c r="L458" s="1" t="s">
        <v>1499</v>
      </c>
    </row>
    <row r="459" spans="1:12" x14ac:dyDescent="0.3">
      <c r="A459" s="1" t="s">
        <v>1415</v>
      </c>
      <c r="B459" s="2">
        <v>45218</v>
      </c>
      <c r="C459" s="3">
        <v>0.38194444444444442</v>
      </c>
      <c r="D459" s="1" t="s">
        <v>814</v>
      </c>
      <c r="E459">
        <v>81</v>
      </c>
      <c r="F459" s="1" t="s">
        <v>810</v>
      </c>
      <c r="G459" s="1" t="s">
        <v>814</v>
      </c>
      <c r="H459" s="1" t="s">
        <v>62</v>
      </c>
      <c r="I459">
        <v>-2.8211520000000001</v>
      </c>
      <c r="J459">
        <v>20.651419000000001</v>
      </c>
      <c r="K459" s="1" t="s">
        <v>1495</v>
      </c>
      <c r="L459" s="1" t="s">
        <v>1496</v>
      </c>
    </row>
    <row r="460" spans="1:12" x14ac:dyDescent="0.3">
      <c r="A460" s="1" t="s">
        <v>1415</v>
      </c>
      <c r="B460" s="2">
        <v>45230</v>
      </c>
      <c r="C460" s="3">
        <v>0.39513888888888887</v>
      </c>
      <c r="D460" s="1" t="s">
        <v>1431</v>
      </c>
      <c r="E460">
        <v>89</v>
      </c>
      <c r="F460" s="1" t="s">
        <v>812</v>
      </c>
      <c r="G460" s="1" t="s">
        <v>1431</v>
      </c>
      <c r="H460" s="1" t="s">
        <v>26</v>
      </c>
      <c r="I460">
        <v>-7.3952039999999997</v>
      </c>
      <c r="J460">
        <v>21.651043999999999</v>
      </c>
      <c r="K460" s="1" t="s">
        <v>1498</v>
      </c>
      <c r="L460" s="1" t="s">
        <v>1499</v>
      </c>
    </row>
    <row r="461" spans="1:12" x14ac:dyDescent="0.3">
      <c r="A461" s="1" t="s">
        <v>1415</v>
      </c>
      <c r="B461" s="2">
        <v>45216</v>
      </c>
      <c r="C461" s="3">
        <v>0.43541666666666667</v>
      </c>
      <c r="D461" s="1" t="s">
        <v>1273</v>
      </c>
      <c r="E461">
        <v>88</v>
      </c>
      <c r="F461" s="1" t="s">
        <v>807</v>
      </c>
      <c r="G461" s="1" t="s">
        <v>1273</v>
      </c>
      <c r="H461" s="1" t="s">
        <v>78</v>
      </c>
      <c r="I461">
        <v>1.938083</v>
      </c>
      <c r="J461">
        <v>28.25281</v>
      </c>
      <c r="K461" s="1" t="s">
        <v>1498</v>
      </c>
      <c r="L461" s="1" t="s">
        <v>1508</v>
      </c>
    </row>
    <row r="462" spans="1:12" x14ac:dyDescent="0.3">
      <c r="A462" s="1" t="s">
        <v>1415</v>
      </c>
      <c r="B462" s="2">
        <v>45228</v>
      </c>
      <c r="C462" s="3">
        <v>0.88055555555555554</v>
      </c>
      <c r="D462" s="1" t="s">
        <v>1101</v>
      </c>
      <c r="E462">
        <v>112</v>
      </c>
      <c r="F462" s="1" t="s">
        <v>812</v>
      </c>
      <c r="G462" s="1" t="s">
        <v>1101</v>
      </c>
      <c r="H462" s="1" t="s">
        <v>10</v>
      </c>
      <c r="I462">
        <v>-4.1250960000000001</v>
      </c>
      <c r="J462">
        <v>27.799897999999999</v>
      </c>
      <c r="K462" s="1" t="s">
        <v>1500</v>
      </c>
      <c r="L462" s="1" t="s">
        <v>1508</v>
      </c>
    </row>
    <row r="463" spans="1:12" x14ac:dyDescent="0.3">
      <c r="A463" s="1" t="s">
        <v>1432</v>
      </c>
      <c r="B463" s="2">
        <v>45211</v>
      </c>
      <c r="C463" s="3">
        <v>0.88888888888888884</v>
      </c>
      <c r="D463" s="1" t="s">
        <v>1215</v>
      </c>
      <c r="E463">
        <v>87</v>
      </c>
      <c r="F463" s="1" t="s">
        <v>810</v>
      </c>
      <c r="G463" s="1" t="s">
        <v>1215</v>
      </c>
      <c r="H463" s="1" t="s">
        <v>127</v>
      </c>
      <c r="I463">
        <v>-7.1483749999999997</v>
      </c>
      <c r="J463">
        <v>26.014271000000001</v>
      </c>
      <c r="K463" s="1" t="s">
        <v>1495</v>
      </c>
      <c r="L463" s="1" t="s">
        <v>1499</v>
      </c>
    </row>
    <row r="464" spans="1:12" x14ac:dyDescent="0.3">
      <c r="A464" s="1" t="s">
        <v>1432</v>
      </c>
      <c r="B464" s="2">
        <v>45203</v>
      </c>
      <c r="C464" s="3">
        <v>4.1666666666666664E-2</v>
      </c>
      <c r="D464" s="1" t="s">
        <v>1127</v>
      </c>
      <c r="E464">
        <v>69</v>
      </c>
      <c r="F464" s="1" t="s">
        <v>812</v>
      </c>
      <c r="G464" s="1" t="s">
        <v>1127</v>
      </c>
      <c r="H464" s="1" t="s">
        <v>26</v>
      </c>
      <c r="I464">
        <v>-2.2876210000000001</v>
      </c>
      <c r="J464">
        <v>27.582545</v>
      </c>
      <c r="K464" s="1" t="s">
        <v>1498</v>
      </c>
      <c r="L464" s="1" t="s">
        <v>1499</v>
      </c>
    </row>
    <row r="465" spans="1:12" x14ac:dyDescent="0.3">
      <c r="A465" s="1" t="s">
        <v>1432</v>
      </c>
      <c r="B465" s="2">
        <v>45227</v>
      </c>
      <c r="C465" s="3">
        <v>0.19583333333333333</v>
      </c>
      <c r="D465" s="1" t="s">
        <v>982</v>
      </c>
      <c r="E465">
        <v>113</v>
      </c>
      <c r="F465" s="1" t="s">
        <v>810</v>
      </c>
      <c r="G465" s="1" t="s">
        <v>982</v>
      </c>
      <c r="H465" s="1" t="s">
        <v>64</v>
      </c>
      <c r="I465">
        <v>-7.5418399999999997</v>
      </c>
      <c r="J465">
        <v>16.931206</v>
      </c>
      <c r="K465" s="1" t="s">
        <v>1500</v>
      </c>
      <c r="L465" s="1" t="s">
        <v>1508</v>
      </c>
    </row>
    <row r="466" spans="1:12" x14ac:dyDescent="0.3">
      <c r="A466" s="1" t="s">
        <v>1432</v>
      </c>
      <c r="B466" s="2">
        <v>45220</v>
      </c>
      <c r="C466" s="3">
        <v>0.22291666666666668</v>
      </c>
      <c r="D466" s="1" t="s">
        <v>1345</v>
      </c>
      <c r="E466">
        <v>65</v>
      </c>
      <c r="F466" s="1" t="s">
        <v>812</v>
      </c>
      <c r="G466" s="1" t="s">
        <v>1345</v>
      </c>
      <c r="H466" s="1" t="s">
        <v>18</v>
      </c>
      <c r="I466">
        <v>-1.3938550000000001</v>
      </c>
      <c r="J466">
        <v>15.097554000000001</v>
      </c>
      <c r="K466" s="1" t="s">
        <v>1498</v>
      </c>
      <c r="L466" s="1" t="s">
        <v>1499</v>
      </c>
    </row>
    <row r="467" spans="1:12" x14ac:dyDescent="0.3">
      <c r="A467" s="1" t="s">
        <v>1432</v>
      </c>
      <c r="B467" s="2">
        <v>45211</v>
      </c>
      <c r="C467" s="3">
        <v>0.61041666666666672</v>
      </c>
      <c r="D467" s="1" t="s">
        <v>888</v>
      </c>
      <c r="E467">
        <v>114</v>
      </c>
      <c r="F467" s="1" t="s">
        <v>807</v>
      </c>
      <c r="G467" s="1" t="s">
        <v>888</v>
      </c>
      <c r="H467" s="1" t="s">
        <v>10</v>
      </c>
      <c r="I467">
        <v>-7.0076900000000002</v>
      </c>
      <c r="J467">
        <v>27.367121999999998</v>
      </c>
      <c r="K467" s="1" t="s">
        <v>1500</v>
      </c>
      <c r="L467" s="1" t="s">
        <v>1508</v>
      </c>
    </row>
    <row r="468" spans="1:12" x14ac:dyDescent="0.3">
      <c r="A468" s="1" t="s">
        <v>1432</v>
      </c>
      <c r="B468" s="2">
        <v>45208</v>
      </c>
      <c r="C468" s="3">
        <v>0.96180555555555558</v>
      </c>
      <c r="D468" s="1" t="s">
        <v>1434</v>
      </c>
      <c r="E468">
        <v>68</v>
      </c>
      <c r="F468" s="1" t="s">
        <v>807</v>
      </c>
      <c r="G468" s="1" t="s">
        <v>1434</v>
      </c>
      <c r="H468" s="1" t="s">
        <v>26</v>
      </c>
      <c r="I468">
        <v>-2.3269820000000001</v>
      </c>
      <c r="J468">
        <v>14.609259</v>
      </c>
      <c r="K468" s="1" t="s">
        <v>1500</v>
      </c>
      <c r="L468" s="1" t="s">
        <v>1508</v>
      </c>
    </row>
    <row r="469" spans="1:12" x14ac:dyDescent="0.3">
      <c r="A469" s="1" t="s">
        <v>1432</v>
      </c>
      <c r="B469" s="2">
        <v>45211</v>
      </c>
      <c r="C469" s="3">
        <v>0.42430555555555555</v>
      </c>
      <c r="D469" s="1" t="s">
        <v>1002</v>
      </c>
      <c r="E469">
        <v>116</v>
      </c>
      <c r="F469" s="1" t="s">
        <v>810</v>
      </c>
      <c r="G469" s="1" t="s">
        <v>1002</v>
      </c>
      <c r="H469" s="1" t="s">
        <v>131</v>
      </c>
      <c r="I469">
        <v>-1.8555980000000001</v>
      </c>
      <c r="J469">
        <v>30.421918000000002</v>
      </c>
      <c r="K469" s="1" t="s">
        <v>1500</v>
      </c>
      <c r="L469" s="1" t="s">
        <v>1501</v>
      </c>
    </row>
    <row r="470" spans="1:12" x14ac:dyDescent="0.3">
      <c r="A470" s="1" t="s">
        <v>1432</v>
      </c>
      <c r="B470" s="2">
        <v>45203</v>
      </c>
      <c r="C470" s="3">
        <v>0.51736111111111116</v>
      </c>
      <c r="D470" s="1" t="s">
        <v>838</v>
      </c>
      <c r="E470">
        <v>26</v>
      </c>
      <c r="F470" s="1" t="s">
        <v>807</v>
      </c>
      <c r="G470" s="1" t="s">
        <v>838</v>
      </c>
      <c r="H470" s="1" t="s">
        <v>89</v>
      </c>
      <c r="I470">
        <v>-8.1437910000000002</v>
      </c>
      <c r="J470">
        <v>28.946161</v>
      </c>
      <c r="K470" s="1" t="s">
        <v>1498</v>
      </c>
      <c r="L470" s="1" t="s">
        <v>1501</v>
      </c>
    </row>
    <row r="471" spans="1:12" x14ac:dyDescent="0.3">
      <c r="A471" s="1" t="s">
        <v>1432</v>
      </c>
      <c r="B471" s="2">
        <v>45230</v>
      </c>
      <c r="C471" s="3">
        <v>0.59513888888888888</v>
      </c>
      <c r="D471" s="1" t="s">
        <v>1435</v>
      </c>
      <c r="E471">
        <v>14</v>
      </c>
      <c r="F471" s="1" t="s">
        <v>807</v>
      </c>
      <c r="G471" s="1" t="s">
        <v>1435</v>
      </c>
      <c r="H471" s="1" t="s">
        <v>64</v>
      </c>
      <c r="I471">
        <v>-7.1079169999999996</v>
      </c>
      <c r="J471">
        <v>13.636272</v>
      </c>
      <c r="K471" s="1" t="s">
        <v>1495</v>
      </c>
      <c r="L471" s="1" t="s">
        <v>1508</v>
      </c>
    </row>
    <row r="472" spans="1:12" x14ac:dyDescent="0.3">
      <c r="A472" s="1" t="s">
        <v>1432</v>
      </c>
      <c r="B472" s="2">
        <v>45226</v>
      </c>
      <c r="C472" s="3">
        <v>0.53055555555555556</v>
      </c>
      <c r="D472" s="1" t="s">
        <v>1436</v>
      </c>
      <c r="E472">
        <v>101</v>
      </c>
      <c r="F472" s="1" t="s">
        <v>812</v>
      </c>
      <c r="G472" s="1" t="s">
        <v>1436</v>
      </c>
      <c r="H472" s="1" t="s">
        <v>78</v>
      </c>
      <c r="I472">
        <v>-10.650321</v>
      </c>
      <c r="J472">
        <v>15.917044000000001</v>
      </c>
      <c r="K472" s="1" t="s">
        <v>1498</v>
      </c>
      <c r="L472" s="1" t="s">
        <v>1508</v>
      </c>
    </row>
    <row r="473" spans="1:12" x14ac:dyDescent="0.3">
      <c r="A473" s="1" t="s">
        <v>1432</v>
      </c>
      <c r="B473" s="2">
        <v>45227</v>
      </c>
      <c r="C473" s="3">
        <v>0.66041666666666665</v>
      </c>
      <c r="D473" s="1" t="s">
        <v>1142</v>
      </c>
      <c r="E473">
        <v>67</v>
      </c>
      <c r="F473" s="1" t="s">
        <v>812</v>
      </c>
      <c r="G473" s="1" t="s">
        <v>1142</v>
      </c>
      <c r="H473" s="1" t="s">
        <v>29</v>
      </c>
      <c r="I473">
        <v>-5.125</v>
      </c>
      <c r="J473">
        <v>23.513119</v>
      </c>
      <c r="K473" s="1" t="s">
        <v>1495</v>
      </c>
      <c r="L473" s="1" t="s">
        <v>1499</v>
      </c>
    </row>
    <row r="474" spans="1:12" x14ac:dyDescent="0.3">
      <c r="A474" s="1" t="s">
        <v>1432</v>
      </c>
      <c r="B474" s="2">
        <v>45213</v>
      </c>
      <c r="C474" s="3">
        <v>0.87222222222222223</v>
      </c>
      <c r="D474" s="1" t="s">
        <v>1437</v>
      </c>
      <c r="E474">
        <v>46</v>
      </c>
      <c r="F474" s="1" t="s">
        <v>810</v>
      </c>
      <c r="G474" s="1" t="s">
        <v>1437</v>
      </c>
      <c r="H474" s="1" t="s">
        <v>35</v>
      </c>
      <c r="I474">
        <v>-7.513261</v>
      </c>
      <c r="J474">
        <v>24.338812000000001</v>
      </c>
      <c r="K474" s="1" t="s">
        <v>1495</v>
      </c>
      <c r="L474" s="1" t="s">
        <v>1499</v>
      </c>
    </row>
    <row r="475" spans="1:12" x14ac:dyDescent="0.3">
      <c r="A475" s="1" t="s">
        <v>1432</v>
      </c>
      <c r="B475" s="2">
        <v>45201</v>
      </c>
      <c r="C475" s="3">
        <v>0.21249999999999999</v>
      </c>
      <c r="D475" s="1" t="s">
        <v>872</v>
      </c>
      <c r="E475">
        <v>40</v>
      </c>
      <c r="F475" s="1" t="s">
        <v>810</v>
      </c>
      <c r="G475" s="1" t="s">
        <v>872</v>
      </c>
      <c r="H475" s="1" t="s">
        <v>131</v>
      </c>
      <c r="I475">
        <v>0.82868600000000003</v>
      </c>
      <c r="J475">
        <v>26.958843999999999</v>
      </c>
      <c r="K475" s="1" t="s">
        <v>1495</v>
      </c>
      <c r="L475" s="1" t="s">
        <v>1501</v>
      </c>
    </row>
    <row r="476" spans="1:12" x14ac:dyDescent="0.3">
      <c r="A476" s="1" t="s">
        <v>1432</v>
      </c>
      <c r="B476" s="2">
        <v>45214</v>
      </c>
      <c r="C476" s="3">
        <v>0.23541666666666666</v>
      </c>
      <c r="D476" s="1" t="s">
        <v>1442</v>
      </c>
      <c r="E476">
        <v>33</v>
      </c>
      <c r="F476" s="1" t="s">
        <v>807</v>
      </c>
      <c r="G476" s="1" t="s">
        <v>1442</v>
      </c>
      <c r="H476" s="1" t="s">
        <v>78</v>
      </c>
      <c r="I476">
        <v>-10.318835</v>
      </c>
      <c r="J476">
        <v>21.252382000000001</v>
      </c>
      <c r="K476" s="1" t="s">
        <v>1498</v>
      </c>
      <c r="L476" s="1" t="s">
        <v>1496</v>
      </c>
    </row>
    <row r="477" spans="1:12" x14ac:dyDescent="0.3">
      <c r="A477" s="1" t="s">
        <v>1432</v>
      </c>
      <c r="B477" s="2">
        <v>45200</v>
      </c>
      <c r="C477" s="3">
        <v>0.91388888888888886</v>
      </c>
      <c r="D477" s="1" t="s">
        <v>1444</v>
      </c>
      <c r="E477">
        <v>87</v>
      </c>
      <c r="F477" s="1" t="s">
        <v>807</v>
      </c>
      <c r="G477" s="1" t="s">
        <v>1444</v>
      </c>
      <c r="H477" s="1" t="s">
        <v>35</v>
      </c>
      <c r="I477">
        <v>3.175935</v>
      </c>
      <c r="J477">
        <v>16.862832000000001</v>
      </c>
      <c r="K477" s="1" t="s">
        <v>1495</v>
      </c>
      <c r="L477" s="1" t="s">
        <v>1496</v>
      </c>
    </row>
    <row r="478" spans="1:12" x14ac:dyDescent="0.3">
      <c r="A478" s="1" t="s">
        <v>1432</v>
      </c>
      <c r="B478" s="2">
        <v>45226</v>
      </c>
      <c r="C478" s="3">
        <v>0.99791666666666667</v>
      </c>
      <c r="D478" s="1" t="s">
        <v>1445</v>
      </c>
      <c r="E478">
        <v>53</v>
      </c>
      <c r="F478" s="1" t="s">
        <v>812</v>
      </c>
      <c r="G478" s="1" t="s">
        <v>1445</v>
      </c>
      <c r="H478" s="1" t="s">
        <v>89</v>
      </c>
      <c r="I478">
        <v>-7.8373179999999998</v>
      </c>
      <c r="J478">
        <v>20.527591999999999</v>
      </c>
      <c r="K478" s="1" t="s">
        <v>1498</v>
      </c>
      <c r="L478" s="1" t="s">
        <v>1496</v>
      </c>
    </row>
    <row r="479" spans="1:12" x14ac:dyDescent="0.3">
      <c r="A479" s="1" t="s">
        <v>1432</v>
      </c>
      <c r="B479" s="2">
        <v>45227</v>
      </c>
      <c r="C479" s="3">
        <v>0.8979166666666667</v>
      </c>
      <c r="D479" s="1" t="s">
        <v>1435</v>
      </c>
      <c r="E479">
        <v>61</v>
      </c>
      <c r="F479" s="1" t="s">
        <v>807</v>
      </c>
      <c r="G479" s="1" t="s">
        <v>1435</v>
      </c>
      <c r="H479" s="1" t="s">
        <v>64</v>
      </c>
      <c r="I479">
        <v>-7.1079169999999996</v>
      </c>
      <c r="J479">
        <v>13.636272</v>
      </c>
      <c r="K479" s="1" t="s">
        <v>1495</v>
      </c>
      <c r="L479" s="1" t="s">
        <v>1508</v>
      </c>
    </row>
    <row r="480" spans="1:12" x14ac:dyDescent="0.3">
      <c r="A480" s="1" t="s">
        <v>1432</v>
      </c>
      <c r="B480" s="2">
        <v>45224</v>
      </c>
      <c r="C480" s="3">
        <v>0.98333333333333328</v>
      </c>
      <c r="D480" s="1" t="s">
        <v>992</v>
      </c>
      <c r="E480">
        <v>107</v>
      </c>
      <c r="F480" s="1" t="s">
        <v>812</v>
      </c>
      <c r="G480" s="1" t="s">
        <v>992</v>
      </c>
      <c r="H480" s="1" t="s">
        <v>44</v>
      </c>
      <c r="I480">
        <v>-9.3652280000000001</v>
      </c>
      <c r="J480">
        <v>18.674116000000001</v>
      </c>
      <c r="K480" s="1" t="s">
        <v>1498</v>
      </c>
      <c r="L480" s="1" t="s">
        <v>1499</v>
      </c>
    </row>
    <row r="481" spans="1:12" x14ac:dyDescent="0.3">
      <c r="A481" s="1" t="s">
        <v>1432</v>
      </c>
      <c r="B481" s="2">
        <v>45223</v>
      </c>
      <c r="C481" s="3">
        <v>0.75972222222222219</v>
      </c>
      <c r="D481" s="1" t="s">
        <v>1115</v>
      </c>
      <c r="E481">
        <v>78</v>
      </c>
      <c r="F481" s="1" t="s">
        <v>810</v>
      </c>
      <c r="G481" s="1" t="s">
        <v>1115</v>
      </c>
      <c r="H481" s="1" t="s">
        <v>16</v>
      </c>
      <c r="I481">
        <v>-5.3762689999999997</v>
      </c>
      <c r="J481">
        <v>28.189575999999999</v>
      </c>
      <c r="K481" s="1" t="s">
        <v>1495</v>
      </c>
      <c r="L481" s="1" t="s">
        <v>1499</v>
      </c>
    </row>
    <row r="482" spans="1:12" x14ac:dyDescent="0.3">
      <c r="A482" s="1" t="s">
        <v>1432</v>
      </c>
      <c r="B482" s="2">
        <v>45230</v>
      </c>
      <c r="C482" s="3">
        <v>0.91319444444444442</v>
      </c>
      <c r="D482" s="1" t="s">
        <v>1221</v>
      </c>
      <c r="E482">
        <v>62</v>
      </c>
      <c r="F482" s="1" t="s">
        <v>807</v>
      </c>
      <c r="G482" s="1" t="s">
        <v>1221</v>
      </c>
      <c r="H482" s="1" t="s">
        <v>13</v>
      </c>
      <c r="I482">
        <v>-1.9540519999999999</v>
      </c>
      <c r="J482">
        <v>12.667945</v>
      </c>
      <c r="K482" s="1" t="s">
        <v>1498</v>
      </c>
      <c r="L482" s="1" t="s">
        <v>1499</v>
      </c>
    </row>
    <row r="483" spans="1:12" x14ac:dyDescent="0.3">
      <c r="A483" s="1" t="s">
        <v>1432</v>
      </c>
      <c r="B483" s="2">
        <v>45210</v>
      </c>
      <c r="C483" s="3">
        <v>0.68958333333333333</v>
      </c>
      <c r="D483" s="1" t="s">
        <v>1086</v>
      </c>
      <c r="E483">
        <v>16</v>
      </c>
      <c r="F483" s="1" t="s">
        <v>807</v>
      </c>
      <c r="G483" s="1" t="s">
        <v>1086</v>
      </c>
      <c r="H483" s="1" t="s">
        <v>127</v>
      </c>
      <c r="I483">
        <v>-4.869434</v>
      </c>
      <c r="J483">
        <v>22.326522000000001</v>
      </c>
      <c r="K483" s="1" t="s">
        <v>1495</v>
      </c>
      <c r="L483" s="1" t="s">
        <v>1496</v>
      </c>
    </row>
    <row r="484" spans="1:12" x14ac:dyDescent="0.3">
      <c r="A484" s="1" t="s">
        <v>1432</v>
      </c>
      <c r="B484" s="2">
        <v>45222</v>
      </c>
      <c r="C484" s="3">
        <v>0.94374999999999998</v>
      </c>
      <c r="D484" s="1" t="s">
        <v>1449</v>
      </c>
      <c r="E484">
        <v>114</v>
      </c>
      <c r="F484" s="1" t="s">
        <v>807</v>
      </c>
      <c r="G484" s="1" t="s">
        <v>1449</v>
      </c>
      <c r="H484" s="1" t="s">
        <v>18</v>
      </c>
      <c r="I484">
        <v>-9.6407190000000007</v>
      </c>
      <c r="J484">
        <v>21.336704999999998</v>
      </c>
      <c r="K484" s="1" t="s">
        <v>1498</v>
      </c>
      <c r="L484" s="1" t="s">
        <v>1501</v>
      </c>
    </row>
    <row r="485" spans="1:12" x14ac:dyDescent="0.3">
      <c r="A485" s="1" t="s">
        <v>1432</v>
      </c>
      <c r="B485" s="2">
        <v>45211</v>
      </c>
      <c r="C485" s="3">
        <v>0.90486111111111112</v>
      </c>
      <c r="D485" s="1" t="s">
        <v>1016</v>
      </c>
      <c r="E485">
        <v>45</v>
      </c>
      <c r="F485" s="1" t="s">
        <v>812</v>
      </c>
      <c r="G485" s="1" t="s">
        <v>1016</v>
      </c>
      <c r="H485" s="1" t="s">
        <v>31</v>
      </c>
      <c r="I485">
        <v>-12.342053999999999</v>
      </c>
      <c r="J485">
        <v>18.756862000000002</v>
      </c>
      <c r="K485" s="1" t="s">
        <v>1500</v>
      </c>
      <c r="L485" s="1" t="s">
        <v>1496</v>
      </c>
    </row>
    <row r="486" spans="1:12" x14ac:dyDescent="0.3">
      <c r="A486" s="1" t="s">
        <v>1453</v>
      </c>
      <c r="B486" s="2">
        <v>45203</v>
      </c>
      <c r="C486" s="3">
        <v>0.60347222222222219</v>
      </c>
      <c r="D486" s="1" t="s">
        <v>1454</v>
      </c>
      <c r="E486">
        <v>106</v>
      </c>
      <c r="F486" s="1" t="s">
        <v>810</v>
      </c>
      <c r="G486" s="1" t="s">
        <v>1454</v>
      </c>
      <c r="H486" s="1" t="s">
        <v>24</v>
      </c>
      <c r="I486">
        <v>-5.1507670000000001</v>
      </c>
      <c r="J486">
        <v>28.075324999999999</v>
      </c>
      <c r="K486" s="1" t="s">
        <v>1495</v>
      </c>
      <c r="L486" s="1" t="s">
        <v>1499</v>
      </c>
    </row>
    <row r="487" spans="1:12" x14ac:dyDescent="0.3">
      <c r="A487" s="1" t="s">
        <v>1453</v>
      </c>
      <c r="B487" s="2">
        <v>45221</v>
      </c>
      <c r="C487" s="3">
        <v>0.77222222222222225</v>
      </c>
      <c r="D487" s="1" t="s">
        <v>984</v>
      </c>
      <c r="E487">
        <v>107</v>
      </c>
      <c r="F487" s="1" t="s">
        <v>807</v>
      </c>
      <c r="G487" s="1" t="s">
        <v>984</v>
      </c>
      <c r="H487" s="1" t="s">
        <v>33</v>
      </c>
      <c r="I487">
        <v>-4.4451280000000004</v>
      </c>
      <c r="J487">
        <v>16.536944999999999</v>
      </c>
      <c r="K487" s="1" t="s">
        <v>1498</v>
      </c>
      <c r="L487" s="1" t="s">
        <v>1496</v>
      </c>
    </row>
    <row r="488" spans="1:12" x14ac:dyDescent="0.3">
      <c r="A488" s="1" t="s">
        <v>1453</v>
      </c>
      <c r="B488" s="2">
        <v>45204</v>
      </c>
      <c r="C488" s="3">
        <v>0.625</v>
      </c>
      <c r="D488" s="1" t="s">
        <v>1455</v>
      </c>
      <c r="E488">
        <v>94</v>
      </c>
      <c r="F488" s="1" t="s">
        <v>812</v>
      </c>
      <c r="G488" s="1" t="s">
        <v>1455</v>
      </c>
      <c r="H488" s="1" t="s">
        <v>26</v>
      </c>
      <c r="I488">
        <v>-1.6893210000000001</v>
      </c>
      <c r="J488">
        <v>30.446543999999999</v>
      </c>
      <c r="K488" s="1" t="s">
        <v>1498</v>
      </c>
      <c r="L488" s="1" t="s">
        <v>1499</v>
      </c>
    </row>
    <row r="489" spans="1:12" x14ac:dyDescent="0.3">
      <c r="A489" s="1" t="s">
        <v>1453</v>
      </c>
      <c r="B489" s="2">
        <v>45216</v>
      </c>
      <c r="C489" s="3">
        <v>0.9604166666666667</v>
      </c>
      <c r="D489" s="1" t="s">
        <v>1456</v>
      </c>
      <c r="E489">
        <v>41</v>
      </c>
      <c r="F489" s="1" t="s">
        <v>810</v>
      </c>
      <c r="G489" s="1" t="s">
        <v>1456</v>
      </c>
      <c r="H489" s="1" t="s">
        <v>44</v>
      </c>
      <c r="I489">
        <v>-7.5641280000000002</v>
      </c>
      <c r="J489">
        <v>18.129529999999999</v>
      </c>
      <c r="K489" s="1" t="s">
        <v>1500</v>
      </c>
      <c r="L489" s="1" t="s">
        <v>1499</v>
      </c>
    </row>
    <row r="490" spans="1:12" x14ac:dyDescent="0.3">
      <c r="A490" s="1" t="s">
        <v>1453</v>
      </c>
      <c r="B490" s="2">
        <v>45217</v>
      </c>
      <c r="C490" s="3">
        <v>0.57847222222222228</v>
      </c>
      <c r="D490" s="1" t="s">
        <v>1457</v>
      </c>
      <c r="E490">
        <v>93</v>
      </c>
      <c r="F490" s="1" t="s">
        <v>810</v>
      </c>
      <c r="G490" s="1" t="s">
        <v>1457</v>
      </c>
      <c r="H490" s="1" t="s">
        <v>33</v>
      </c>
      <c r="I490">
        <v>-10.735106</v>
      </c>
      <c r="J490">
        <v>27.868673999999999</v>
      </c>
      <c r="K490" s="1" t="s">
        <v>1500</v>
      </c>
      <c r="L490" s="1" t="s">
        <v>1496</v>
      </c>
    </row>
    <row r="491" spans="1:12" x14ac:dyDescent="0.3">
      <c r="A491" s="1" t="s">
        <v>1453</v>
      </c>
      <c r="B491" s="2">
        <v>45226</v>
      </c>
      <c r="C491" s="3">
        <v>0.17083333333333334</v>
      </c>
      <c r="D491" s="1" t="s">
        <v>857</v>
      </c>
      <c r="E491">
        <v>54</v>
      </c>
      <c r="F491" s="1" t="s">
        <v>807</v>
      </c>
      <c r="G491" s="1" t="s">
        <v>857</v>
      </c>
      <c r="H491" s="1" t="s">
        <v>13</v>
      </c>
      <c r="I491">
        <v>-5.1030600000000002</v>
      </c>
      <c r="J491">
        <v>22.849231</v>
      </c>
      <c r="K491" s="1" t="s">
        <v>1495</v>
      </c>
      <c r="L491" s="1" t="s">
        <v>1501</v>
      </c>
    </row>
    <row r="492" spans="1:12" x14ac:dyDescent="0.3">
      <c r="A492" s="1" t="s">
        <v>1453</v>
      </c>
      <c r="B492" s="2">
        <v>45212</v>
      </c>
      <c r="C492" s="3">
        <v>0.90138888888888891</v>
      </c>
      <c r="D492" s="1" t="s">
        <v>871</v>
      </c>
      <c r="E492">
        <v>58</v>
      </c>
      <c r="F492" s="1" t="s">
        <v>807</v>
      </c>
      <c r="G492" s="1" t="s">
        <v>871</v>
      </c>
      <c r="H492" s="1" t="s">
        <v>40</v>
      </c>
      <c r="I492">
        <v>-10.963041</v>
      </c>
      <c r="J492">
        <v>12.269857</v>
      </c>
      <c r="K492" s="1" t="s">
        <v>1498</v>
      </c>
      <c r="L492" s="1" t="s">
        <v>1499</v>
      </c>
    </row>
    <row r="493" spans="1:12" x14ac:dyDescent="0.3">
      <c r="A493" s="1" t="s">
        <v>1453</v>
      </c>
      <c r="B493" s="2">
        <v>45219</v>
      </c>
      <c r="C493" s="3">
        <v>0.43888888888888888</v>
      </c>
      <c r="D493" s="1" t="s">
        <v>1459</v>
      </c>
      <c r="E493">
        <v>105</v>
      </c>
      <c r="F493" s="1" t="s">
        <v>810</v>
      </c>
      <c r="G493" s="1" t="s">
        <v>1459</v>
      </c>
      <c r="H493" s="1" t="s">
        <v>31</v>
      </c>
      <c r="I493">
        <v>-0.54908599999999996</v>
      </c>
      <c r="J493">
        <v>14.816867</v>
      </c>
      <c r="K493" s="1" t="s">
        <v>1495</v>
      </c>
      <c r="L493" s="1" t="s">
        <v>1501</v>
      </c>
    </row>
    <row r="494" spans="1:12" x14ac:dyDescent="0.3">
      <c r="A494" s="1" t="s">
        <v>1453</v>
      </c>
      <c r="B494" s="2">
        <v>45230</v>
      </c>
      <c r="C494" s="3">
        <v>0.42916666666666664</v>
      </c>
      <c r="D494" s="1" t="s">
        <v>1199</v>
      </c>
      <c r="E494">
        <v>11</v>
      </c>
      <c r="F494" s="1" t="s">
        <v>812</v>
      </c>
      <c r="G494" s="1" t="s">
        <v>1199</v>
      </c>
      <c r="H494" s="1" t="s">
        <v>26</v>
      </c>
      <c r="I494">
        <v>-2.8532869999999999</v>
      </c>
      <c r="J494">
        <v>22.117896000000002</v>
      </c>
      <c r="K494" s="1" t="s">
        <v>1495</v>
      </c>
      <c r="L494" s="1" t="s">
        <v>1499</v>
      </c>
    </row>
    <row r="495" spans="1:12" x14ac:dyDescent="0.3">
      <c r="A495" s="1" t="s">
        <v>1453</v>
      </c>
      <c r="B495" s="2">
        <v>45214</v>
      </c>
      <c r="C495" s="3">
        <v>0.17222222222222222</v>
      </c>
      <c r="D495" s="1" t="s">
        <v>976</v>
      </c>
      <c r="E495">
        <v>6</v>
      </c>
      <c r="F495" s="1" t="s">
        <v>807</v>
      </c>
      <c r="G495" s="1" t="s">
        <v>976</v>
      </c>
      <c r="H495" s="1" t="s">
        <v>26</v>
      </c>
      <c r="I495">
        <v>-3.6945459999999999</v>
      </c>
      <c r="J495">
        <v>16.809108999999999</v>
      </c>
      <c r="K495" s="1" t="s">
        <v>1495</v>
      </c>
      <c r="L495" s="1" t="s">
        <v>1501</v>
      </c>
    </row>
    <row r="496" spans="1:12" x14ac:dyDescent="0.3">
      <c r="A496" s="1" t="s">
        <v>1453</v>
      </c>
      <c r="B496" s="2">
        <v>45227</v>
      </c>
      <c r="C496" s="3">
        <v>0.44791666666666669</v>
      </c>
      <c r="D496" s="1" t="s">
        <v>1231</v>
      </c>
      <c r="E496">
        <v>84</v>
      </c>
      <c r="F496" s="1" t="s">
        <v>810</v>
      </c>
      <c r="G496" s="1" t="s">
        <v>1231</v>
      </c>
      <c r="H496" s="1" t="s">
        <v>21</v>
      </c>
      <c r="I496">
        <v>2.4414509999999998</v>
      </c>
      <c r="J496">
        <v>30.167489</v>
      </c>
      <c r="K496" s="1" t="s">
        <v>1495</v>
      </c>
      <c r="L496" s="1" t="s">
        <v>1508</v>
      </c>
    </row>
    <row r="497" spans="1:12" x14ac:dyDescent="0.3">
      <c r="A497" s="1" t="s">
        <v>1453</v>
      </c>
      <c r="B497" s="2">
        <v>45223</v>
      </c>
      <c r="C497" s="3">
        <v>0.73611111111111116</v>
      </c>
      <c r="D497" s="1" t="s">
        <v>1023</v>
      </c>
      <c r="E497">
        <v>116</v>
      </c>
      <c r="F497" s="1" t="s">
        <v>810</v>
      </c>
      <c r="G497" s="1" t="s">
        <v>1023</v>
      </c>
      <c r="H497" s="1" t="s">
        <v>24</v>
      </c>
      <c r="I497">
        <v>0.16841400000000001</v>
      </c>
      <c r="J497">
        <v>30.029876999999999</v>
      </c>
      <c r="K497" s="1" t="s">
        <v>1495</v>
      </c>
      <c r="L497" s="1" t="s">
        <v>1499</v>
      </c>
    </row>
    <row r="498" spans="1:12" x14ac:dyDescent="0.3">
      <c r="A498" s="1" t="s">
        <v>1453</v>
      </c>
      <c r="B498" s="2">
        <v>45221</v>
      </c>
      <c r="C498" s="3">
        <v>0.19791666666666666</v>
      </c>
      <c r="D498" s="1" t="s">
        <v>1069</v>
      </c>
      <c r="E498">
        <v>61</v>
      </c>
      <c r="F498" s="1" t="s">
        <v>812</v>
      </c>
      <c r="G498" s="1" t="s">
        <v>1069</v>
      </c>
      <c r="H498" s="1" t="s">
        <v>40</v>
      </c>
      <c r="I498">
        <v>-7.5129409999999996</v>
      </c>
      <c r="J498">
        <v>18.701522000000001</v>
      </c>
      <c r="K498" s="1" t="s">
        <v>1498</v>
      </c>
      <c r="L498" s="1" t="s">
        <v>1508</v>
      </c>
    </row>
    <row r="499" spans="1:12" x14ac:dyDescent="0.3">
      <c r="A499" s="1" t="s">
        <v>1453</v>
      </c>
      <c r="B499" s="2">
        <v>45224</v>
      </c>
      <c r="C499" s="3">
        <v>0.4826388888888889</v>
      </c>
      <c r="D499" s="1" t="s">
        <v>824</v>
      </c>
      <c r="E499">
        <v>95</v>
      </c>
      <c r="F499" s="1" t="s">
        <v>810</v>
      </c>
      <c r="G499" s="1" t="s">
        <v>824</v>
      </c>
      <c r="H499" s="1" t="s">
        <v>67</v>
      </c>
      <c r="I499">
        <v>-2.2371569999999998</v>
      </c>
      <c r="J499">
        <v>25.926188</v>
      </c>
      <c r="K499" s="1" t="s">
        <v>1500</v>
      </c>
      <c r="L499" s="1" t="s">
        <v>1508</v>
      </c>
    </row>
    <row r="500" spans="1:12" x14ac:dyDescent="0.3">
      <c r="A500" s="1" t="s">
        <v>1453</v>
      </c>
      <c r="B500" s="2">
        <v>45215</v>
      </c>
      <c r="C500" s="3">
        <v>0.77500000000000002</v>
      </c>
      <c r="D500" s="1" t="s">
        <v>1169</v>
      </c>
      <c r="E500">
        <v>95</v>
      </c>
      <c r="F500" s="1" t="s">
        <v>810</v>
      </c>
      <c r="G500" s="1" t="s">
        <v>1169</v>
      </c>
      <c r="H500" s="1" t="s">
        <v>73</v>
      </c>
      <c r="I500">
        <v>-0.85624699999999998</v>
      </c>
      <c r="J500">
        <v>28.624870000000001</v>
      </c>
      <c r="K500" s="1" t="s">
        <v>1500</v>
      </c>
      <c r="L500" s="1" t="s">
        <v>1496</v>
      </c>
    </row>
    <row r="501" spans="1:12" x14ac:dyDescent="0.3">
      <c r="A501" s="1" t="s">
        <v>1453</v>
      </c>
      <c r="B501" s="2">
        <v>45213</v>
      </c>
      <c r="C501" s="3">
        <v>0.90763888888888888</v>
      </c>
      <c r="D501" s="1" t="s">
        <v>1426</v>
      </c>
      <c r="E501">
        <v>52</v>
      </c>
      <c r="F501" s="1" t="s">
        <v>807</v>
      </c>
      <c r="G501" s="1" t="s">
        <v>1426</v>
      </c>
      <c r="H501" s="1" t="s">
        <v>131</v>
      </c>
      <c r="I501">
        <v>-10.298385</v>
      </c>
      <c r="J501">
        <v>29.698117</v>
      </c>
      <c r="K501" s="1" t="s">
        <v>1495</v>
      </c>
      <c r="L501" s="1" t="s">
        <v>1508</v>
      </c>
    </row>
    <row r="502" spans="1:12" x14ac:dyDescent="0.3">
      <c r="A502" s="1" t="s">
        <v>1453</v>
      </c>
      <c r="B502" s="2">
        <v>45228</v>
      </c>
      <c r="C502" s="3">
        <v>0.57708333333333328</v>
      </c>
      <c r="D502" s="1" t="s">
        <v>956</v>
      </c>
      <c r="E502">
        <v>80</v>
      </c>
      <c r="F502" s="1" t="s">
        <v>812</v>
      </c>
      <c r="G502" s="1" t="s">
        <v>956</v>
      </c>
      <c r="H502" s="1" t="s">
        <v>127</v>
      </c>
      <c r="I502">
        <v>-1.8045979999999999</v>
      </c>
      <c r="J502">
        <v>12.511096999999999</v>
      </c>
      <c r="K502" s="1" t="s">
        <v>1500</v>
      </c>
      <c r="L502" s="1" t="s">
        <v>1499</v>
      </c>
    </row>
    <row r="503" spans="1:12" x14ac:dyDescent="0.3">
      <c r="A503" s="1" t="s">
        <v>1453</v>
      </c>
      <c r="B503" s="2">
        <v>45200</v>
      </c>
      <c r="C503" s="3">
        <v>0.67083333333333328</v>
      </c>
      <c r="D503" s="1" t="s">
        <v>1467</v>
      </c>
      <c r="E503">
        <v>74</v>
      </c>
      <c r="F503" s="1" t="s">
        <v>812</v>
      </c>
      <c r="G503" s="1" t="s">
        <v>1467</v>
      </c>
      <c r="H503" s="1" t="s">
        <v>10</v>
      </c>
      <c r="I503">
        <v>-4.6426759999999998</v>
      </c>
      <c r="J503">
        <v>22.124254000000001</v>
      </c>
      <c r="K503" s="1" t="s">
        <v>1498</v>
      </c>
      <c r="L503" s="1" t="s">
        <v>1501</v>
      </c>
    </row>
    <row r="504" spans="1:12" x14ac:dyDescent="0.3">
      <c r="A504" s="1" t="s">
        <v>1453</v>
      </c>
      <c r="B504" s="2">
        <v>45200</v>
      </c>
      <c r="C504" s="3">
        <v>0.50624999999999998</v>
      </c>
      <c r="D504" s="1" t="s">
        <v>1301</v>
      </c>
      <c r="E504">
        <v>99</v>
      </c>
      <c r="F504" s="1" t="s">
        <v>807</v>
      </c>
      <c r="G504" s="1" t="s">
        <v>1301</v>
      </c>
      <c r="H504" s="1" t="s">
        <v>24</v>
      </c>
      <c r="I504">
        <v>-10.945031</v>
      </c>
      <c r="J504">
        <v>27.922274000000002</v>
      </c>
      <c r="K504" s="1" t="s">
        <v>1498</v>
      </c>
      <c r="L504" s="1" t="s">
        <v>1496</v>
      </c>
    </row>
    <row r="505" spans="1:12" x14ac:dyDescent="0.3">
      <c r="A505" s="1" t="s">
        <v>1453</v>
      </c>
      <c r="B505" s="2">
        <v>45201</v>
      </c>
      <c r="C505" s="3">
        <v>0.87708333333333333</v>
      </c>
      <c r="D505" s="1" t="s">
        <v>975</v>
      </c>
      <c r="E505">
        <v>82</v>
      </c>
      <c r="F505" s="1" t="s">
        <v>812</v>
      </c>
      <c r="G505" s="1" t="s">
        <v>975</v>
      </c>
      <c r="H505" s="1" t="s">
        <v>131</v>
      </c>
      <c r="I505">
        <v>-12.336202</v>
      </c>
      <c r="J505">
        <v>13.693683999999999</v>
      </c>
      <c r="K505" s="1" t="s">
        <v>1495</v>
      </c>
      <c r="L505" s="1" t="s">
        <v>1499</v>
      </c>
    </row>
    <row r="506" spans="1:12" x14ac:dyDescent="0.3">
      <c r="A506" s="1" t="s">
        <v>1453</v>
      </c>
      <c r="B506" s="2">
        <v>45225</v>
      </c>
      <c r="C506" s="3">
        <v>0.22083333333333333</v>
      </c>
      <c r="D506" s="1" t="s">
        <v>1469</v>
      </c>
      <c r="E506">
        <v>104</v>
      </c>
      <c r="F506" s="1" t="s">
        <v>810</v>
      </c>
      <c r="G506" s="1" t="s">
        <v>1469</v>
      </c>
      <c r="H506" s="1" t="s">
        <v>33</v>
      </c>
      <c r="I506">
        <v>-8.0800809999999998</v>
      </c>
      <c r="J506">
        <v>30.147970999999998</v>
      </c>
      <c r="K506" s="1" t="s">
        <v>1495</v>
      </c>
      <c r="L506" s="1" t="s">
        <v>1499</v>
      </c>
    </row>
    <row r="507" spans="1:12" x14ac:dyDescent="0.3">
      <c r="A507" s="1" t="s">
        <v>1453</v>
      </c>
      <c r="B507" s="2">
        <v>45211</v>
      </c>
      <c r="C507" s="3">
        <v>0.58750000000000002</v>
      </c>
      <c r="D507" s="1" t="s">
        <v>1472</v>
      </c>
      <c r="E507">
        <v>27</v>
      </c>
      <c r="F507" s="1" t="s">
        <v>812</v>
      </c>
      <c r="G507" s="1" t="s">
        <v>1472</v>
      </c>
      <c r="H507" s="1" t="s">
        <v>60</v>
      </c>
      <c r="I507">
        <v>-7.8215969999999997</v>
      </c>
      <c r="J507">
        <v>26.797349000000001</v>
      </c>
      <c r="K507" s="1" t="s">
        <v>1500</v>
      </c>
      <c r="L507" s="1" t="s">
        <v>1496</v>
      </c>
    </row>
    <row r="508" spans="1:12" x14ac:dyDescent="0.3">
      <c r="A508" s="1" t="s">
        <v>1453</v>
      </c>
      <c r="B508" s="2">
        <v>45220</v>
      </c>
      <c r="C508" s="3">
        <v>0.72499999999999998</v>
      </c>
      <c r="D508" s="1" t="s">
        <v>927</v>
      </c>
      <c r="E508">
        <v>28</v>
      </c>
      <c r="F508" s="1" t="s">
        <v>812</v>
      </c>
      <c r="G508" s="1" t="s">
        <v>927</v>
      </c>
      <c r="H508" s="1" t="s">
        <v>37</v>
      </c>
      <c r="I508">
        <v>-9.002459</v>
      </c>
      <c r="J508">
        <v>25.182109000000001</v>
      </c>
      <c r="K508" s="1" t="s">
        <v>1495</v>
      </c>
      <c r="L508" s="1" t="s">
        <v>1499</v>
      </c>
    </row>
    <row r="509" spans="1:12" x14ac:dyDescent="0.3">
      <c r="A509" s="1" t="s">
        <v>1453</v>
      </c>
      <c r="B509" s="2">
        <v>45207</v>
      </c>
      <c r="C509" s="3">
        <v>0.70138888888888884</v>
      </c>
      <c r="D509" s="1" t="s">
        <v>1475</v>
      </c>
      <c r="E509">
        <v>27</v>
      </c>
      <c r="F509" s="1" t="s">
        <v>812</v>
      </c>
      <c r="G509" s="1" t="s">
        <v>1475</v>
      </c>
      <c r="H509" s="1" t="s">
        <v>35</v>
      </c>
      <c r="I509">
        <v>-10.764815</v>
      </c>
      <c r="J509">
        <v>14.602039</v>
      </c>
      <c r="K509" s="1" t="s">
        <v>1498</v>
      </c>
      <c r="L509" s="1" t="s">
        <v>1508</v>
      </c>
    </row>
    <row r="510" spans="1:12" x14ac:dyDescent="0.3">
      <c r="A510" s="1" t="s">
        <v>1476</v>
      </c>
      <c r="B510" s="2">
        <v>45223</v>
      </c>
      <c r="C510" s="3">
        <v>0.57013888888888886</v>
      </c>
      <c r="D510" s="1" t="s">
        <v>992</v>
      </c>
      <c r="E510">
        <v>10</v>
      </c>
      <c r="F510" s="1" t="s">
        <v>810</v>
      </c>
      <c r="G510" s="1" t="s">
        <v>992</v>
      </c>
      <c r="H510" s="1" t="s">
        <v>44</v>
      </c>
      <c r="I510">
        <v>-9.3652280000000001</v>
      </c>
      <c r="J510">
        <v>18.674116000000001</v>
      </c>
      <c r="K510" s="1" t="s">
        <v>1498</v>
      </c>
      <c r="L510" s="1" t="s">
        <v>1499</v>
      </c>
    </row>
    <row r="511" spans="1:12" x14ac:dyDescent="0.3">
      <c r="A511" s="1" t="s">
        <v>1476</v>
      </c>
      <c r="B511" s="2">
        <v>45226</v>
      </c>
      <c r="C511" s="3">
        <v>0.11597222222222223</v>
      </c>
      <c r="D511" s="1" t="s">
        <v>1129</v>
      </c>
      <c r="E511">
        <v>5</v>
      </c>
      <c r="F511" s="1" t="s">
        <v>812</v>
      </c>
      <c r="G511" s="1" t="s">
        <v>1129</v>
      </c>
      <c r="H511" s="1" t="s">
        <v>57</v>
      </c>
      <c r="I511">
        <v>2.486888</v>
      </c>
      <c r="J511">
        <v>23.798074</v>
      </c>
      <c r="K511" s="1" t="s">
        <v>1495</v>
      </c>
      <c r="L511" s="1" t="s">
        <v>1501</v>
      </c>
    </row>
    <row r="512" spans="1:12" x14ac:dyDescent="0.3">
      <c r="A512" s="1" t="s">
        <v>1476</v>
      </c>
      <c r="B512" s="2">
        <v>45221</v>
      </c>
      <c r="C512" s="3">
        <v>0.1673611111111111</v>
      </c>
      <c r="D512" s="1" t="s">
        <v>922</v>
      </c>
      <c r="E512">
        <v>78</v>
      </c>
      <c r="F512" s="1" t="s">
        <v>810</v>
      </c>
      <c r="G512" s="1" t="s">
        <v>922</v>
      </c>
      <c r="H512" s="1" t="s">
        <v>51</v>
      </c>
      <c r="I512">
        <v>2.4741019999999998</v>
      </c>
      <c r="J512">
        <v>29.297391000000001</v>
      </c>
      <c r="K512" s="1" t="s">
        <v>1498</v>
      </c>
      <c r="L512" s="1" t="s">
        <v>1496</v>
      </c>
    </row>
    <row r="513" spans="1:12" x14ac:dyDescent="0.3">
      <c r="A513" s="1" t="s">
        <v>1476</v>
      </c>
      <c r="B513" s="2">
        <v>45201</v>
      </c>
      <c r="C513" s="3">
        <v>8.611111111111111E-2</v>
      </c>
      <c r="D513" s="1" t="s">
        <v>1002</v>
      </c>
      <c r="E513">
        <v>55</v>
      </c>
      <c r="F513" s="1" t="s">
        <v>807</v>
      </c>
      <c r="G513" s="1" t="s">
        <v>1002</v>
      </c>
      <c r="H513" s="1" t="s">
        <v>131</v>
      </c>
      <c r="I513">
        <v>-1.8555980000000001</v>
      </c>
      <c r="J513">
        <v>30.421918000000002</v>
      </c>
      <c r="K513" s="1" t="s">
        <v>1500</v>
      </c>
      <c r="L513" s="1" t="s">
        <v>1501</v>
      </c>
    </row>
    <row r="514" spans="1:12" x14ac:dyDescent="0.3">
      <c r="A514" s="1" t="s">
        <v>1476</v>
      </c>
      <c r="B514" s="2">
        <v>45218</v>
      </c>
      <c r="C514" s="3">
        <v>0.33194444444444443</v>
      </c>
      <c r="D514" s="1" t="s">
        <v>1002</v>
      </c>
      <c r="E514">
        <v>15</v>
      </c>
      <c r="F514" s="1" t="s">
        <v>812</v>
      </c>
      <c r="G514" s="1" t="s">
        <v>1002</v>
      </c>
      <c r="H514" s="1" t="s">
        <v>131</v>
      </c>
      <c r="I514">
        <v>-1.8555980000000001</v>
      </c>
      <c r="J514">
        <v>30.421918000000002</v>
      </c>
      <c r="K514" s="1" t="s">
        <v>1500</v>
      </c>
      <c r="L514" s="1" t="s">
        <v>1501</v>
      </c>
    </row>
    <row r="515" spans="1:12" x14ac:dyDescent="0.3">
      <c r="A515" s="1" t="s">
        <v>1476</v>
      </c>
      <c r="B515" s="2">
        <v>45208</v>
      </c>
      <c r="C515" s="3">
        <v>0.55833333333333335</v>
      </c>
      <c r="D515" s="1" t="s">
        <v>1469</v>
      </c>
      <c r="E515">
        <v>44</v>
      </c>
      <c r="F515" s="1" t="s">
        <v>812</v>
      </c>
      <c r="G515" s="1" t="s">
        <v>1469</v>
      </c>
      <c r="H515" s="1" t="s">
        <v>33</v>
      </c>
      <c r="I515">
        <v>-8.0800809999999998</v>
      </c>
      <c r="J515">
        <v>30.147970999999998</v>
      </c>
      <c r="K515" s="1" t="s">
        <v>1495</v>
      </c>
      <c r="L515" s="1" t="s">
        <v>1499</v>
      </c>
    </row>
    <row r="516" spans="1:12" x14ac:dyDescent="0.3">
      <c r="A516" s="1" t="s">
        <v>1476</v>
      </c>
      <c r="B516" s="2">
        <v>45214</v>
      </c>
      <c r="C516" s="3">
        <v>0.85069444444444442</v>
      </c>
      <c r="D516" s="1" t="s">
        <v>1165</v>
      </c>
      <c r="E516">
        <v>31</v>
      </c>
      <c r="F516" s="1" t="s">
        <v>812</v>
      </c>
      <c r="G516" s="1" t="s">
        <v>1165</v>
      </c>
      <c r="H516" s="1" t="s">
        <v>57</v>
      </c>
      <c r="I516">
        <v>-5.4073029999999997</v>
      </c>
      <c r="J516">
        <v>29.762294000000001</v>
      </c>
      <c r="K516" s="1" t="s">
        <v>1500</v>
      </c>
      <c r="L516" s="1" t="s">
        <v>1496</v>
      </c>
    </row>
    <row r="517" spans="1:12" x14ac:dyDescent="0.3">
      <c r="A517" s="1" t="s">
        <v>1476</v>
      </c>
      <c r="B517" s="2">
        <v>45223</v>
      </c>
      <c r="C517" s="3">
        <v>0.7944444444444444</v>
      </c>
      <c r="D517" s="1" t="s">
        <v>1479</v>
      </c>
      <c r="E517">
        <v>97</v>
      </c>
      <c r="F517" s="1" t="s">
        <v>807</v>
      </c>
      <c r="G517" s="1" t="s">
        <v>1479</v>
      </c>
      <c r="H517" s="1" t="s">
        <v>127</v>
      </c>
      <c r="I517">
        <v>1.0134879999999999</v>
      </c>
      <c r="J517">
        <v>20.363515</v>
      </c>
      <c r="K517" s="1" t="s">
        <v>1498</v>
      </c>
      <c r="L517" s="1" t="s">
        <v>1508</v>
      </c>
    </row>
    <row r="518" spans="1:12" x14ac:dyDescent="0.3">
      <c r="A518" s="1" t="s">
        <v>1476</v>
      </c>
      <c r="B518" s="2">
        <v>45216</v>
      </c>
      <c r="C518" s="3">
        <v>0.13750000000000001</v>
      </c>
      <c r="D518" s="1" t="s">
        <v>1482</v>
      </c>
      <c r="E518">
        <v>120</v>
      </c>
      <c r="F518" s="1" t="s">
        <v>810</v>
      </c>
      <c r="G518" s="1" t="s">
        <v>1482</v>
      </c>
      <c r="H518" s="1" t="s">
        <v>16</v>
      </c>
      <c r="I518">
        <v>-7.2267089999999996</v>
      </c>
      <c r="J518">
        <v>28.421362999999999</v>
      </c>
      <c r="K518" s="1" t="s">
        <v>1495</v>
      </c>
      <c r="L518" s="1" t="s">
        <v>1496</v>
      </c>
    </row>
    <row r="519" spans="1:12" x14ac:dyDescent="0.3">
      <c r="A519" s="1" t="s">
        <v>1476</v>
      </c>
      <c r="B519" s="2">
        <v>45225</v>
      </c>
      <c r="C519" s="3">
        <v>0.8881944444444444</v>
      </c>
      <c r="D519" s="1" t="s">
        <v>1483</v>
      </c>
      <c r="E519">
        <v>87</v>
      </c>
      <c r="F519" s="1" t="s">
        <v>812</v>
      </c>
      <c r="G519" s="1" t="s">
        <v>1483</v>
      </c>
      <c r="H519" s="1" t="s">
        <v>18</v>
      </c>
      <c r="I519">
        <v>-5.8145569999999998</v>
      </c>
      <c r="J519">
        <v>21.942052</v>
      </c>
      <c r="K519" s="1" t="s">
        <v>1495</v>
      </c>
      <c r="L519" s="1" t="s">
        <v>1499</v>
      </c>
    </row>
    <row r="520" spans="1:12" x14ac:dyDescent="0.3">
      <c r="A520" s="1" t="s">
        <v>1476</v>
      </c>
      <c r="B520" s="2">
        <v>45219</v>
      </c>
      <c r="C520" s="3">
        <v>9.583333333333334E-2</v>
      </c>
      <c r="D520" s="1" t="s">
        <v>976</v>
      </c>
      <c r="E520">
        <v>113</v>
      </c>
      <c r="F520" s="1" t="s">
        <v>812</v>
      </c>
      <c r="G520" s="1" t="s">
        <v>976</v>
      </c>
      <c r="H520" s="1" t="s">
        <v>26</v>
      </c>
      <c r="I520">
        <v>-3.6945459999999999</v>
      </c>
      <c r="J520">
        <v>16.809108999999999</v>
      </c>
      <c r="K520" s="1" t="s">
        <v>1495</v>
      </c>
      <c r="L520" s="1" t="s">
        <v>1501</v>
      </c>
    </row>
    <row r="521" spans="1:12" x14ac:dyDescent="0.3">
      <c r="A521" s="1" t="s">
        <v>1476</v>
      </c>
      <c r="B521" s="2">
        <v>45212</v>
      </c>
      <c r="C521" s="3">
        <v>0.87569444444444444</v>
      </c>
      <c r="D521" s="1" t="s">
        <v>1485</v>
      </c>
      <c r="E521">
        <v>23</v>
      </c>
      <c r="F521" s="1" t="s">
        <v>807</v>
      </c>
      <c r="G521" s="1" t="s">
        <v>1485</v>
      </c>
      <c r="H521" s="1" t="s">
        <v>51</v>
      </c>
      <c r="I521">
        <v>1.2691650000000001</v>
      </c>
      <c r="J521">
        <v>18.789956</v>
      </c>
      <c r="K521" s="1" t="s">
        <v>1500</v>
      </c>
      <c r="L521" s="1" t="s">
        <v>1508</v>
      </c>
    </row>
    <row r="522" spans="1:12" x14ac:dyDescent="0.3">
      <c r="A522" s="1" t="s">
        <v>1476</v>
      </c>
      <c r="B522" s="2">
        <v>45212</v>
      </c>
      <c r="C522" s="3">
        <v>0.72083333333333333</v>
      </c>
      <c r="D522" s="1" t="s">
        <v>1486</v>
      </c>
      <c r="E522">
        <v>33</v>
      </c>
      <c r="F522" s="1" t="s">
        <v>812</v>
      </c>
      <c r="G522" s="1" t="s">
        <v>1486</v>
      </c>
      <c r="H522" s="1" t="s">
        <v>13</v>
      </c>
      <c r="I522">
        <v>-5.7957599999999996</v>
      </c>
      <c r="J522">
        <v>14.078258</v>
      </c>
      <c r="K522" s="1" t="s">
        <v>1495</v>
      </c>
      <c r="L522" s="1" t="s">
        <v>1496</v>
      </c>
    </row>
    <row r="523" spans="1:12" x14ac:dyDescent="0.3">
      <c r="A523" s="1" t="s">
        <v>1476</v>
      </c>
      <c r="B523" s="2">
        <v>45230</v>
      </c>
      <c r="C523" s="3">
        <v>0.83958333333333335</v>
      </c>
      <c r="D523" s="1" t="s">
        <v>1196</v>
      </c>
      <c r="E523">
        <v>83</v>
      </c>
      <c r="F523" s="1" t="s">
        <v>812</v>
      </c>
      <c r="G523" s="1" t="s">
        <v>1196</v>
      </c>
      <c r="H523" s="1" t="s">
        <v>60</v>
      </c>
      <c r="I523">
        <v>-0.79459900000000006</v>
      </c>
      <c r="J523">
        <v>26.775570999999999</v>
      </c>
      <c r="K523" s="1" t="s">
        <v>1495</v>
      </c>
      <c r="L523" s="1" t="s">
        <v>1499</v>
      </c>
    </row>
    <row r="524" spans="1:12" x14ac:dyDescent="0.3">
      <c r="A524" s="1" t="s">
        <v>1476</v>
      </c>
      <c r="B524" s="2">
        <v>45209</v>
      </c>
      <c r="C524" s="3">
        <v>0.91388888888888886</v>
      </c>
      <c r="D524" s="1" t="s">
        <v>1131</v>
      </c>
      <c r="E524">
        <v>111</v>
      </c>
      <c r="F524" s="1" t="s">
        <v>812</v>
      </c>
      <c r="G524" s="1" t="s">
        <v>1131</v>
      </c>
      <c r="H524" s="1" t="s">
        <v>26</v>
      </c>
      <c r="I524">
        <v>-6.4197189999999997</v>
      </c>
      <c r="J524">
        <v>22.287264</v>
      </c>
      <c r="K524" s="1" t="s">
        <v>1500</v>
      </c>
      <c r="L524" s="1" t="s">
        <v>1496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FB6A-558B-4632-9A97-A45E8A7E3BF6}">
  <dimension ref="A3:E13"/>
  <sheetViews>
    <sheetView showGridLines="0" workbookViewId="0">
      <selection activeCell="E4" sqref="E4"/>
    </sheetView>
  </sheetViews>
  <sheetFormatPr baseColWidth="10" defaultRowHeight="14.4" x14ac:dyDescent="0.3"/>
  <cols>
    <col min="1" max="1" width="29.109375" bestFit="1" customWidth="1"/>
    <col min="2" max="3" width="33.44140625" bestFit="1" customWidth="1"/>
    <col min="4" max="4" width="28.44140625" bestFit="1" customWidth="1"/>
    <col min="5" max="5" width="38" bestFit="1" customWidth="1"/>
    <col min="6" max="6" width="16.44140625" customWidth="1"/>
    <col min="7" max="7" width="14.109375" customWidth="1"/>
    <col min="8" max="8" width="16.109375" customWidth="1"/>
    <col min="9" max="9" width="29" customWidth="1"/>
  </cols>
  <sheetData>
    <row r="3" spans="1:5" x14ac:dyDescent="0.3">
      <c r="A3" s="7"/>
      <c r="B3" s="7" t="s">
        <v>1704</v>
      </c>
      <c r="C3" s="7" t="s">
        <v>1691</v>
      </c>
      <c r="D3" s="7"/>
      <c r="E3" s="7"/>
    </row>
    <row r="4" spans="1:5" x14ac:dyDescent="0.3">
      <c r="A4" s="7"/>
      <c r="B4" s="7" t="s">
        <v>1700</v>
      </c>
      <c r="C4" s="7" t="s">
        <v>1703</v>
      </c>
      <c r="D4" s="7" t="s">
        <v>1701</v>
      </c>
      <c r="E4" s="7" t="s">
        <v>1702</v>
      </c>
    </row>
    <row r="5" spans="1:5" x14ac:dyDescent="0.3">
      <c r="A5" s="7" t="s">
        <v>1688</v>
      </c>
      <c r="B5" s="7" t="s">
        <v>1500</v>
      </c>
      <c r="C5" s="7" t="s">
        <v>1500</v>
      </c>
      <c r="D5" s="7"/>
      <c r="E5" s="7"/>
    </row>
    <row r="6" spans="1:5" x14ac:dyDescent="0.3">
      <c r="A6" s="7" t="s">
        <v>26</v>
      </c>
      <c r="B6" s="6">
        <v>32</v>
      </c>
      <c r="C6" s="5">
        <v>6.3319444444444439</v>
      </c>
      <c r="D6" s="6">
        <v>32</v>
      </c>
      <c r="E6" s="5">
        <v>6.3319444444444439</v>
      </c>
    </row>
    <row r="7" spans="1:5" x14ac:dyDescent="0.3">
      <c r="A7" s="7" t="s">
        <v>24</v>
      </c>
      <c r="B7" s="6">
        <v>38</v>
      </c>
      <c r="C7" s="5">
        <v>13.416666666666664</v>
      </c>
      <c r="D7" s="6">
        <v>38</v>
      </c>
      <c r="E7" s="5">
        <v>13.416666666666664</v>
      </c>
    </row>
    <row r="8" spans="1:5" x14ac:dyDescent="0.3">
      <c r="A8" s="7" t="s">
        <v>10</v>
      </c>
      <c r="B8" s="6">
        <v>37</v>
      </c>
      <c r="C8" s="5">
        <v>19.662499999999994</v>
      </c>
      <c r="D8" s="6">
        <v>37</v>
      </c>
      <c r="E8" s="5">
        <v>19.662499999999994</v>
      </c>
    </row>
    <row r="9" spans="1:5" x14ac:dyDescent="0.3">
      <c r="A9" s="7" t="s">
        <v>57</v>
      </c>
      <c r="B9" s="6">
        <v>30</v>
      </c>
      <c r="C9" s="5">
        <v>24.790277777777771</v>
      </c>
      <c r="D9" s="6">
        <v>30</v>
      </c>
      <c r="E9" s="5">
        <v>24.790277777777771</v>
      </c>
    </row>
    <row r="10" spans="1:5" x14ac:dyDescent="0.3">
      <c r="A10" s="7" t="s">
        <v>137</v>
      </c>
      <c r="B10" s="6">
        <v>20</v>
      </c>
      <c r="C10" s="5">
        <v>27.287499999999994</v>
      </c>
      <c r="D10" s="6">
        <v>20</v>
      </c>
      <c r="E10" s="5">
        <v>27.287499999999994</v>
      </c>
    </row>
    <row r="11" spans="1:5" x14ac:dyDescent="0.3">
      <c r="A11" s="7" t="s">
        <v>37</v>
      </c>
      <c r="B11" s="6">
        <v>30</v>
      </c>
      <c r="C11" s="5">
        <v>31.95902777777777</v>
      </c>
      <c r="D11" s="6">
        <v>30</v>
      </c>
      <c r="E11" s="5">
        <v>31.95902777777777</v>
      </c>
    </row>
    <row r="12" spans="1:5" x14ac:dyDescent="0.3">
      <c r="A12" s="7" t="s">
        <v>73</v>
      </c>
      <c r="B12" s="6">
        <v>26</v>
      </c>
      <c r="C12" s="5">
        <v>35.721527777777766</v>
      </c>
      <c r="D12" s="6">
        <v>26</v>
      </c>
      <c r="E12" s="5">
        <v>35.721527777777766</v>
      </c>
    </row>
    <row r="13" spans="1:5" x14ac:dyDescent="0.3">
      <c r="A13" s="7" t="s">
        <v>1699</v>
      </c>
      <c r="B13" s="6">
        <v>213</v>
      </c>
      <c r="C13" s="5"/>
      <c r="D13" s="6">
        <v>213</v>
      </c>
      <c r="E13" s="5"/>
    </row>
  </sheetData>
  <conditionalFormatting sqref="C1:C5 C33:C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">
    <cfRule type="colorScale" priority="3">
      <colorScale>
        <cfvo type="min"/>
        <cfvo type="max"/>
        <color rgb="FFFF7128"/>
        <color rgb="FFFFEF9C"/>
      </colorScale>
    </cfRule>
  </conditionalFormatting>
  <conditionalFormatting sqref="C1:C5 C33:C1048576">
    <cfRule type="colorScale" priority="2">
      <colorScale>
        <cfvo type="min"/>
        <cfvo type="max"/>
        <color rgb="FFFCFCFF"/>
        <color rgb="FFF8696B"/>
      </colorScale>
    </cfRule>
  </conditionalFormatting>
  <conditionalFormatting pivot="1" sqref="C6:C13 E6:E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99D8-6AC7-49F7-9EE3-FCAF956EB57E}">
  <dimension ref="A1:W750"/>
  <sheetViews>
    <sheetView zoomScale="115" zoomScaleNormal="115" workbookViewId="0">
      <selection activeCell="E25" sqref="E25"/>
    </sheetView>
  </sheetViews>
  <sheetFormatPr baseColWidth="10" defaultRowHeight="14.4" x14ac:dyDescent="0.3"/>
  <cols>
    <col min="1" max="1" width="15.44140625" customWidth="1"/>
    <col min="2" max="3" width="11.6640625" customWidth="1"/>
    <col min="4" max="4" width="9" bestFit="1" customWidth="1"/>
    <col min="5" max="5" width="11.44140625" customWidth="1"/>
    <col min="6" max="6" width="15" customWidth="1"/>
    <col min="7" max="7" width="14.109375" customWidth="1"/>
    <col min="8" max="8" width="14.77734375" customWidth="1"/>
    <col min="9" max="9" width="12.6640625" customWidth="1"/>
    <col min="10" max="10" width="12.109375" customWidth="1"/>
    <col min="11" max="11" width="10.5546875" customWidth="1"/>
    <col min="12" max="12" width="12.77734375" customWidth="1"/>
    <col min="13" max="13" width="13.6640625" customWidth="1"/>
    <col min="14" max="15" width="16.88671875" customWidth="1"/>
    <col min="16" max="16" width="12.33203125" customWidth="1"/>
    <col min="17" max="17" width="15.44140625" customWidth="1"/>
    <col min="18" max="18" width="14.109375" style="4" customWidth="1"/>
    <col min="19" max="19" width="11.21875" customWidth="1"/>
    <col min="20" max="20" width="14.5546875" customWidth="1"/>
    <col min="21" max="21" width="13.77734375" customWidth="1"/>
    <col min="22" max="22" width="11.5546875" style="8"/>
  </cols>
  <sheetData>
    <row r="1" spans="1:23" x14ac:dyDescent="0.3">
      <c r="A1" t="s">
        <v>0</v>
      </c>
      <c r="B1" t="s">
        <v>801</v>
      </c>
      <c r="C1" t="s">
        <v>1487</v>
      </c>
      <c r="D1" t="s">
        <v>802</v>
      </c>
      <c r="E1" t="s">
        <v>803</v>
      </c>
      <c r="F1" t="s">
        <v>804</v>
      </c>
      <c r="G1" t="s">
        <v>1687</v>
      </c>
      <c r="H1" t="s">
        <v>1688</v>
      </c>
      <c r="I1" t="s">
        <v>1689</v>
      </c>
      <c r="J1" t="s">
        <v>1690</v>
      </c>
      <c r="K1" t="s">
        <v>1691</v>
      </c>
      <c r="L1" t="s">
        <v>1692</v>
      </c>
      <c r="M1" t="s">
        <v>1693</v>
      </c>
      <c r="N1" t="s">
        <v>1694</v>
      </c>
      <c r="O1" t="s">
        <v>3</v>
      </c>
      <c r="P1" t="s">
        <v>1705</v>
      </c>
      <c r="Q1" t="s">
        <v>1695</v>
      </c>
      <c r="R1" s="4" t="s">
        <v>5</v>
      </c>
      <c r="S1" t="s">
        <v>1696</v>
      </c>
      <c r="T1" t="s">
        <v>1697</v>
      </c>
      <c r="U1" t="s">
        <v>1698</v>
      </c>
      <c r="V1" s="8" t="s">
        <v>1706</v>
      </c>
      <c r="W1" t="s">
        <v>1707</v>
      </c>
    </row>
    <row r="2" spans="1:23" x14ac:dyDescent="0.3">
      <c r="A2" s="1" t="s">
        <v>805</v>
      </c>
      <c r="B2" s="2">
        <v>45212</v>
      </c>
      <c r="C2" s="3">
        <v>0.14027777777777778</v>
      </c>
      <c r="D2" s="1" t="s">
        <v>826</v>
      </c>
      <c r="E2">
        <v>19</v>
      </c>
      <c r="F2" s="1" t="s">
        <v>810</v>
      </c>
      <c r="G2" s="1" t="s">
        <v>826</v>
      </c>
      <c r="H2" s="1" t="s">
        <v>37</v>
      </c>
      <c r="I2">
        <v>-9.4708620000000003</v>
      </c>
      <c r="J2">
        <v>29.234387999999999</v>
      </c>
      <c r="K2" s="1" t="s">
        <v>1500</v>
      </c>
      <c r="L2" s="1" t="s">
        <v>1501</v>
      </c>
      <c r="M2" s="1" t="s">
        <v>36</v>
      </c>
      <c r="N2" s="1" t="s">
        <v>37</v>
      </c>
      <c r="O2" s="1" t="str">
        <f>INT(Matrice1!$P2/12) &amp; " ans et " &amp; MOD(Matrice1!$P2,12) &amp; " mois"</f>
        <v>9 ans et 7 mois</v>
      </c>
      <c r="P2">
        <v>115</v>
      </c>
      <c r="Q2" s="1" t="s">
        <v>19</v>
      </c>
      <c r="R2" s="4">
        <f>Matrice1!$S2/1440</f>
        <v>0.12222222222222222</v>
      </c>
      <c r="S2">
        <v>176</v>
      </c>
      <c r="T2">
        <v>33.28</v>
      </c>
      <c r="U2">
        <v>4</v>
      </c>
      <c r="V2" s="8">
        <f>IF(Matrice1!$Q2="Pro Monde",10%,IF(AND(Matrice1!$R2&gt;12,Matrice1!$O2&gt;5),70%,IF(AND(OR(Matrice1!$R2&gt;=4,Matrice1!$R2&lt;=12,Matrice1!$O2&lt;5,(OR(Matrice1!$Q2="Premium ")))),45%,0%)))</f>
        <v>0.45</v>
      </c>
      <c r="W2">
        <f>Matrice1!$T2* (Matrice1!$V2/100)</f>
        <v>0.14976000000000003</v>
      </c>
    </row>
    <row r="3" spans="1:23" x14ac:dyDescent="0.3">
      <c r="A3" s="1" t="s">
        <v>805</v>
      </c>
      <c r="B3" s="2">
        <v>45212</v>
      </c>
      <c r="C3" s="3">
        <v>0.14027777777777778</v>
      </c>
      <c r="D3" s="1" t="s">
        <v>826</v>
      </c>
      <c r="E3">
        <v>19</v>
      </c>
      <c r="F3" s="1" t="s">
        <v>810</v>
      </c>
      <c r="G3" s="1" t="s">
        <v>826</v>
      </c>
      <c r="H3" s="1" t="s">
        <v>37</v>
      </c>
      <c r="I3">
        <v>-9.4708620000000003</v>
      </c>
      <c r="J3">
        <v>29.234387999999999</v>
      </c>
      <c r="K3" s="1" t="s">
        <v>1500</v>
      </c>
      <c r="L3" s="1" t="s">
        <v>1501</v>
      </c>
      <c r="M3" s="1" t="s">
        <v>142</v>
      </c>
      <c r="N3" s="1" t="s">
        <v>37</v>
      </c>
      <c r="O3" s="1" t="str">
        <f>INT(Matrice1!$P3/12) &amp; " ans et " &amp; MOD(Matrice1!$P3,12) &amp; " mois"</f>
        <v>5 ans et 9 mois</v>
      </c>
      <c r="P3">
        <v>69</v>
      </c>
      <c r="Q3" s="1" t="s">
        <v>19</v>
      </c>
      <c r="R3" s="4">
        <f>Matrice1!$S3/1440</f>
        <v>0.21249999999999999</v>
      </c>
      <c r="S3">
        <v>306</v>
      </c>
      <c r="T3">
        <v>13.97</v>
      </c>
      <c r="U3">
        <v>1</v>
      </c>
      <c r="V3" s="8">
        <f>IF(Matrice1!$Q3="Pro Monde",10%,IF(AND(Matrice1!$R3&gt;12,Matrice1!$O3&gt;5),70%,IF(AND(OR(Matrice1!$R3&gt;=4,Matrice1!$R3&lt;=12,Matrice1!$O3&lt;5,(OR(Matrice1!$Q3="Premium ")))),45%,0%)))</f>
        <v>0.45</v>
      </c>
      <c r="W3">
        <f>Matrice1!$T3* (Matrice1!$V3/100)</f>
        <v>6.2865000000000004E-2</v>
      </c>
    </row>
    <row r="4" spans="1:23" x14ac:dyDescent="0.3">
      <c r="A4" s="1" t="s">
        <v>805</v>
      </c>
      <c r="B4" s="2">
        <v>45212</v>
      </c>
      <c r="C4" s="3">
        <v>0.14027777777777778</v>
      </c>
      <c r="D4" s="1" t="s">
        <v>826</v>
      </c>
      <c r="E4">
        <v>19</v>
      </c>
      <c r="F4" s="1" t="s">
        <v>810</v>
      </c>
      <c r="G4" s="1" t="s">
        <v>826</v>
      </c>
      <c r="H4" s="1" t="s">
        <v>37</v>
      </c>
      <c r="I4">
        <v>-9.4708620000000003</v>
      </c>
      <c r="J4">
        <v>29.234387999999999</v>
      </c>
      <c r="K4" s="1" t="s">
        <v>1500</v>
      </c>
      <c r="L4" s="1" t="s">
        <v>1501</v>
      </c>
      <c r="M4" s="1" t="s">
        <v>150</v>
      </c>
      <c r="N4" s="1" t="s">
        <v>37</v>
      </c>
      <c r="O4" s="1" t="str">
        <f>INT(Matrice1!$P4/12) &amp; " ans et " &amp; MOD(Matrice1!$P4,12) &amp; " mois"</f>
        <v>4 ans et 7 mois</v>
      </c>
      <c r="P4">
        <v>55</v>
      </c>
      <c r="Q4" s="1" t="s">
        <v>19</v>
      </c>
      <c r="R4" s="4">
        <f>Matrice1!$S4/1440</f>
        <v>0.28263888888888888</v>
      </c>
      <c r="S4">
        <v>407</v>
      </c>
      <c r="T4">
        <v>23.11</v>
      </c>
      <c r="U4">
        <v>0</v>
      </c>
      <c r="V4" s="8">
        <f>IF(Matrice1!$Q4="Pro Monde",10%,IF(AND(Matrice1!$R4&gt;12,Matrice1!$O4&gt;5),70%,IF(AND(OR(Matrice1!$R4&gt;=4,Matrice1!$R4&lt;=12,Matrice1!$O4&lt;5,(OR(Matrice1!$Q4="Premium ")))),45%,0%)))</f>
        <v>0.45</v>
      </c>
      <c r="W4">
        <f>Matrice1!$T4* (Matrice1!$V4/100)</f>
        <v>0.103995</v>
      </c>
    </row>
    <row r="5" spans="1:23" x14ac:dyDescent="0.3">
      <c r="A5" s="1" t="s">
        <v>805</v>
      </c>
      <c r="B5" s="2">
        <v>45212</v>
      </c>
      <c r="C5" s="3">
        <v>0.14027777777777778</v>
      </c>
      <c r="D5" s="1" t="s">
        <v>826</v>
      </c>
      <c r="E5">
        <v>19</v>
      </c>
      <c r="F5" s="1" t="s">
        <v>810</v>
      </c>
      <c r="G5" s="1" t="s">
        <v>826</v>
      </c>
      <c r="H5" s="1" t="s">
        <v>37</v>
      </c>
      <c r="I5">
        <v>-9.4708620000000003</v>
      </c>
      <c r="J5">
        <v>29.234387999999999</v>
      </c>
      <c r="K5" s="1" t="s">
        <v>1500</v>
      </c>
      <c r="L5" s="1" t="s">
        <v>1501</v>
      </c>
      <c r="M5" s="1" t="s">
        <v>151</v>
      </c>
      <c r="N5" s="1" t="s">
        <v>37</v>
      </c>
      <c r="O5" s="1" t="str">
        <f>INT(Matrice1!$P5/12) &amp; " ans et " &amp; MOD(Matrice1!$P5,12) &amp; " mois"</f>
        <v>6 ans et 11 mois</v>
      </c>
      <c r="P5">
        <v>83</v>
      </c>
      <c r="Q5" s="1" t="s">
        <v>14</v>
      </c>
      <c r="R5" s="4">
        <f>Matrice1!$S5/1440</f>
        <v>0.15208333333333332</v>
      </c>
      <c r="S5">
        <v>219</v>
      </c>
      <c r="T5">
        <v>52.26</v>
      </c>
      <c r="U5">
        <v>1</v>
      </c>
      <c r="V5" s="8">
        <f>IF(Matrice1!$Q5="Pro Monde",10%,IF(AND(Matrice1!$R5&gt;12,Matrice1!$O5&gt;5),70%,IF(AND(OR(Matrice1!$R5&gt;=4,Matrice1!$R5&lt;=12,Matrice1!$O5&lt;5,(OR(Matrice1!$Q5="Premium ")))),45%,0%)))</f>
        <v>0.1</v>
      </c>
      <c r="W5">
        <f>Matrice1!$T5* (Matrice1!$V5/100)</f>
        <v>5.2260000000000001E-2</v>
      </c>
    </row>
    <row r="6" spans="1:23" x14ac:dyDescent="0.3">
      <c r="A6" s="1" t="s">
        <v>805</v>
      </c>
      <c r="B6" s="2">
        <v>45212</v>
      </c>
      <c r="C6" s="3">
        <v>0.14027777777777778</v>
      </c>
      <c r="D6" s="1" t="s">
        <v>826</v>
      </c>
      <c r="E6">
        <v>19</v>
      </c>
      <c r="F6" s="1" t="s">
        <v>810</v>
      </c>
      <c r="G6" s="1" t="s">
        <v>826</v>
      </c>
      <c r="H6" s="1" t="s">
        <v>37</v>
      </c>
      <c r="I6">
        <v>-9.4708620000000003</v>
      </c>
      <c r="J6">
        <v>29.234387999999999</v>
      </c>
      <c r="K6" s="1" t="s">
        <v>1500</v>
      </c>
      <c r="L6" s="1" t="s">
        <v>1501</v>
      </c>
      <c r="M6" s="1" t="s">
        <v>189</v>
      </c>
      <c r="N6" s="1" t="s">
        <v>37</v>
      </c>
      <c r="O6" s="1" t="str">
        <f>INT(Matrice1!$P6/12) &amp; " ans et " &amp; MOD(Matrice1!$P6,12) &amp; " mois"</f>
        <v>2 ans et 5 mois</v>
      </c>
      <c r="P6">
        <v>29</v>
      </c>
      <c r="Q6" s="1" t="s">
        <v>22</v>
      </c>
      <c r="R6" s="4">
        <f>Matrice1!$S6/1440</f>
        <v>8.611111111111111E-2</v>
      </c>
      <c r="S6">
        <v>124</v>
      </c>
      <c r="T6">
        <v>43.83</v>
      </c>
      <c r="U6">
        <v>5</v>
      </c>
      <c r="V6" s="8">
        <f>IF(Matrice1!$Q6="Pro Monde",10%,IF(AND(Matrice1!$R6&gt;12,Matrice1!$O6&gt;5),70%,IF(AND(OR(Matrice1!$R6&gt;=4,Matrice1!$R6&lt;=12,Matrice1!$O6&lt;5,(OR(Matrice1!$Q6="Premium ")))),45%,0%)))</f>
        <v>0.45</v>
      </c>
      <c r="W6">
        <f>Matrice1!$T6* (Matrice1!$V6/100)</f>
        <v>0.19723500000000002</v>
      </c>
    </row>
    <row r="7" spans="1:23" x14ac:dyDescent="0.3">
      <c r="A7" s="1" t="s">
        <v>805</v>
      </c>
      <c r="B7" s="2">
        <v>45212</v>
      </c>
      <c r="C7" s="3">
        <v>0.14027777777777778</v>
      </c>
      <c r="D7" s="1" t="s">
        <v>826</v>
      </c>
      <c r="E7">
        <v>19</v>
      </c>
      <c r="F7" s="1" t="s">
        <v>810</v>
      </c>
      <c r="G7" s="1" t="s">
        <v>826</v>
      </c>
      <c r="H7" s="1" t="s">
        <v>37</v>
      </c>
      <c r="I7">
        <v>-9.4708620000000003</v>
      </c>
      <c r="J7">
        <v>29.234387999999999</v>
      </c>
      <c r="K7" s="1" t="s">
        <v>1500</v>
      </c>
      <c r="L7" s="1" t="s">
        <v>1501</v>
      </c>
      <c r="M7" s="1" t="s">
        <v>193</v>
      </c>
      <c r="N7" s="1" t="s">
        <v>37</v>
      </c>
      <c r="O7" s="1" t="str">
        <f>INT(Matrice1!$P7/12) &amp; " ans et " &amp; MOD(Matrice1!$P7,12) &amp; " mois"</f>
        <v>6 ans et 11 mois</v>
      </c>
      <c r="P7">
        <v>83</v>
      </c>
      <c r="Q7" s="1" t="s">
        <v>14</v>
      </c>
      <c r="R7" s="4">
        <f>Matrice1!$S7/1440</f>
        <v>0.29166666666666669</v>
      </c>
      <c r="S7">
        <v>420</v>
      </c>
      <c r="T7">
        <v>94.9</v>
      </c>
      <c r="U7">
        <v>1</v>
      </c>
      <c r="V7" s="8">
        <f>IF(Matrice1!$Q7="Pro Monde",10%,IF(AND(Matrice1!$R7&gt;12,Matrice1!$O7&gt;5),70%,IF(AND(OR(Matrice1!$R7&gt;=4,Matrice1!$R7&lt;=12,Matrice1!$O7&lt;5,(OR(Matrice1!$Q7="Premium ")))),45%,0%)))</f>
        <v>0.1</v>
      </c>
      <c r="W7">
        <f>Matrice1!$T7* (Matrice1!$V7/100)</f>
        <v>9.4900000000000012E-2</v>
      </c>
    </row>
    <row r="8" spans="1:23" x14ac:dyDescent="0.3">
      <c r="A8" s="1" t="s">
        <v>805</v>
      </c>
      <c r="B8" s="2">
        <v>45212</v>
      </c>
      <c r="C8" s="3">
        <v>0.14027777777777778</v>
      </c>
      <c r="D8" s="1" t="s">
        <v>826</v>
      </c>
      <c r="E8">
        <v>19</v>
      </c>
      <c r="F8" s="1" t="s">
        <v>810</v>
      </c>
      <c r="G8" s="1" t="s">
        <v>826</v>
      </c>
      <c r="H8" s="1" t="s">
        <v>37</v>
      </c>
      <c r="I8">
        <v>-9.4708620000000003</v>
      </c>
      <c r="J8">
        <v>29.234387999999999</v>
      </c>
      <c r="K8" s="1" t="s">
        <v>1500</v>
      </c>
      <c r="L8" s="1" t="s">
        <v>1501</v>
      </c>
      <c r="M8" s="1" t="s">
        <v>203</v>
      </c>
      <c r="N8" s="1" t="s">
        <v>37</v>
      </c>
      <c r="O8" s="1" t="str">
        <f>INT(Matrice1!$P8/12) &amp; " ans et " &amp; MOD(Matrice1!$P8,12) &amp; " mois"</f>
        <v>4 ans et 0 mois</v>
      </c>
      <c r="P8">
        <v>48</v>
      </c>
      <c r="Q8" s="1" t="s">
        <v>14</v>
      </c>
      <c r="R8" s="4">
        <f>Matrice1!$S8/1440</f>
        <v>5.2777777777777778E-2</v>
      </c>
      <c r="S8">
        <v>76</v>
      </c>
      <c r="T8">
        <v>39.35</v>
      </c>
      <c r="U8">
        <v>2</v>
      </c>
      <c r="V8" s="8">
        <f>IF(Matrice1!$Q8="Pro Monde",10%,IF(AND(Matrice1!$R8&gt;12,Matrice1!$O8&gt;5),70%,IF(AND(OR(Matrice1!$R8&gt;=4,Matrice1!$R8&lt;=12,Matrice1!$O8&lt;5,(OR(Matrice1!$Q8="Premium ")))),45%,0%)))</f>
        <v>0.1</v>
      </c>
      <c r="W8">
        <f>Matrice1!$T8* (Matrice1!$V8/100)</f>
        <v>3.9350000000000003E-2</v>
      </c>
    </row>
    <row r="9" spans="1:23" x14ac:dyDescent="0.3">
      <c r="A9" s="1" t="s">
        <v>805</v>
      </c>
      <c r="B9" s="2">
        <v>45212</v>
      </c>
      <c r="C9" s="3">
        <v>0.14027777777777778</v>
      </c>
      <c r="D9" s="1" t="s">
        <v>826</v>
      </c>
      <c r="E9">
        <v>19</v>
      </c>
      <c r="F9" s="1" t="s">
        <v>810</v>
      </c>
      <c r="G9" s="1" t="s">
        <v>826</v>
      </c>
      <c r="H9" s="1" t="s">
        <v>37</v>
      </c>
      <c r="I9">
        <v>-9.4708620000000003</v>
      </c>
      <c r="J9">
        <v>29.234387999999999</v>
      </c>
      <c r="K9" s="1" t="s">
        <v>1500</v>
      </c>
      <c r="L9" s="1" t="s">
        <v>1501</v>
      </c>
      <c r="M9" s="1" t="s">
        <v>257</v>
      </c>
      <c r="N9" s="1" t="s">
        <v>37</v>
      </c>
      <c r="O9" s="1" t="str">
        <f>INT(Matrice1!$P9/12) &amp; " ans et " &amp; MOD(Matrice1!$P9,12) &amp; " mois"</f>
        <v>9 ans et 2 mois</v>
      </c>
      <c r="P9">
        <v>110</v>
      </c>
      <c r="Q9" s="1" t="s">
        <v>19</v>
      </c>
      <c r="R9" s="4">
        <f>Matrice1!$S9/1440</f>
        <v>7.7777777777777779E-2</v>
      </c>
      <c r="S9">
        <v>112</v>
      </c>
      <c r="T9">
        <v>98.95</v>
      </c>
      <c r="U9">
        <v>5</v>
      </c>
      <c r="V9" s="8">
        <f>IF(Matrice1!$Q9="Pro Monde",10%,IF(AND(Matrice1!$R9&gt;12,Matrice1!$O9&gt;5),70%,IF(AND(OR(Matrice1!$R9&gt;=4,Matrice1!$R9&lt;=12,Matrice1!$O9&lt;5,(OR(Matrice1!$Q9="Premium ")))),45%,0%)))</f>
        <v>0.45</v>
      </c>
      <c r="W9">
        <f>Matrice1!$T9* (Matrice1!$V9/100)</f>
        <v>0.44527500000000009</v>
      </c>
    </row>
    <row r="10" spans="1:23" x14ac:dyDescent="0.3">
      <c r="A10" s="1" t="s">
        <v>805</v>
      </c>
      <c r="B10" s="2">
        <v>45212</v>
      </c>
      <c r="C10" s="3">
        <v>0.14027777777777778</v>
      </c>
      <c r="D10" s="1" t="s">
        <v>826</v>
      </c>
      <c r="E10">
        <v>19</v>
      </c>
      <c r="F10" s="1" t="s">
        <v>810</v>
      </c>
      <c r="G10" s="1" t="s">
        <v>826</v>
      </c>
      <c r="H10" s="1" t="s">
        <v>37</v>
      </c>
      <c r="I10">
        <v>-9.4708620000000003</v>
      </c>
      <c r="J10">
        <v>29.234387999999999</v>
      </c>
      <c r="K10" s="1" t="s">
        <v>1500</v>
      </c>
      <c r="L10" s="1" t="s">
        <v>1501</v>
      </c>
      <c r="M10" s="1" t="s">
        <v>261</v>
      </c>
      <c r="N10" s="1" t="s">
        <v>37</v>
      </c>
      <c r="O10" s="1" t="str">
        <f>INT(Matrice1!$P10/12) &amp; " ans et " &amp; MOD(Matrice1!$P10,12) &amp; " mois"</f>
        <v>0 ans et 2 mois</v>
      </c>
      <c r="P10">
        <v>2</v>
      </c>
      <c r="Q10" s="1" t="s">
        <v>14</v>
      </c>
      <c r="R10" s="4">
        <f>Matrice1!$S10/1440</f>
        <v>9.8611111111111108E-2</v>
      </c>
      <c r="S10">
        <v>142</v>
      </c>
      <c r="T10">
        <v>37.799999999999997</v>
      </c>
      <c r="U10">
        <v>0</v>
      </c>
      <c r="V10" s="8">
        <f>IF(Matrice1!$Q10="Pro Monde",10%,IF(AND(Matrice1!$R10&gt;12,Matrice1!$O10&gt;5),70%,IF(AND(OR(Matrice1!$R10&gt;=4,Matrice1!$R10&lt;=12,Matrice1!$O10&lt;5,(OR(Matrice1!$Q10="Premium ")))),45%,0%)))</f>
        <v>0.1</v>
      </c>
      <c r="W10">
        <f>Matrice1!$T10* (Matrice1!$V10/100)</f>
        <v>3.78E-2</v>
      </c>
    </row>
    <row r="11" spans="1:23" x14ac:dyDescent="0.3">
      <c r="A11" s="1" t="s">
        <v>805</v>
      </c>
      <c r="B11" s="2">
        <v>45212</v>
      </c>
      <c r="C11" s="3">
        <v>0.14027777777777778</v>
      </c>
      <c r="D11" s="1" t="s">
        <v>826</v>
      </c>
      <c r="E11">
        <v>19</v>
      </c>
      <c r="F11" s="1" t="s">
        <v>810</v>
      </c>
      <c r="G11" s="1" t="s">
        <v>826</v>
      </c>
      <c r="H11" s="1" t="s">
        <v>37</v>
      </c>
      <c r="I11">
        <v>-9.4708620000000003</v>
      </c>
      <c r="J11">
        <v>29.234387999999999</v>
      </c>
      <c r="K11" s="1" t="s">
        <v>1500</v>
      </c>
      <c r="L11" s="1" t="s">
        <v>1501</v>
      </c>
      <c r="M11" s="1" t="s">
        <v>271</v>
      </c>
      <c r="N11" s="1" t="s">
        <v>37</v>
      </c>
      <c r="O11" s="1" t="str">
        <f>INT(Matrice1!$P11/12) &amp; " ans et " &amp; MOD(Matrice1!$P11,12) &amp; " mois"</f>
        <v>5 ans et 3 mois</v>
      </c>
      <c r="P11">
        <v>63</v>
      </c>
      <c r="Q11" s="1" t="s">
        <v>19</v>
      </c>
      <c r="R11" s="4">
        <f>Matrice1!$S11/1440</f>
        <v>0.2722222222222222</v>
      </c>
      <c r="S11">
        <v>392</v>
      </c>
      <c r="T11">
        <v>93.11</v>
      </c>
      <c r="U11">
        <v>3</v>
      </c>
      <c r="V11" s="8">
        <f>IF(Matrice1!$Q11="Pro Monde",10%,IF(AND(Matrice1!$R11&gt;12,Matrice1!$O11&gt;5),70%,IF(AND(OR(Matrice1!$R11&gt;=4,Matrice1!$R11&lt;=12,Matrice1!$O11&lt;5,(OR(Matrice1!$Q11="Premium ")))),45%,0%)))</f>
        <v>0.45</v>
      </c>
      <c r="W11">
        <f>Matrice1!$T11* (Matrice1!$V11/100)</f>
        <v>0.41899500000000006</v>
      </c>
    </row>
    <row r="12" spans="1:23" x14ac:dyDescent="0.3">
      <c r="A12" s="1" t="s">
        <v>805</v>
      </c>
      <c r="B12" s="2">
        <v>45212</v>
      </c>
      <c r="C12" s="3">
        <v>0.14027777777777778</v>
      </c>
      <c r="D12" s="1" t="s">
        <v>826</v>
      </c>
      <c r="E12">
        <v>19</v>
      </c>
      <c r="F12" s="1" t="s">
        <v>810</v>
      </c>
      <c r="G12" s="1" t="s">
        <v>826</v>
      </c>
      <c r="H12" s="1" t="s">
        <v>37</v>
      </c>
      <c r="I12">
        <v>-9.4708620000000003</v>
      </c>
      <c r="J12">
        <v>29.234387999999999</v>
      </c>
      <c r="K12" s="1" t="s">
        <v>1500</v>
      </c>
      <c r="L12" s="1" t="s">
        <v>1501</v>
      </c>
      <c r="M12" s="1" t="s">
        <v>327</v>
      </c>
      <c r="N12" s="1" t="s">
        <v>37</v>
      </c>
      <c r="O12" s="1" t="str">
        <f>INT(Matrice1!$P12/12) &amp; " ans et " &amp; MOD(Matrice1!$P12,12) &amp; " mois"</f>
        <v>4 ans et 2 mois</v>
      </c>
      <c r="P12">
        <v>50</v>
      </c>
      <c r="Q12" s="1" t="s">
        <v>19</v>
      </c>
      <c r="R12" s="4">
        <f>Matrice1!$S12/1440</f>
        <v>0.17222222222222222</v>
      </c>
      <c r="S12">
        <v>248</v>
      </c>
      <c r="T12">
        <v>69.42</v>
      </c>
      <c r="U12">
        <v>0</v>
      </c>
      <c r="V12" s="8">
        <f>IF(Matrice1!$Q12="Pro Monde",10%,IF(AND(Matrice1!$R12&gt;12,Matrice1!$O12&gt;5),70%,IF(AND(OR(Matrice1!$R12&gt;=4,Matrice1!$R12&lt;=12,Matrice1!$O12&lt;5,(OR(Matrice1!$Q12="Premium ")))),45%,0%)))</f>
        <v>0.45</v>
      </c>
      <c r="W12">
        <f>Matrice1!$T12* (Matrice1!$V12/100)</f>
        <v>0.31239000000000006</v>
      </c>
    </row>
    <row r="13" spans="1:23" x14ac:dyDescent="0.3">
      <c r="A13" s="1" t="s">
        <v>805</v>
      </c>
      <c r="B13" s="2">
        <v>45212</v>
      </c>
      <c r="C13" s="3">
        <v>0.14027777777777778</v>
      </c>
      <c r="D13" s="1" t="s">
        <v>826</v>
      </c>
      <c r="E13">
        <v>19</v>
      </c>
      <c r="F13" s="1" t="s">
        <v>810</v>
      </c>
      <c r="G13" s="1" t="s">
        <v>826</v>
      </c>
      <c r="H13" s="1" t="s">
        <v>37</v>
      </c>
      <c r="I13">
        <v>-9.4708620000000003</v>
      </c>
      <c r="J13">
        <v>29.234387999999999</v>
      </c>
      <c r="K13" s="1" t="s">
        <v>1500</v>
      </c>
      <c r="L13" s="1" t="s">
        <v>1501</v>
      </c>
      <c r="M13" s="1" t="s">
        <v>348</v>
      </c>
      <c r="N13" s="1" t="s">
        <v>37</v>
      </c>
      <c r="O13" s="1" t="str">
        <f>INT(Matrice1!$P13/12) &amp; " ans et " &amp; MOD(Matrice1!$P13,12) &amp; " mois"</f>
        <v>4 ans et 7 mois</v>
      </c>
      <c r="P13">
        <v>55</v>
      </c>
      <c r="Q13" s="1" t="s">
        <v>11</v>
      </c>
      <c r="R13" s="4">
        <f>Matrice1!$S13/1440</f>
        <v>5.9722222222222225E-2</v>
      </c>
      <c r="S13">
        <v>86</v>
      </c>
      <c r="T13">
        <v>17.440000000000001</v>
      </c>
      <c r="U13">
        <v>2</v>
      </c>
      <c r="V13" s="8">
        <f>IF(Matrice1!$Q13="Pro Monde",10%,IF(AND(Matrice1!$R13&gt;12,Matrice1!$O13&gt;5),70%,IF(AND(OR(Matrice1!$R13&gt;=4,Matrice1!$R13&lt;=12,Matrice1!$O13&lt;5,(OR(Matrice1!$Q13="Premium ")))),45%,0%)))</f>
        <v>0.45</v>
      </c>
      <c r="W13">
        <f>Matrice1!$T13* (Matrice1!$V13/100)</f>
        <v>7.8480000000000008E-2</v>
      </c>
    </row>
    <row r="14" spans="1:23" x14ac:dyDescent="0.3">
      <c r="A14" s="1" t="s">
        <v>805</v>
      </c>
      <c r="B14" s="2">
        <v>45212</v>
      </c>
      <c r="C14" s="3">
        <v>0.14027777777777778</v>
      </c>
      <c r="D14" s="1" t="s">
        <v>826</v>
      </c>
      <c r="E14">
        <v>19</v>
      </c>
      <c r="F14" s="1" t="s">
        <v>810</v>
      </c>
      <c r="G14" s="1" t="s">
        <v>826</v>
      </c>
      <c r="H14" s="1" t="s">
        <v>37</v>
      </c>
      <c r="I14">
        <v>-9.4708620000000003</v>
      </c>
      <c r="J14">
        <v>29.234387999999999</v>
      </c>
      <c r="K14" s="1" t="s">
        <v>1500</v>
      </c>
      <c r="L14" s="1" t="s">
        <v>1501</v>
      </c>
      <c r="M14" s="1" t="s">
        <v>358</v>
      </c>
      <c r="N14" s="1" t="s">
        <v>37</v>
      </c>
      <c r="O14" s="1" t="str">
        <f>INT(Matrice1!$P14/12) &amp; " ans et " &amp; MOD(Matrice1!$P14,12) &amp; " mois"</f>
        <v>7 ans et 1 mois</v>
      </c>
      <c r="P14">
        <v>85</v>
      </c>
      <c r="Q14" s="1" t="s">
        <v>14</v>
      </c>
      <c r="R14" s="4">
        <f>Matrice1!$S14/1440</f>
        <v>4.1666666666666664E-2</v>
      </c>
      <c r="S14">
        <v>60</v>
      </c>
      <c r="T14">
        <v>26.3</v>
      </c>
      <c r="U14">
        <v>2</v>
      </c>
      <c r="V14" s="8">
        <f>IF(Matrice1!$Q14="Pro Monde",10%,IF(AND(Matrice1!$R14&gt;12,Matrice1!$O14&gt;5),70%,IF(AND(OR(Matrice1!$R14&gt;=4,Matrice1!$R14&lt;=12,Matrice1!$O14&lt;5,(OR(Matrice1!$Q14="Premium ")))),45%,0%)))</f>
        <v>0.1</v>
      </c>
      <c r="W14">
        <f>Matrice1!$T14* (Matrice1!$V14/100)</f>
        <v>2.63E-2</v>
      </c>
    </row>
    <row r="15" spans="1:23" x14ac:dyDescent="0.3">
      <c r="A15" s="1" t="s">
        <v>805</v>
      </c>
      <c r="B15" s="2">
        <v>45212</v>
      </c>
      <c r="C15" s="3">
        <v>0.14027777777777778</v>
      </c>
      <c r="D15" s="1" t="s">
        <v>826</v>
      </c>
      <c r="E15">
        <v>19</v>
      </c>
      <c r="F15" s="1" t="s">
        <v>810</v>
      </c>
      <c r="G15" s="1" t="s">
        <v>826</v>
      </c>
      <c r="H15" s="1" t="s">
        <v>37</v>
      </c>
      <c r="I15">
        <v>-9.4708620000000003</v>
      </c>
      <c r="J15">
        <v>29.234387999999999</v>
      </c>
      <c r="K15" s="1" t="s">
        <v>1500</v>
      </c>
      <c r="L15" s="1" t="s">
        <v>1501</v>
      </c>
      <c r="M15" s="1" t="s">
        <v>404</v>
      </c>
      <c r="N15" s="1" t="s">
        <v>37</v>
      </c>
      <c r="O15" s="1" t="str">
        <f>INT(Matrice1!$P15/12) &amp; " ans et " &amp; MOD(Matrice1!$P15,12) &amp; " mois"</f>
        <v>3 ans et 0 mois</v>
      </c>
      <c r="P15">
        <v>36</v>
      </c>
      <c r="Q15" s="1" t="s">
        <v>19</v>
      </c>
      <c r="R15" s="4">
        <f>Matrice1!$S15/1440</f>
        <v>0.21597222222222223</v>
      </c>
      <c r="S15">
        <v>311</v>
      </c>
      <c r="T15">
        <v>13.19</v>
      </c>
      <c r="U15">
        <v>4</v>
      </c>
      <c r="V15" s="8">
        <f>IF(Matrice1!$Q15="Pro Monde",10%,IF(AND(Matrice1!$R15&gt;12,Matrice1!$O15&gt;5),70%,IF(AND(OR(Matrice1!$R15&gt;=4,Matrice1!$R15&lt;=12,Matrice1!$O15&lt;5,(OR(Matrice1!$Q15="Premium ")))),45%,0%)))</f>
        <v>0.45</v>
      </c>
      <c r="W15">
        <f>Matrice1!$T15* (Matrice1!$V15/100)</f>
        <v>5.9355000000000005E-2</v>
      </c>
    </row>
    <row r="16" spans="1:23" x14ac:dyDescent="0.3">
      <c r="A16" s="1" t="s">
        <v>805</v>
      </c>
      <c r="B16" s="2">
        <v>45212</v>
      </c>
      <c r="C16" s="3">
        <v>0.14027777777777778</v>
      </c>
      <c r="D16" s="1" t="s">
        <v>826</v>
      </c>
      <c r="E16">
        <v>19</v>
      </c>
      <c r="F16" s="1" t="s">
        <v>810</v>
      </c>
      <c r="G16" s="1" t="s">
        <v>826</v>
      </c>
      <c r="H16" s="1" t="s">
        <v>37</v>
      </c>
      <c r="I16">
        <v>-9.4708620000000003</v>
      </c>
      <c r="J16">
        <v>29.234387999999999</v>
      </c>
      <c r="K16" s="1" t="s">
        <v>1500</v>
      </c>
      <c r="L16" s="1" t="s">
        <v>1501</v>
      </c>
      <c r="M16" s="1" t="s">
        <v>413</v>
      </c>
      <c r="N16" s="1" t="s">
        <v>37</v>
      </c>
      <c r="O16" s="1" t="str">
        <f>INT(Matrice1!$P16/12) &amp; " ans et " &amp; MOD(Matrice1!$P16,12) &amp; " mois"</f>
        <v>1 ans et 4 mois</v>
      </c>
      <c r="P16">
        <v>16</v>
      </c>
      <c r="Q16" s="1" t="s">
        <v>11</v>
      </c>
      <c r="R16" s="4">
        <f>Matrice1!$S16/1440</f>
        <v>0.27152777777777776</v>
      </c>
      <c r="S16">
        <v>391</v>
      </c>
      <c r="T16">
        <v>90.12</v>
      </c>
      <c r="U16">
        <v>5</v>
      </c>
      <c r="V16" s="8">
        <f>IF(Matrice1!$Q16="Pro Monde",10%,IF(AND(Matrice1!$R16&gt;12,Matrice1!$O16&gt;5),70%,IF(AND(OR(Matrice1!$R16&gt;=4,Matrice1!$R16&lt;=12,Matrice1!$O16&lt;5,(OR(Matrice1!$Q16="Premium ")))),45%,0%)))</f>
        <v>0.45</v>
      </c>
      <c r="W16">
        <f>Matrice1!$T16* (Matrice1!$V16/100)</f>
        <v>0.40554000000000007</v>
      </c>
    </row>
    <row r="17" spans="1:23" x14ac:dyDescent="0.3">
      <c r="A17" s="1" t="s">
        <v>805</v>
      </c>
      <c r="B17" s="2">
        <v>45212</v>
      </c>
      <c r="C17" s="3">
        <v>0.14027777777777778</v>
      </c>
      <c r="D17" s="1" t="s">
        <v>826</v>
      </c>
      <c r="E17">
        <v>19</v>
      </c>
      <c r="F17" s="1" t="s">
        <v>810</v>
      </c>
      <c r="G17" s="1" t="s">
        <v>826</v>
      </c>
      <c r="H17" s="1" t="s">
        <v>37</v>
      </c>
      <c r="I17">
        <v>-9.4708620000000003</v>
      </c>
      <c r="J17">
        <v>29.234387999999999</v>
      </c>
      <c r="K17" s="1" t="s">
        <v>1500</v>
      </c>
      <c r="L17" s="1" t="s">
        <v>1501</v>
      </c>
      <c r="M17" s="1" t="s">
        <v>416</v>
      </c>
      <c r="N17" s="1" t="s">
        <v>37</v>
      </c>
      <c r="O17" s="1" t="str">
        <f>INT(Matrice1!$P17/12) &amp; " ans et " &amp; MOD(Matrice1!$P17,12) &amp; " mois"</f>
        <v>7 ans et 10 mois</v>
      </c>
      <c r="P17">
        <v>94</v>
      </c>
      <c r="Q17" s="1" t="s">
        <v>22</v>
      </c>
      <c r="R17" s="4">
        <f>Matrice1!$S17/1440</f>
        <v>7.9861111111111105E-2</v>
      </c>
      <c r="S17">
        <v>115</v>
      </c>
      <c r="T17">
        <v>19.12</v>
      </c>
      <c r="U17">
        <v>0</v>
      </c>
      <c r="V17" s="8">
        <f>IF(Matrice1!$Q17="Pro Monde",10%,IF(AND(Matrice1!$R17&gt;12,Matrice1!$O17&gt;5),70%,IF(AND(OR(Matrice1!$R17&gt;=4,Matrice1!$R17&lt;=12,Matrice1!$O17&lt;5,(OR(Matrice1!$Q17="Premium ")))),45%,0%)))</f>
        <v>0.45</v>
      </c>
      <c r="W17">
        <f>Matrice1!$T17* (Matrice1!$V17/100)</f>
        <v>8.6040000000000019E-2</v>
      </c>
    </row>
    <row r="18" spans="1:23" x14ac:dyDescent="0.3">
      <c r="A18" s="1" t="s">
        <v>805</v>
      </c>
      <c r="B18" s="2">
        <v>45212</v>
      </c>
      <c r="C18" s="3">
        <v>0.14027777777777778</v>
      </c>
      <c r="D18" s="1" t="s">
        <v>826</v>
      </c>
      <c r="E18">
        <v>19</v>
      </c>
      <c r="F18" s="1" t="s">
        <v>810</v>
      </c>
      <c r="G18" s="1" t="s">
        <v>826</v>
      </c>
      <c r="H18" s="1" t="s">
        <v>37</v>
      </c>
      <c r="I18">
        <v>-9.4708620000000003</v>
      </c>
      <c r="J18">
        <v>29.234387999999999</v>
      </c>
      <c r="K18" s="1" t="s">
        <v>1500</v>
      </c>
      <c r="L18" s="1" t="s">
        <v>1501</v>
      </c>
      <c r="M18" s="1" t="s">
        <v>447</v>
      </c>
      <c r="N18" s="1" t="s">
        <v>37</v>
      </c>
      <c r="O18" s="1" t="str">
        <f>INT(Matrice1!$P18/12) &amp; " ans et " &amp; MOD(Matrice1!$P18,12) &amp; " mois"</f>
        <v>3 ans et 3 mois</v>
      </c>
      <c r="P18">
        <v>39</v>
      </c>
      <c r="Q18" s="1" t="s">
        <v>11</v>
      </c>
      <c r="R18" s="4">
        <f>Matrice1!$S18/1440</f>
        <v>6.9444444444444447E-4</v>
      </c>
      <c r="S18">
        <v>1</v>
      </c>
      <c r="T18">
        <v>66.94</v>
      </c>
      <c r="U18">
        <v>5</v>
      </c>
      <c r="V18" s="8">
        <f>IF(Matrice1!$Q18="Pro Monde",10%,IF(AND(Matrice1!$R18&gt;12,Matrice1!$O18&gt;5),70%,IF(AND(OR(Matrice1!$R18&gt;=4,Matrice1!$R18&lt;=12,Matrice1!$O18&lt;5,(OR(Matrice1!$Q18="Premium ")))),45%,0%)))</f>
        <v>0.45</v>
      </c>
      <c r="W18">
        <f>Matrice1!$T18* (Matrice1!$V18/100)</f>
        <v>0.30123</v>
      </c>
    </row>
    <row r="19" spans="1:23" x14ac:dyDescent="0.3">
      <c r="A19" s="1" t="s">
        <v>805</v>
      </c>
      <c r="B19" s="2">
        <v>45212</v>
      </c>
      <c r="C19" s="3">
        <v>0.14027777777777778</v>
      </c>
      <c r="D19" s="1" t="s">
        <v>826</v>
      </c>
      <c r="E19">
        <v>19</v>
      </c>
      <c r="F19" s="1" t="s">
        <v>810</v>
      </c>
      <c r="G19" s="1" t="s">
        <v>826</v>
      </c>
      <c r="H19" s="1" t="s">
        <v>37</v>
      </c>
      <c r="I19">
        <v>-9.4708620000000003</v>
      </c>
      <c r="J19">
        <v>29.234387999999999</v>
      </c>
      <c r="K19" s="1" t="s">
        <v>1500</v>
      </c>
      <c r="L19" s="1" t="s">
        <v>1501</v>
      </c>
      <c r="M19" s="1" t="s">
        <v>453</v>
      </c>
      <c r="N19" s="1" t="s">
        <v>37</v>
      </c>
      <c r="O19" s="1" t="str">
        <f>INT(Matrice1!$P19/12) &amp; " ans et " &amp; MOD(Matrice1!$P19,12) &amp; " mois"</f>
        <v>7 ans et 8 mois</v>
      </c>
      <c r="P19">
        <v>92</v>
      </c>
      <c r="Q19" s="1" t="s">
        <v>19</v>
      </c>
      <c r="R19" s="4">
        <f>Matrice1!$S19/1440</f>
        <v>2.7777777777777779E-3</v>
      </c>
      <c r="S19">
        <v>4</v>
      </c>
      <c r="T19">
        <v>22.03</v>
      </c>
      <c r="U19">
        <v>3</v>
      </c>
      <c r="V19" s="8">
        <f>IF(Matrice1!$Q19="Pro Monde",10%,IF(AND(Matrice1!$R19&gt;12,Matrice1!$O19&gt;5),70%,IF(AND(OR(Matrice1!$R19&gt;=4,Matrice1!$R19&lt;=12,Matrice1!$O19&lt;5,(OR(Matrice1!$Q19="Premium ")))),45%,0%)))</f>
        <v>0.45</v>
      </c>
      <c r="W19">
        <f>Matrice1!$T19* (Matrice1!$V19/100)</f>
        <v>9.9135000000000015E-2</v>
      </c>
    </row>
    <row r="20" spans="1:23" x14ac:dyDescent="0.3">
      <c r="A20" s="1" t="s">
        <v>805</v>
      </c>
      <c r="B20" s="2">
        <v>45212</v>
      </c>
      <c r="C20" s="3">
        <v>0.14027777777777778</v>
      </c>
      <c r="D20" s="1" t="s">
        <v>826</v>
      </c>
      <c r="E20">
        <v>19</v>
      </c>
      <c r="F20" s="1" t="s">
        <v>810</v>
      </c>
      <c r="G20" s="1" t="s">
        <v>826</v>
      </c>
      <c r="H20" s="1" t="s">
        <v>37</v>
      </c>
      <c r="I20">
        <v>-9.4708620000000003</v>
      </c>
      <c r="J20">
        <v>29.234387999999999</v>
      </c>
      <c r="K20" s="1" t="s">
        <v>1500</v>
      </c>
      <c r="L20" s="1" t="s">
        <v>1501</v>
      </c>
      <c r="M20" s="1" t="s">
        <v>457</v>
      </c>
      <c r="N20" s="1" t="s">
        <v>37</v>
      </c>
      <c r="O20" s="1" t="str">
        <f>INT(Matrice1!$P20/12) &amp; " ans et " &amp; MOD(Matrice1!$P20,12) &amp; " mois"</f>
        <v>9 ans et 7 mois</v>
      </c>
      <c r="P20">
        <v>115</v>
      </c>
      <c r="Q20" s="1" t="s">
        <v>14</v>
      </c>
      <c r="R20" s="4">
        <f>Matrice1!$S20/1440</f>
        <v>0.18194444444444444</v>
      </c>
      <c r="S20">
        <v>262</v>
      </c>
      <c r="T20">
        <v>66.34</v>
      </c>
      <c r="U20">
        <v>3</v>
      </c>
      <c r="V20" s="8">
        <f>IF(Matrice1!$Q20="Pro Monde",10%,IF(AND(Matrice1!$R20&gt;12,Matrice1!$O20&gt;5),70%,IF(AND(OR(Matrice1!$R20&gt;=4,Matrice1!$R20&lt;=12,Matrice1!$O20&lt;5,(OR(Matrice1!$Q20="Premium ")))),45%,0%)))</f>
        <v>0.1</v>
      </c>
      <c r="W20">
        <f>Matrice1!$T20* (Matrice1!$V20/100)</f>
        <v>6.634000000000001E-2</v>
      </c>
    </row>
    <row r="21" spans="1:23" x14ac:dyDescent="0.3">
      <c r="A21" s="1" t="s">
        <v>805</v>
      </c>
      <c r="B21" s="2">
        <v>45212</v>
      </c>
      <c r="C21" s="3">
        <v>0.14027777777777778</v>
      </c>
      <c r="D21" s="1" t="s">
        <v>826</v>
      </c>
      <c r="E21">
        <v>19</v>
      </c>
      <c r="F21" s="1" t="s">
        <v>810</v>
      </c>
      <c r="G21" s="1" t="s">
        <v>826</v>
      </c>
      <c r="H21" s="1" t="s">
        <v>37</v>
      </c>
      <c r="I21">
        <v>-9.4708620000000003</v>
      </c>
      <c r="J21">
        <v>29.234387999999999</v>
      </c>
      <c r="K21" s="1" t="s">
        <v>1500</v>
      </c>
      <c r="L21" s="1" t="s">
        <v>1501</v>
      </c>
      <c r="M21" s="1" t="s">
        <v>485</v>
      </c>
      <c r="N21" s="1" t="s">
        <v>37</v>
      </c>
      <c r="O21" s="1" t="str">
        <f>INT(Matrice1!$P21/12) &amp; " ans et " &amp; MOD(Matrice1!$P21,12) &amp; " mois"</f>
        <v>5 ans et 11 mois</v>
      </c>
      <c r="P21">
        <v>71</v>
      </c>
      <c r="Q21" s="1" t="s">
        <v>22</v>
      </c>
      <c r="R21" s="4">
        <f>Matrice1!$S21/1440</f>
        <v>4.7222222222222221E-2</v>
      </c>
      <c r="S21">
        <v>68</v>
      </c>
      <c r="T21">
        <v>53.11</v>
      </c>
      <c r="U21">
        <v>2</v>
      </c>
      <c r="V21" s="8">
        <f>IF(Matrice1!$Q21="Pro Monde",10%,IF(AND(Matrice1!$R21&gt;12,Matrice1!$O21&gt;5),70%,IF(AND(OR(Matrice1!$R21&gt;=4,Matrice1!$R21&lt;=12,Matrice1!$O21&lt;5,(OR(Matrice1!$Q21="Premium ")))),45%,0%)))</f>
        <v>0.45</v>
      </c>
      <c r="W21">
        <f>Matrice1!$T21* (Matrice1!$V21/100)</f>
        <v>0.23899500000000001</v>
      </c>
    </row>
    <row r="22" spans="1:23" x14ac:dyDescent="0.3">
      <c r="A22" s="1" t="s">
        <v>805</v>
      </c>
      <c r="B22" s="2">
        <v>45212</v>
      </c>
      <c r="C22" s="3">
        <v>0.14027777777777778</v>
      </c>
      <c r="D22" s="1" t="s">
        <v>826</v>
      </c>
      <c r="E22">
        <v>19</v>
      </c>
      <c r="F22" s="1" t="s">
        <v>810</v>
      </c>
      <c r="G22" s="1" t="s">
        <v>826</v>
      </c>
      <c r="H22" s="1" t="s">
        <v>37</v>
      </c>
      <c r="I22">
        <v>-9.4708620000000003</v>
      </c>
      <c r="J22">
        <v>29.234387999999999</v>
      </c>
      <c r="K22" s="1" t="s">
        <v>1500</v>
      </c>
      <c r="L22" s="1" t="s">
        <v>1501</v>
      </c>
      <c r="M22" s="1" t="s">
        <v>497</v>
      </c>
      <c r="N22" s="1" t="s">
        <v>37</v>
      </c>
      <c r="O22" s="1" t="str">
        <f>INT(Matrice1!$P22/12) &amp; " ans et " &amp; MOD(Matrice1!$P22,12) &amp; " mois"</f>
        <v>6 ans et 5 mois</v>
      </c>
      <c r="P22">
        <v>77</v>
      </c>
      <c r="Q22" s="1" t="s">
        <v>22</v>
      </c>
      <c r="R22" s="4">
        <f>Matrice1!$S22/1440</f>
        <v>0.26041666666666669</v>
      </c>
      <c r="S22">
        <v>375</v>
      </c>
      <c r="T22">
        <v>24.03</v>
      </c>
      <c r="U22">
        <v>1</v>
      </c>
      <c r="V22" s="8">
        <f>IF(Matrice1!$Q22="Pro Monde",10%,IF(AND(Matrice1!$R22&gt;12,Matrice1!$O22&gt;5),70%,IF(AND(OR(Matrice1!$R22&gt;=4,Matrice1!$R22&lt;=12,Matrice1!$O22&lt;5,(OR(Matrice1!$Q22="Premium ")))),45%,0%)))</f>
        <v>0.45</v>
      </c>
      <c r="W22">
        <f>Matrice1!$T22* (Matrice1!$V22/100)</f>
        <v>0.10813500000000002</v>
      </c>
    </row>
    <row r="23" spans="1:23" x14ac:dyDescent="0.3">
      <c r="A23" s="1" t="s">
        <v>805</v>
      </c>
      <c r="B23" s="2">
        <v>45212</v>
      </c>
      <c r="C23" s="3">
        <v>0.14027777777777778</v>
      </c>
      <c r="D23" s="1" t="s">
        <v>826</v>
      </c>
      <c r="E23">
        <v>19</v>
      </c>
      <c r="F23" s="1" t="s">
        <v>810</v>
      </c>
      <c r="G23" s="1" t="s">
        <v>826</v>
      </c>
      <c r="H23" s="1" t="s">
        <v>37</v>
      </c>
      <c r="I23">
        <v>-9.4708620000000003</v>
      </c>
      <c r="J23">
        <v>29.234387999999999</v>
      </c>
      <c r="K23" s="1" t="s">
        <v>1500</v>
      </c>
      <c r="L23" s="1" t="s">
        <v>1501</v>
      </c>
      <c r="M23" s="1" t="s">
        <v>525</v>
      </c>
      <c r="N23" s="1" t="s">
        <v>37</v>
      </c>
      <c r="O23" s="1" t="str">
        <f>INT(Matrice1!$P23/12) &amp; " ans et " &amp; MOD(Matrice1!$P23,12) &amp; " mois"</f>
        <v>0 ans et 1 mois</v>
      </c>
      <c r="P23">
        <v>1</v>
      </c>
      <c r="Q23" s="1" t="s">
        <v>22</v>
      </c>
      <c r="R23" s="4">
        <f>Matrice1!$S23/1440</f>
        <v>0.14791666666666667</v>
      </c>
      <c r="S23">
        <v>213</v>
      </c>
      <c r="T23">
        <v>52.16</v>
      </c>
      <c r="U23">
        <v>3</v>
      </c>
      <c r="V23" s="8">
        <f>IF(Matrice1!$Q23="Pro Monde",10%,IF(AND(Matrice1!$R23&gt;12,Matrice1!$O23&gt;5),70%,IF(AND(OR(Matrice1!$R23&gt;=4,Matrice1!$R23&lt;=12,Matrice1!$O23&lt;5,(OR(Matrice1!$Q23="Premium ")))),45%,0%)))</f>
        <v>0.45</v>
      </c>
      <c r="W23">
        <f>Matrice1!$T23* (Matrice1!$V23/100)</f>
        <v>0.23472000000000001</v>
      </c>
    </row>
    <row r="24" spans="1:23" x14ac:dyDescent="0.3">
      <c r="A24" s="1" t="s">
        <v>805</v>
      </c>
      <c r="B24" s="2">
        <v>45212</v>
      </c>
      <c r="C24" s="3">
        <v>0.14027777777777778</v>
      </c>
      <c r="D24" s="1" t="s">
        <v>826</v>
      </c>
      <c r="E24">
        <v>19</v>
      </c>
      <c r="F24" s="1" t="s">
        <v>810</v>
      </c>
      <c r="G24" s="1" t="s">
        <v>826</v>
      </c>
      <c r="H24" s="1" t="s">
        <v>37</v>
      </c>
      <c r="I24">
        <v>-9.4708620000000003</v>
      </c>
      <c r="J24">
        <v>29.234387999999999</v>
      </c>
      <c r="K24" s="1" t="s">
        <v>1500</v>
      </c>
      <c r="L24" s="1" t="s">
        <v>1501</v>
      </c>
      <c r="M24" s="1" t="s">
        <v>550</v>
      </c>
      <c r="N24" s="1" t="s">
        <v>37</v>
      </c>
      <c r="O24" s="1" t="str">
        <f>INT(Matrice1!$P24/12) &amp; " ans et " &amp; MOD(Matrice1!$P24,12) &amp; " mois"</f>
        <v>0 ans et 9 mois</v>
      </c>
      <c r="P24">
        <v>9</v>
      </c>
      <c r="Q24" s="1" t="s">
        <v>19</v>
      </c>
      <c r="R24" s="4">
        <f>Matrice1!$S24/1440</f>
        <v>7.6388888888888886E-3</v>
      </c>
      <c r="S24">
        <v>11</v>
      </c>
      <c r="T24">
        <v>72.36</v>
      </c>
      <c r="U24">
        <v>2</v>
      </c>
      <c r="V24" s="8">
        <f>IF(Matrice1!$Q24="Pro Monde",10%,IF(AND(Matrice1!$R24&gt;12,Matrice1!$O24&gt;5),70%,IF(AND(OR(Matrice1!$R24&gt;=4,Matrice1!$R24&lt;=12,Matrice1!$O24&lt;5,(OR(Matrice1!$Q24="Premium ")))),45%,0%)))</f>
        <v>0.45</v>
      </c>
      <c r="W24">
        <f>Matrice1!$T24* (Matrice1!$V24/100)</f>
        <v>0.32562000000000002</v>
      </c>
    </row>
    <row r="25" spans="1:23" x14ac:dyDescent="0.3">
      <c r="A25" s="1" t="s">
        <v>805</v>
      </c>
      <c r="B25" s="2">
        <v>45212</v>
      </c>
      <c r="C25" s="3">
        <v>0.14027777777777778</v>
      </c>
      <c r="D25" s="1" t="s">
        <v>826</v>
      </c>
      <c r="E25">
        <v>19</v>
      </c>
      <c r="F25" s="1" t="s">
        <v>810</v>
      </c>
      <c r="G25" s="1" t="s">
        <v>826</v>
      </c>
      <c r="H25" s="1" t="s">
        <v>37</v>
      </c>
      <c r="I25">
        <v>-9.4708620000000003</v>
      </c>
      <c r="J25">
        <v>29.234387999999999</v>
      </c>
      <c r="K25" s="1" t="s">
        <v>1500</v>
      </c>
      <c r="L25" s="1" t="s">
        <v>1501</v>
      </c>
      <c r="M25" s="1" t="s">
        <v>569</v>
      </c>
      <c r="N25" s="1" t="s">
        <v>37</v>
      </c>
      <c r="O25" s="1" t="str">
        <f>INT(Matrice1!$P25/12) &amp; " ans et " &amp; MOD(Matrice1!$P25,12) &amp; " mois"</f>
        <v>1 ans et 6 mois</v>
      </c>
      <c r="P25">
        <v>18</v>
      </c>
      <c r="Q25" s="1" t="s">
        <v>19</v>
      </c>
      <c r="R25" s="4">
        <f>Matrice1!$S25/1440</f>
        <v>0.30972222222222223</v>
      </c>
      <c r="S25">
        <v>446</v>
      </c>
      <c r="T25">
        <v>97.3</v>
      </c>
      <c r="U25">
        <v>5</v>
      </c>
      <c r="V25" s="8">
        <f>IF(Matrice1!$Q25="Pro Monde",10%,IF(AND(Matrice1!$R25&gt;12,Matrice1!$O25&gt;5),70%,IF(AND(OR(Matrice1!$R25&gt;=4,Matrice1!$R25&lt;=12,Matrice1!$O25&lt;5,(OR(Matrice1!$Q25="Premium ")))),45%,0%)))</f>
        <v>0.45</v>
      </c>
      <c r="W25">
        <f>Matrice1!$T25* (Matrice1!$V25/100)</f>
        <v>0.43785000000000002</v>
      </c>
    </row>
    <row r="26" spans="1:23" x14ac:dyDescent="0.3">
      <c r="A26" s="1" t="s">
        <v>854</v>
      </c>
      <c r="B26" s="2">
        <v>45219</v>
      </c>
      <c r="C26" s="3">
        <v>0.10138888888888889</v>
      </c>
      <c r="D26" s="1" t="s">
        <v>888</v>
      </c>
      <c r="E26">
        <v>75</v>
      </c>
      <c r="F26" s="1" t="s">
        <v>807</v>
      </c>
      <c r="G26" s="1" t="s">
        <v>888</v>
      </c>
      <c r="H26" s="1" t="s">
        <v>10</v>
      </c>
      <c r="I26">
        <v>-7.0076900000000002</v>
      </c>
      <c r="J26">
        <v>27.367121999999998</v>
      </c>
      <c r="K26" s="1" t="s">
        <v>1500</v>
      </c>
      <c r="L26" s="1" t="s">
        <v>1508</v>
      </c>
      <c r="M26" s="1" t="s">
        <v>9</v>
      </c>
      <c r="N26" s="1" t="s">
        <v>10</v>
      </c>
      <c r="O26" s="1" t="str">
        <f>INT(Matrice1!$P26/12) &amp; " ans et " &amp; MOD(Matrice1!$P26,12) &amp; " mois"</f>
        <v>2 ans et 5 mois</v>
      </c>
      <c r="P26">
        <v>29</v>
      </c>
      <c r="Q26" s="1" t="s">
        <v>11</v>
      </c>
      <c r="R26" s="4">
        <f>Matrice1!$S26/1440</f>
        <v>0.14861111111111111</v>
      </c>
      <c r="S26">
        <v>214</v>
      </c>
      <c r="T26">
        <v>74.7</v>
      </c>
      <c r="U26">
        <v>3</v>
      </c>
      <c r="V26" s="8">
        <f>IF(Matrice1!$Q26="Pro Monde",10%,IF(AND(Matrice1!$R26&gt;12,Matrice1!$O26&gt;5),70%,IF(AND(OR(Matrice1!$R26&gt;=4,Matrice1!$R26&lt;=12,Matrice1!$O26&lt;5,(OR(Matrice1!$Q26="Premium ")))),45%,0%)))</f>
        <v>0.45</v>
      </c>
      <c r="W26">
        <f>Matrice1!$T26* (Matrice1!$V26/100)</f>
        <v>0.33615000000000006</v>
      </c>
    </row>
    <row r="27" spans="1:23" x14ac:dyDescent="0.3">
      <c r="A27" s="1" t="s">
        <v>854</v>
      </c>
      <c r="B27" s="2">
        <v>45219</v>
      </c>
      <c r="C27" s="3">
        <v>0.10138888888888889</v>
      </c>
      <c r="D27" s="1" t="s">
        <v>888</v>
      </c>
      <c r="E27">
        <v>75</v>
      </c>
      <c r="F27" s="1" t="s">
        <v>807</v>
      </c>
      <c r="G27" s="1" t="s">
        <v>888</v>
      </c>
      <c r="H27" s="1" t="s">
        <v>10</v>
      </c>
      <c r="I27">
        <v>-7.0076900000000002</v>
      </c>
      <c r="J27">
        <v>27.367121999999998</v>
      </c>
      <c r="K27" s="1" t="s">
        <v>1500</v>
      </c>
      <c r="L27" s="1" t="s">
        <v>1508</v>
      </c>
      <c r="M27" s="1" t="s">
        <v>53</v>
      </c>
      <c r="N27" s="1" t="s">
        <v>10</v>
      </c>
      <c r="O27" s="1" t="str">
        <f>INT(Matrice1!$P27/12) &amp; " ans et " &amp; MOD(Matrice1!$P27,12) &amp; " mois"</f>
        <v>8 ans et 7 mois</v>
      </c>
      <c r="P27">
        <v>103</v>
      </c>
      <c r="Q27" s="1" t="s">
        <v>14</v>
      </c>
      <c r="R27" s="4">
        <f>Matrice1!$S27/1440</f>
        <v>7.2916666666666671E-2</v>
      </c>
      <c r="S27">
        <v>105</v>
      </c>
      <c r="T27">
        <v>61.52</v>
      </c>
      <c r="U27">
        <v>3</v>
      </c>
      <c r="V27" s="8">
        <f>IF(Matrice1!$Q27="Pro Monde",10%,IF(AND(Matrice1!$R27&gt;12,Matrice1!$O27&gt;5),70%,IF(AND(OR(Matrice1!$R27&gt;=4,Matrice1!$R27&lt;=12,Matrice1!$O27&lt;5,(OR(Matrice1!$Q27="Premium ")))),45%,0%)))</f>
        <v>0.1</v>
      </c>
      <c r="W27">
        <f>Matrice1!$T27* (Matrice1!$V27/100)</f>
        <v>6.1520000000000005E-2</v>
      </c>
    </row>
    <row r="28" spans="1:23" x14ac:dyDescent="0.3">
      <c r="A28" s="1" t="s">
        <v>854</v>
      </c>
      <c r="B28" s="2">
        <v>45219</v>
      </c>
      <c r="C28" s="3">
        <v>0.10138888888888889</v>
      </c>
      <c r="D28" s="1" t="s">
        <v>888</v>
      </c>
      <c r="E28">
        <v>75</v>
      </c>
      <c r="F28" s="1" t="s">
        <v>807</v>
      </c>
      <c r="G28" s="1" t="s">
        <v>888</v>
      </c>
      <c r="H28" s="1" t="s">
        <v>10</v>
      </c>
      <c r="I28">
        <v>-7.0076900000000002</v>
      </c>
      <c r="J28">
        <v>27.367121999999998</v>
      </c>
      <c r="K28" s="1" t="s">
        <v>1500</v>
      </c>
      <c r="L28" s="1" t="s">
        <v>1508</v>
      </c>
      <c r="M28" s="1" t="s">
        <v>79</v>
      </c>
      <c r="N28" s="1" t="s">
        <v>10</v>
      </c>
      <c r="O28" s="1" t="str">
        <f>INT(Matrice1!$P28/12) &amp; " ans et " &amp; MOD(Matrice1!$P28,12) &amp; " mois"</f>
        <v>1 ans et 4 mois</v>
      </c>
      <c r="P28">
        <v>16</v>
      </c>
      <c r="Q28" s="1" t="s">
        <v>19</v>
      </c>
      <c r="R28" s="4">
        <f>Matrice1!$S28/1440</f>
        <v>2.9861111111111113E-2</v>
      </c>
      <c r="S28">
        <v>43</v>
      </c>
      <c r="T28">
        <v>56.48</v>
      </c>
      <c r="U28">
        <v>0</v>
      </c>
      <c r="V28" s="8">
        <f>IF(Matrice1!$Q28="Pro Monde",10%,IF(AND(Matrice1!$R28&gt;12,Matrice1!$O28&gt;5),70%,IF(AND(OR(Matrice1!$R28&gt;=4,Matrice1!$R28&lt;=12,Matrice1!$O28&lt;5,(OR(Matrice1!$Q28="Premium ")))),45%,0%)))</f>
        <v>0.45</v>
      </c>
      <c r="W28">
        <f>Matrice1!$T28* (Matrice1!$V28/100)</f>
        <v>0.25416</v>
      </c>
    </row>
    <row r="29" spans="1:23" x14ac:dyDescent="0.3">
      <c r="A29" s="1" t="s">
        <v>854</v>
      </c>
      <c r="B29" s="2">
        <v>45219</v>
      </c>
      <c r="C29" s="3">
        <v>0.10138888888888889</v>
      </c>
      <c r="D29" s="1" t="s">
        <v>888</v>
      </c>
      <c r="E29">
        <v>75</v>
      </c>
      <c r="F29" s="1" t="s">
        <v>807</v>
      </c>
      <c r="G29" s="1" t="s">
        <v>888</v>
      </c>
      <c r="H29" s="1" t="s">
        <v>10</v>
      </c>
      <c r="I29">
        <v>-7.0076900000000002</v>
      </c>
      <c r="J29">
        <v>27.367121999999998</v>
      </c>
      <c r="K29" s="1" t="s">
        <v>1500</v>
      </c>
      <c r="L29" s="1" t="s">
        <v>1508</v>
      </c>
      <c r="M29" s="1" t="s">
        <v>107</v>
      </c>
      <c r="N29" s="1" t="s">
        <v>10</v>
      </c>
      <c r="O29" s="1" t="str">
        <f>INT(Matrice1!$P29/12) &amp; " ans et " &amp; MOD(Matrice1!$P29,12) &amp; " mois"</f>
        <v>3 ans et 8 mois</v>
      </c>
      <c r="P29">
        <v>44</v>
      </c>
      <c r="Q29" s="1" t="s">
        <v>14</v>
      </c>
      <c r="R29" s="4">
        <f>Matrice1!$S29/1440</f>
        <v>9.5138888888888884E-2</v>
      </c>
      <c r="S29">
        <v>137</v>
      </c>
      <c r="T29">
        <v>32.58</v>
      </c>
      <c r="U29">
        <v>0</v>
      </c>
      <c r="V29" s="8">
        <f>IF(Matrice1!$Q29="Pro Monde",10%,IF(AND(Matrice1!$R29&gt;12,Matrice1!$O29&gt;5),70%,IF(AND(OR(Matrice1!$R29&gt;=4,Matrice1!$R29&lt;=12,Matrice1!$O29&lt;5,(OR(Matrice1!$Q29="Premium ")))),45%,0%)))</f>
        <v>0.1</v>
      </c>
      <c r="W29">
        <f>Matrice1!$T29* (Matrice1!$V29/100)</f>
        <v>3.2579999999999998E-2</v>
      </c>
    </row>
    <row r="30" spans="1:23" x14ac:dyDescent="0.3">
      <c r="A30" s="1" t="s">
        <v>854</v>
      </c>
      <c r="B30" s="2">
        <v>45219</v>
      </c>
      <c r="C30" s="3">
        <v>0.10138888888888889</v>
      </c>
      <c r="D30" s="1" t="s">
        <v>888</v>
      </c>
      <c r="E30">
        <v>75</v>
      </c>
      <c r="F30" s="1" t="s">
        <v>807</v>
      </c>
      <c r="G30" s="1" t="s">
        <v>888</v>
      </c>
      <c r="H30" s="1" t="s">
        <v>10</v>
      </c>
      <c r="I30">
        <v>-7.0076900000000002</v>
      </c>
      <c r="J30">
        <v>27.367121999999998</v>
      </c>
      <c r="K30" s="1" t="s">
        <v>1500</v>
      </c>
      <c r="L30" s="1" t="s">
        <v>1508</v>
      </c>
      <c r="M30" s="1" t="s">
        <v>121</v>
      </c>
      <c r="N30" s="1" t="s">
        <v>10</v>
      </c>
      <c r="O30" s="1" t="str">
        <f>INT(Matrice1!$P30/12) &amp; " ans et " &amp; MOD(Matrice1!$P30,12) &amp; " mois"</f>
        <v>6 ans et 2 mois</v>
      </c>
      <c r="P30">
        <v>74</v>
      </c>
      <c r="Q30" s="1" t="s">
        <v>22</v>
      </c>
      <c r="R30" s="4">
        <f>Matrice1!$S30/1440</f>
        <v>6.2500000000000003E-3</v>
      </c>
      <c r="S30">
        <v>9</v>
      </c>
      <c r="T30">
        <v>99.89</v>
      </c>
      <c r="U30">
        <v>0</v>
      </c>
      <c r="V30" s="8">
        <f>IF(Matrice1!$Q30="Pro Monde",10%,IF(AND(Matrice1!$R30&gt;12,Matrice1!$O30&gt;5),70%,IF(AND(OR(Matrice1!$R30&gt;=4,Matrice1!$R30&lt;=12,Matrice1!$O30&lt;5,(OR(Matrice1!$Q30="Premium ")))),45%,0%)))</f>
        <v>0.45</v>
      </c>
      <c r="W30">
        <f>Matrice1!$T30* (Matrice1!$V30/100)</f>
        <v>0.44950500000000004</v>
      </c>
    </row>
    <row r="31" spans="1:23" x14ac:dyDescent="0.3">
      <c r="A31" s="1" t="s">
        <v>854</v>
      </c>
      <c r="B31" s="2">
        <v>45219</v>
      </c>
      <c r="C31" s="3">
        <v>0.10138888888888889</v>
      </c>
      <c r="D31" s="1" t="s">
        <v>888</v>
      </c>
      <c r="E31">
        <v>75</v>
      </c>
      <c r="F31" s="1" t="s">
        <v>807</v>
      </c>
      <c r="G31" s="1" t="s">
        <v>888</v>
      </c>
      <c r="H31" s="1" t="s">
        <v>10</v>
      </c>
      <c r="I31">
        <v>-7.0076900000000002</v>
      </c>
      <c r="J31">
        <v>27.367121999999998</v>
      </c>
      <c r="K31" s="1" t="s">
        <v>1500</v>
      </c>
      <c r="L31" s="1" t="s">
        <v>1508</v>
      </c>
      <c r="M31" s="1" t="s">
        <v>192</v>
      </c>
      <c r="N31" s="1" t="s">
        <v>10</v>
      </c>
      <c r="O31" s="1" t="str">
        <f>INT(Matrice1!$P31/12) &amp; " ans et " &amp; MOD(Matrice1!$P31,12) &amp; " mois"</f>
        <v>9 ans et 5 mois</v>
      </c>
      <c r="P31">
        <v>113</v>
      </c>
      <c r="Q31" s="1" t="s">
        <v>11</v>
      </c>
      <c r="R31" s="4">
        <f>Matrice1!$S31/1440</f>
        <v>0.14374999999999999</v>
      </c>
      <c r="S31">
        <v>207</v>
      </c>
      <c r="T31">
        <v>21.55</v>
      </c>
      <c r="U31">
        <v>0</v>
      </c>
      <c r="V31" s="8">
        <f>IF(Matrice1!$Q31="Pro Monde",10%,IF(AND(Matrice1!$R31&gt;12,Matrice1!$O31&gt;5),70%,IF(AND(OR(Matrice1!$R31&gt;=4,Matrice1!$R31&lt;=12,Matrice1!$O31&lt;5,(OR(Matrice1!$Q31="Premium ")))),45%,0%)))</f>
        <v>0.45</v>
      </c>
      <c r="W31">
        <f>Matrice1!$T31* (Matrice1!$V31/100)</f>
        <v>9.697500000000002E-2</v>
      </c>
    </row>
    <row r="32" spans="1:23" x14ac:dyDescent="0.3">
      <c r="A32" s="1" t="s">
        <v>854</v>
      </c>
      <c r="B32" s="2">
        <v>45219</v>
      </c>
      <c r="C32" s="3">
        <v>0.10138888888888889</v>
      </c>
      <c r="D32" s="1" t="s">
        <v>888</v>
      </c>
      <c r="E32">
        <v>75</v>
      </c>
      <c r="F32" s="1" t="s">
        <v>807</v>
      </c>
      <c r="G32" s="1" t="s">
        <v>888</v>
      </c>
      <c r="H32" s="1" t="s">
        <v>10</v>
      </c>
      <c r="I32">
        <v>-7.0076900000000002</v>
      </c>
      <c r="J32">
        <v>27.367121999999998</v>
      </c>
      <c r="K32" s="1" t="s">
        <v>1500</v>
      </c>
      <c r="L32" s="1" t="s">
        <v>1508</v>
      </c>
      <c r="M32" s="1" t="s">
        <v>207</v>
      </c>
      <c r="N32" s="1" t="s">
        <v>10</v>
      </c>
      <c r="O32" s="1" t="str">
        <f>INT(Matrice1!$P32/12) &amp; " ans et " &amp; MOD(Matrice1!$P32,12) &amp; " mois"</f>
        <v>7 ans et 8 mois</v>
      </c>
      <c r="P32">
        <v>92</v>
      </c>
      <c r="Q32" s="1" t="s">
        <v>11</v>
      </c>
      <c r="R32" s="4">
        <f>Matrice1!$S32/1440</f>
        <v>8.0555555555555561E-2</v>
      </c>
      <c r="S32">
        <v>116</v>
      </c>
      <c r="T32">
        <v>23.83</v>
      </c>
      <c r="U32">
        <v>3</v>
      </c>
      <c r="V32" s="8">
        <f>IF(Matrice1!$Q32="Pro Monde",10%,IF(AND(Matrice1!$R32&gt;12,Matrice1!$O32&gt;5),70%,IF(AND(OR(Matrice1!$R32&gt;=4,Matrice1!$R32&lt;=12,Matrice1!$O32&lt;5,(OR(Matrice1!$Q32="Premium ")))),45%,0%)))</f>
        <v>0.45</v>
      </c>
      <c r="W32">
        <f>Matrice1!$T32* (Matrice1!$V32/100)</f>
        <v>0.10723500000000001</v>
      </c>
    </row>
    <row r="33" spans="1:23" x14ac:dyDescent="0.3">
      <c r="A33" s="1" t="s">
        <v>854</v>
      </c>
      <c r="B33" s="2">
        <v>45219</v>
      </c>
      <c r="C33" s="3">
        <v>0.10138888888888889</v>
      </c>
      <c r="D33" s="1" t="s">
        <v>888</v>
      </c>
      <c r="E33">
        <v>75</v>
      </c>
      <c r="F33" s="1" t="s">
        <v>807</v>
      </c>
      <c r="G33" s="1" t="s">
        <v>888</v>
      </c>
      <c r="H33" s="1" t="s">
        <v>10</v>
      </c>
      <c r="I33">
        <v>-7.0076900000000002</v>
      </c>
      <c r="J33">
        <v>27.367121999999998</v>
      </c>
      <c r="K33" s="1" t="s">
        <v>1500</v>
      </c>
      <c r="L33" s="1" t="s">
        <v>1508</v>
      </c>
      <c r="M33" s="1" t="s">
        <v>247</v>
      </c>
      <c r="N33" s="1" t="s">
        <v>10</v>
      </c>
      <c r="O33" s="1" t="str">
        <f>INT(Matrice1!$P33/12) &amp; " ans et " &amp; MOD(Matrice1!$P33,12) &amp; " mois"</f>
        <v>0 ans et 10 mois</v>
      </c>
      <c r="P33">
        <v>10</v>
      </c>
      <c r="Q33" s="1" t="s">
        <v>19</v>
      </c>
      <c r="R33" s="4">
        <f>Matrice1!$S33/1440</f>
        <v>0.11458333333333333</v>
      </c>
      <c r="S33">
        <v>165</v>
      </c>
      <c r="T33">
        <v>38.619999999999997</v>
      </c>
      <c r="U33">
        <v>2</v>
      </c>
      <c r="V33" s="8">
        <f>IF(Matrice1!$Q33="Pro Monde",10%,IF(AND(Matrice1!$R33&gt;12,Matrice1!$O33&gt;5),70%,IF(AND(OR(Matrice1!$R33&gt;=4,Matrice1!$R33&lt;=12,Matrice1!$O33&lt;5,(OR(Matrice1!$Q33="Premium ")))),45%,0%)))</f>
        <v>0.45</v>
      </c>
      <c r="W33">
        <f>Matrice1!$T33* (Matrice1!$V33/100)</f>
        <v>0.17379</v>
      </c>
    </row>
    <row r="34" spans="1:23" x14ac:dyDescent="0.3">
      <c r="A34" s="1" t="s">
        <v>854</v>
      </c>
      <c r="B34" s="2">
        <v>45219</v>
      </c>
      <c r="C34" s="3">
        <v>0.10138888888888889</v>
      </c>
      <c r="D34" s="1" t="s">
        <v>888</v>
      </c>
      <c r="E34">
        <v>75</v>
      </c>
      <c r="F34" s="1" t="s">
        <v>807</v>
      </c>
      <c r="G34" s="1" t="s">
        <v>888</v>
      </c>
      <c r="H34" s="1" t="s">
        <v>10</v>
      </c>
      <c r="I34">
        <v>-7.0076900000000002</v>
      </c>
      <c r="J34">
        <v>27.367121999999998</v>
      </c>
      <c r="K34" s="1" t="s">
        <v>1500</v>
      </c>
      <c r="L34" s="1" t="s">
        <v>1508</v>
      </c>
      <c r="M34" s="1" t="s">
        <v>252</v>
      </c>
      <c r="N34" s="1" t="s">
        <v>10</v>
      </c>
      <c r="O34" s="1" t="str">
        <f>INT(Matrice1!$P34/12) &amp; " ans et " &amp; MOD(Matrice1!$P34,12) &amp; " mois"</f>
        <v>5 ans et 0 mois</v>
      </c>
      <c r="P34">
        <v>60</v>
      </c>
      <c r="Q34" s="1" t="s">
        <v>22</v>
      </c>
      <c r="R34" s="4">
        <f>Matrice1!$S34/1440</f>
        <v>0.11180555555555556</v>
      </c>
      <c r="S34">
        <v>161</v>
      </c>
      <c r="T34">
        <v>62.65</v>
      </c>
      <c r="U34">
        <v>0</v>
      </c>
      <c r="V34" s="8">
        <f>IF(Matrice1!$Q34="Pro Monde",10%,IF(AND(Matrice1!$R34&gt;12,Matrice1!$O34&gt;5),70%,IF(AND(OR(Matrice1!$R34&gt;=4,Matrice1!$R34&lt;=12,Matrice1!$O34&lt;5,(OR(Matrice1!$Q34="Premium ")))),45%,0%)))</f>
        <v>0.45</v>
      </c>
      <c r="W34">
        <f>Matrice1!$T34* (Matrice1!$V34/100)</f>
        <v>0.28192500000000004</v>
      </c>
    </row>
    <row r="35" spans="1:23" x14ac:dyDescent="0.3">
      <c r="A35" s="1" t="s">
        <v>854</v>
      </c>
      <c r="B35" s="2">
        <v>45219</v>
      </c>
      <c r="C35" s="3">
        <v>0.10138888888888889</v>
      </c>
      <c r="D35" s="1" t="s">
        <v>888</v>
      </c>
      <c r="E35">
        <v>75</v>
      </c>
      <c r="F35" s="1" t="s">
        <v>807</v>
      </c>
      <c r="G35" s="1" t="s">
        <v>888</v>
      </c>
      <c r="H35" s="1" t="s">
        <v>10</v>
      </c>
      <c r="I35">
        <v>-7.0076900000000002</v>
      </c>
      <c r="J35">
        <v>27.367121999999998</v>
      </c>
      <c r="K35" s="1" t="s">
        <v>1500</v>
      </c>
      <c r="L35" s="1" t="s">
        <v>1508</v>
      </c>
      <c r="M35" s="1" t="s">
        <v>276</v>
      </c>
      <c r="N35" s="1" t="s">
        <v>10</v>
      </c>
      <c r="O35" s="1" t="str">
        <f>INT(Matrice1!$P35/12) &amp; " ans et " &amp; MOD(Matrice1!$P35,12) &amp; " mois"</f>
        <v>7 ans et 1 mois</v>
      </c>
      <c r="P35">
        <v>85</v>
      </c>
      <c r="Q35" s="1" t="s">
        <v>11</v>
      </c>
      <c r="R35" s="4">
        <f>Matrice1!$S35/1440</f>
        <v>0.19027777777777777</v>
      </c>
      <c r="S35">
        <v>274</v>
      </c>
      <c r="T35">
        <v>35.03</v>
      </c>
      <c r="U35">
        <v>1</v>
      </c>
      <c r="V35" s="8">
        <f>IF(Matrice1!$Q35="Pro Monde",10%,IF(AND(Matrice1!$R35&gt;12,Matrice1!$O35&gt;5),70%,IF(AND(OR(Matrice1!$R35&gt;=4,Matrice1!$R35&lt;=12,Matrice1!$O35&lt;5,(OR(Matrice1!$Q35="Premium ")))),45%,0%)))</f>
        <v>0.45</v>
      </c>
      <c r="W35">
        <f>Matrice1!$T35* (Matrice1!$V35/100)</f>
        <v>0.15763500000000003</v>
      </c>
    </row>
    <row r="36" spans="1:23" x14ac:dyDescent="0.3">
      <c r="A36" s="1" t="s">
        <v>854</v>
      </c>
      <c r="B36" s="2">
        <v>45219</v>
      </c>
      <c r="C36" s="3">
        <v>0.10138888888888889</v>
      </c>
      <c r="D36" s="1" t="s">
        <v>888</v>
      </c>
      <c r="E36">
        <v>75</v>
      </c>
      <c r="F36" s="1" t="s">
        <v>807</v>
      </c>
      <c r="G36" s="1" t="s">
        <v>888</v>
      </c>
      <c r="H36" s="1" t="s">
        <v>10</v>
      </c>
      <c r="I36">
        <v>-7.0076900000000002</v>
      </c>
      <c r="J36">
        <v>27.367121999999998</v>
      </c>
      <c r="K36" s="1" t="s">
        <v>1500</v>
      </c>
      <c r="L36" s="1" t="s">
        <v>1508</v>
      </c>
      <c r="M36" s="1" t="s">
        <v>288</v>
      </c>
      <c r="N36" s="1" t="s">
        <v>10</v>
      </c>
      <c r="O36" s="1" t="str">
        <f>INT(Matrice1!$P36/12) &amp; " ans et " &amp; MOD(Matrice1!$P36,12) &amp; " mois"</f>
        <v>0 ans et 3 mois</v>
      </c>
      <c r="P36">
        <v>3</v>
      </c>
      <c r="Q36" s="1" t="s">
        <v>22</v>
      </c>
      <c r="R36" s="4">
        <f>Matrice1!$S36/1440</f>
        <v>0.24722222222222223</v>
      </c>
      <c r="S36">
        <v>356</v>
      </c>
      <c r="T36">
        <v>91.6</v>
      </c>
      <c r="U36">
        <v>3</v>
      </c>
      <c r="V36" s="8">
        <f>IF(Matrice1!$Q36="Pro Monde",10%,IF(AND(Matrice1!$R36&gt;12,Matrice1!$O36&gt;5),70%,IF(AND(OR(Matrice1!$R36&gt;=4,Matrice1!$R36&lt;=12,Matrice1!$O36&lt;5,(OR(Matrice1!$Q36="Premium ")))),45%,0%)))</f>
        <v>0.45</v>
      </c>
      <c r="W36">
        <f>Matrice1!$T36* (Matrice1!$V36/100)</f>
        <v>0.41220000000000001</v>
      </c>
    </row>
    <row r="37" spans="1:23" x14ac:dyDescent="0.3">
      <c r="A37" s="1" t="s">
        <v>854</v>
      </c>
      <c r="B37" s="2">
        <v>45219</v>
      </c>
      <c r="C37" s="3">
        <v>0.10138888888888889</v>
      </c>
      <c r="D37" s="1" t="s">
        <v>888</v>
      </c>
      <c r="E37">
        <v>75</v>
      </c>
      <c r="F37" s="1" t="s">
        <v>807</v>
      </c>
      <c r="G37" s="1" t="s">
        <v>888</v>
      </c>
      <c r="H37" s="1" t="s">
        <v>10</v>
      </c>
      <c r="I37">
        <v>-7.0076900000000002</v>
      </c>
      <c r="J37">
        <v>27.367121999999998</v>
      </c>
      <c r="K37" s="1" t="s">
        <v>1500</v>
      </c>
      <c r="L37" s="1" t="s">
        <v>1508</v>
      </c>
      <c r="M37" s="1" t="s">
        <v>293</v>
      </c>
      <c r="N37" s="1" t="s">
        <v>10</v>
      </c>
      <c r="O37" s="1" t="str">
        <f>INT(Matrice1!$P37/12) &amp; " ans et " &amp; MOD(Matrice1!$P37,12) &amp; " mois"</f>
        <v>8 ans et 0 mois</v>
      </c>
      <c r="P37">
        <v>96</v>
      </c>
      <c r="Q37" s="1" t="s">
        <v>22</v>
      </c>
      <c r="R37" s="4">
        <f>Matrice1!$S37/1440</f>
        <v>0.2013888888888889</v>
      </c>
      <c r="S37">
        <v>290</v>
      </c>
      <c r="T37">
        <v>29</v>
      </c>
      <c r="U37">
        <v>3</v>
      </c>
      <c r="V37" s="8">
        <f>IF(Matrice1!$Q37="Pro Monde",10%,IF(AND(Matrice1!$R37&gt;12,Matrice1!$O37&gt;5),70%,IF(AND(OR(Matrice1!$R37&gt;=4,Matrice1!$R37&lt;=12,Matrice1!$O37&lt;5,(OR(Matrice1!$Q37="Premium ")))),45%,0%)))</f>
        <v>0.45</v>
      </c>
      <c r="W37">
        <f>Matrice1!$T37* (Matrice1!$V37/100)</f>
        <v>0.1305</v>
      </c>
    </row>
    <row r="38" spans="1:23" x14ac:dyDescent="0.3">
      <c r="A38" s="1" t="s">
        <v>854</v>
      </c>
      <c r="B38" s="2">
        <v>45219</v>
      </c>
      <c r="C38" s="3">
        <v>0.10138888888888889</v>
      </c>
      <c r="D38" s="1" t="s">
        <v>888</v>
      </c>
      <c r="E38">
        <v>75</v>
      </c>
      <c r="F38" s="1" t="s">
        <v>807</v>
      </c>
      <c r="G38" s="1" t="s">
        <v>888</v>
      </c>
      <c r="H38" s="1" t="s">
        <v>10</v>
      </c>
      <c r="I38">
        <v>-7.0076900000000002</v>
      </c>
      <c r="J38">
        <v>27.367121999999998</v>
      </c>
      <c r="K38" s="1" t="s">
        <v>1500</v>
      </c>
      <c r="L38" s="1" t="s">
        <v>1508</v>
      </c>
      <c r="M38" s="1" t="s">
        <v>297</v>
      </c>
      <c r="N38" s="1" t="s">
        <v>10</v>
      </c>
      <c r="O38" s="1" t="str">
        <f>INT(Matrice1!$P38/12) &amp; " ans et " &amp; MOD(Matrice1!$P38,12) &amp; " mois"</f>
        <v>3 ans et 4 mois</v>
      </c>
      <c r="P38">
        <v>40</v>
      </c>
      <c r="Q38" s="1" t="s">
        <v>11</v>
      </c>
      <c r="R38" s="4">
        <f>Matrice1!$S38/1440</f>
        <v>7.0833333333333331E-2</v>
      </c>
      <c r="S38">
        <v>102</v>
      </c>
      <c r="T38">
        <v>96.59</v>
      </c>
      <c r="U38">
        <v>5</v>
      </c>
      <c r="V38" s="8">
        <f>IF(Matrice1!$Q38="Pro Monde",10%,IF(AND(Matrice1!$R38&gt;12,Matrice1!$O38&gt;5),70%,IF(AND(OR(Matrice1!$R38&gt;=4,Matrice1!$R38&lt;=12,Matrice1!$O38&lt;5,(OR(Matrice1!$Q38="Premium ")))),45%,0%)))</f>
        <v>0.45</v>
      </c>
      <c r="W38">
        <f>Matrice1!$T38* (Matrice1!$V38/100)</f>
        <v>0.43465500000000007</v>
      </c>
    </row>
    <row r="39" spans="1:23" x14ac:dyDescent="0.3">
      <c r="A39" s="1" t="s">
        <v>854</v>
      </c>
      <c r="B39" s="2">
        <v>45219</v>
      </c>
      <c r="C39" s="3">
        <v>0.10138888888888889</v>
      </c>
      <c r="D39" s="1" t="s">
        <v>888</v>
      </c>
      <c r="E39">
        <v>75</v>
      </c>
      <c r="F39" s="1" t="s">
        <v>807</v>
      </c>
      <c r="G39" s="1" t="s">
        <v>888</v>
      </c>
      <c r="H39" s="1" t="s">
        <v>10</v>
      </c>
      <c r="I39">
        <v>-7.0076900000000002</v>
      </c>
      <c r="J39">
        <v>27.367121999999998</v>
      </c>
      <c r="K39" s="1" t="s">
        <v>1500</v>
      </c>
      <c r="L39" s="1" t="s">
        <v>1508</v>
      </c>
      <c r="M39" s="1" t="s">
        <v>304</v>
      </c>
      <c r="N39" s="1" t="s">
        <v>10</v>
      </c>
      <c r="O39" s="1" t="str">
        <f>INT(Matrice1!$P39/12) &amp; " ans et " &amp; MOD(Matrice1!$P39,12) &amp; " mois"</f>
        <v>1 ans et 4 mois</v>
      </c>
      <c r="P39">
        <v>16</v>
      </c>
      <c r="Q39" s="1" t="s">
        <v>19</v>
      </c>
      <c r="R39" s="4">
        <f>Matrice1!$S39/1440</f>
        <v>0.32013888888888886</v>
      </c>
      <c r="S39">
        <v>461</v>
      </c>
      <c r="T39">
        <v>38.369999999999997</v>
      </c>
      <c r="U39">
        <v>4</v>
      </c>
      <c r="V39" s="8">
        <f>IF(Matrice1!$Q39="Pro Monde",10%,IF(AND(Matrice1!$R39&gt;12,Matrice1!$O39&gt;5),70%,IF(AND(OR(Matrice1!$R39&gt;=4,Matrice1!$R39&lt;=12,Matrice1!$O39&lt;5,(OR(Matrice1!$Q39="Premium ")))),45%,0%)))</f>
        <v>0.45</v>
      </c>
      <c r="W39">
        <f>Matrice1!$T39* (Matrice1!$V39/100)</f>
        <v>0.17266500000000001</v>
      </c>
    </row>
    <row r="40" spans="1:23" x14ac:dyDescent="0.3">
      <c r="A40" s="1" t="s">
        <v>854</v>
      </c>
      <c r="B40" s="2">
        <v>45219</v>
      </c>
      <c r="C40" s="3">
        <v>0.10138888888888889</v>
      </c>
      <c r="D40" s="1" t="s">
        <v>888</v>
      </c>
      <c r="E40">
        <v>75</v>
      </c>
      <c r="F40" s="1" t="s">
        <v>807</v>
      </c>
      <c r="G40" s="1" t="s">
        <v>888</v>
      </c>
      <c r="H40" s="1" t="s">
        <v>10</v>
      </c>
      <c r="I40">
        <v>-7.0076900000000002</v>
      </c>
      <c r="J40">
        <v>27.367121999999998</v>
      </c>
      <c r="K40" s="1" t="s">
        <v>1500</v>
      </c>
      <c r="L40" s="1" t="s">
        <v>1508</v>
      </c>
      <c r="M40" s="1" t="s">
        <v>340</v>
      </c>
      <c r="N40" s="1" t="s">
        <v>10</v>
      </c>
      <c r="O40" s="1" t="str">
        <f>INT(Matrice1!$P40/12) &amp; " ans et " &amp; MOD(Matrice1!$P40,12) &amp; " mois"</f>
        <v>7 ans et 3 mois</v>
      </c>
      <c r="P40">
        <v>87</v>
      </c>
      <c r="Q40" s="1" t="s">
        <v>19</v>
      </c>
      <c r="R40" s="4">
        <f>Matrice1!$S40/1440</f>
        <v>1.4583333333333334E-2</v>
      </c>
      <c r="S40">
        <v>21</v>
      </c>
      <c r="T40">
        <v>81.459999999999994</v>
      </c>
      <c r="U40">
        <v>3</v>
      </c>
      <c r="V40" s="8">
        <f>IF(Matrice1!$Q40="Pro Monde",10%,IF(AND(Matrice1!$R40&gt;12,Matrice1!$O40&gt;5),70%,IF(AND(OR(Matrice1!$R40&gt;=4,Matrice1!$R40&lt;=12,Matrice1!$O40&lt;5,(OR(Matrice1!$Q40="Premium ")))),45%,0%)))</f>
        <v>0.45</v>
      </c>
      <c r="W40">
        <f>Matrice1!$T40* (Matrice1!$V40/100)</f>
        <v>0.36657000000000001</v>
      </c>
    </row>
    <row r="41" spans="1:23" x14ac:dyDescent="0.3">
      <c r="A41" s="1" t="s">
        <v>854</v>
      </c>
      <c r="B41" s="2">
        <v>45219</v>
      </c>
      <c r="C41" s="3">
        <v>0.10138888888888889</v>
      </c>
      <c r="D41" s="1" t="s">
        <v>888</v>
      </c>
      <c r="E41">
        <v>75</v>
      </c>
      <c r="F41" s="1" t="s">
        <v>807</v>
      </c>
      <c r="G41" s="1" t="s">
        <v>888</v>
      </c>
      <c r="H41" s="1" t="s">
        <v>10</v>
      </c>
      <c r="I41">
        <v>-7.0076900000000002</v>
      </c>
      <c r="J41">
        <v>27.367121999999998</v>
      </c>
      <c r="K41" s="1" t="s">
        <v>1500</v>
      </c>
      <c r="L41" s="1" t="s">
        <v>1508</v>
      </c>
      <c r="M41" s="1" t="s">
        <v>367</v>
      </c>
      <c r="N41" s="1" t="s">
        <v>10</v>
      </c>
      <c r="O41" s="1" t="str">
        <f>INT(Matrice1!$P41/12) &amp; " ans et " &amp; MOD(Matrice1!$P41,12) &amp; " mois"</f>
        <v>4 ans et 11 mois</v>
      </c>
      <c r="P41">
        <v>59</v>
      </c>
      <c r="Q41" s="1" t="s">
        <v>14</v>
      </c>
      <c r="R41" s="4">
        <f>Matrice1!$S41/1440</f>
        <v>0.25624999999999998</v>
      </c>
      <c r="S41">
        <v>369</v>
      </c>
      <c r="T41">
        <v>26.64</v>
      </c>
      <c r="U41">
        <v>4</v>
      </c>
      <c r="V41" s="8">
        <f>IF(Matrice1!$Q41="Pro Monde",10%,IF(AND(Matrice1!$R41&gt;12,Matrice1!$O41&gt;5),70%,IF(AND(OR(Matrice1!$R41&gt;=4,Matrice1!$R41&lt;=12,Matrice1!$O41&lt;5,(OR(Matrice1!$Q41="Premium ")))),45%,0%)))</f>
        <v>0.1</v>
      </c>
      <c r="W41">
        <f>Matrice1!$T41* (Matrice1!$V41/100)</f>
        <v>2.664E-2</v>
      </c>
    </row>
    <row r="42" spans="1:23" x14ac:dyDescent="0.3">
      <c r="A42" s="1" t="s">
        <v>854</v>
      </c>
      <c r="B42" s="2">
        <v>45219</v>
      </c>
      <c r="C42" s="3">
        <v>0.10138888888888889</v>
      </c>
      <c r="D42" s="1" t="s">
        <v>888</v>
      </c>
      <c r="E42">
        <v>75</v>
      </c>
      <c r="F42" s="1" t="s">
        <v>807</v>
      </c>
      <c r="G42" s="1" t="s">
        <v>888</v>
      </c>
      <c r="H42" s="1" t="s">
        <v>10</v>
      </c>
      <c r="I42">
        <v>-7.0076900000000002</v>
      </c>
      <c r="J42">
        <v>27.367121999999998</v>
      </c>
      <c r="K42" s="1" t="s">
        <v>1500</v>
      </c>
      <c r="L42" s="1" t="s">
        <v>1508</v>
      </c>
      <c r="M42" s="1" t="s">
        <v>403</v>
      </c>
      <c r="N42" s="1" t="s">
        <v>10</v>
      </c>
      <c r="O42" s="1" t="str">
        <f>INT(Matrice1!$P42/12) &amp; " ans et " &amp; MOD(Matrice1!$P42,12) &amp; " mois"</f>
        <v>2 ans et 5 mois</v>
      </c>
      <c r="P42">
        <v>29</v>
      </c>
      <c r="Q42" s="1" t="s">
        <v>11</v>
      </c>
      <c r="R42" s="4">
        <f>Matrice1!$S42/1440</f>
        <v>0.24305555555555555</v>
      </c>
      <c r="S42">
        <v>350</v>
      </c>
      <c r="T42">
        <v>84.32</v>
      </c>
      <c r="U42">
        <v>3</v>
      </c>
      <c r="V42" s="8">
        <f>IF(Matrice1!$Q42="Pro Monde",10%,IF(AND(Matrice1!$R42&gt;12,Matrice1!$O42&gt;5),70%,IF(AND(OR(Matrice1!$R42&gt;=4,Matrice1!$R42&lt;=12,Matrice1!$O42&lt;5,(OR(Matrice1!$Q42="Premium ")))),45%,0%)))</f>
        <v>0.45</v>
      </c>
      <c r="W42">
        <f>Matrice1!$T42* (Matrice1!$V42/100)</f>
        <v>0.37944</v>
      </c>
    </row>
    <row r="43" spans="1:23" x14ac:dyDescent="0.3">
      <c r="A43" s="1" t="s">
        <v>854</v>
      </c>
      <c r="B43" s="2">
        <v>45219</v>
      </c>
      <c r="C43" s="3">
        <v>0.10138888888888889</v>
      </c>
      <c r="D43" s="1" t="s">
        <v>888</v>
      </c>
      <c r="E43">
        <v>75</v>
      </c>
      <c r="F43" s="1" t="s">
        <v>807</v>
      </c>
      <c r="G43" s="1" t="s">
        <v>888</v>
      </c>
      <c r="H43" s="1" t="s">
        <v>10</v>
      </c>
      <c r="I43">
        <v>-7.0076900000000002</v>
      </c>
      <c r="J43">
        <v>27.367121999999998</v>
      </c>
      <c r="K43" s="1" t="s">
        <v>1500</v>
      </c>
      <c r="L43" s="1" t="s">
        <v>1508</v>
      </c>
      <c r="M43" s="1" t="s">
        <v>424</v>
      </c>
      <c r="N43" s="1" t="s">
        <v>10</v>
      </c>
      <c r="O43" s="1" t="str">
        <f>INT(Matrice1!$P43/12) &amp; " ans et " &amp; MOD(Matrice1!$P43,12) &amp; " mois"</f>
        <v>5 ans et 8 mois</v>
      </c>
      <c r="P43">
        <v>68</v>
      </c>
      <c r="Q43" s="1" t="s">
        <v>19</v>
      </c>
      <c r="R43" s="4">
        <f>Matrice1!$S43/1440</f>
        <v>0.33819444444444446</v>
      </c>
      <c r="S43">
        <v>487</v>
      </c>
      <c r="T43">
        <v>69.099999999999994</v>
      </c>
      <c r="U43">
        <v>5</v>
      </c>
      <c r="V43" s="8">
        <f>IF(Matrice1!$Q43="Pro Monde",10%,IF(AND(Matrice1!$R43&gt;12,Matrice1!$O43&gt;5),70%,IF(AND(OR(Matrice1!$R43&gt;=4,Matrice1!$R43&lt;=12,Matrice1!$O43&lt;5,(OR(Matrice1!$Q43="Premium ")))),45%,0%)))</f>
        <v>0.45</v>
      </c>
      <c r="W43">
        <f>Matrice1!$T43* (Matrice1!$V43/100)</f>
        <v>0.31095</v>
      </c>
    </row>
    <row r="44" spans="1:23" x14ac:dyDescent="0.3">
      <c r="A44" s="1" t="s">
        <v>854</v>
      </c>
      <c r="B44" s="2">
        <v>45219</v>
      </c>
      <c r="C44" s="3">
        <v>0.10138888888888889</v>
      </c>
      <c r="D44" s="1" t="s">
        <v>888</v>
      </c>
      <c r="E44">
        <v>75</v>
      </c>
      <c r="F44" s="1" t="s">
        <v>807</v>
      </c>
      <c r="G44" s="1" t="s">
        <v>888</v>
      </c>
      <c r="H44" s="1" t="s">
        <v>10</v>
      </c>
      <c r="I44">
        <v>-7.0076900000000002</v>
      </c>
      <c r="J44">
        <v>27.367121999999998</v>
      </c>
      <c r="K44" s="1" t="s">
        <v>1500</v>
      </c>
      <c r="L44" s="1" t="s">
        <v>1508</v>
      </c>
      <c r="M44" s="1" t="s">
        <v>428</v>
      </c>
      <c r="N44" s="1" t="s">
        <v>10</v>
      </c>
      <c r="O44" s="1" t="str">
        <f>INT(Matrice1!$P44/12) &amp; " ans et " &amp; MOD(Matrice1!$P44,12) &amp; " mois"</f>
        <v>9 ans et 3 mois</v>
      </c>
      <c r="P44">
        <v>111</v>
      </c>
      <c r="Q44" s="1" t="s">
        <v>19</v>
      </c>
      <c r="R44" s="4">
        <f>Matrice1!$S44/1440</f>
        <v>0.13472222222222222</v>
      </c>
      <c r="S44">
        <v>194</v>
      </c>
      <c r="T44">
        <v>48.55</v>
      </c>
      <c r="U44">
        <v>2</v>
      </c>
      <c r="V44" s="8">
        <f>IF(Matrice1!$Q44="Pro Monde",10%,IF(AND(Matrice1!$R44&gt;12,Matrice1!$O44&gt;5),70%,IF(AND(OR(Matrice1!$R44&gt;=4,Matrice1!$R44&lt;=12,Matrice1!$O44&lt;5,(OR(Matrice1!$Q44="Premium ")))),45%,0%)))</f>
        <v>0.45</v>
      </c>
      <c r="W44">
        <f>Matrice1!$T44* (Matrice1!$V44/100)</f>
        <v>0.218475</v>
      </c>
    </row>
    <row r="45" spans="1:23" x14ac:dyDescent="0.3">
      <c r="A45" s="1" t="s">
        <v>854</v>
      </c>
      <c r="B45" s="2">
        <v>45219</v>
      </c>
      <c r="C45" s="3">
        <v>0.10138888888888889</v>
      </c>
      <c r="D45" s="1" t="s">
        <v>888</v>
      </c>
      <c r="E45">
        <v>75</v>
      </c>
      <c r="F45" s="1" t="s">
        <v>807</v>
      </c>
      <c r="G45" s="1" t="s">
        <v>888</v>
      </c>
      <c r="H45" s="1" t="s">
        <v>10</v>
      </c>
      <c r="I45">
        <v>-7.0076900000000002</v>
      </c>
      <c r="J45">
        <v>27.367121999999998</v>
      </c>
      <c r="K45" s="1" t="s">
        <v>1500</v>
      </c>
      <c r="L45" s="1" t="s">
        <v>1508</v>
      </c>
      <c r="M45" s="1" t="s">
        <v>440</v>
      </c>
      <c r="N45" s="1" t="s">
        <v>10</v>
      </c>
      <c r="O45" s="1" t="str">
        <f>INT(Matrice1!$P45/12) &amp; " ans et " &amp; MOD(Matrice1!$P45,12) &amp; " mois"</f>
        <v>2 ans et 0 mois</v>
      </c>
      <c r="P45">
        <v>24</v>
      </c>
      <c r="Q45" s="1" t="s">
        <v>22</v>
      </c>
      <c r="R45" s="4">
        <f>Matrice1!$S45/1440</f>
        <v>0.2722222222222222</v>
      </c>
      <c r="S45">
        <v>392</v>
      </c>
      <c r="T45">
        <v>27.06</v>
      </c>
      <c r="U45">
        <v>1</v>
      </c>
      <c r="V45" s="8">
        <f>IF(Matrice1!$Q45="Pro Monde",10%,IF(AND(Matrice1!$R45&gt;12,Matrice1!$O45&gt;5),70%,IF(AND(OR(Matrice1!$R45&gt;=4,Matrice1!$R45&lt;=12,Matrice1!$O45&lt;5,(OR(Matrice1!$Q45="Premium ")))),45%,0%)))</f>
        <v>0.45</v>
      </c>
      <c r="W45">
        <f>Matrice1!$T45* (Matrice1!$V45/100)</f>
        <v>0.12177</v>
      </c>
    </row>
    <row r="46" spans="1:23" x14ac:dyDescent="0.3">
      <c r="A46" s="1" t="s">
        <v>854</v>
      </c>
      <c r="B46" s="2">
        <v>45219</v>
      </c>
      <c r="C46" s="3">
        <v>0.10138888888888889</v>
      </c>
      <c r="D46" s="1" t="s">
        <v>888</v>
      </c>
      <c r="E46">
        <v>75</v>
      </c>
      <c r="F46" s="1" t="s">
        <v>807</v>
      </c>
      <c r="G46" s="1" t="s">
        <v>888</v>
      </c>
      <c r="H46" s="1" t="s">
        <v>10</v>
      </c>
      <c r="I46">
        <v>-7.0076900000000002</v>
      </c>
      <c r="J46">
        <v>27.367121999999998</v>
      </c>
      <c r="K46" s="1" t="s">
        <v>1500</v>
      </c>
      <c r="L46" s="1" t="s">
        <v>1508</v>
      </c>
      <c r="M46" s="1" t="s">
        <v>450</v>
      </c>
      <c r="N46" s="1" t="s">
        <v>10</v>
      </c>
      <c r="O46" s="1" t="str">
        <f>INT(Matrice1!$P46/12) &amp; " ans et " &amp; MOD(Matrice1!$P46,12) &amp; " mois"</f>
        <v>3 ans et 11 mois</v>
      </c>
      <c r="P46">
        <v>47</v>
      </c>
      <c r="Q46" s="1" t="s">
        <v>19</v>
      </c>
      <c r="R46" s="4">
        <f>Matrice1!$S46/1440</f>
        <v>7.7083333333333337E-2</v>
      </c>
      <c r="S46">
        <v>111</v>
      </c>
      <c r="T46">
        <v>95.18</v>
      </c>
      <c r="U46">
        <v>0</v>
      </c>
      <c r="V46" s="8">
        <f>IF(Matrice1!$Q46="Pro Monde",10%,IF(AND(Matrice1!$R46&gt;12,Matrice1!$O46&gt;5),70%,IF(AND(OR(Matrice1!$R46&gt;=4,Matrice1!$R46&lt;=12,Matrice1!$O46&lt;5,(OR(Matrice1!$Q46="Premium ")))),45%,0%)))</f>
        <v>0.45</v>
      </c>
      <c r="W46">
        <f>Matrice1!$T46* (Matrice1!$V46/100)</f>
        <v>0.42831000000000008</v>
      </c>
    </row>
    <row r="47" spans="1:23" x14ac:dyDescent="0.3">
      <c r="A47" s="1" t="s">
        <v>854</v>
      </c>
      <c r="B47" s="2">
        <v>45219</v>
      </c>
      <c r="C47" s="3">
        <v>0.10138888888888889</v>
      </c>
      <c r="D47" s="1" t="s">
        <v>888</v>
      </c>
      <c r="E47">
        <v>75</v>
      </c>
      <c r="F47" s="1" t="s">
        <v>807</v>
      </c>
      <c r="G47" s="1" t="s">
        <v>888</v>
      </c>
      <c r="H47" s="1" t="s">
        <v>10</v>
      </c>
      <c r="I47">
        <v>-7.0076900000000002</v>
      </c>
      <c r="J47">
        <v>27.367121999999998</v>
      </c>
      <c r="K47" s="1" t="s">
        <v>1500</v>
      </c>
      <c r="L47" s="1" t="s">
        <v>1508</v>
      </c>
      <c r="M47" s="1" t="s">
        <v>475</v>
      </c>
      <c r="N47" s="1" t="s">
        <v>10</v>
      </c>
      <c r="O47" s="1" t="str">
        <f>INT(Matrice1!$P47/12) &amp; " ans et " &amp; MOD(Matrice1!$P47,12) &amp; " mois"</f>
        <v>2 ans et 9 mois</v>
      </c>
      <c r="P47">
        <v>33</v>
      </c>
      <c r="Q47" s="1" t="s">
        <v>19</v>
      </c>
      <c r="R47" s="4">
        <f>Matrice1!$S47/1440</f>
        <v>0.18958333333333333</v>
      </c>
      <c r="S47">
        <v>273</v>
      </c>
      <c r="T47">
        <v>49.8</v>
      </c>
      <c r="U47">
        <v>0</v>
      </c>
      <c r="V47" s="8">
        <f>IF(Matrice1!$Q47="Pro Monde",10%,IF(AND(Matrice1!$R47&gt;12,Matrice1!$O47&gt;5),70%,IF(AND(OR(Matrice1!$R47&gt;=4,Matrice1!$R47&lt;=12,Matrice1!$O47&lt;5,(OR(Matrice1!$Q47="Premium ")))),45%,0%)))</f>
        <v>0.45</v>
      </c>
      <c r="W47">
        <f>Matrice1!$T47* (Matrice1!$V47/100)</f>
        <v>0.22410000000000002</v>
      </c>
    </row>
    <row r="48" spans="1:23" x14ac:dyDescent="0.3">
      <c r="A48" s="1" t="s">
        <v>854</v>
      </c>
      <c r="B48" s="2">
        <v>45219</v>
      </c>
      <c r="C48" s="3">
        <v>0.10138888888888889</v>
      </c>
      <c r="D48" s="1" t="s">
        <v>888</v>
      </c>
      <c r="E48">
        <v>75</v>
      </c>
      <c r="F48" s="1" t="s">
        <v>807</v>
      </c>
      <c r="G48" s="1" t="s">
        <v>888</v>
      </c>
      <c r="H48" s="1" t="s">
        <v>10</v>
      </c>
      <c r="I48">
        <v>-7.0076900000000002</v>
      </c>
      <c r="J48">
        <v>27.367121999999998</v>
      </c>
      <c r="K48" s="1" t="s">
        <v>1500</v>
      </c>
      <c r="L48" s="1" t="s">
        <v>1508</v>
      </c>
      <c r="M48" s="1" t="s">
        <v>482</v>
      </c>
      <c r="N48" s="1" t="s">
        <v>10</v>
      </c>
      <c r="O48" s="1" t="str">
        <f>INT(Matrice1!$P48/12) &amp; " ans et " &amp; MOD(Matrice1!$P48,12) &amp; " mois"</f>
        <v>7 ans et 2 mois</v>
      </c>
      <c r="P48">
        <v>86</v>
      </c>
      <c r="Q48" s="1" t="s">
        <v>11</v>
      </c>
      <c r="R48" s="4">
        <f>Matrice1!$S48/1440</f>
        <v>0.31388888888888888</v>
      </c>
      <c r="S48">
        <v>452</v>
      </c>
      <c r="T48">
        <v>75.680000000000007</v>
      </c>
      <c r="U48">
        <v>0</v>
      </c>
      <c r="V48" s="8">
        <f>IF(Matrice1!$Q48="Pro Monde",10%,IF(AND(Matrice1!$R48&gt;12,Matrice1!$O48&gt;5),70%,IF(AND(OR(Matrice1!$R48&gt;=4,Matrice1!$R48&lt;=12,Matrice1!$O48&lt;5,(OR(Matrice1!$Q48="Premium ")))),45%,0%)))</f>
        <v>0.45</v>
      </c>
      <c r="W48">
        <f>Matrice1!$T48* (Matrice1!$V48/100)</f>
        <v>0.34056000000000008</v>
      </c>
    </row>
    <row r="49" spans="1:23" x14ac:dyDescent="0.3">
      <c r="A49" s="1" t="s">
        <v>854</v>
      </c>
      <c r="B49" s="2">
        <v>45219</v>
      </c>
      <c r="C49" s="3">
        <v>0.10138888888888889</v>
      </c>
      <c r="D49" s="1" t="s">
        <v>888</v>
      </c>
      <c r="E49">
        <v>75</v>
      </c>
      <c r="F49" s="1" t="s">
        <v>807</v>
      </c>
      <c r="G49" s="1" t="s">
        <v>888</v>
      </c>
      <c r="H49" s="1" t="s">
        <v>10</v>
      </c>
      <c r="I49">
        <v>-7.0076900000000002</v>
      </c>
      <c r="J49">
        <v>27.367121999999998</v>
      </c>
      <c r="K49" s="1" t="s">
        <v>1500</v>
      </c>
      <c r="L49" s="1" t="s">
        <v>1508</v>
      </c>
      <c r="M49" s="1" t="s">
        <v>490</v>
      </c>
      <c r="N49" s="1" t="s">
        <v>10</v>
      </c>
      <c r="O49" s="1" t="str">
        <f>INT(Matrice1!$P49/12) &amp; " ans et " &amp; MOD(Matrice1!$P49,12) &amp; " mois"</f>
        <v>3 ans et 11 mois</v>
      </c>
      <c r="P49">
        <v>47</v>
      </c>
      <c r="Q49" s="1" t="s">
        <v>14</v>
      </c>
      <c r="R49" s="4">
        <f>Matrice1!$S49/1440</f>
        <v>0.22777777777777777</v>
      </c>
      <c r="S49">
        <v>328</v>
      </c>
      <c r="T49">
        <v>61.27</v>
      </c>
      <c r="U49">
        <v>3</v>
      </c>
      <c r="V49" s="8">
        <f>IF(Matrice1!$Q49="Pro Monde",10%,IF(AND(Matrice1!$R49&gt;12,Matrice1!$O49&gt;5),70%,IF(AND(OR(Matrice1!$R49&gt;=4,Matrice1!$R49&lt;=12,Matrice1!$O49&lt;5,(OR(Matrice1!$Q49="Premium ")))),45%,0%)))</f>
        <v>0.1</v>
      </c>
      <c r="W49">
        <f>Matrice1!$T49* (Matrice1!$V49/100)</f>
        <v>6.1270000000000005E-2</v>
      </c>
    </row>
    <row r="50" spans="1:23" x14ac:dyDescent="0.3">
      <c r="A50" s="1" t="s">
        <v>854</v>
      </c>
      <c r="B50" s="2">
        <v>45219</v>
      </c>
      <c r="C50" s="3">
        <v>0.10138888888888889</v>
      </c>
      <c r="D50" s="1" t="s">
        <v>888</v>
      </c>
      <c r="E50">
        <v>75</v>
      </c>
      <c r="F50" s="1" t="s">
        <v>807</v>
      </c>
      <c r="G50" s="1" t="s">
        <v>888</v>
      </c>
      <c r="H50" s="1" t="s">
        <v>10</v>
      </c>
      <c r="I50">
        <v>-7.0076900000000002</v>
      </c>
      <c r="J50">
        <v>27.367121999999998</v>
      </c>
      <c r="K50" s="1" t="s">
        <v>1500</v>
      </c>
      <c r="L50" s="1" t="s">
        <v>1508</v>
      </c>
      <c r="M50" s="1" t="s">
        <v>494</v>
      </c>
      <c r="N50" s="1" t="s">
        <v>10</v>
      </c>
      <c r="O50" s="1" t="str">
        <f>INT(Matrice1!$P50/12) &amp; " ans et " &amp; MOD(Matrice1!$P50,12) &amp; " mois"</f>
        <v>8 ans et 0 mois</v>
      </c>
      <c r="P50">
        <v>96</v>
      </c>
      <c r="Q50" s="1" t="s">
        <v>11</v>
      </c>
      <c r="R50" s="4">
        <f>Matrice1!$S50/1440</f>
        <v>0.18958333333333333</v>
      </c>
      <c r="S50">
        <v>273</v>
      </c>
      <c r="T50">
        <v>37.909999999999997</v>
      </c>
      <c r="U50">
        <v>2</v>
      </c>
      <c r="V50" s="8">
        <f>IF(Matrice1!$Q50="Pro Monde",10%,IF(AND(Matrice1!$R50&gt;12,Matrice1!$O50&gt;5),70%,IF(AND(OR(Matrice1!$R50&gt;=4,Matrice1!$R50&lt;=12,Matrice1!$O50&lt;5,(OR(Matrice1!$Q50="Premium ")))),45%,0%)))</f>
        <v>0.45</v>
      </c>
      <c r="W50">
        <f>Matrice1!$T50* (Matrice1!$V50/100)</f>
        <v>0.170595</v>
      </c>
    </row>
    <row r="51" spans="1:23" x14ac:dyDescent="0.3">
      <c r="A51" s="1" t="s">
        <v>854</v>
      </c>
      <c r="B51" s="2">
        <v>45219</v>
      </c>
      <c r="C51" s="3">
        <v>0.10138888888888889</v>
      </c>
      <c r="D51" s="1" t="s">
        <v>888</v>
      </c>
      <c r="E51">
        <v>75</v>
      </c>
      <c r="F51" s="1" t="s">
        <v>807</v>
      </c>
      <c r="G51" s="1" t="s">
        <v>888</v>
      </c>
      <c r="H51" s="1" t="s">
        <v>10</v>
      </c>
      <c r="I51">
        <v>-7.0076900000000002</v>
      </c>
      <c r="J51">
        <v>27.367121999999998</v>
      </c>
      <c r="K51" s="1" t="s">
        <v>1500</v>
      </c>
      <c r="L51" s="1" t="s">
        <v>1508</v>
      </c>
      <c r="M51" s="1" t="s">
        <v>509</v>
      </c>
      <c r="N51" s="1" t="s">
        <v>10</v>
      </c>
      <c r="O51" s="1" t="str">
        <f>INT(Matrice1!$P51/12) &amp; " ans et " &amp; MOD(Matrice1!$P51,12) &amp; " mois"</f>
        <v>3 ans et 9 mois</v>
      </c>
      <c r="P51">
        <v>45</v>
      </c>
      <c r="Q51" s="1" t="s">
        <v>11</v>
      </c>
      <c r="R51" s="4">
        <f>Matrice1!$S51/1440</f>
        <v>0.16944444444444445</v>
      </c>
      <c r="S51">
        <v>244</v>
      </c>
      <c r="T51">
        <v>55.17</v>
      </c>
      <c r="U51">
        <v>2</v>
      </c>
      <c r="V51" s="8">
        <f>IF(Matrice1!$Q51="Pro Monde",10%,IF(AND(Matrice1!$R51&gt;12,Matrice1!$O51&gt;5),70%,IF(AND(OR(Matrice1!$R51&gt;=4,Matrice1!$R51&lt;=12,Matrice1!$O51&lt;5,(OR(Matrice1!$Q51="Premium ")))),45%,0%)))</f>
        <v>0.45</v>
      </c>
      <c r="W51">
        <f>Matrice1!$T51* (Matrice1!$V51/100)</f>
        <v>0.24826500000000004</v>
      </c>
    </row>
    <row r="52" spans="1:23" x14ac:dyDescent="0.3">
      <c r="A52" s="1" t="s">
        <v>854</v>
      </c>
      <c r="B52" s="2">
        <v>45219</v>
      </c>
      <c r="C52" s="3">
        <v>0.10138888888888889</v>
      </c>
      <c r="D52" s="1" t="s">
        <v>888</v>
      </c>
      <c r="E52">
        <v>75</v>
      </c>
      <c r="F52" s="1" t="s">
        <v>807</v>
      </c>
      <c r="G52" s="1" t="s">
        <v>888</v>
      </c>
      <c r="H52" s="1" t="s">
        <v>10</v>
      </c>
      <c r="I52">
        <v>-7.0076900000000002</v>
      </c>
      <c r="J52">
        <v>27.367121999999998</v>
      </c>
      <c r="K52" s="1" t="s">
        <v>1500</v>
      </c>
      <c r="L52" s="1" t="s">
        <v>1508</v>
      </c>
      <c r="M52" s="1" t="s">
        <v>515</v>
      </c>
      <c r="N52" s="1" t="s">
        <v>10</v>
      </c>
      <c r="O52" s="1" t="str">
        <f>INT(Matrice1!$P52/12) &amp; " ans et " &amp; MOD(Matrice1!$P52,12) &amp; " mois"</f>
        <v>7 ans et 1 mois</v>
      </c>
      <c r="P52">
        <v>85</v>
      </c>
      <c r="Q52" s="1" t="s">
        <v>14</v>
      </c>
      <c r="R52" s="4">
        <f>Matrice1!$S52/1440</f>
        <v>5.2083333333333336E-2</v>
      </c>
      <c r="S52">
        <v>75</v>
      </c>
      <c r="T52">
        <v>98.01</v>
      </c>
      <c r="U52">
        <v>1</v>
      </c>
      <c r="V52" s="8">
        <f>IF(Matrice1!$Q52="Pro Monde",10%,IF(AND(Matrice1!$R52&gt;12,Matrice1!$O52&gt;5),70%,IF(AND(OR(Matrice1!$R52&gt;=4,Matrice1!$R52&lt;=12,Matrice1!$O52&lt;5,(OR(Matrice1!$Q52="Premium ")))),45%,0%)))</f>
        <v>0.1</v>
      </c>
      <c r="W52">
        <f>Matrice1!$T52* (Matrice1!$V52/100)</f>
        <v>9.8010000000000014E-2</v>
      </c>
    </row>
    <row r="53" spans="1:23" x14ac:dyDescent="0.3">
      <c r="A53" s="1" t="s">
        <v>854</v>
      </c>
      <c r="B53" s="2">
        <v>45219</v>
      </c>
      <c r="C53" s="3">
        <v>0.10138888888888889</v>
      </c>
      <c r="D53" s="1" t="s">
        <v>888</v>
      </c>
      <c r="E53">
        <v>75</v>
      </c>
      <c r="F53" s="1" t="s">
        <v>807</v>
      </c>
      <c r="G53" s="1" t="s">
        <v>888</v>
      </c>
      <c r="H53" s="1" t="s">
        <v>10</v>
      </c>
      <c r="I53">
        <v>-7.0076900000000002</v>
      </c>
      <c r="J53">
        <v>27.367121999999998</v>
      </c>
      <c r="K53" s="1" t="s">
        <v>1500</v>
      </c>
      <c r="L53" s="1" t="s">
        <v>1508</v>
      </c>
      <c r="M53" s="1" t="s">
        <v>544</v>
      </c>
      <c r="N53" s="1" t="s">
        <v>10</v>
      </c>
      <c r="O53" s="1" t="str">
        <f>INT(Matrice1!$P53/12) &amp; " ans et " &amp; MOD(Matrice1!$P53,12) &amp; " mois"</f>
        <v>4 ans et 7 mois</v>
      </c>
      <c r="P53">
        <v>55</v>
      </c>
      <c r="Q53" s="1" t="s">
        <v>19</v>
      </c>
      <c r="R53" s="4">
        <f>Matrice1!$S53/1440</f>
        <v>0.24652777777777779</v>
      </c>
      <c r="S53">
        <v>355</v>
      </c>
      <c r="T53">
        <v>59.65</v>
      </c>
      <c r="U53">
        <v>0</v>
      </c>
      <c r="V53" s="8">
        <f>IF(Matrice1!$Q53="Pro Monde",10%,IF(AND(Matrice1!$R53&gt;12,Matrice1!$O53&gt;5),70%,IF(AND(OR(Matrice1!$R53&gt;=4,Matrice1!$R53&lt;=12,Matrice1!$O53&lt;5,(OR(Matrice1!$Q53="Premium ")))),45%,0%)))</f>
        <v>0.45</v>
      </c>
      <c r="W53">
        <f>Matrice1!$T53* (Matrice1!$V53/100)</f>
        <v>0.26842500000000002</v>
      </c>
    </row>
    <row r="54" spans="1:23" x14ac:dyDescent="0.3">
      <c r="A54" s="1" t="s">
        <v>854</v>
      </c>
      <c r="B54" s="2">
        <v>45219</v>
      </c>
      <c r="C54" s="3">
        <v>0.10138888888888889</v>
      </c>
      <c r="D54" s="1" t="s">
        <v>888</v>
      </c>
      <c r="E54">
        <v>75</v>
      </c>
      <c r="F54" s="1" t="s">
        <v>807</v>
      </c>
      <c r="G54" s="1" t="s">
        <v>888</v>
      </c>
      <c r="H54" s="1" t="s">
        <v>10</v>
      </c>
      <c r="I54">
        <v>-7.0076900000000002</v>
      </c>
      <c r="J54">
        <v>27.367121999999998</v>
      </c>
      <c r="K54" s="1" t="s">
        <v>1500</v>
      </c>
      <c r="L54" s="1" t="s">
        <v>1508</v>
      </c>
      <c r="M54" s="1" t="s">
        <v>567</v>
      </c>
      <c r="N54" s="1" t="s">
        <v>10</v>
      </c>
      <c r="O54" s="1" t="str">
        <f>INT(Matrice1!$P54/12) &amp; " ans et " &amp; MOD(Matrice1!$P54,12) &amp; " mois"</f>
        <v>7 ans et 0 mois</v>
      </c>
      <c r="P54">
        <v>84</v>
      </c>
      <c r="Q54" s="1" t="s">
        <v>19</v>
      </c>
      <c r="R54" s="4">
        <f>Matrice1!$S54/1440</f>
        <v>0.25277777777777777</v>
      </c>
      <c r="S54">
        <v>364</v>
      </c>
      <c r="T54">
        <v>87.79</v>
      </c>
      <c r="U54">
        <v>3</v>
      </c>
      <c r="V54" s="8">
        <f>IF(Matrice1!$Q54="Pro Monde",10%,IF(AND(Matrice1!$R54&gt;12,Matrice1!$O54&gt;5),70%,IF(AND(OR(Matrice1!$R54&gt;=4,Matrice1!$R54&lt;=12,Matrice1!$O54&lt;5,(OR(Matrice1!$Q54="Premium ")))),45%,0%)))</f>
        <v>0.45</v>
      </c>
      <c r="W54">
        <f>Matrice1!$T54* (Matrice1!$V54/100)</f>
        <v>0.3950550000000001</v>
      </c>
    </row>
    <row r="55" spans="1:23" x14ac:dyDescent="0.3">
      <c r="A55" s="1" t="s">
        <v>805</v>
      </c>
      <c r="B55" s="2">
        <v>45213</v>
      </c>
      <c r="C55" s="3">
        <v>4.2361111111111113E-2</v>
      </c>
      <c r="D55" s="1" t="s">
        <v>814</v>
      </c>
      <c r="E55">
        <v>119</v>
      </c>
      <c r="F55" s="1" t="s">
        <v>810</v>
      </c>
      <c r="G55" s="1" t="s">
        <v>814</v>
      </c>
      <c r="H55" s="1" t="s">
        <v>62</v>
      </c>
      <c r="I55">
        <v>-2.8211520000000001</v>
      </c>
      <c r="J55">
        <v>20.651419000000001</v>
      </c>
      <c r="K55" s="1" t="s">
        <v>1495</v>
      </c>
      <c r="L55" s="1" t="s">
        <v>1496</v>
      </c>
      <c r="M55" s="1" t="s">
        <v>61</v>
      </c>
      <c r="N55" s="1" t="s">
        <v>62</v>
      </c>
      <c r="O55" s="1" t="str">
        <f>INT(Matrice1!$P55/12) &amp; " ans et " &amp; MOD(Matrice1!$P55,12) &amp; " mois"</f>
        <v>8 ans et 5 mois</v>
      </c>
      <c r="P55">
        <v>101</v>
      </c>
      <c r="Q55" s="1" t="s">
        <v>14</v>
      </c>
      <c r="R55" s="4">
        <f>Matrice1!$S55/1440</f>
        <v>0.23125000000000001</v>
      </c>
      <c r="S55">
        <v>333</v>
      </c>
      <c r="T55">
        <v>74.319999999999993</v>
      </c>
      <c r="U55">
        <v>1</v>
      </c>
      <c r="V55" s="8">
        <f>IF(Matrice1!$Q55="Pro Monde",10%,IF(AND(Matrice1!$R55&gt;12,Matrice1!$O55&gt;5),70%,IF(AND(OR(Matrice1!$R55&gt;=4,Matrice1!$R55&lt;=12,Matrice1!$O55&lt;5,(OR(Matrice1!$Q55="Premium ")))),45%,0%)))</f>
        <v>0.1</v>
      </c>
      <c r="W55">
        <f>Matrice1!$T55* (Matrice1!$V55/100)</f>
        <v>7.4319999999999997E-2</v>
      </c>
    </row>
    <row r="56" spans="1:23" x14ac:dyDescent="0.3">
      <c r="A56" s="1" t="s">
        <v>805</v>
      </c>
      <c r="B56" s="2">
        <v>45213</v>
      </c>
      <c r="C56" s="3">
        <v>4.2361111111111113E-2</v>
      </c>
      <c r="D56" s="1" t="s">
        <v>814</v>
      </c>
      <c r="E56">
        <v>119</v>
      </c>
      <c r="F56" s="1" t="s">
        <v>810</v>
      </c>
      <c r="G56" s="1" t="s">
        <v>814</v>
      </c>
      <c r="H56" s="1" t="s">
        <v>62</v>
      </c>
      <c r="I56">
        <v>-2.8211520000000001</v>
      </c>
      <c r="J56">
        <v>20.651419000000001</v>
      </c>
      <c r="K56" s="1" t="s">
        <v>1495</v>
      </c>
      <c r="L56" s="1" t="s">
        <v>1496</v>
      </c>
      <c r="M56" s="1" t="s">
        <v>74</v>
      </c>
      <c r="N56" s="1" t="s">
        <v>62</v>
      </c>
      <c r="O56" s="1" t="str">
        <f>INT(Matrice1!$P56/12) &amp; " ans et " &amp; MOD(Matrice1!$P56,12) &amp; " mois"</f>
        <v>5 ans et 5 mois</v>
      </c>
      <c r="P56">
        <v>65</v>
      </c>
      <c r="Q56" s="1" t="s">
        <v>11</v>
      </c>
      <c r="R56" s="4">
        <f>Matrice1!$S56/1440</f>
        <v>0.27569444444444446</v>
      </c>
      <c r="S56">
        <v>397</v>
      </c>
      <c r="T56">
        <v>22.6</v>
      </c>
      <c r="U56">
        <v>5</v>
      </c>
      <c r="V56" s="8">
        <f>IF(Matrice1!$Q56="Pro Monde",10%,IF(AND(Matrice1!$R56&gt;12,Matrice1!$O56&gt;5),70%,IF(AND(OR(Matrice1!$R56&gt;=4,Matrice1!$R56&lt;=12,Matrice1!$O56&lt;5,(OR(Matrice1!$Q56="Premium ")))),45%,0%)))</f>
        <v>0.45</v>
      </c>
      <c r="W56">
        <f>Matrice1!$T56* (Matrice1!$V56/100)</f>
        <v>0.10170000000000001</v>
      </c>
    </row>
    <row r="57" spans="1:23" x14ac:dyDescent="0.3">
      <c r="A57" s="1" t="s">
        <v>805</v>
      </c>
      <c r="B57" s="2">
        <v>45213</v>
      </c>
      <c r="C57" s="3">
        <v>4.2361111111111113E-2</v>
      </c>
      <c r="D57" s="1" t="s">
        <v>814</v>
      </c>
      <c r="E57">
        <v>119</v>
      </c>
      <c r="F57" s="1" t="s">
        <v>810</v>
      </c>
      <c r="G57" s="1" t="s">
        <v>814</v>
      </c>
      <c r="H57" s="1" t="s">
        <v>62</v>
      </c>
      <c r="I57">
        <v>-2.8211520000000001</v>
      </c>
      <c r="J57">
        <v>20.651419000000001</v>
      </c>
      <c r="K57" s="1" t="s">
        <v>1495</v>
      </c>
      <c r="L57" s="1" t="s">
        <v>1496</v>
      </c>
      <c r="M57" s="1" t="s">
        <v>91</v>
      </c>
      <c r="N57" s="1" t="s">
        <v>62</v>
      </c>
      <c r="O57" s="1" t="str">
        <f>INT(Matrice1!$P57/12) &amp; " ans et " &amp; MOD(Matrice1!$P57,12) &amp; " mois"</f>
        <v>7 ans et 2 mois</v>
      </c>
      <c r="P57">
        <v>86</v>
      </c>
      <c r="Q57" s="1" t="s">
        <v>19</v>
      </c>
      <c r="R57" s="4">
        <f>Matrice1!$S57/1440</f>
        <v>0.31944444444444442</v>
      </c>
      <c r="S57">
        <v>460</v>
      </c>
      <c r="T57">
        <v>22.81</v>
      </c>
      <c r="U57">
        <v>4</v>
      </c>
      <c r="V57" s="8">
        <f>IF(Matrice1!$Q57="Pro Monde",10%,IF(AND(Matrice1!$R57&gt;12,Matrice1!$O57&gt;5),70%,IF(AND(OR(Matrice1!$R57&gt;=4,Matrice1!$R57&lt;=12,Matrice1!$O57&lt;5,(OR(Matrice1!$Q57="Premium ")))),45%,0%)))</f>
        <v>0.45</v>
      </c>
      <c r="W57">
        <f>Matrice1!$T57* (Matrice1!$V57/100)</f>
        <v>0.102645</v>
      </c>
    </row>
    <row r="58" spans="1:23" x14ac:dyDescent="0.3">
      <c r="A58" s="1" t="s">
        <v>805</v>
      </c>
      <c r="B58" s="2">
        <v>45213</v>
      </c>
      <c r="C58" s="3">
        <v>4.2361111111111113E-2</v>
      </c>
      <c r="D58" s="1" t="s">
        <v>814</v>
      </c>
      <c r="E58">
        <v>119</v>
      </c>
      <c r="F58" s="1" t="s">
        <v>810</v>
      </c>
      <c r="G58" s="1" t="s">
        <v>814</v>
      </c>
      <c r="H58" s="1" t="s">
        <v>62</v>
      </c>
      <c r="I58">
        <v>-2.8211520000000001</v>
      </c>
      <c r="J58">
        <v>20.651419000000001</v>
      </c>
      <c r="K58" s="1" t="s">
        <v>1495</v>
      </c>
      <c r="L58" s="1" t="s">
        <v>1496</v>
      </c>
      <c r="M58" s="1" t="s">
        <v>108</v>
      </c>
      <c r="N58" s="1" t="s">
        <v>62</v>
      </c>
      <c r="O58" s="1" t="str">
        <f>INT(Matrice1!$P58/12) &amp; " ans et " &amp; MOD(Matrice1!$P58,12) &amp; " mois"</f>
        <v>5 ans et 10 mois</v>
      </c>
      <c r="P58">
        <v>70</v>
      </c>
      <c r="Q58" s="1" t="s">
        <v>19</v>
      </c>
      <c r="R58" s="4">
        <f>Matrice1!$S58/1440</f>
        <v>2.1527777777777778E-2</v>
      </c>
      <c r="S58">
        <v>31</v>
      </c>
      <c r="T58">
        <v>71.2</v>
      </c>
      <c r="U58">
        <v>4</v>
      </c>
      <c r="V58" s="8">
        <f>IF(Matrice1!$Q58="Pro Monde",10%,IF(AND(Matrice1!$R58&gt;12,Matrice1!$O58&gt;5),70%,IF(AND(OR(Matrice1!$R58&gt;=4,Matrice1!$R58&lt;=12,Matrice1!$O58&lt;5,(OR(Matrice1!$Q58="Premium ")))),45%,0%)))</f>
        <v>0.45</v>
      </c>
      <c r="W58">
        <f>Matrice1!$T58* (Matrice1!$V58/100)</f>
        <v>0.32040000000000007</v>
      </c>
    </row>
    <row r="59" spans="1:23" x14ac:dyDescent="0.3">
      <c r="A59" s="1" t="s">
        <v>805</v>
      </c>
      <c r="B59" s="2">
        <v>45213</v>
      </c>
      <c r="C59" s="3">
        <v>4.2361111111111113E-2</v>
      </c>
      <c r="D59" s="1" t="s">
        <v>814</v>
      </c>
      <c r="E59">
        <v>119</v>
      </c>
      <c r="F59" s="1" t="s">
        <v>810</v>
      </c>
      <c r="G59" s="1" t="s">
        <v>814</v>
      </c>
      <c r="H59" s="1" t="s">
        <v>62</v>
      </c>
      <c r="I59">
        <v>-2.8211520000000001</v>
      </c>
      <c r="J59">
        <v>20.651419000000001</v>
      </c>
      <c r="K59" s="1" t="s">
        <v>1495</v>
      </c>
      <c r="L59" s="1" t="s">
        <v>1496</v>
      </c>
      <c r="M59" s="1" t="s">
        <v>120</v>
      </c>
      <c r="N59" s="1" t="s">
        <v>62</v>
      </c>
      <c r="O59" s="1" t="str">
        <f>INT(Matrice1!$P59/12) &amp; " ans et " &amp; MOD(Matrice1!$P59,12) &amp; " mois"</f>
        <v>0 ans et 4 mois</v>
      </c>
      <c r="P59">
        <v>4</v>
      </c>
      <c r="Q59" s="1" t="s">
        <v>19</v>
      </c>
      <c r="R59" s="4">
        <f>Matrice1!$S59/1440</f>
        <v>0.31458333333333333</v>
      </c>
      <c r="S59">
        <v>453</v>
      </c>
      <c r="T59">
        <v>75.260000000000005</v>
      </c>
      <c r="U59">
        <v>5</v>
      </c>
      <c r="V59" s="8">
        <f>IF(Matrice1!$Q59="Pro Monde",10%,IF(AND(Matrice1!$R59&gt;12,Matrice1!$O59&gt;5),70%,IF(AND(OR(Matrice1!$R59&gt;=4,Matrice1!$R59&lt;=12,Matrice1!$O59&lt;5,(OR(Matrice1!$Q59="Premium ")))),45%,0%)))</f>
        <v>0.45</v>
      </c>
      <c r="W59">
        <f>Matrice1!$T59* (Matrice1!$V59/100)</f>
        <v>0.33867000000000008</v>
      </c>
    </row>
    <row r="60" spans="1:23" x14ac:dyDescent="0.3">
      <c r="A60" s="1" t="s">
        <v>805</v>
      </c>
      <c r="B60" s="2">
        <v>45213</v>
      </c>
      <c r="C60" s="3">
        <v>4.2361111111111113E-2</v>
      </c>
      <c r="D60" s="1" t="s">
        <v>814</v>
      </c>
      <c r="E60">
        <v>119</v>
      </c>
      <c r="F60" s="1" t="s">
        <v>810</v>
      </c>
      <c r="G60" s="1" t="s">
        <v>814</v>
      </c>
      <c r="H60" s="1" t="s">
        <v>62</v>
      </c>
      <c r="I60">
        <v>-2.8211520000000001</v>
      </c>
      <c r="J60">
        <v>20.651419000000001</v>
      </c>
      <c r="K60" s="1" t="s">
        <v>1495</v>
      </c>
      <c r="L60" s="1" t="s">
        <v>1496</v>
      </c>
      <c r="M60" s="1" t="s">
        <v>147</v>
      </c>
      <c r="N60" s="1" t="s">
        <v>62</v>
      </c>
      <c r="O60" s="1" t="str">
        <f>INT(Matrice1!$P60/12) &amp; " ans et " &amp; MOD(Matrice1!$P60,12) &amp; " mois"</f>
        <v>9 ans et 6 mois</v>
      </c>
      <c r="P60">
        <v>114</v>
      </c>
      <c r="Q60" s="1" t="s">
        <v>11</v>
      </c>
      <c r="R60" s="4">
        <f>Matrice1!$S60/1440</f>
        <v>0.16111111111111112</v>
      </c>
      <c r="S60">
        <v>232</v>
      </c>
      <c r="T60">
        <v>42.2</v>
      </c>
      <c r="U60">
        <v>2</v>
      </c>
      <c r="V60" s="8">
        <f>IF(Matrice1!$Q60="Pro Monde",10%,IF(AND(Matrice1!$R60&gt;12,Matrice1!$O60&gt;5),70%,IF(AND(OR(Matrice1!$R60&gt;=4,Matrice1!$R60&lt;=12,Matrice1!$O60&lt;5,(OR(Matrice1!$Q60="Premium ")))),45%,0%)))</f>
        <v>0.45</v>
      </c>
      <c r="W60">
        <f>Matrice1!$T60* (Matrice1!$V60/100)</f>
        <v>0.18990000000000004</v>
      </c>
    </row>
    <row r="61" spans="1:23" x14ac:dyDescent="0.3">
      <c r="A61" s="1" t="s">
        <v>805</v>
      </c>
      <c r="B61" s="2">
        <v>45213</v>
      </c>
      <c r="C61" s="3">
        <v>4.2361111111111113E-2</v>
      </c>
      <c r="D61" s="1" t="s">
        <v>814</v>
      </c>
      <c r="E61">
        <v>119</v>
      </c>
      <c r="F61" s="1" t="s">
        <v>810</v>
      </c>
      <c r="G61" s="1" t="s">
        <v>814</v>
      </c>
      <c r="H61" s="1" t="s">
        <v>62</v>
      </c>
      <c r="I61">
        <v>-2.8211520000000001</v>
      </c>
      <c r="J61">
        <v>20.651419000000001</v>
      </c>
      <c r="K61" s="1" t="s">
        <v>1495</v>
      </c>
      <c r="L61" s="1" t="s">
        <v>1496</v>
      </c>
      <c r="M61" s="1" t="s">
        <v>210</v>
      </c>
      <c r="N61" s="1" t="s">
        <v>62</v>
      </c>
      <c r="O61" s="1" t="str">
        <f>INT(Matrice1!$P61/12) &amp; " ans et " &amp; MOD(Matrice1!$P61,12) &amp; " mois"</f>
        <v>2 ans et 11 mois</v>
      </c>
      <c r="P61">
        <v>35</v>
      </c>
      <c r="Q61" s="1" t="s">
        <v>22</v>
      </c>
      <c r="R61" s="4">
        <f>Matrice1!$S61/1440</f>
        <v>7.4305555555555555E-2</v>
      </c>
      <c r="S61">
        <v>107</v>
      </c>
      <c r="T61">
        <v>66.69</v>
      </c>
      <c r="U61">
        <v>4</v>
      </c>
      <c r="V61" s="8">
        <f>IF(Matrice1!$Q61="Pro Monde",10%,IF(AND(Matrice1!$R61&gt;12,Matrice1!$O61&gt;5),70%,IF(AND(OR(Matrice1!$R61&gt;=4,Matrice1!$R61&lt;=12,Matrice1!$O61&lt;5,(OR(Matrice1!$Q61="Premium ")))),45%,0%)))</f>
        <v>0.45</v>
      </c>
      <c r="W61">
        <f>Matrice1!$T61* (Matrice1!$V61/100)</f>
        <v>0.30010500000000001</v>
      </c>
    </row>
    <row r="62" spans="1:23" x14ac:dyDescent="0.3">
      <c r="A62" s="1" t="s">
        <v>805</v>
      </c>
      <c r="B62" s="2">
        <v>45213</v>
      </c>
      <c r="C62" s="3">
        <v>4.2361111111111113E-2</v>
      </c>
      <c r="D62" s="1" t="s">
        <v>814</v>
      </c>
      <c r="E62">
        <v>119</v>
      </c>
      <c r="F62" s="1" t="s">
        <v>810</v>
      </c>
      <c r="G62" s="1" t="s">
        <v>814</v>
      </c>
      <c r="H62" s="1" t="s">
        <v>62</v>
      </c>
      <c r="I62">
        <v>-2.8211520000000001</v>
      </c>
      <c r="J62">
        <v>20.651419000000001</v>
      </c>
      <c r="K62" s="1" t="s">
        <v>1495</v>
      </c>
      <c r="L62" s="1" t="s">
        <v>1496</v>
      </c>
      <c r="M62" s="1" t="s">
        <v>221</v>
      </c>
      <c r="N62" s="1" t="s">
        <v>62</v>
      </c>
      <c r="O62" s="1" t="str">
        <f>INT(Matrice1!$P62/12) &amp; " ans et " &amp; MOD(Matrice1!$P62,12) &amp; " mois"</f>
        <v>9 ans et 7 mois</v>
      </c>
      <c r="P62">
        <v>115</v>
      </c>
      <c r="Q62" s="1" t="s">
        <v>19</v>
      </c>
      <c r="R62" s="4">
        <f>Matrice1!$S62/1440</f>
        <v>0.16388888888888889</v>
      </c>
      <c r="S62">
        <v>236</v>
      </c>
      <c r="T62">
        <v>50.64</v>
      </c>
      <c r="U62">
        <v>1</v>
      </c>
      <c r="V62" s="8">
        <f>IF(Matrice1!$Q62="Pro Monde",10%,IF(AND(Matrice1!$R62&gt;12,Matrice1!$O62&gt;5),70%,IF(AND(OR(Matrice1!$R62&gt;=4,Matrice1!$R62&lt;=12,Matrice1!$O62&lt;5,(OR(Matrice1!$Q62="Premium ")))),45%,0%)))</f>
        <v>0.45</v>
      </c>
      <c r="W62">
        <f>Matrice1!$T62* (Matrice1!$V62/100)</f>
        <v>0.22788000000000003</v>
      </c>
    </row>
    <row r="63" spans="1:23" x14ac:dyDescent="0.3">
      <c r="A63" s="1" t="s">
        <v>805</v>
      </c>
      <c r="B63" s="2">
        <v>45213</v>
      </c>
      <c r="C63" s="3">
        <v>4.2361111111111113E-2</v>
      </c>
      <c r="D63" s="1" t="s">
        <v>814</v>
      </c>
      <c r="E63">
        <v>119</v>
      </c>
      <c r="F63" s="1" t="s">
        <v>810</v>
      </c>
      <c r="G63" s="1" t="s">
        <v>814</v>
      </c>
      <c r="H63" s="1" t="s">
        <v>62</v>
      </c>
      <c r="I63">
        <v>-2.8211520000000001</v>
      </c>
      <c r="J63">
        <v>20.651419000000001</v>
      </c>
      <c r="K63" s="1" t="s">
        <v>1495</v>
      </c>
      <c r="L63" s="1" t="s">
        <v>1496</v>
      </c>
      <c r="M63" s="1" t="s">
        <v>262</v>
      </c>
      <c r="N63" s="1" t="s">
        <v>62</v>
      </c>
      <c r="O63" s="1" t="str">
        <f>INT(Matrice1!$P63/12) &amp; " ans et " &amp; MOD(Matrice1!$P63,12) &amp; " mois"</f>
        <v>2 ans et 9 mois</v>
      </c>
      <c r="P63">
        <v>33</v>
      </c>
      <c r="Q63" s="1" t="s">
        <v>19</v>
      </c>
      <c r="R63" s="4">
        <f>Matrice1!$S63/1440</f>
        <v>0.23055555555555557</v>
      </c>
      <c r="S63">
        <v>332</v>
      </c>
      <c r="T63">
        <v>76.41</v>
      </c>
      <c r="U63">
        <v>1</v>
      </c>
      <c r="V63" s="8">
        <f>IF(Matrice1!$Q63="Pro Monde",10%,IF(AND(Matrice1!$R63&gt;12,Matrice1!$O63&gt;5),70%,IF(AND(OR(Matrice1!$R63&gt;=4,Matrice1!$R63&lt;=12,Matrice1!$O63&lt;5,(OR(Matrice1!$Q63="Premium ")))),45%,0%)))</f>
        <v>0.45</v>
      </c>
      <c r="W63">
        <f>Matrice1!$T63* (Matrice1!$V63/100)</f>
        <v>0.34384500000000001</v>
      </c>
    </row>
    <row r="64" spans="1:23" x14ac:dyDescent="0.3">
      <c r="A64" s="1" t="s">
        <v>805</v>
      </c>
      <c r="B64" s="2">
        <v>45213</v>
      </c>
      <c r="C64" s="3">
        <v>4.2361111111111113E-2</v>
      </c>
      <c r="D64" s="1" t="s">
        <v>814</v>
      </c>
      <c r="E64">
        <v>119</v>
      </c>
      <c r="F64" s="1" t="s">
        <v>810</v>
      </c>
      <c r="G64" s="1" t="s">
        <v>814</v>
      </c>
      <c r="H64" s="1" t="s">
        <v>62</v>
      </c>
      <c r="I64">
        <v>-2.8211520000000001</v>
      </c>
      <c r="J64">
        <v>20.651419000000001</v>
      </c>
      <c r="K64" s="1" t="s">
        <v>1495</v>
      </c>
      <c r="L64" s="1" t="s">
        <v>1496</v>
      </c>
      <c r="M64" s="1" t="s">
        <v>392</v>
      </c>
      <c r="N64" s="1" t="s">
        <v>62</v>
      </c>
      <c r="O64" s="1" t="str">
        <f>INT(Matrice1!$P64/12) &amp; " ans et " &amp; MOD(Matrice1!$P64,12) &amp; " mois"</f>
        <v>7 ans et 5 mois</v>
      </c>
      <c r="P64">
        <v>89</v>
      </c>
      <c r="Q64" s="1" t="s">
        <v>22</v>
      </c>
      <c r="R64" s="4">
        <f>Matrice1!$S64/1440</f>
        <v>0.2902777777777778</v>
      </c>
      <c r="S64">
        <v>418</v>
      </c>
      <c r="T64">
        <v>86.63</v>
      </c>
      <c r="U64">
        <v>4</v>
      </c>
      <c r="V64" s="8">
        <f>IF(Matrice1!$Q64="Pro Monde",10%,IF(AND(Matrice1!$R64&gt;12,Matrice1!$O64&gt;5),70%,IF(AND(OR(Matrice1!$R64&gt;=4,Matrice1!$R64&lt;=12,Matrice1!$O64&lt;5,(OR(Matrice1!$Q64="Premium ")))),45%,0%)))</f>
        <v>0.45</v>
      </c>
      <c r="W64">
        <f>Matrice1!$T64* (Matrice1!$V64/100)</f>
        <v>0.38983500000000004</v>
      </c>
    </row>
    <row r="65" spans="1:23" x14ac:dyDescent="0.3">
      <c r="A65" s="1" t="s">
        <v>805</v>
      </c>
      <c r="B65" s="2">
        <v>45213</v>
      </c>
      <c r="C65" s="3">
        <v>4.2361111111111113E-2</v>
      </c>
      <c r="D65" s="1" t="s">
        <v>814</v>
      </c>
      <c r="E65">
        <v>119</v>
      </c>
      <c r="F65" s="1" t="s">
        <v>810</v>
      </c>
      <c r="G65" s="1" t="s">
        <v>814</v>
      </c>
      <c r="H65" s="1" t="s">
        <v>62</v>
      </c>
      <c r="I65">
        <v>-2.8211520000000001</v>
      </c>
      <c r="J65">
        <v>20.651419000000001</v>
      </c>
      <c r="K65" s="1" t="s">
        <v>1495</v>
      </c>
      <c r="L65" s="1" t="s">
        <v>1496</v>
      </c>
      <c r="M65" s="1" t="s">
        <v>471</v>
      </c>
      <c r="N65" s="1" t="s">
        <v>62</v>
      </c>
      <c r="O65" s="1" t="str">
        <f>INT(Matrice1!$P65/12) &amp; " ans et " &amp; MOD(Matrice1!$P65,12) &amp; " mois"</f>
        <v>6 ans et 6 mois</v>
      </c>
      <c r="P65">
        <v>78</v>
      </c>
      <c r="Q65" s="1" t="s">
        <v>11</v>
      </c>
      <c r="R65" s="4">
        <f>Matrice1!$S65/1440</f>
        <v>4.1666666666666664E-2</v>
      </c>
      <c r="S65">
        <v>60</v>
      </c>
      <c r="T65">
        <v>33.159999999999997</v>
      </c>
      <c r="U65">
        <v>5</v>
      </c>
      <c r="V65" s="8">
        <f>IF(Matrice1!$Q65="Pro Monde",10%,IF(AND(Matrice1!$R65&gt;12,Matrice1!$O65&gt;5),70%,IF(AND(OR(Matrice1!$R65&gt;=4,Matrice1!$R65&lt;=12,Matrice1!$O65&lt;5,(OR(Matrice1!$Q65="Premium ")))),45%,0%)))</f>
        <v>0.45</v>
      </c>
      <c r="W65">
        <f>Matrice1!$T65* (Matrice1!$V65/100)</f>
        <v>0.14921999999999999</v>
      </c>
    </row>
    <row r="66" spans="1:23" x14ac:dyDescent="0.3">
      <c r="A66" s="1" t="s">
        <v>805</v>
      </c>
      <c r="B66" s="2">
        <v>45213</v>
      </c>
      <c r="C66" s="3">
        <v>4.2361111111111113E-2</v>
      </c>
      <c r="D66" s="1" t="s">
        <v>814</v>
      </c>
      <c r="E66">
        <v>119</v>
      </c>
      <c r="F66" s="1" t="s">
        <v>810</v>
      </c>
      <c r="G66" s="1" t="s">
        <v>814</v>
      </c>
      <c r="H66" s="1" t="s">
        <v>62</v>
      </c>
      <c r="I66">
        <v>-2.8211520000000001</v>
      </c>
      <c r="J66">
        <v>20.651419000000001</v>
      </c>
      <c r="K66" s="1" t="s">
        <v>1495</v>
      </c>
      <c r="L66" s="1" t="s">
        <v>1496</v>
      </c>
      <c r="M66" s="1" t="s">
        <v>480</v>
      </c>
      <c r="N66" s="1" t="s">
        <v>62</v>
      </c>
      <c r="O66" s="1" t="str">
        <f>INT(Matrice1!$P66/12) &amp; " ans et " &amp; MOD(Matrice1!$P66,12) &amp; " mois"</f>
        <v>1 ans et 3 mois</v>
      </c>
      <c r="P66">
        <v>15</v>
      </c>
      <c r="Q66" s="1" t="s">
        <v>11</v>
      </c>
      <c r="R66" s="4">
        <f>Matrice1!$S66/1440</f>
        <v>5.2083333333333336E-2</v>
      </c>
      <c r="S66">
        <v>75</v>
      </c>
      <c r="T66">
        <v>45.59</v>
      </c>
      <c r="U66">
        <v>0</v>
      </c>
      <c r="V66" s="8">
        <f>IF(Matrice1!$Q66="Pro Monde",10%,IF(AND(Matrice1!$R66&gt;12,Matrice1!$O66&gt;5),70%,IF(AND(OR(Matrice1!$R66&gt;=4,Matrice1!$R66&lt;=12,Matrice1!$O66&lt;5,(OR(Matrice1!$Q66="Premium ")))),45%,0%)))</f>
        <v>0.45</v>
      </c>
      <c r="W66">
        <f>Matrice1!$T66* (Matrice1!$V66/100)</f>
        <v>0.20515500000000003</v>
      </c>
    </row>
    <row r="67" spans="1:23" x14ac:dyDescent="0.3">
      <c r="A67" s="1" t="s">
        <v>805</v>
      </c>
      <c r="B67" s="2">
        <v>45213</v>
      </c>
      <c r="C67" s="3">
        <v>4.2361111111111113E-2</v>
      </c>
      <c r="D67" s="1" t="s">
        <v>814</v>
      </c>
      <c r="E67">
        <v>119</v>
      </c>
      <c r="F67" s="1" t="s">
        <v>810</v>
      </c>
      <c r="G67" s="1" t="s">
        <v>814</v>
      </c>
      <c r="H67" s="1" t="s">
        <v>62</v>
      </c>
      <c r="I67">
        <v>-2.8211520000000001</v>
      </c>
      <c r="J67">
        <v>20.651419000000001</v>
      </c>
      <c r="K67" s="1" t="s">
        <v>1495</v>
      </c>
      <c r="L67" s="1" t="s">
        <v>1496</v>
      </c>
      <c r="M67" s="1" t="s">
        <v>492</v>
      </c>
      <c r="N67" s="1" t="s">
        <v>62</v>
      </c>
      <c r="O67" s="1" t="str">
        <f>INT(Matrice1!$P67/12) &amp; " ans et " &amp; MOD(Matrice1!$P67,12) &amp; " mois"</f>
        <v>8 ans et 8 mois</v>
      </c>
      <c r="P67">
        <v>104</v>
      </c>
      <c r="Q67" s="1" t="s">
        <v>14</v>
      </c>
      <c r="R67" s="4">
        <f>Matrice1!$S67/1440</f>
        <v>0.29236111111111113</v>
      </c>
      <c r="S67">
        <v>421</v>
      </c>
      <c r="T67">
        <v>26.24</v>
      </c>
      <c r="U67">
        <v>3</v>
      </c>
      <c r="V67" s="8">
        <f>IF(Matrice1!$Q67="Pro Monde",10%,IF(AND(Matrice1!$R67&gt;12,Matrice1!$O67&gt;5),70%,IF(AND(OR(Matrice1!$R67&gt;=4,Matrice1!$R67&lt;=12,Matrice1!$O67&lt;5,(OR(Matrice1!$Q67="Premium ")))),45%,0%)))</f>
        <v>0.1</v>
      </c>
      <c r="W67">
        <f>Matrice1!$T67* (Matrice1!$V67/100)</f>
        <v>2.6239999999999999E-2</v>
      </c>
    </row>
    <row r="68" spans="1:23" x14ac:dyDescent="0.3">
      <c r="A68" s="1" t="s">
        <v>805</v>
      </c>
      <c r="B68" s="2">
        <v>45213</v>
      </c>
      <c r="C68" s="3">
        <v>4.2361111111111113E-2</v>
      </c>
      <c r="D68" s="1" t="s">
        <v>814</v>
      </c>
      <c r="E68">
        <v>119</v>
      </c>
      <c r="F68" s="1" t="s">
        <v>810</v>
      </c>
      <c r="G68" s="1" t="s">
        <v>814</v>
      </c>
      <c r="H68" s="1" t="s">
        <v>62</v>
      </c>
      <c r="I68">
        <v>-2.8211520000000001</v>
      </c>
      <c r="J68">
        <v>20.651419000000001</v>
      </c>
      <c r="K68" s="1" t="s">
        <v>1495</v>
      </c>
      <c r="L68" s="1" t="s">
        <v>1496</v>
      </c>
      <c r="M68" s="1" t="s">
        <v>503</v>
      </c>
      <c r="N68" s="1" t="s">
        <v>62</v>
      </c>
      <c r="O68" s="1" t="str">
        <f>INT(Matrice1!$P68/12) &amp; " ans et " &amp; MOD(Matrice1!$P68,12) &amp; " mois"</f>
        <v>7 ans et 2 mois</v>
      </c>
      <c r="P68">
        <v>86</v>
      </c>
      <c r="Q68" s="1" t="s">
        <v>11</v>
      </c>
      <c r="R68" s="4">
        <f>Matrice1!$S68/1440</f>
        <v>1.8749999999999999E-2</v>
      </c>
      <c r="S68">
        <v>27</v>
      </c>
      <c r="T68">
        <v>84.94</v>
      </c>
      <c r="U68">
        <v>4</v>
      </c>
      <c r="V68" s="8">
        <f>IF(Matrice1!$Q68="Pro Monde",10%,IF(AND(Matrice1!$R68&gt;12,Matrice1!$O68&gt;5),70%,IF(AND(OR(Matrice1!$R68&gt;=4,Matrice1!$R68&lt;=12,Matrice1!$O68&lt;5,(OR(Matrice1!$Q68="Premium ")))),45%,0%)))</f>
        <v>0.45</v>
      </c>
      <c r="W68">
        <f>Matrice1!$T68* (Matrice1!$V68/100)</f>
        <v>0.38223000000000001</v>
      </c>
    </row>
    <row r="69" spans="1:23" x14ac:dyDescent="0.3">
      <c r="A69" s="1" t="s">
        <v>805</v>
      </c>
      <c r="B69" s="2">
        <v>45213</v>
      </c>
      <c r="C69" s="3">
        <v>4.2361111111111113E-2</v>
      </c>
      <c r="D69" s="1" t="s">
        <v>814</v>
      </c>
      <c r="E69">
        <v>119</v>
      </c>
      <c r="F69" s="1" t="s">
        <v>810</v>
      </c>
      <c r="G69" s="1" t="s">
        <v>814</v>
      </c>
      <c r="H69" s="1" t="s">
        <v>62</v>
      </c>
      <c r="I69">
        <v>-2.8211520000000001</v>
      </c>
      <c r="J69">
        <v>20.651419000000001</v>
      </c>
      <c r="K69" s="1" t="s">
        <v>1495</v>
      </c>
      <c r="L69" s="1" t="s">
        <v>1496</v>
      </c>
      <c r="M69" s="1" t="s">
        <v>540</v>
      </c>
      <c r="N69" s="1" t="s">
        <v>62</v>
      </c>
      <c r="O69" s="1" t="str">
        <f>INT(Matrice1!$P69/12) &amp; " ans et " &amp; MOD(Matrice1!$P69,12) &amp; " mois"</f>
        <v>8 ans et 9 mois</v>
      </c>
      <c r="P69">
        <v>105</v>
      </c>
      <c r="Q69" s="1" t="s">
        <v>22</v>
      </c>
      <c r="R69" s="4">
        <f>Matrice1!$S69/1440</f>
        <v>0.11944444444444445</v>
      </c>
      <c r="S69">
        <v>172</v>
      </c>
      <c r="T69">
        <v>15.88</v>
      </c>
      <c r="U69">
        <v>5</v>
      </c>
      <c r="V69" s="8">
        <f>IF(Matrice1!$Q69="Pro Monde",10%,IF(AND(Matrice1!$R69&gt;12,Matrice1!$O69&gt;5),70%,IF(AND(OR(Matrice1!$R69&gt;=4,Matrice1!$R69&lt;=12,Matrice1!$O69&lt;5,(OR(Matrice1!$Q69="Premium ")))),45%,0%)))</f>
        <v>0.45</v>
      </c>
      <c r="W69">
        <f>Matrice1!$T69* (Matrice1!$V69/100)</f>
        <v>7.146000000000001E-2</v>
      </c>
    </row>
    <row r="70" spans="1:23" x14ac:dyDescent="0.3">
      <c r="A70" s="1" t="s">
        <v>805</v>
      </c>
      <c r="B70" s="2">
        <v>45213</v>
      </c>
      <c r="C70" s="3">
        <v>4.2361111111111113E-2</v>
      </c>
      <c r="D70" s="1" t="s">
        <v>814</v>
      </c>
      <c r="E70">
        <v>119</v>
      </c>
      <c r="F70" s="1" t="s">
        <v>810</v>
      </c>
      <c r="G70" s="1" t="s">
        <v>814</v>
      </c>
      <c r="H70" s="1" t="s">
        <v>62</v>
      </c>
      <c r="I70">
        <v>-2.8211520000000001</v>
      </c>
      <c r="J70">
        <v>20.651419000000001</v>
      </c>
      <c r="K70" s="1" t="s">
        <v>1495</v>
      </c>
      <c r="L70" s="1" t="s">
        <v>1496</v>
      </c>
      <c r="M70" s="1" t="s">
        <v>568</v>
      </c>
      <c r="N70" s="1" t="s">
        <v>62</v>
      </c>
      <c r="O70" s="1" t="str">
        <f>INT(Matrice1!$P70/12) &amp; " ans et " &amp; MOD(Matrice1!$P70,12) &amp; " mois"</f>
        <v>9 ans et 11 mois</v>
      </c>
      <c r="P70">
        <v>119</v>
      </c>
      <c r="Q70" s="1" t="s">
        <v>22</v>
      </c>
      <c r="R70" s="4">
        <f>Matrice1!$S70/1440</f>
        <v>0.16041666666666668</v>
      </c>
      <c r="S70">
        <v>231</v>
      </c>
      <c r="T70">
        <v>20.22</v>
      </c>
      <c r="U70">
        <v>2</v>
      </c>
      <c r="V70" s="8">
        <f>IF(Matrice1!$Q70="Pro Monde",10%,IF(AND(Matrice1!$R70&gt;12,Matrice1!$O70&gt;5),70%,IF(AND(OR(Matrice1!$R70&gt;=4,Matrice1!$R70&lt;=12,Matrice1!$O70&lt;5,(OR(Matrice1!$Q70="Premium ")))),45%,0%)))</f>
        <v>0.45</v>
      </c>
      <c r="W70">
        <f>Matrice1!$T70* (Matrice1!$V70/100)</f>
        <v>9.0990000000000001E-2</v>
      </c>
    </row>
    <row r="71" spans="1:23" x14ac:dyDescent="0.3">
      <c r="A71" s="1" t="s">
        <v>854</v>
      </c>
      <c r="B71" s="2">
        <v>45213</v>
      </c>
      <c r="C71" s="3">
        <v>0.25416666666666665</v>
      </c>
      <c r="D71" s="1" t="s">
        <v>857</v>
      </c>
      <c r="E71">
        <v>73</v>
      </c>
      <c r="F71" s="1" t="s">
        <v>812</v>
      </c>
      <c r="G71" s="1" t="s">
        <v>857</v>
      </c>
      <c r="H71" s="1" t="s">
        <v>13</v>
      </c>
      <c r="I71">
        <v>-5.1030600000000002</v>
      </c>
      <c r="J71">
        <v>22.849231</v>
      </c>
      <c r="K71" s="1" t="s">
        <v>1495</v>
      </c>
      <c r="L71" s="1" t="s">
        <v>1501</v>
      </c>
      <c r="M71" s="1" t="s">
        <v>12</v>
      </c>
      <c r="N71" s="1" t="s">
        <v>13</v>
      </c>
      <c r="O71" s="1" t="str">
        <f>INT(Matrice1!$P71/12) &amp; " ans et " &amp; MOD(Matrice1!$P71,12) &amp; " mois"</f>
        <v>5 ans et 3 mois</v>
      </c>
      <c r="P71">
        <v>63</v>
      </c>
      <c r="Q71" s="1" t="s">
        <v>14</v>
      </c>
      <c r="R71" s="4">
        <f>Matrice1!$S71/1440</f>
        <v>0.1423611111111111</v>
      </c>
      <c r="S71">
        <v>205</v>
      </c>
      <c r="T71">
        <v>89.19</v>
      </c>
      <c r="U71">
        <v>0</v>
      </c>
      <c r="V71" s="8">
        <f>IF(Matrice1!$Q71="Pro Monde",10%,IF(AND(Matrice1!$R71&gt;12,Matrice1!$O71&gt;5),70%,IF(AND(OR(Matrice1!$R71&gt;=4,Matrice1!$R71&lt;=12,Matrice1!$O71&lt;5,(OR(Matrice1!$Q71="Premium ")))),45%,0%)))</f>
        <v>0.1</v>
      </c>
      <c r="W71">
        <f>Matrice1!$T71* (Matrice1!$V71/100)</f>
        <v>8.9190000000000005E-2</v>
      </c>
    </row>
    <row r="72" spans="1:23" x14ac:dyDescent="0.3">
      <c r="A72" s="1" t="s">
        <v>854</v>
      </c>
      <c r="B72" s="2">
        <v>45213</v>
      </c>
      <c r="C72" s="3">
        <v>0.25416666666666665</v>
      </c>
      <c r="D72" s="1" t="s">
        <v>857</v>
      </c>
      <c r="E72">
        <v>73</v>
      </c>
      <c r="F72" s="1" t="s">
        <v>812</v>
      </c>
      <c r="G72" s="1" t="s">
        <v>857</v>
      </c>
      <c r="H72" s="1" t="s">
        <v>13</v>
      </c>
      <c r="I72">
        <v>-5.1030600000000002</v>
      </c>
      <c r="J72">
        <v>22.849231</v>
      </c>
      <c r="K72" s="1" t="s">
        <v>1495</v>
      </c>
      <c r="L72" s="1" t="s">
        <v>1501</v>
      </c>
      <c r="M72" s="1" t="s">
        <v>41</v>
      </c>
      <c r="N72" s="1" t="s">
        <v>13</v>
      </c>
      <c r="O72" s="1" t="str">
        <f>INT(Matrice1!$P72/12) &amp; " ans et " &amp; MOD(Matrice1!$P72,12) &amp; " mois"</f>
        <v>7 ans et 5 mois</v>
      </c>
      <c r="P72">
        <v>89</v>
      </c>
      <c r="Q72" s="1" t="s">
        <v>11</v>
      </c>
      <c r="R72" s="4">
        <f>Matrice1!$S72/1440</f>
        <v>9.930555555555555E-2</v>
      </c>
      <c r="S72">
        <v>143</v>
      </c>
      <c r="T72">
        <v>48.05</v>
      </c>
      <c r="U72">
        <v>4</v>
      </c>
      <c r="V72" s="8">
        <f>IF(Matrice1!$Q72="Pro Monde",10%,IF(AND(Matrice1!$R72&gt;12,Matrice1!$O72&gt;5),70%,IF(AND(OR(Matrice1!$R72&gt;=4,Matrice1!$R72&lt;=12,Matrice1!$O72&lt;5,(OR(Matrice1!$Q72="Premium ")))),45%,0%)))</f>
        <v>0.45</v>
      </c>
      <c r="W72">
        <f>Matrice1!$T72* (Matrice1!$V72/100)</f>
        <v>0.216225</v>
      </c>
    </row>
    <row r="73" spans="1:23" x14ac:dyDescent="0.3">
      <c r="A73" s="1" t="s">
        <v>854</v>
      </c>
      <c r="B73" s="2">
        <v>45213</v>
      </c>
      <c r="C73" s="3">
        <v>0.25416666666666665</v>
      </c>
      <c r="D73" s="1" t="s">
        <v>857</v>
      </c>
      <c r="E73">
        <v>73</v>
      </c>
      <c r="F73" s="1" t="s">
        <v>812</v>
      </c>
      <c r="G73" s="1" t="s">
        <v>857</v>
      </c>
      <c r="H73" s="1" t="s">
        <v>13</v>
      </c>
      <c r="I73">
        <v>-5.1030600000000002</v>
      </c>
      <c r="J73">
        <v>22.849231</v>
      </c>
      <c r="K73" s="1" t="s">
        <v>1495</v>
      </c>
      <c r="L73" s="1" t="s">
        <v>1501</v>
      </c>
      <c r="M73" s="1" t="s">
        <v>69</v>
      </c>
      <c r="N73" s="1" t="s">
        <v>13</v>
      </c>
      <c r="O73" s="1" t="str">
        <f>INT(Matrice1!$P73/12) &amp; " ans et " &amp; MOD(Matrice1!$P73,12) &amp; " mois"</f>
        <v>1 ans et 2 mois</v>
      </c>
      <c r="P73">
        <v>14</v>
      </c>
      <c r="Q73" s="1" t="s">
        <v>19</v>
      </c>
      <c r="R73" s="4">
        <f>Matrice1!$S73/1440</f>
        <v>0.28819444444444442</v>
      </c>
      <c r="S73">
        <v>415</v>
      </c>
      <c r="T73">
        <v>36.93</v>
      </c>
      <c r="U73">
        <v>5</v>
      </c>
      <c r="V73" s="8">
        <f>IF(Matrice1!$Q73="Pro Monde",10%,IF(AND(Matrice1!$R73&gt;12,Matrice1!$O73&gt;5),70%,IF(AND(OR(Matrice1!$R73&gt;=4,Matrice1!$R73&lt;=12,Matrice1!$O73&lt;5,(OR(Matrice1!$Q73="Premium ")))),45%,0%)))</f>
        <v>0.45</v>
      </c>
      <c r="W73">
        <f>Matrice1!$T73* (Matrice1!$V73/100)</f>
        <v>0.16618500000000003</v>
      </c>
    </row>
    <row r="74" spans="1:23" x14ac:dyDescent="0.3">
      <c r="A74" s="1" t="s">
        <v>854</v>
      </c>
      <c r="B74" s="2">
        <v>45213</v>
      </c>
      <c r="C74" s="3">
        <v>0.25416666666666665</v>
      </c>
      <c r="D74" s="1" t="s">
        <v>857</v>
      </c>
      <c r="E74">
        <v>73</v>
      </c>
      <c r="F74" s="1" t="s">
        <v>812</v>
      </c>
      <c r="G74" s="1" t="s">
        <v>857</v>
      </c>
      <c r="H74" s="1" t="s">
        <v>13</v>
      </c>
      <c r="I74">
        <v>-5.1030600000000002</v>
      </c>
      <c r="J74">
        <v>22.849231</v>
      </c>
      <c r="K74" s="1" t="s">
        <v>1495</v>
      </c>
      <c r="L74" s="1" t="s">
        <v>1501</v>
      </c>
      <c r="M74" s="1" t="s">
        <v>166</v>
      </c>
      <c r="N74" s="1" t="s">
        <v>13</v>
      </c>
      <c r="O74" s="1" t="str">
        <f>INT(Matrice1!$P74/12) &amp; " ans et " &amp; MOD(Matrice1!$P74,12) &amp; " mois"</f>
        <v>3 ans et 11 mois</v>
      </c>
      <c r="P74">
        <v>47</v>
      </c>
      <c r="Q74" s="1" t="s">
        <v>19</v>
      </c>
      <c r="R74" s="4">
        <f>Matrice1!$S74/1440</f>
        <v>6.805555555555555E-2</v>
      </c>
      <c r="S74">
        <v>98</v>
      </c>
      <c r="T74">
        <v>16.16</v>
      </c>
      <c r="U74">
        <v>5</v>
      </c>
      <c r="V74" s="8">
        <f>IF(Matrice1!$Q74="Pro Monde",10%,IF(AND(Matrice1!$R74&gt;12,Matrice1!$O74&gt;5),70%,IF(AND(OR(Matrice1!$R74&gt;=4,Matrice1!$R74&lt;=12,Matrice1!$O74&lt;5,(OR(Matrice1!$Q74="Premium ")))),45%,0%)))</f>
        <v>0.45</v>
      </c>
      <c r="W74">
        <f>Matrice1!$T74* (Matrice1!$V74/100)</f>
        <v>7.2720000000000007E-2</v>
      </c>
    </row>
    <row r="75" spans="1:23" x14ac:dyDescent="0.3">
      <c r="A75" s="1" t="s">
        <v>854</v>
      </c>
      <c r="B75" s="2">
        <v>45213</v>
      </c>
      <c r="C75" s="3">
        <v>0.25416666666666665</v>
      </c>
      <c r="D75" s="1" t="s">
        <v>857</v>
      </c>
      <c r="E75">
        <v>73</v>
      </c>
      <c r="F75" s="1" t="s">
        <v>812</v>
      </c>
      <c r="G75" s="1" t="s">
        <v>857</v>
      </c>
      <c r="H75" s="1" t="s">
        <v>13</v>
      </c>
      <c r="I75">
        <v>-5.1030600000000002</v>
      </c>
      <c r="J75">
        <v>22.849231</v>
      </c>
      <c r="K75" s="1" t="s">
        <v>1495</v>
      </c>
      <c r="L75" s="1" t="s">
        <v>1501</v>
      </c>
      <c r="M75" s="1" t="s">
        <v>169</v>
      </c>
      <c r="N75" s="1" t="s">
        <v>13</v>
      </c>
      <c r="O75" s="1" t="str">
        <f>INT(Matrice1!$P75/12) &amp; " ans et " &amp; MOD(Matrice1!$P75,12) &amp; " mois"</f>
        <v>0 ans et 6 mois</v>
      </c>
      <c r="P75">
        <v>6</v>
      </c>
      <c r="Q75" s="1" t="s">
        <v>19</v>
      </c>
      <c r="R75" s="4">
        <f>Matrice1!$S75/1440</f>
        <v>4.1666666666666666E-3</v>
      </c>
      <c r="S75">
        <v>6</v>
      </c>
      <c r="T75">
        <v>72.27</v>
      </c>
      <c r="U75">
        <v>4</v>
      </c>
      <c r="V75" s="8">
        <f>IF(Matrice1!$Q75="Pro Monde",10%,IF(AND(Matrice1!$R75&gt;12,Matrice1!$O75&gt;5),70%,IF(AND(OR(Matrice1!$R75&gt;=4,Matrice1!$R75&lt;=12,Matrice1!$O75&lt;5,(OR(Matrice1!$Q75="Premium ")))),45%,0%)))</f>
        <v>0.45</v>
      </c>
      <c r="W75">
        <f>Matrice1!$T75* (Matrice1!$V75/100)</f>
        <v>0.32521500000000003</v>
      </c>
    </row>
    <row r="76" spans="1:23" x14ac:dyDescent="0.3">
      <c r="A76" s="1" t="s">
        <v>854</v>
      </c>
      <c r="B76" s="2">
        <v>45213</v>
      </c>
      <c r="C76" s="3">
        <v>0.25416666666666665</v>
      </c>
      <c r="D76" s="1" t="s">
        <v>857</v>
      </c>
      <c r="E76">
        <v>73</v>
      </c>
      <c r="F76" s="1" t="s">
        <v>812</v>
      </c>
      <c r="G76" s="1" t="s">
        <v>857</v>
      </c>
      <c r="H76" s="1" t="s">
        <v>13</v>
      </c>
      <c r="I76">
        <v>-5.1030600000000002</v>
      </c>
      <c r="J76">
        <v>22.849231</v>
      </c>
      <c r="K76" s="1" t="s">
        <v>1495</v>
      </c>
      <c r="L76" s="1" t="s">
        <v>1501</v>
      </c>
      <c r="M76" s="1" t="s">
        <v>170</v>
      </c>
      <c r="N76" s="1" t="s">
        <v>13</v>
      </c>
      <c r="O76" s="1" t="str">
        <f>INT(Matrice1!$P76/12) &amp; " ans et " &amp; MOD(Matrice1!$P76,12) &amp; " mois"</f>
        <v>9 ans et 6 mois</v>
      </c>
      <c r="P76">
        <v>114</v>
      </c>
      <c r="Q76" s="1" t="s">
        <v>19</v>
      </c>
      <c r="R76" s="4">
        <f>Matrice1!$S76/1440</f>
        <v>0.21111111111111111</v>
      </c>
      <c r="S76">
        <v>304</v>
      </c>
      <c r="T76">
        <v>52.07</v>
      </c>
      <c r="U76">
        <v>1</v>
      </c>
      <c r="V76" s="8">
        <f>IF(Matrice1!$Q76="Pro Monde",10%,IF(AND(Matrice1!$R76&gt;12,Matrice1!$O76&gt;5),70%,IF(AND(OR(Matrice1!$R76&gt;=4,Matrice1!$R76&lt;=12,Matrice1!$O76&lt;5,(OR(Matrice1!$Q76="Premium ")))),45%,0%)))</f>
        <v>0.45</v>
      </c>
      <c r="W76">
        <f>Matrice1!$T76* (Matrice1!$V76/100)</f>
        <v>0.23431500000000002</v>
      </c>
    </row>
    <row r="77" spans="1:23" x14ac:dyDescent="0.3">
      <c r="A77" s="1" t="s">
        <v>854</v>
      </c>
      <c r="B77" s="2">
        <v>45213</v>
      </c>
      <c r="C77" s="3">
        <v>0.25416666666666665</v>
      </c>
      <c r="D77" s="1" t="s">
        <v>857</v>
      </c>
      <c r="E77">
        <v>73</v>
      </c>
      <c r="F77" s="1" t="s">
        <v>812</v>
      </c>
      <c r="G77" s="1" t="s">
        <v>857</v>
      </c>
      <c r="H77" s="1" t="s">
        <v>13</v>
      </c>
      <c r="I77">
        <v>-5.1030600000000002</v>
      </c>
      <c r="J77">
        <v>22.849231</v>
      </c>
      <c r="K77" s="1" t="s">
        <v>1495</v>
      </c>
      <c r="L77" s="1" t="s">
        <v>1501</v>
      </c>
      <c r="M77" s="1" t="s">
        <v>187</v>
      </c>
      <c r="N77" s="1" t="s">
        <v>13</v>
      </c>
      <c r="O77" s="1" t="str">
        <f>INT(Matrice1!$P77/12) &amp; " ans et " &amp; MOD(Matrice1!$P77,12) &amp; " mois"</f>
        <v>0 ans et 4 mois</v>
      </c>
      <c r="P77">
        <v>4</v>
      </c>
      <c r="Q77" s="1" t="s">
        <v>19</v>
      </c>
      <c r="R77" s="4">
        <f>Matrice1!$S77/1440</f>
        <v>0.15763888888888888</v>
      </c>
      <c r="S77">
        <v>227</v>
      </c>
      <c r="T77">
        <v>83.32</v>
      </c>
      <c r="U77">
        <v>2</v>
      </c>
      <c r="V77" s="8">
        <f>IF(Matrice1!$Q77="Pro Monde",10%,IF(AND(Matrice1!$R77&gt;12,Matrice1!$O77&gt;5),70%,IF(AND(OR(Matrice1!$R77&gt;=4,Matrice1!$R77&lt;=12,Matrice1!$O77&lt;5,(OR(Matrice1!$Q77="Premium ")))),45%,0%)))</f>
        <v>0.45</v>
      </c>
      <c r="W77">
        <f>Matrice1!$T77* (Matrice1!$V77/100)</f>
        <v>0.37494</v>
      </c>
    </row>
    <row r="78" spans="1:23" x14ac:dyDescent="0.3">
      <c r="A78" s="1" t="s">
        <v>854</v>
      </c>
      <c r="B78" s="2">
        <v>45213</v>
      </c>
      <c r="C78" s="3">
        <v>0.25416666666666665</v>
      </c>
      <c r="D78" s="1" t="s">
        <v>857</v>
      </c>
      <c r="E78">
        <v>73</v>
      </c>
      <c r="F78" s="1" t="s">
        <v>812</v>
      </c>
      <c r="G78" s="1" t="s">
        <v>857</v>
      </c>
      <c r="H78" s="1" t="s">
        <v>13</v>
      </c>
      <c r="I78">
        <v>-5.1030600000000002</v>
      </c>
      <c r="J78">
        <v>22.849231</v>
      </c>
      <c r="K78" s="1" t="s">
        <v>1495</v>
      </c>
      <c r="L78" s="1" t="s">
        <v>1501</v>
      </c>
      <c r="M78" s="1" t="s">
        <v>235</v>
      </c>
      <c r="N78" s="1" t="s">
        <v>13</v>
      </c>
      <c r="O78" s="1" t="str">
        <f>INT(Matrice1!$P78/12) &amp; " ans et " &amp; MOD(Matrice1!$P78,12) &amp; " mois"</f>
        <v>9 ans et 0 mois</v>
      </c>
      <c r="P78">
        <v>108</v>
      </c>
      <c r="Q78" s="1" t="s">
        <v>11</v>
      </c>
      <c r="R78" s="4">
        <f>Matrice1!$S78/1440</f>
        <v>0.15972222222222221</v>
      </c>
      <c r="S78">
        <v>230</v>
      </c>
      <c r="T78">
        <v>16.3</v>
      </c>
      <c r="U78">
        <v>5</v>
      </c>
      <c r="V78" s="8">
        <f>IF(Matrice1!$Q78="Pro Monde",10%,IF(AND(Matrice1!$R78&gt;12,Matrice1!$O78&gt;5),70%,IF(AND(OR(Matrice1!$R78&gt;=4,Matrice1!$R78&lt;=12,Matrice1!$O78&lt;5,(OR(Matrice1!$Q78="Premium ")))),45%,0%)))</f>
        <v>0.45</v>
      </c>
      <c r="W78">
        <f>Matrice1!$T78* (Matrice1!$V78/100)</f>
        <v>7.3350000000000012E-2</v>
      </c>
    </row>
    <row r="79" spans="1:23" x14ac:dyDescent="0.3">
      <c r="A79" s="1" t="s">
        <v>854</v>
      </c>
      <c r="B79" s="2">
        <v>45213</v>
      </c>
      <c r="C79" s="3">
        <v>0.25416666666666665</v>
      </c>
      <c r="D79" s="1" t="s">
        <v>857</v>
      </c>
      <c r="E79">
        <v>73</v>
      </c>
      <c r="F79" s="1" t="s">
        <v>812</v>
      </c>
      <c r="G79" s="1" t="s">
        <v>857</v>
      </c>
      <c r="H79" s="1" t="s">
        <v>13</v>
      </c>
      <c r="I79">
        <v>-5.1030600000000002</v>
      </c>
      <c r="J79">
        <v>22.849231</v>
      </c>
      <c r="K79" s="1" t="s">
        <v>1495</v>
      </c>
      <c r="L79" s="1" t="s">
        <v>1501</v>
      </c>
      <c r="M79" s="1" t="s">
        <v>255</v>
      </c>
      <c r="N79" s="1" t="s">
        <v>13</v>
      </c>
      <c r="O79" s="1" t="str">
        <f>INT(Matrice1!$P79/12) &amp; " ans et " &amp; MOD(Matrice1!$P79,12) &amp; " mois"</f>
        <v>8 ans et 0 mois</v>
      </c>
      <c r="P79">
        <v>96</v>
      </c>
      <c r="Q79" s="1" t="s">
        <v>22</v>
      </c>
      <c r="R79" s="4">
        <f>Matrice1!$S79/1440</f>
        <v>7.4999999999999997E-2</v>
      </c>
      <c r="S79">
        <v>108</v>
      </c>
      <c r="T79">
        <v>30.92</v>
      </c>
      <c r="U79">
        <v>1</v>
      </c>
      <c r="V79" s="8">
        <f>IF(Matrice1!$Q79="Pro Monde",10%,IF(AND(Matrice1!$R79&gt;12,Matrice1!$O79&gt;5),70%,IF(AND(OR(Matrice1!$R79&gt;=4,Matrice1!$R79&lt;=12,Matrice1!$O79&lt;5,(OR(Matrice1!$Q79="Premium ")))),45%,0%)))</f>
        <v>0.45</v>
      </c>
      <c r="W79">
        <f>Matrice1!$T79* (Matrice1!$V79/100)</f>
        <v>0.13914000000000001</v>
      </c>
    </row>
    <row r="80" spans="1:23" x14ac:dyDescent="0.3">
      <c r="A80" s="1" t="s">
        <v>854</v>
      </c>
      <c r="B80" s="2">
        <v>45213</v>
      </c>
      <c r="C80" s="3">
        <v>0.25416666666666665</v>
      </c>
      <c r="D80" s="1" t="s">
        <v>857</v>
      </c>
      <c r="E80">
        <v>73</v>
      </c>
      <c r="F80" s="1" t="s">
        <v>812</v>
      </c>
      <c r="G80" s="1" t="s">
        <v>857</v>
      </c>
      <c r="H80" s="1" t="s">
        <v>13</v>
      </c>
      <c r="I80">
        <v>-5.1030600000000002</v>
      </c>
      <c r="J80">
        <v>22.849231</v>
      </c>
      <c r="K80" s="1" t="s">
        <v>1495</v>
      </c>
      <c r="L80" s="1" t="s">
        <v>1501</v>
      </c>
      <c r="M80" s="1" t="s">
        <v>269</v>
      </c>
      <c r="N80" s="1" t="s">
        <v>13</v>
      </c>
      <c r="O80" s="1" t="str">
        <f>INT(Matrice1!$P80/12) &amp; " ans et " &amp; MOD(Matrice1!$P80,12) &amp; " mois"</f>
        <v>8 ans et 0 mois</v>
      </c>
      <c r="P80">
        <v>96</v>
      </c>
      <c r="Q80" s="1" t="s">
        <v>22</v>
      </c>
      <c r="R80" s="4">
        <f>Matrice1!$S80/1440</f>
        <v>0.14583333333333334</v>
      </c>
      <c r="S80">
        <v>210</v>
      </c>
      <c r="T80">
        <v>28.39</v>
      </c>
      <c r="U80">
        <v>3</v>
      </c>
      <c r="V80" s="8">
        <f>IF(Matrice1!$Q80="Pro Monde",10%,IF(AND(Matrice1!$R80&gt;12,Matrice1!$O80&gt;5),70%,IF(AND(OR(Matrice1!$R80&gt;=4,Matrice1!$R80&lt;=12,Matrice1!$O80&lt;5,(OR(Matrice1!$Q80="Premium ")))),45%,0%)))</f>
        <v>0.45</v>
      </c>
      <c r="W80">
        <f>Matrice1!$T80* (Matrice1!$V80/100)</f>
        <v>0.12775500000000001</v>
      </c>
    </row>
    <row r="81" spans="1:23" x14ac:dyDescent="0.3">
      <c r="A81" s="1" t="s">
        <v>854</v>
      </c>
      <c r="B81" s="2">
        <v>45213</v>
      </c>
      <c r="C81" s="3">
        <v>0.25416666666666665</v>
      </c>
      <c r="D81" s="1" t="s">
        <v>857</v>
      </c>
      <c r="E81">
        <v>73</v>
      </c>
      <c r="F81" s="1" t="s">
        <v>812</v>
      </c>
      <c r="G81" s="1" t="s">
        <v>857</v>
      </c>
      <c r="H81" s="1" t="s">
        <v>13</v>
      </c>
      <c r="I81">
        <v>-5.1030600000000002</v>
      </c>
      <c r="J81">
        <v>22.849231</v>
      </c>
      <c r="K81" s="1" t="s">
        <v>1495</v>
      </c>
      <c r="L81" s="1" t="s">
        <v>1501</v>
      </c>
      <c r="M81" s="1" t="s">
        <v>402</v>
      </c>
      <c r="N81" s="1" t="s">
        <v>13</v>
      </c>
      <c r="O81" s="1" t="str">
        <f>INT(Matrice1!$P81/12) &amp; " ans et " &amp; MOD(Matrice1!$P81,12) &amp; " mois"</f>
        <v>8 ans et 7 mois</v>
      </c>
      <c r="P81">
        <v>103</v>
      </c>
      <c r="Q81" s="1" t="s">
        <v>14</v>
      </c>
      <c r="R81" s="4">
        <f>Matrice1!$S81/1440</f>
        <v>0.1875</v>
      </c>
      <c r="S81">
        <v>270</v>
      </c>
      <c r="T81">
        <v>67.87</v>
      </c>
      <c r="U81">
        <v>3</v>
      </c>
      <c r="V81" s="8">
        <f>IF(Matrice1!$Q81="Pro Monde",10%,IF(AND(Matrice1!$R81&gt;12,Matrice1!$O81&gt;5),70%,IF(AND(OR(Matrice1!$R81&gt;=4,Matrice1!$R81&lt;=12,Matrice1!$O81&lt;5,(OR(Matrice1!$Q81="Premium ")))),45%,0%)))</f>
        <v>0.1</v>
      </c>
      <c r="W81">
        <f>Matrice1!$T81* (Matrice1!$V81/100)</f>
        <v>6.787E-2</v>
      </c>
    </row>
    <row r="82" spans="1:23" x14ac:dyDescent="0.3">
      <c r="A82" s="1" t="s">
        <v>854</v>
      </c>
      <c r="B82" s="2">
        <v>45213</v>
      </c>
      <c r="C82" s="3">
        <v>0.25416666666666665</v>
      </c>
      <c r="D82" s="1" t="s">
        <v>857</v>
      </c>
      <c r="E82">
        <v>73</v>
      </c>
      <c r="F82" s="1" t="s">
        <v>812</v>
      </c>
      <c r="G82" s="1" t="s">
        <v>857</v>
      </c>
      <c r="H82" s="1" t="s">
        <v>13</v>
      </c>
      <c r="I82">
        <v>-5.1030600000000002</v>
      </c>
      <c r="J82">
        <v>22.849231</v>
      </c>
      <c r="K82" s="1" t="s">
        <v>1495</v>
      </c>
      <c r="L82" s="1" t="s">
        <v>1501</v>
      </c>
      <c r="M82" s="1" t="s">
        <v>419</v>
      </c>
      <c r="N82" s="1" t="s">
        <v>13</v>
      </c>
      <c r="O82" s="1" t="str">
        <f>INT(Matrice1!$P82/12) &amp; " ans et " &amp; MOD(Matrice1!$P82,12) &amp; " mois"</f>
        <v>6 ans et 4 mois</v>
      </c>
      <c r="P82">
        <v>76</v>
      </c>
      <c r="Q82" s="1" t="s">
        <v>11</v>
      </c>
      <c r="R82" s="4">
        <f>Matrice1!$S82/1440</f>
        <v>0.12986111111111112</v>
      </c>
      <c r="S82">
        <v>187</v>
      </c>
      <c r="T82">
        <v>56.29</v>
      </c>
      <c r="U82">
        <v>1</v>
      </c>
      <c r="V82" s="8">
        <f>IF(Matrice1!$Q82="Pro Monde",10%,IF(AND(Matrice1!$R82&gt;12,Matrice1!$O82&gt;5),70%,IF(AND(OR(Matrice1!$R82&gt;=4,Matrice1!$R82&lt;=12,Matrice1!$O82&lt;5,(OR(Matrice1!$Q82="Premium ")))),45%,0%)))</f>
        <v>0.45</v>
      </c>
      <c r="W82">
        <f>Matrice1!$T82* (Matrice1!$V82/100)</f>
        <v>0.253305</v>
      </c>
    </row>
    <row r="83" spans="1:23" x14ac:dyDescent="0.3">
      <c r="A83" s="1" t="s">
        <v>854</v>
      </c>
      <c r="B83" s="2">
        <v>45213</v>
      </c>
      <c r="C83" s="3">
        <v>0.25416666666666665</v>
      </c>
      <c r="D83" s="1" t="s">
        <v>857</v>
      </c>
      <c r="E83">
        <v>73</v>
      </c>
      <c r="F83" s="1" t="s">
        <v>812</v>
      </c>
      <c r="G83" s="1" t="s">
        <v>857</v>
      </c>
      <c r="H83" s="1" t="s">
        <v>13</v>
      </c>
      <c r="I83">
        <v>-5.1030600000000002</v>
      </c>
      <c r="J83">
        <v>22.849231</v>
      </c>
      <c r="K83" s="1" t="s">
        <v>1495</v>
      </c>
      <c r="L83" s="1" t="s">
        <v>1501</v>
      </c>
      <c r="M83" s="1" t="s">
        <v>438</v>
      </c>
      <c r="N83" s="1" t="s">
        <v>13</v>
      </c>
      <c r="O83" s="1" t="str">
        <f>INT(Matrice1!$P83/12) &amp; " ans et " &amp; MOD(Matrice1!$P83,12) &amp; " mois"</f>
        <v>8 ans et 1 mois</v>
      </c>
      <c r="P83">
        <v>97</v>
      </c>
      <c r="Q83" s="1" t="s">
        <v>14</v>
      </c>
      <c r="R83" s="4">
        <f>Matrice1!$S83/1440</f>
        <v>0.19166666666666668</v>
      </c>
      <c r="S83">
        <v>276</v>
      </c>
      <c r="T83">
        <v>88.35</v>
      </c>
      <c r="U83">
        <v>0</v>
      </c>
      <c r="V83" s="8">
        <f>IF(Matrice1!$Q83="Pro Monde",10%,IF(AND(Matrice1!$R83&gt;12,Matrice1!$O83&gt;5),70%,IF(AND(OR(Matrice1!$R83&gt;=4,Matrice1!$R83&lt;=12,Matrice1!$O83&lt;5,(OR(Matrice1!$Q83="Premium ")))),45%,0%)))</f>
        <v>0.1</v>
      </c>
      <c r="W83">
        <f>Matrice1!$T83* (Matrice1!$V83/100)</f>
        <v>8.8349999999999998E-2</v>
      </c>
    </row>
    <row r="84" spans="1:23" x14ac:dyDescent="0.3">
      <c r="A84" s="1" t="s">
        <v>854</v>
      </c>
      <c r="B84" s="2">
        <v>45213</v>
      </c>
      <c r="C84" s="3">
        <v>0.25416666666666665</v>
      </c>
      <c r="D84" s="1" t="s">
        <v>857</v>
      </c>
      <c r="E84">
        <v>73</v>
      </c>
      <c r="F84" s="1" t="s">
        <v>812</v>
      </c>
      <c r="G84" s="1" t="s">
        <v>857</v>
      </c>
      <c r="H84" s="1" t="s">
        <v>13</v>
      </c>
      <c r="I84">
        <v>-5.1030600000000002</v>
      </c>
      <c r="J84">
        <v>22.849231</v>
      </c>
      <c r="K84" s="1" t="s">
        <v>1495</v>
      </c>
      <c r="L84" s="1" t="s">
        <v>1501</v>
      </c>
      <c r="M84" s="1" t="s">
        <v>449</v>
      </c>
      <c r="N84" s="1" t="s">
        <v>13</v>
      </c>
      <c r="O84" s="1" t="str">
        <f>INT(Matrice1!$P84/12) &amp; " ans et " &amp; MOD(Matrice1!$P84,12) &amp; " mois"</f>
        <v>2 ans et 11 mois</v>
      </c>
      <c r="P84">
        <v>35</v>
      </c>
      <c r="Q84" s="1" t="s">
        <v>14</v>
      </c>
      <c r="R84" s="4">
        <f>Matrice1!$S84/1440</f>
        <v>0.20277777777777778</v>
      </c>
      <c r="S84">
        <v>292</v>
      </c>
      <c r="T84">
        <v>39.21</v>
      </c>
      <c r="U84">
        <v>1</v>
      </c>
      <c r="V84" s="8">
        <f>IF(Matrice1!$Q84="Pro Monde",10%,IF(AND(Matrice1!$R84&gt;12,Matrice1!$O84&gt;5),70%,IF(AND(OR(Matrice1!$R84&gt;=4,Matrice1!$R84&lt;=12,Matrice1!$O84&lt;5,(OR(Matrice1!$Q84="Premium ")))),45%,0%)))</f>
        <v>0.1</v>
      </c>
      <c r="W84">
        <f>Matrice1!$T84* (Matrice1!$V84/100)</f>
        <v>3.9210000000000002E-2</v>
      </c>
    </row>
    <row r="85" spans="1:23" x14ac:dyDescent="0.3">
      <c r="A85" s="1" t="s">
        <v>854</v>
      </c>
      <c r="B85" s="2">
        <v>45213</v>
      </c>
      <c r="C85" s="3">
        <v>0.25416666666666665</v>
      </c>
      <c r="D85" s="1" t="s">
        <v>857</v>
      </c>
      <c r="E85">
        <v>73</v>
      </c>
      <c r="F85" s="1" t="s">
        <v>812</v>
      </c>
      <c r="G85" s="1" t="s">
        <v>857</v>
      </c>
      <c r="H85" s="1" t="s">
        <v>13</v>
      </c>
      <c r="I85">
        <v>-5.1030600000000002</v>
      </c>
      <c r="J85">
        <v>22.849231</v>
      </c>
      <c r="K85" s="1" t="s">
        <v>1495</v>
      </c>
      <c r="L85" s="1" t="s">
        <v>1501</v>
      </c>
      <c r="M85" s="1" t="s">
        <v>522</v>
      </c>
      <c r="N85" s="1" t="s">
        <v>13</v>
      </c>
      <c r="O85" s="1" t="str">
        <f>INT(Matrice1!$P85/12) &amp; " ans et " &amp; MOD(Matrice1!$P85,12) &amp; " mois"</f>
        <v>8 ans et 7 mois</v>
      </c>
      <c r="P85">
        <v>103</v>
      </c>
      <c r="Q85" s="1" t="s">
        <v>22</v>
      </c>
      <c r="R85" s="4">
        <f>Matrice1!$S85/1440</f>
        <v>0.20208333333333334</v>
      </c>
      <c r="S85">
        <v>291</v>
      </c>
      <c r="T85">
        <v>60.34</v>
      </c>
      <c r="U85">
        <v>5</v>
      </c>
      <c r="V85" s="8">
        <f>IF(Matrice1!$Q85="Pro Monde",10%,IF(AND(Matrice1!$R85&gt;12,Matrice1!$O85&gt;5),70%,IF(AND(OR(Matrice1!$R85&gt;=4,Matrice1!$R85&lt;=12,Matrice1!$O85&lt;5,(OR(Matrice1!$Q85="Premium ")))),45%,0%)))</f>
        <v>0.45</v>
      </c>
      <c r="W85">
        <f>Matrice1!$T85* (Matrice1!$V85/100)</f>
        <v>0.27153000000000005</v>
      </c>
    </row>
    <row r="86" spans="1:23" x14ac:dyDescent="0.3">
      <c r="A86" s="1" t="s">
        <v>854</v>
      </c>
      <c r="B86" s="2">
        <v>45213</v>
      </c>
      <c r="C86" s="3">
        <v>0.25416666666666665</v>
      </c>
      <c r="D86" s="1" t="s">
        <v>857</v>
      </c>
      <c r="E86">
        <v>73</v>
      </c>
      <c r="F86" s="1" t="s">
        <v>812</v>
      </c>
      <c r="G86" s="1" t="s">
        <v>857</v>
      </c>
      <c r="H86" s="1" t="s">
        <v>13</v>
      </c>
      <c r="I86">
        <v>-5.1030600000000002</v>
      </c>
      <c r="J86">
        <v>22.849231</v>
      </c>
      <c r="K86" s="1" t="s">
        <v>1495</v>
      </c>
      <c r="L86" s="1" t="s">
        <v>1501</v>
      </c>
      <c r="M86" s="1" t="s">
        <v>524</v>
      </c>
      <c r="N86" s="1" t="s">
        <v>13</v>
      </c>
      <c r="O86" s="1" t="str">
        <f>INT(Matrice1!$P86/12) &amp; " ans et " &amp; MOD(Matrice1!$P86,12) &amp; " mois"</f>
        <v>8 ans et 5 mois</v>
      </c>
      <c r="P86">
        <v>101</v>
      </c>
      <c r="Q86" s="1" t="s">
        <v>19</v>
      </c>
      <c r="R86" s="4">
        <f>Matrice1!$S86/1440</f>
        <v>0.28888888888888886</v>
      </c>
      <c r="S86">
        <v>416</v>
      </c>
      <c r="T86">
        <v>83.49</v>
      </c>
      <c r="U86">
        <v>2</v>
      </c>
      <c r="V86" s="8">
        <f>IF(Matrice1!$Q86="Pro Monde",10%,IF(AND(Matrice1!$R86&gt;12,Matrice1!$O86&gt;5),70%,IF(AND(OR(Matrice1!$R86&gt;=4,Matrice1!$R86&lt;=12,Matrice1!$O86&lt;5,(OR(Matrice1!$Q86="Premium ")))),45%,0%)))</f>
        <v>0.45</v>
      </c>
      <c r="W86">
        <f>Matrice1!$T86* (Matrice1!$V86/100)</f>
        <v>0.37570500000000001</v>
      </c>
    </row>
    <row r="87" spans="1:23" x14ac:dyDescent="0.3">
      <c r="A87" s="1" t="s">
        <v>854</v>
      </c>
      <c r="B87" s="2">
        <v>45213</v>
      </c>
      <c r="C87" s="3">
        <v>0.25416666666666665</v>
      </c>
      <c r="D87" s="1" t="s">
        <v>857</v>
      </c>
      <c r="E87">
        <v>73</v>
      </c>
      <c r="F87" s="1" t="s">
        <v>812</v>
      </c>
      <c r="G87" s="1" t="s">
        <v>857</v>
      </c>
      <c r="H87" s="1" t="s">
        <v>13</v>
      </c>
      <c r="I87">
        <v>-5.1030600000000002</v>
      </c>
      <c r="J87">
        <v>22.849231</v>
      </c>
      <c r="K87" s="1" t="s">
        <v>1495</v>
      </c>
      <c r="L87" s="1" t="s">
        <v>1501</v>
      </c>
      <c r="M87" s="1" t="s">
        <v>571</v>
      </c>
      <c r="N87" s="1" t="s">
        <v>13</v>
      </c>
      <c r="O87" s="1" t="str">
        <f>INT(Matrice1!$P87/12) &amp; " ans et " &amp; MOD(Matrice1!$P87,12) &amp; " mois"</f>
        <v>6 ans et 1 mois</v>
      </c>
      <c r="P87">
        <v>73</v>
      </c>
      <c r="Q87" s="1" t="s">
        <v>14</v>
      </c>
      <c r="R87" s="4">
        <f>Matrice1!$S87/1440</f>
        <v>0.18611111111111112</v>
      </c>
      <c r="S87">
        <v>268</v>
      </c>
      <c r="T87">
        <v>56.86</v>
      </c>
      <c r="U87">
        <v>5</v>
      </c>
      <c r="V87" s="8">
        <f>IF(Matrice1!$Q87="Pro Monde",10%,IF(AND(Matrice1!$R87&gt;12,Matrice1!$O87&gt;5),70%,IF(AND(OR(Matrice1!$R87&gt;=4,Matrice1!$R87&lt;=12,Matrice1!$O87&lt;5,(OR(Matrice1!$Q87="Premium ")))),45%,0%)))</f>
        <v>0.1</v>
      </c>
      <c r="W87">
        <f>Matrice1!$T87* (Matrice1!$V87/100)</f>
        <v>5.6860000000000001E-2</v>
      </c>
    </row>
    <row r="88" spans="1:23" x14ac:dyDescent="0.3">
      <c r="A88" s="1" t="s">
        <v>805</v>
      </c>
      <c r="B88" s="2">
        <v>45202</v>
      </c>
      <c r="C88" s="3">
        <v>0.25972222222222224</v>
      </c>
      <c r="D88" s="1" t="s">
        <v>815</v>
      </c>
      <c r="E88">
        <v>79</v>
      </c>
      <c r="F88" s="1" t="s">
        <v>807</v>
      </c>
      <c r="G88" s="1" t="s">
        <v>815</v>
      </c>
      <c r="H88" s="1" t="s">
        <v>33</v>
      </c>
      <c r="I88">
        <v>-1.648264</v>
      </c>
      <c r="J88">
        <v>28.866143999999998</v>
      </c>
      <c r="K88" s="1" t="s">
        <v>1495</v>
      </c>
      <c r="L88" s="1" t="s">
        <v>1496</v>
      </c>
      <c r="M88" s="1" t="s">
        <v>32</v>
      </c>
      <c r="N88" s="1" t="s">
        <v>33</v>
      </c>
      <c r="O88" s="1" t="str">
        <f>INT(Matrice1!$P88/12) &amp; " ans et " &amp; MOD(Matrice1!$P88,12) &amp; " mois"</f>
        <v>6 ans et 0 mois</v>
      </c>
      <c r="P88">
        <v>72</v>
      </c>
      <c r="Q88" s="1" t="s">
        <v>14</v>
      </c>
      <c r="R88" s="4">
        <f>Matrice1!$S88/1440</f>
        <v>0.1111111111111111</v>
      </c>
      <c r="S88">
        <v>160</v>
      </c>
      <c r="T88">
        <v>90.13</v>
      </c>
      <c r="U88">
        <v>2</v>
      </c>
      <c r="V88" s="8">
        <f>IF(Matrice1!$Q88="Pro Monde",10%,IF(AND(Matrice1!$R88&gt;12,Matrice1!$O88&gt;5),70%,IF(AND(OR(Matrice1!$R88&gt;=4,Matrice1!$R88&lt;=12,Matrice1!$O88&lt;5,(OR(Matrice1!$Q88="Premium ")))),45%,0%)))</f>
        <v>0.1</v>
      </c>
      <c r="W88">
        <f>Matrice1!$T88* (Matrice1!$V88/100)</f>
        <v>9.0130000000000002E-2</v>
      </c>
    </row>
    <row r="89" spans="1:23" x14ac:dyDescent="0.3">
      <c r="A89" s="1" t="s">
        <v>805</v>
      </c>
      <c r="B89" s="2">
        <v>45202</v>
      </c>
      <c r="C89" s="3">
        <v>0.25972222222222224</v>
      </c>
      <c r="D89" s="1" t="s">
        <v>815</v>
      </c>
      <c r="E89">
        <v>79</v>
      </c>
      <c r="F89" s="1" t="s">
        <v>807</v>
      </c>
      <c r="G89" s="1" t="s">
        <v>815</v>
      </c>
      <c r="H89" s="1" t="s">
        <v>33</v>
      </c>
      <c r="I89">
        <v>-1.648264</v>
      </c>
      <c r="J89">
        <v>28.866143999999998</v>
      </c>
      <c r="K89" s="1" t="s">
        <v>1495</v>
      </c>
      <c r="L89" s="1" t="s">
        <v>1496</v>
      </c>
      <c r="M89" s="1" t="s">
        <v>46</v>
      </c>
      <c r="N89" s="1" t="s">
        <v>33</v>
      </c>
      <c r="O89" s="1" t="str">
        <f>INT(Matrice1!$P89/12) &amp; " ans et " &amp; MOD(Matrice1!$P89,12) &amp; " mois"</f>
        <v>7 ans et 2 mois</v>
      </c>
      <c r="P89">
        <v>86</v>
      </c>
      <c r="Q89" s="1" t="s">
        <v>11</v>
      </c>
      <c r="R89" s="4">
        <f>Matrice1!$S89/1440</f>
        <v>0.32708333333333334</v>
      </c>
      <c r="S89">
        <v>471</v>
      </c>
      <c r="T89">
        <v>33.380000000000003</v>
      </c>
      <c r="U89">
        <v>4</v>
      </c>
      <c r="V89" s="8">
        <f>IF(Matrice1!$Q89="Pro Monde",10%,IF(AND(Matrice1!$R89&gt;12,Matrice1!$O89&gt;5),70%,IF(AND(OR(Matrice1!$R89&gt;=4,Matrice1!$R89&lt;=12,Matrice1!$O89&lt;5,(OR(Matrice1!$Q89="Premium ")))),45%,0%)))</f>
        <v>0.45</v>
      </c>
      <c r="W89">
        <f>Matrice1!$T89* (Matrice1!$V89/100)</f>
        <v>0.15021000000000004</v>
      </c>
    </row>
    <row r="90" spans="1:23" x14ac:dyDescent="0.3">
      <c r="A90" s="1" t="s">
        <v>805</v>
      </c>
      <c r="B90" s="2">
        <v>45202</v>
      </c>
      <c r="C90" s="3">
        <v>0.25972222222222224</v>
      </c>
      <c r="D90" s="1" t="s">
        <v>815</v>
      </c>
      <c r="E90">
        <v>79</v>
      </c>
      <c r="F90" s="1" t="s">
        <v>807</v>
      </c>
      <c r="G90" s="1" t="s">
        <v>815</v>
      </c>
      <c r="H90" s="1" t="s">
        <v>33</v>
      </c>
      <c r="I90">
        <v>-1.648264</v>
      </c>
      <c r="J90">
        <v>28.866143999999998</v>
      </c>
      <c r="K90" s="1" t="s">
        <v>1495</v>
      </c>
      <c r="L90" s="1" t="s">
        <v>1496</v>
      </c>
      <c r="M90" s="1" t="s">
        <v>58</v>
      </c>
      <c r="N90" s="1" t="s">
        <v>33</v>
      </c>
      <c r="O90" s="1" t="str">
        <f>INT(Matrice1!$P90/12) &amp; " ans et " &amp; MOD(Matrice1!$P90,12) &amp; " mois"</f>
        <v>1 ans et 3 mois</v>
      </c>
      <c r="P90">
        <v>15</v>
      </c>
      <c r="Q90" s="1" t="s">
        <v>14</v>
      </c>
      <c r="R90" s="4">
        <f>Matrice1!$S90/1440</f>
        <v>0.27986111111111112</v>
      </c>
      <c r="S90">
        <v>403</v>
      </c>
      <c r="T90">
        <v>77.12</v>
      </c>
      <c r="U90">
        <v>1</v>
      </c>
      <c r="V90" s="8">
        <f>IF(Matrice1!$Q90="Pro Monde",10%,IF(AND(Matrice1!$R90&gt;12,Matrice1!$O90&gt;5),70%,IF(AND(OR(Matrice1!$R90&gt;=4,Matrice1!$R90&lt;=12,Matrice1!$O90&lt;5,(OR(Matrice1!$Q90="Premium ")))),45%,0%)))</f>
        <v>0.1</v>
      </c>
      <c r="W90">
        <f>Matrice1!$T90* (Matrice1!$V90/100)</f>
        <v>7.7120000000000008E-2</v>
      </c>
    </row>
    <row r="91" spans="1:23" x14ac:dyDescent="0.3">
      <c r="A91" s="1" t="s">
        <v>805</v>
      </c>
      <c r="B91" s="2">
        <v>45202</v>
      </c>
      <c r="C91" s="3">
        <v>0.25972222222222224</v>
      </c>
      <c r="D91" s="1" t="s">
        <v>815</v>
      </c>
      <c r="E91">
        <v>79</v>
      </c>
      <c r="F91" s="1" t="s">
        <v>807</v>
      </c>
      <c r="G91" s="1" t="s">
        <v>815</v>
      </c>
      <c r="H91" s="1" t="s">
        <v>33</v>
      </c>
      <c r="I91">
        <v>-1.648264</v>
      </c>
      <c r="J91">
        <v>28.866143999999998</v>
      </c>
      <c r="K91" s="1" t="s">
        <v>1495</v>
      </c>
      <c r="L91" s="1" t="s">
        <v>1496</v>
      </c>
      <c r="M91" s="1" t="s">
        <v>111</v>
      </c>
      <c r="N91" s="1" t="s">
        <v>33</v>
      </c>
      <c r="O91" s="1" t="str">
        <f>INT(Matrice1!$P91/12) &amp; " ans et " &amp; MOD(Matrice1!$P91,12) &amp; " mois"</f>
        <v>9 ans et 6 mois</v>
      </c>
      <c r="P91">
        <v>114</v>
      </c>
      <c r="Q91" s="1" t="s">
        <v>11</v>
      </c>
      <c r="R91" s="4">
        <f>Matrice1!$S91/1440</f>
        <v>0.19652777777777777</v>
      </c>
      <c r="S91">
        <v>283</v>
      </c>
      <c r="T91">
        <v>29.15</v>
      </c>
      <c r="U91">
        <v>3</v>
      </c>
      <c r="V91" s="8">
        <f>IF(Matrice1!$Q91="Pro Monde",10%,IF(AND(Matrice1!$R91&gt;12,Matrice1!$O91&gt;5),70%,IF(AND(OR(Matrice1!$R91&gt;=4,Matrice1!$R91&lt;=12,Matrice1!$O91&lt;5,(OR(Matrice1!$Q91="Premium ")))),45%,0%)))</f>
        <v>0.45</v>
      </c>
      <c r="W91">
        <f>Matrice1!$T91* (Matrice1!$V91/100)</f>
        <v>0.13117500000000001</v>
      </c>
    </row>
    <row r="92" spans="1:23" x14ac:dyDescent="0.3">
      <c r="A92" s="1" t="s">
        <v>805</v>
      </c>
      <c r="B92" s="2">
        <v>45202</v>
      </c>
      <c r="C92" s="3">
        <v>0.25972222222222224</v>
      </c>
      <c r="D92" s="1" t="s">
        <v>815</v>
      </c>
      <c r="E92">
        <v>79</v>
      </c>
      <c r="F92" s="1" t="s">
        <v>807</v>
      </c>
      <c r="G92" s="1" t="s">
        <v>815</v>
      </c>
      <c r="H92" s="1" t="s">
        <v>33</v>
      </c>
      <c r="I92">
        <v>-1.648264</v>
      </c>
      <c r="J92">
        <v>28.866143999999998</v>
      </c>
      <c r="K92" s="1" t="s">
        <v>1495</v>
      </c>
      <c r="L92" s="1" t="s">
        <v>1496</v>
      </c>
      <c r="M92" s="1" t="s">
        <v>153</v>
      </c>
      <c r="N92" s="1" t="s">
        <v>33</v>
      </c>
      <c r="O92" s="1" t="str">
        <f>INT(Matrice1!$P92/12) &amp; " ans et " &amp; MOD(Matrice1!$P92,12) &amp; " mois"</f>
        <v>7 ans et 0 mois</v>
      </c>
      <c r="P92">
        <v>84</v>
      </c>
      <c r="Q92" s="1" t="s">
        <v>19</v>
      </c>
      <c r="R92" s="4">
        <f>Matrice1!$S92/1440</f>
        <v>0.22013888888888888</v>
      </c>
      <c r="S92">
        <v>317</v>
      </c>
      <c r="T92">
        <v>36.200000000000003</v>
      </c>
      <c r="U92">
        <v>3</v>
      </c>
      <c r="V92" s="8">
        <f>IF(Matrice1!$Q92="Pro Monde",10%,IF(AND(Matrice1!$R92&gt;12,Matrice1!$O92&gt;5),70%,IF(AND(OR(Matrice1!$R92&gt;=4,Matrice1!$R92&lt;=12,Matrice1!$O92&lt;5,(OR(Matrice1!$Q92="Premium ")))),45%,0%)))</f>
        <v>0.45</v>
      </c>
      <c r="W92">
        <f>Matrice1!$T92* (Matrice1!$V92/100)</f>
        <v>0.16290000000000004</v>
      </c>
    </row>
    <row r="93" spans="1:23" x14ac:dyDescent="0.3">
      <c r="A93" s="1" t="s">
        <v>805</v>
      </c>
      <c r="B93" s="2">
        <v>45202</v>
      </c>
      <c r="C93" s="3">
        <v>0.25972222222222224</v>
      </c>
      <c r="D93" s="1" t="s">
        <v>815</v>
      </c>
      <c r="E93">
        <v>79</v>
      </c>
      <c r="F93" s="1" t="s">
        <v>807</v>
      </c>
      <c r="G93" s="1" t="s">
        <v>815</v>
      </c>
      <c r="H93" s="1" t="s">
        <v>33</v>
      </c>
      <c r="I93">
        <v>-1.648264</v>
      </c>
      <c r="J93">
        <v>28.866143999999998</v>
      </c>
      <c r="K93" s="1" t="s">
        <v>1495</v>
      </c>
      <c r="L93" s="1" t="s">
        <v>1496</v>
      </c>
      <c r="M93" s="1" t="s">
        <v>155</v>
      </c>
      <c r="N93" s="1" t="s">
        <v>33</v>
      </c>
      <c r="O93" s="1" t="str">
        <f>INT(Matrice1!$P93/12) &amp; " ans et " &amp; MOD(Matrice1!$P93,12) &amp; " mois"</f>
        <v>9 ans et 2 mois</v>
      </c>
      <c r="P93">
        <v>110</v>
      </c>
      <c r="Q93" s="1" t="s">
        <v>11</v>
      </c>
      <c r="R93" s="4">
        <f>Matrice1!$S93/1440</f>
        <v>3.5416666666666666E-2</v>
      </c>
      <c r="S93">
        <v>51</v>
      </c>
      <c r="T93">
        <v>56.59</v>
      </c>
      <c r="U93">
        <v>5</v>
      </c>
      <c r="V93" s="8">
        <f>IF(Matrice1!$Q93="Pro Monde",10%,IF(AND(Matrice1!$R93&gt;12,Matrice1!$O93&gt;5),70%,IF(AND(OR(Matrice1!$R93&gt;=4,Matrice1!$R93&lt;=12,Matrice1!$O93&lt;5,(OR(Matrice1!$Q93="Premium ")))),45%,0%)))</f>
        <v>0.45</v>
      </c>
      <c r="W93">
        <f>Matrice1!$T93* (Matrice1!$V93/100)</f>
        <v>0.25465500000000002</v>
      </c>
    </row>
    <row r="94" spans="1:23" x14ac:dyDescent="0.3">
      <c r="A94" s="1" t="s">
        <v>805</v>
      </c>
      <c r="B94" s="2">
        <v>45202</v>
      </c>
      <c r="C94" s="3">
        <v>0.25972222222222224</v>
      </c>
      <c r="D94" s="1" t="s">
        <v>815</v>
      </c>
      <c r="E94">
        <v>79</v>
      </c>
      <c r="F94" s="1" t="s">
        <v>807</v>
      </c>
      <c r="G94" s="1" t="s">
        <v>815</v>
      </c>
      <c r="H94" s="1" t="s">
        <v>33</v>
      </c>
      <c r="I94">
        <v>-1.648264</v>
      </c>
      <c r="J94">
        <v>28.866143999999998</v>
      </c>
      <c r="K94" s="1" t="s">
        <v>1495</v>
      </c>
      <c r="L94" s="1" t="s">
        <v>1496</v>
      </c>
      <c r="M94" s="1" t="s">
        <v>165</v>
      </c>
      <c r="N94" s="1" t="s">
        <v>33</v>
      </c>
      <c r="O94" s="1" t="str">
        <f>INT(Matrice1!$P94/12) &amp; " ans et " &amp; MOD(Matrice1!$P94,12) &amp; " mois"</f>
        <v>5 ans et 4 mois</v>
      </c>
      <c r="P94">
        <v>64</v>
      </c>
      <c r="Q94" s="1" t="s">
        <v>14</v>
      </c>
      <c r="R94" s="4">
        <f>Matrice1!$S94/1440</f>
        <v>0.20833333333333334</v>
      </c>
      <c r="S94">
        <v>300</v>
      </c>
      <c r="T94">
        <v>28.11</v>
      </c>
      <c r="U94">
        <v>2</v>
      </c>
      <c r="V94" s="8">
        <f>IF(Matrice1!$Q94="Pro Monde",10%,IF(AND(Matrice1!$R94&gt;12,Matrice1!$O94&gt;5),70%,IF(AND(OR(Matrice1!$R94&gt;=4,Matrice1!$R94&lt;=12,Matrice1!$O94&lt;5,(OR(Matrice1!$Q94="Premium ")))),45%,0%)))</f>
        <v>0.1</v>
      </c>
      <c r="W94">
        <f>Matrice1!$T94* (Matrice1!$V94/100)</f>
        <v>2.811E-2</v>
      </c>
    </row>
    <row r="95" spans="1:23" x14ac:dyDescent="0.3">
      <c r="A95" s="1" t="s">
        <v>805</v>
      </c>
      <c r="B95" s="2">
        <v>45202</v>
      </c>
      <c r="C95" s="3">
        <v>0.25972222222222224</v>
      </c>
      <c r="D95" s="1" t="s">
        <v>815</v>
      </c>
      <c r="E95">
        <v>79</v>
      </c>
      <c r="F95" s="1" t="s">
        <v>807</v>
      </c>
      <c r="G95" s="1" t="s">
        <v>815</v>
      </c>
      <c r="H95" s="1" t="s">
        <v>33</v>
      </c>
      <c r="I95">
        <v>-1.648264</v>
      </c>
      <c r="J95">
        <v>28.866143999999998</v>
      </c>
      <c r="K95" s="1" t="s">
        <v>1495</v>
      </c>
      <c r="L95" s="1" t="s">
        <v>1496</v>
      </c>
      <c r="M95" s="1" t="s">
        <v>186</v>
      </c>
      <c r="N95" s="1" t="s">
        <v>33</v>
      </c>
      <c r="O95" s="1" t="str">
        <f>INT(Matrice1!$P95/12) &amp; " ans et " &amp; MOD(Matrice1!$P95,12) &amp; " mois"</f>
        <v>8 ans et 8 mois</v>
      </c>
      <c r="P95">
        <v>104</v>
      </c>
      <c r="Q95" s="1" t="s">
        <v>14</v>
      </c>
      <c r="R95" s="4">
        <f>Matrice1!$S95/1440</f>
        <v>0.22013888888888888</v>
      </c>
      <c r="S95">
        <v>317</v>
      </c>
      <c r="T95">
        <v>79.150000000000006</v>
      </c>
      <c r="U95">
        <v>1</v>
      </c>
      <c r="V95" s="8">
        <f>IF(Matrice1!$Q95="Pro Monde",10%,IF(AND(Matrice1!$R95&gt;12,Matrice1!$O95&gt;5),70%,IF(AND(OR(Matrice1!$R95&gt;=4,Matrice1!$R95&lt;=12,Matrice1!$O95&lt;5,(OR(Matrice1!$Q95="Premium ")))),45%,0%)))</f>
        <v>0.1</v>
      </c>
      <c r="W95">
        <f>Matrice1!$T95* (Matrice1!$V95/100)</f>
        <v>7.9150000000000012E-2</v>
      </c>
    </row>
    <row r="96" spans="1:23" x14ac:dyDescent="0.3">
      <c r="A96" s="1" t="s">
        <v>805</v>
      </c>
      <c r="B96" s="2">
        <v>45202</v>
      </c>
      <c r="C96" s="3">
        <v>0.25972222222222224</v>
      </c>
      <c r="D96" s="1" t="s">
        <v>815</v>
      </c>
      <c r="E96">
        <v>79</v>
      </c>
      <c r="F96" s="1" t="s">
        <v>807</v>
      </c>
      <c r="G96" s="1" t="s">
        <v>815</v>
      </c>
      <c r="H96" s="1" t="s">
        <v>33</v>
      </c>
      <c r="I96">
        <v>-1.648264</v>
      </c>
      <c r="J96">
        <v>28.866143999999998</v>
      </c>
      <c r="K96" s="1" t="s">
        <v>1495</v>
      </c>
      <c r="L96" s="1" t="s">
        <v>1496</v>
      </c>
      <c r="M96" s="1" t="s">
        <v>199</v>
      </c>
      <c r="N96" s="1" t="s">
        <v>33</v>
      </c>
      <c r="O96" s="1" t="str">
        <f>INT(Matrice1!$P96/12) &amp; " ans et " &amp; MOD(Matrice1!$P96,12) &amp; " mois"</f>
        <v>5 ans et 0 mois</v>
      </c>
      <c r="P96">
        <v>60</v>
      </c>
      <c r="Q96" s="1" t="s">
        <v>14</v>
      </c>
      <c r="R96" s="4">
        <f>Matrice1!$S96/1440</f>
        <v>0.23194444444444445</v>
      </c>
      <c r="S96">
        <v>334</v>
      </c>
      <c r="T96">
        <v>71.72</v>
      </c>
      <c r="U96">
        <v>3</v>
      </c>
      <c r="V96" s="8">
        <f>IF(Matrice1!$Q96="Pro Monde",10%,IF(AND(Matrice1!$R96&gt;12,Matrice1!$O96&gt;5),70%,IF(AND(OR(Matrice1!$R96&gt;=4,Matrice1!$R96&lt;=12,Matrice1!$O96&lt;5,(OR(Matrice1!$Q96="Premium ")))),45%,0%)))</f>
        <v>0.1</v>
      </c>
      <c r="W96">
        <f>Matrice1!$T96* (Matrice1!$V96/100)</f>
        <v>7.1720000000000006E-2</v>
      </c>
    </row>
    <row r="97" spans="1:23" x14ac:dyDescent="0.3">
      <c r="A97" s="1" t="s">
        <v>805</v>
      </c>
      <c r="B97" s="2">
        <v>45202</v>
      </c>
      <c r="C97" s="3">
        <v>0.25972222222222224</v>
      </c>
      <c r="D97" s="1" t="s">
        <v>815</v>
      </c>
      <c r="E97">
        <v>79</v>
      </c>
      <c r="F97" s="1" t="s">
        <v>807</v>
      </c>
      <c r="G97" s="1" t="s">
        <v>815</v>
      </c>
      <c r="H97" s="1" t="s">
        <v>33</v>
      </c>
      <c r="I97">
        <v>-1.648264</v>
      </c>
      <c r="J97">
        <v>28.866143999999998</v>
      </c>
      <c r="K97" s="1" t="s">
        <v>1495</v>
      </c>
      <c r="L97" s="1" t="s">
        <v>1496</v>
      </c>
      <c r="M97" s="1" t="s">
        <v>200</v>
      </c>
      <c r="N97" s="1" t="s">
        <v>33</v>
      </c>
      <c r="O97" s="1" t="str">
        <f>INT(Matrice1!$P97/12) &amp; " ans et " &amp; MOD(Matrice1!$P97,12) &amp; " mois"</f>
        <v>1 ans et 11 mois</v>
      </c>
      <c r="P97">
        <v>23</v>
      </c>
      <c r="Q97" s="1" t="s">
        <v>14</v>
      </c>
      <c r="R97" s="4">
        <f>Matrice1!$S97/1440</f>
        <v>0.18194444444444444</v>
      </c>
      <c r="S97">
        <v>262</v>
      </c>
      <c r="T97">
        <v>46.3</v>
      </c>
      <c r="U97">
        <v>1</v>
      </c>
      <c r="V97" s="8">
        <f>IF(Matrice1!$Q97="Pro Monde",10%,IF(AND(Matrice1!$R97&gt;12,Matrice1!$O97&gt;5),70%,IF(AND(OR(Matrice1!$R97&gt;=4,Matrice1!$R97&lt;=12,Matrice1!$O97&lt;5,(OR(Matrice1!$Q97="Premium ")))),45%,0%)))</f>
        <v>0.1</v>
      </c>
      <c r="W97">
        <f>Matrice1!$T97* (Matrice1!$V97/100)</f>
        <v>4.6300000000000001E-2</v>
      </c>
    </row>
    <row r="98" spans="1:23" x14ac:dyDescent="0.3">
      <c r="A98" s="1" t="s">
        <v>805</v>
      </c>
      <c r="B98" s="2">
        <v>45202</v>
      </c>
      <c r="C98" s="3">
        <v>0.25972222222222224</v>
      </c>
      <c r="D98" s="1" t="s">
        <v>815</v>
      </c>
      <c r="E98">
        <v>79</v>
      </c>
      <c r="F98" s="1" t="s">
        <v>807</v>
      </c>
      <c r="G98" s="1" t="s">
        <v>815</v>
      </c>
      <c r="H98" s="1" t="s">
        <v>33</v>
      </c>
      <c r="I98">
        <v>-1.648264</v>
      </c>
      <c r="J98">
        <v>28.866143999999998</v>
      </c>
      <c r="K98" s="1" t="s">
        <v>1495</v>
      </c>
      <c r="L98" s="1" t="s">
        <v>1496</v>
      </c>
      <c r="M98" s="1" t="s">
        <v>214</v>
      </c>
      <c r="N98" s="1" t="s">
        <v>33</v>
      </c>
      <c r="O98" s="1" t="str">
        <f>INT(Matrice1!$P98/12) &amp; " ans et " &amp; MOD(Matrice1!$P98,12) &amp; " mois"</f>
        <v>9 ans et 10 mois</v>
      </c>
      <c r="P98">
        <v>118</v>
      </c>
      <c r="Q98" s="1" t="s">
        <v>19</v>
      </c>
      <c r="R98" s="4">
        <f>Matrice1!$S98/1440</f>
        <v>0.20833333333333334</v>
      </c>
      <c r="S98">
        <v>300</v>
      </c>
      <c r="T98">
        <v>98.22</v>
      </c>
      <c r="U98">
        <v>4</v>
      </c>
      <c r="V98" s="8">
        <f>IF(Matrice1!$Q98="Pro Monde",10%,IF(AND(Matrice1!$R98&gt;12,Matrice1!$O98&gt;5),70%,IF(AND(OR(Matrice1!$R98&gt;=4,Matrice1!$R98&lt;=12,Matrice1!$O98&lt;5,(OR(Matrice1!$Q98="Premium ")))),45%,0%)))</f>
        <v>0.45</v>
      </c>
      <c r="W98">
        <f>Matrice1!$T98* (Matrice1!$V98/100)</f>
        <v>0.44199000000000005</v>
      </c>
    </row>
    <row r="99" spans="1:23" x14ac:dyDescent="0.3">
      <c r="A99" s="1" t="s">
        <v>805</v>
      </c>
      <c r="B99" s="2">
        <v>45202</v>
      </c>
      <c r="C99" s="3">
        <v>0.25972222222222224</v>
      </c>
      <c r="D99" s="1" t="s">
        <v>815</v>
      </c>
      <c r="E99">
        <v>79</v>
      </c>
      <c r="F99" s="1" t="s">
        <v>807</v>
      </c>
      <c r="G99" s="1" t="s">
        <v>815</v>
      </c>
      <c r="H99" s="1" t="s">
        <v>33</v>
      </c>
      <c r="I99">
        <v>-1.648264</v>
      </c>
      <c r="J99">
        <v>28.866143999999998</v>
      </c>
      <c r="K99" s="1" t="s">
        <v>1495</v>
      </c>
      <c r="L99" s="1" t="s">
        <v>1496</v>
      </c>
      <c r="M99" s="1" t="s">
        <v>229</v>
      </c>
      <c r="N99" s="1" t="s">
        <v>33</v>
      </c>
      <c r="O99" s="1" t="str">
        <f>INT(Matrice1!$P99/12) &amp; " ans et " &amp; MOD(Matrice1!$P99,12) &amp; " mois"</f>
        <v>4 ans et 7 mois</v>
      </c>
      <c r="P99">
        <v>55</v>
      </c>
      <c r="Q99" s="1" t="s">
        <v>11</v>
      </c>
      <c r="R99" s="4">
        <f>Matrice1!$S99/1440</f>
        <v>0.27361111111111114</v>
      </c>
      <c r="S99">
        <v>394</v>
      </c>
      <c r="T99">
        <v>26.8</v>
      </c>
      <c r="U99">
        <v>4</v>
      </c>
      <c r="V99" s="8">
        <f>IF(Matrice1!$Q99="Pro Monde",10%,IF(AND(Matrice1!$R99&gt;12,Matrice1!$O99&gt;5),70%,IF(AND(OR(Matrice1!$R99&gt;=4,Matrice1!$R99&lt;=12,Matrice1!$O99&lt;5,(OR(Matrice1!$Q99="Premium ")))),45%,0%)))</f>
        <v>0.45</v>
      </c>
      <c r="W99">
        <f>Matrice1!$T99* (Matrice1!$V99/100)</f>
        <v>0.12060000000000001</v>
      </c>
    </row>
    <row r="100" spans="1:23" x14ac:dyDescent="0.3">
      <c r="A100" s="1" t="s">
        <v>805</v>
      </c>
      <c r="B100" s="2">
        <v>45202</v>
      </c>
      <c r="C100" s="3">
        <v>0.25972222222222224</v>
      </c>
      <c r="D100" s="1" t="s">
        <v>815</v>
      </c>
      <c r="E100">
        <v>79</v>
      </c>
      <c r="F100" s="1" t="s">
        <v>807</v>
      </c>
      <c r="G100" s="1" t="s">
        <v>815</v>
      </c>
      <c r="H100" s="1" t="s">
        <v>33</v>
      </c>
      <c r="I100">
        <v>-1.648264</v>
      </c>
      <c r="J100">
        <v>28.866143999999998</v>
      </c>
      <c r="K100" s="1" t="s">
        <v>1495</v>
      </c>
      <c r="L100" s="1" t="s">
        <v>1496</v>
      </c>
      <c r="M100" s="1" t="s">
        <v>274</v>
      </c>
      <c r="N100" s="1" t="s">
        <v>33</v>
      </c>
      <c r="O100" s="1" t="str">
        <f>INT(Matrice1!$P100/12) &amp; " ans et " &amp; MOD(Matrice1!$P100,12) &amp; " mois"</f>
        <v>0 ans et 11 mois</v>
      </c>
      <c r="P100">
        <v>11</v>
      </c>
      <c r="Q100" s="1" t="s">
        <v>19</v>
      </c>
      <c r="R100" s="4">
        <f>Matrice1!$S100/1440</f>
        <v>3.6111111111111108E-2</v>
      </c>
      <c r="S100">
        <v>52</v>
      </c>
      <c r="T100">
        <v>76.53</v>
      </c>
      <c r="U100">
        <v>5</v>
      </c>
      <c r="V100" s="8">
        <f>IF(Matrice1!$Q100="Pro Monde",10%,IF(AND(Matrice1!$R100&gt;12,Matrice1!$O100&gt;5),70%,IF(AND(OR(Matrice1!$R100&gt;=4,Matrice1!$R100&lt;=12,Matrice1!$O100&lt;5,(OR(Matrice1!$Q100="Premium ")))),45%,0%)))</f>
        <v>0.45</v>
      </c>
      <c r="W100">
        <f>Matrice1!$T100* (Matrice1!$V100/100)</f>
        <v>0.34438500000000005</v>
      </c>
    </row>
    <row r="101" spans="1:23" x14ac:dyDescent="0.3">
      <c r="A101" s="1" t="s">
        <v>805</v>
      </c>
      <c r="B101" s="2">
        <v>45202</v>
      </c>
      <c r="C101" s="3">
        <v>0.25972222222222224</v>
      </c>
      <c r="D101" s="1" t="s">
        <v>815</v>
      </c>
      <c r="E101">
        <v>79</v>
      </c>
      <c r="F101" s="1" t="s">
        <v>807</v>
      </c>
      <c r="G101" s="1" t="s">
        <v>815</v>
      </c>
      <c r="H101" s="1" t="s">
        <v>33</v>
      </c>
      <c r="I101">
        <v>-1.648264</v>
      </c>
      <c r="J101">
        <v>28.866143999999998</v>
      </c>
      <c r="K101" s="1" t="s">
        <v>1495</v>
      </c>
      <c r="L101" s="1" t="s">
        <v>1496</v>
      </c>
      <c r="M101" s="1" t="s">
        <v>329</v>
      </c>
      <c r="N101" s="1" t="s">
        <v>33</v>
      </c>
      <c r="O101" s="1" t="str">
        <f>INT(Matrice1!$P101/12) &amp; " ans et " &amp; MOD(Matrice1!$P101,12) &amp; " mois"</f>
        <v>4 ans et 7 mois</v>
      </c>
      <c r="P101">
        <v>55</v>
      </c>
      <c r="Q101" s="1" t="s">
        <v>14</v>
      </c>
      <c r="R101" s="4">
        <f>Matrice1!$S101/1440</f>
        <v>0.27013888888888887</v>
      </c>
      <c r="S101">
        <v>389</v>
      </c>
      <c r="T101">
        <v>67.430000000000007</v>
      </c>
      <c r="U101">
        <v>3</v>
      </c>
      <c r="V101" s="8">
        <f>IF(Matrice1!$Q101="Pro Monde",10%,IF(AND(Matrice1!$R101&gt;12,Matrice1!$O101&gt;5),70%,IF(AND(OR(Matrice1!$R101&gt;=4,Matrice1!$R101&lt;=12,Matrice1!$O101&lt;5,(OR(Matrice1!$Q101="Premium ")))),45%,0%)))</f>
        <v>0.1</v>
      </c>
      <c r="W101">
        <f>Matrice1!$T101* (Matrice1!$V101/100)</f>
        <v>6.7430000000000004E-2</v>
      </c>
    </row>
    <row r="102" spans="1:23" x14ac:dyDescent="0.3">
      <c r="A102" s="1" t="s">
        <v>805</v>
      </c>
      <c r="B102" s="2">
        <v>45202</v>
      </c>
      <c r="C102" s="3">
        <v>0.25972222222222224</v>
      </c>
      <c r="D102" s="1" t="s">
        <v>815</v>
      </c>
      <c r="E102">
        <v>79</v>
      </c>
      <c r="F102" s="1" t="s">
        <v>807</v>
      </c>
      <c r="G102" s="1" t="s">
        <v>815</v>
      </c>
      <c r="H102" s="1" t="s">
        <v>33</v>
      </c>
      <c r="I102">
        <v>-1.648264</v>
      </c>
      <c r="J102">
        <v>28.866143999999998</v>
      </c>
      <c r="K102" s="1" t="s">
        <v>1495</v>
      </c>
      <c r="L102" s="1" t="s">
        <v>1496</v>
      </c>
      <c r="M102" s="1" t="s">
        <v>331</v>
      </c>
      <c r="N102" s="1" t="s">
        <v>33</v>
      </c>
      <c r="O102" s="1" t="str">
        <f>INT(Matrice1!$P102/12) &amp; " ans et " &amp; MOD(Matrice1!$P102,12) &amp; " mois"</f>
        <v>2 ans et 8 mois</v>
      </c>
      <c r="P102">
        <v>32</v>
      </c>
      <c r="Q102" s="1" t="s">
        <v>14</v>
      </c>
      <c r="R102" s="4">
        <f>Matrice1!$S102/1440</f>
        <v>2.7777777777777779E-3</v>
      </c>
      <c r="S102">
        <v>4</v>
      </c>
      <c r="T102">
        <v>39</v>
      </c>
      <c r="U102">
        <v>0</v>
      </c>
      <c r="V102" s="8">
        <f>IF(Matrice1!$Q102="Pro Monde",10%,IF(AND(Matrice1!$R102&gt;12,Matrice1!$O102&gt;5),70%,IF(AND(OR(Matrice1!$R102&gt;=4,Matrice1!$R102&lt;=12,Matrice1!$O102&lt;5,(OR(Matrice1!$Q102="Premium ")))),45%,0%)))</f>
        <v>0.1</v>
      </c>
      <c r="W102">
        <f>Matrice1!$T102* (Matrice1!$V102/100)</f>
        <v>3.9E-2</v>
      </c>
    </row>
    <row r="103" spans="1:23" x14ac:dyDescent="0.3">
      <c r="A103" s="1" t="s">
        <v>805</v>
      </c>
      <c r="B103" s="2">
        <v>45202</v>
      </c>
      <c r="C103" s="3">
        <v>0.25972222222222224</v>
      </c>
      <c r="D103" s="1" t="s">
        <v>815</v>
      </c>
      <c r="E103">
        <v>79</v>
      </c>
      <c r="F103" s="1" t="s">
        <v>807</v>
      </c>
      <c r="G103" s="1" t="s">
        <v>815</v>
      </c>
      <c r="H103" s="1" t="s">
        <v>33</v>
      </c>
      <c r="I103">
        <v>-1.648264</v>
      </c>
      <c r="J103">
        <v>28.866143999999998</v>
      </c>
      <c r="K103" s="1" t="s">
        <v>1495</v>
      </c>
      <c r="L103" s="1" t="s">
        <v>1496</v>
      </c>
      <c r="M103" s="1" t="s">
        <v>380</v>
      </c>
      <c r="N103" s="1" t="s">
        <v>33</v>
      </c>
      <c r="O103" s="1" t="str">
        <f>INT(Matrice1!$P103/12) &amp; " ans et " &amp; MOD(Matrice1!$P103,12) &amp; " mois"</f>
        <v>1 ans et 7 mois</v>
      </c>
      <c r="P103">
        <v>19</v>
      </c>
      <c r="Q103" s="1" t="s">
        <v>22</v>
      </c>
      <c r="R103" s="4">
        <f>Matrice1!$S103/1440</f>
        <v>0.23194444444444445</v>
      </c>
      <c r="S103">
        <v>334</v>
      </c>
      <c r="T103">
        <v>96.91</v>
      </c>
      <c r="U103">
        <v>1</v>
      </c>
      <c r="V103" s="8">
        <f>IF(Matrice1!$Q103="Pro Monde",10%,IF(AND(Matrice1!$R103&gt;12,Matrice1!$O103&gt;5),70%,IF(AND(OR(Matrice1!$R103&gt;=4,Matrice1!$R103&lt;=12,Matrice1!$O103&lt;5,(OR(Matrice1!$Q103="Premium ")))),45%,0%)))</f>
        <v>0.45</v>
      </c>
      <c r="W103">
        <f>Matrice1!$T103* (Matrice1!$V103/100)</f>
        <v>0.43609500000000001</v>
      </c>
    </row>
    <row r="104" spans="1:23" x14ac:dyDescent="0.3">
      <c r="A104" s="1" t="s">
        <v>805</v>
      </c>
      <c r="B104" s="2">
        <v>45202</v>
      </c>
      <c r="C104" s="3">
        <v>0.25972222222222224</v>
      </c>
      <c r="D104" s="1" t="s">
        <v>815</v>
      </c>
      <c r="E104">
        <v>79</v>
      </c>
      <c r="F104" s="1" t="s">
        <v>807</v>
      </c>
      <c r="G104" s="1" t="s">
        <v>815</v>
      </c>
      <c r="H104" s="1" t="s">
        <v>33</v>
      </c>
      <c r="I104">
        <v>-1.648264</v>
      </c>
      <c r="J104">
        <v>28.866143999999998</v>
      </c>
      <c r="K104" s="1" t="s">
        <v>1495</v>
      </c>
      <c r="L104" s="1" t="s">
        <v>1496</v>
      </c>
      <c r="M104" s="1" t="s">
        <v>407</v>
      </c>
      <c r="N104" s="1" t="s">
        <v>33</v>
      </c>
      <c r="O104" s="1" t="str">
        <f>INT(Matrice1!$P104/12) &amp; " ans et " &amp; MOD(Matrice1!$P104,12) &amp; " mois"</f>
        <v>4 ans et 1 mois</v>
      </c>
      <c r="P104">
        <v>49</v>
      </c>
      <c r="Q104" s="1" t="s">
        <v>14</v>
      </c>
      <c r="R104" s="4">
        <f>Matrice1!$S104/1440</f>
        <v>0.15902777777777777</v>
      </c>
      <c r="S104">
        <v>229</v>
      </c>
      <c r="T104">
        <v>53.94</v>
      </c>
      <c r="U104">
        <v>5</v>
      </c>
      <c r="V104" s="8">
        <f>IF(Matrice1!$Q104="Pro Monde",10%,IF(AND(Matrice1!$R104&gt;12,Matrice1!$O104&gt;5),70%,IF(AND(OR(Matrice1!$R104&gt;=4,Matrice1!$R104&lt;=12,Matrice1!$O104&lt;5,(OR(Matrice1!$Q104="Premium ")))),45%,0%)))</f>
        <v>0.1</v>
      </c>
      <c r="W104">
        <f>Matrice1!$T104* (Matrice1!$V104/100)</f>
        <v>5.3940000000000002E-2</v>
      </c>
    </row>
    <row r="105" spans="1:23" x14ac:dyDescent="0.3">
      <c r="A105" s="1" t="s">
        <v>805</v>
      </c>
      <c r="B105" s="2">
        <v>45202</v>
      </c>
      <c r="C105" s="3">
        <v>0.25972222222222224</v>
      </c>
      <c r="D105" s="1" t="s">
        <v>815</v>
      </c>
      <c r="E105">
        <v>79</v>
      </c>
      <c r="F105" s="1" t="s">
        <v>807</v>
      </c>
      <c r="G105" s="1" t="s">
        <v>815</v>
      </c>
      <c r="H105" s="1" t="s">
        <v>33</v>
      </c>
      <c r="I105">
        <v>-1.648264</v>
      </c>
      <c r="J105">
        <v>28.866143999999998</v>
      </c>
      <c r="K105" s="1" t="s">
        <v>1495</v>
      </c>
      <c r="L105" s="1" t="s">
        <v>1496</v>
      </c>
      <c r="M105" s="1" t="s">
        <v>415</v>
      </c>
      <c r="N105" s="1" t="s">
        <v>33</v>
      </c>
      <c r="O105" s="1" t="str">
        <f>INT(Matrice1!$P105/12) &amp; " ans et " &amp; MOD(Matrice1!$P105,12) &amp; " mois"</f>
        <v>5 ans et 8 mois</v>
      </c>
      <c r="P105">
        <v>68</v>
      </c>
      <c r="Q105" s="1" t="s">
        <v>14</v>
      </c>
      <c r="R105" s="4">
        <f>Matrice1!$S105/1440</f>
        <v>0.32083333333333336</v>
      </c>
      <c r="S105">
        <v>462</v>
      </c>
      <c r="T105">
        <v>41.91</v>
      </c>
      <c r="U105">
        <v>1</v>
      </c>
      <c r="V105" s="8">
        <f>IF(Matrice1!$Q105="Pro Monde",10%,IF(AND(Matrice1!$R105&gt;12,Matrice1!$O105&gt;5),70%,IF(AND(OR(Matrice1!$R105&gt;=4,Matrice1!$R105&lt;=12,Matrice1!$O105&lt;5,(OR(Matrice1!$Q105="Premium ")))),45%,0%)))</f>
        <v>0.1</v>
      </c>
      <c r="W105">
        <f>Matrice1!$T105* (Matrice1!$V105/100)</f>
        <v>4.1909999999999996E-2</v>
      </c>
    </row>
    <row r="106" spans="1:23" x14ac:dyDescent="0.3">
      <c r="A106" s="1" t="s">
        <v>805</v>
      </c>
      <c r="B106" s="2">
        <v>45202</v>
      </c>
      <c r="C106" s="3">
        <v>0.25972222222222224</v>
      </c>
      <c r="D106" s="1" t="s">
        <v>815</v>
      </c>
      <c r="E106">
        <v>79</v>
      </c>
      <c r="F106" s="1" t="s">
        <v>807</v>
      </c>
      <c r="G106" s="1" t="s">
        <v>815</v>
      </c>
      <c r="H106" s="1" t="s">
        <v>33</v>
      </c>
      <c r="I106">
        <v>-1.648264</v>
      </c>
      <c r="J106">
        <v>28.866143999999998</v>
      </c>
      <c r="K106" s="1" t="s">
        <v>1495</v>
      </c>
      <c r="L106" s="1" t="s">
        <v>1496</v>
      </c>
      <c r="M106" s="1" t="s">
        <v>451</v>
      </c>
      <c r="N106" s="1" t="s">
        <v>33</v>
      </c>
      <c r="O106" s="1" t="str">
        <f>INT(Matrice1!$P106/12) &amp; " ans et " &amp; MOD(Matrice1!$P106,12) &amp; " mois"</f>
        <v>3 ans et 0 mois</v>
      </c>
      <c r="P106">
        <v>36</v>
      </c>
      <c r="Q106" s="1" t="s">
        <v>19</v>
      </c>
      <c r="R106" s="4">
        <f>Matrice1!$S106/1440</f>
        <v>0.21041666666666667</v>
      </c>
      <c r="S106">
        <v>303</v>
      </c>
      <c r="T106">
        <v>89.56</v>
      </c>
      <c r="U106">
        <v>1</v>
      </c>
      <c r="V106" s="8">
        <f>IF(Matrice1!$Q106="Pro Monde",10%,IF(AND(Matrice1!$R106&gt;12,Matrice1!$O106&gt;5),70%,IF(AND(OR(Matrice1!$R106&gt;=4,Matrice1!$R106&lt;=12,Matrice1!$O106&lt;5,(OR(Matrice1!$Q106="Premium ")))),45%,0%)))</f>
        <v>0.45</v>
      </c>
      <c r="W106">
        <f>Matrice1!$T106* (Matrice1!$V106/100)</f>
        <v>0.40302000000000004</v>
      </c>
    </row>
    <row r="107" spans="1:23" x14ac:dyDescent="0.3">
      <c r="A107" s="1" t="s">
        <v>805</v>
      </c>
      <c r="B107" s="2">
        <v>45202</v>
      </c>
      <c r="C107" s="3">
        <v>0.25972222222222224</v>
      </c>
      <c r="D107" s="1" t="s">
        <v>815</v>
      </c>
      <c r="E107">
        <v>79</v>
      </c>
      <c r="F107" s="1" t="s">
        <v>807</v>
      </c>
      <c r="G107" s="1" t="s">
        <v>815</v>
      </c>
      <c r="H107" s="1" t="s">
        <v>33</v>
      </c>
      <c r="I107">
        <v>-1.648264</v>
      </c>
      <c r="J107">
        <v>28.866143999999998</v>
      </c>
      <c r="K107" s="1" t="s">
        <v>1495</v>
      </c>
      <c r="L107" s="1" t="s">
        <v>1496</v>
      </c>
      <c r="M107" s="1" t="s">
        <v>462</v>
      </c>
      <c r="N107" s="1" t="s">
        <v>33</v>
      </c>
      <c r="O107" s="1" t="str">
        <f>INT(Matrice1!$P107/12) &amp; " ans et " &amp; MOD(Matrice1!$P107,12) &amp; " mois"</f>
        <v>0 ans et 7 mois</v>
      </c>
      <c r="P107">
        <v>7</v>
      </c>
      <c r="Q107" s="1" t="s">
        <v>14</v>
      </c>
      <c r="R107" s="4">
        <f>Matrice1!$S107/1440</f>
        <v>0.18611111111111112</v>
      </c>
      <c r="S107">
        <v>268</v>
      </c>
      <c r="T107">
        <v>33.04</v>
      </c>
      <c r="U107">
        <v>5</v>
      </c>
      <c r="V107" s="8">
        <f>IF(Matrice1!$Q107="Pro Monde",10%,IF(AND(Matrice1!$R107&gt;12,Matrice1!$O107&gt;5),70%,IF(AND(OR(Matrice1!$R107&gt;=4,Matrice1!$R107&lt;=12,Matrice1!$O107&lt;5,(OR(Matrice1!$Q107="Premium ")))),45%,0%)))</f>
        <v>0.1</v>
      </c>
      <c r="W107">
        <f>Matrice1!$T107* (Matrice1!$V107/100)</f>
        <v>3.304E-2</v>
      </c>
    </row>
    <row r="108" spans="1:23" x14ac:dyDescent="0.3">
      <c r="A108" s="1" t="s">
        <v>805</v>
      </c>
      <c r="B108" s="2">
        <v>45202</v>
      </c>
      <c r="C108" s="3">
        <v>0.25972222222222224</v>
      </c>
      <c r="D108" s="1" t="s">
        <v>815</v>
      </c>
      <c r="E108">
        <v>79</v>
      </c>
      <c r="F108" s="1" t="s">
        <v>807</v>
      </c>
      <c r="G108" s="1" t="s">
        <v>815</v>
      </c>
      <c r="H108" s="1" t="s">
        <v>33</v>
      </c>
      <c r="I108">
        <v>-1.648264</v>
      </c>
      <c r="J108">
        <v>28.866143999999998</v>
      </c>
      <c r="K108" s="1" t="s">
        <v>1495</v>
      </c>
      <c r="L108" s="1" t="s">
        <v>1496</v>
      </c>
      <c r="M108" s="1" t="s">
        <v>473</v>
      </c>
      <c r="N108" s="1" t="s">
        <v>33</v>
      </c>
      <c r="O108" s="1" t="str">
        <f>INT(Matrice1!$P108/12) &amp; " ans et " &amp; MOD(Matrice1!$P108,12) &amp; " mois"</f>
        <v>4 ans et 8 mois</v>
      </c>
      <c r="P108">
        <v>56</v>
      </c>
      <c r="Q108" s="1" t="s">
        <v>19</v>
      </c>
      <c r="R108" s="4">
        <f>Matrice1!$S108/1440</f>
        <v>7.9166666666666663E-2</v>
      </c>
      <c r="S108">
        <v>114</v>
      </c>
      <c r="T108">
        <v>64.39</v>
      </c>
      <c r="U108">
        <v>1</v>
      </c>
      <c r="V108" s="8">
        <f>IF(Matrice1!$Q108="Pro Monde",10%,IF(AND(Matrice1!$R108&gt;12,Matrice1!$O108&gt;5),70%,IF(AND(OR(Matrice1!$R108&gt;=4,Matrice1!$R108&lt;=12,Matrice1!$O108&lt;5,(OR(Matrice1!$Q108="Premium ")))),45%,0%)))</f>
        <v>0.45</v>
      </c>
      <c r="W108">
        <f>Matrice1!$T108* (Matrice1!$V108/100)</f>
        <v>0.28975500000000004</v>
      </c>
    </row>
    <row r="109" spans="1:23" x14ac:dyDescent="0.3">
      <c r="A109" s="1" t="s">
        <v>805</v>
      </c>
      <c r="B109" s="2">
        <v>45202</v>
      </c>
      <c r="C109" s="3">
        <v>0.25972222222222224</v>
      </c>
      <c r="D109" s="1" t="s">
        <v>815</v>
      </c>
      <c r="E109">
        <v>79</v>
      </c>
      <c r="F109" s="1" t="s">
        <v>807</v>
      </c>
      <c r="G109" s="1" t="s">
        <v>815</v>
      </c>
      <c r="H109" s="1" t="s">
        <v>33</v>
      </c>
      <c r="I109">
        <v>-1.648264</v>
      </c>
      <c r="J109">
        <v>28.866143999999998</v>
      </c>
      <c r="K109" s="1" t="s">
        <v>1495</v>
      </c>
      <c r="L109" s="1" t="s">
        <v>1496</v>
      </c>
      <c r="M109" s="1" t="s">
        <v>478</v>
      </c>
      <c r="N109" s="1" t="s">
        <v>33</v>
      </c>
      <c r="O109" s="1" t="str">
        <f>INT(Matrice1!$P109/12) &amp; " ans et " &amp; MOD(Matrice1!$P109,12) &amp; " mois"</f>
        <v>3 ans et 7 mois</v>
      </c>
      <c r="P109">
        <v>43</v>
      </c>
      <c r="Q109" s="1" t="s">
        <v>19</v>
      </c>
      <c r="R109" s="4">
        <f>Matrice1!$S109/1440</f>
        <v>1.3888888888888888E-2</v>
      </c>
      <c r="S109">
        <v>20</v>
      </c>
      <c r="T109">
        <v>66.680000000000007</v>
      </c>
      <c r="U109">
        <v>5</v>
      </c>
      <c r="V109" s="8">
        <f>IF(Matrice1!$Q109="Pro Monde",10%,IF(AND(Matrice1!$R109&gt;12,Matrice1!$O109&gt;5),70%,IF(AND(OR(Matrice1!$R109&gt;=4,Matrice1!$R109&lt;=12,Matrice1!$O109&lt;5,(OR(Matrice1!$Q109="Premium ")))),45%,0%)))</f>
        <v>0.45</v>
      </c>
      <c r="W109">
        <f>Matrice1!$T109* (Matrice1!$V109/100)</f>
        <v>0.30006000000000005</v>
      </c>
    </row>
    <row r="110" spans="1:23" x14ac:dyDescent="0.3">
      <c r="A110" s="1" t="s">
        <v>854</v>
      </c>
      <c r="B110" s="2">
        <v>45221</v>
      </c>
      <c r="C110" s="3">
        <v>0.77500000000000002</v>
      </c>
      <c r="D110" s="1" t="s">
        <v>889</v>
      </c>
      <c r="E110">
        <v>24</v>
      </c>
      <c r="F110" s="1" t="s">
        <v>807</v>
      </c>
      <c r="G110" s="1" t="s">
        <v>889</v>
      </c>
      <c r="H110" s="1" t="s">
        <v>16</v>
      </c>
      <c r="I110">
        <v>-11.514188000000001</v>
      </c>
      <c r="J110">
        <v>15.971181</v>
      </c>
      <c r="K110" s="1" t="s">
        <v>1495</v>
      </c>
      <c r="L110" s="1" t="s">
        <v>1496</v>
      </c>
      <c r="M110" s="1" t="s">
        <v>15</v>
      </c>
      <c r="N110" s="1" t="s">
        <v>16</v>
      </c>
      <c r="O110" s="1" t="str">
        <f>INT(Matrice1!$P110/12) &amp; " ans et " &amp; MOD(Matrice1!$P110,12) &amp; " mois"</f>
        <v>2 ans et 10 mois</v>
      </c>
      <c r="P110">
        <v>34</v>
      </c>
      <c r="Q110" s="1" t="s">
        <v>14</v>
      </c>
      <c r="R110" s="4">
        <f>Matrice1!$S110/1440</f>
        <v>0.31458333333333333</v>
      </c>
      <c r="S110">
        <v>453</v>
      </c>
      <c r="T110">
        <v>56.84</v>
      </c>
      <c r="U110">
        <v>0</v>
      </c>
      <c r="V110" s="8">
        <f>IF(Matrice1!$Q110="Pro Monde",10%,IF(AND(Matrice1!$R110&gt;12,Matrice1!$O110&gt;5),70%,IF(AND(OR(Matrice1!$R110&gt;=4,Matrice1!$R110&lt;=12,Matrice1!$O110&lt;5,(OR(Matrice1!$Q110="Premium ")))),45%,0%)))</f>
        <v>0.1</v>
      </c>
      <c r="W110">
        <f>Matrice1!$T110* (Matrice1!$V110/100)</f>
        <v>5.6840000000000002E-2</v>
      </c>
    </row>
    <row r="111" spans="1:23" x14ac:dyDescent="0.3">
      <c r="A111" s="1" t="s">
        <v>854</v>
      </c>
      <c r="B111" s="2">
        <v>45221</v>
      </c>
      <c r="C111" s="3">
        <v>0.77500000000000002</v>
      </c>
      <c r="D111" s="1" t="s">
        <v>889</v>
      </c>
      <c r="E111">
        <v>24</v>
      </c>
      <c r="F111" s="1" t="s">
        <v>807</v>
      </c>
      <c r="G111" s="1" t="s">
        <v>889</v>
      </c>
      <c r="H111" s="1" t="s">
        <v>16</v>
      </c>
      <c r="I111">
        <v>-11.514188000000001</v>
      </c>
      <c r="J111">
        <v>15.971181</v>
      </c>
      <c r="K111" s="1" t="s">
        <v>1495</v>
      </c>
      <c r="L111" s="1" t="s">
        <v>1496</v>
      </c>
      <c r="M111" s="1" t="s">
        <v>156</v>
      </c>
      <c r="N111" s="1" t="s">
        <v>16</v>
      </c>
      <c r="O111" s="1" t="str">
        <f>INT(Matrice1!$P111/12) &amp; " ans et " &amp; MOD(Matrice1!$P111,12) &amp; " mois"</f>
        <v>3 ans et 6 mois</v>
      </c>
      <c r="P111">
        <v>42</v>
      </c>
      <c r="Q111" s="1" t="s">
        <v>22</v>
      </c>
      <c r="R111" s="4">
        <f>Matrice1!$S111/1440</f>
        <v>0.12013888888888889</v>
      </c>
      <c r="S111">
        <v>173</v>
      </c>
      <c r="T111">
        <v>69.19</v>
      </c>
      <c r="U111">
        <v>4</v>
      </c>
      <c r="V111" s="8">
        <f>IF(Matrice1!$Q111="Pro Monde",10%,IF(AND(Matrice1!$R111&gt;12,Matrice1!$O111&gt;5),70%,IF(AND(OR(Matrice1!$R111&gt;=4,Matrice1!$R111&lt;=12,Matrice1!$O111&lt;5,(OR(Matrice1!$Q111="Premium ")))),45%,0%)))</f>
        <v>0.45</v>
      </c>
      <c r="W111">
        <f>Matrice1!$T111* (Matrice1!$V111/100)</f>
        <v>0.31135500000000005</v>
      </c>
    </row>
    <row r="112" spans="1:23" x14ac:dyDescent="0.3">
      <c r="A112" s="1" t="s">
        <v>854</v>
      </c>
      <c r="B112" s="2">
        <v>45221</v>
      </c>
      <c r="C112" s="3">
        <v>0.77500000000000002</v>
      </c>
      <c r="D112" s="1" t="s">
        <v>889</v>
      </c>
      <c r="E112">
        <v>24</v>
      </c>
      <c r="F112" s="1" t="s">
        <v>807</v>
      </c>
      <c r="G112" s="1" t="s">
        <v>889</v>
      </c>
      <c r="H112" s="1" t="s">
        <v>16</v>
      </c>
      <c r="I112">
        <v>-11.514188000000001</v>
      </c>
      <c r="J112">
        <v>15.971181</v>
      </c>
      <c r="K112" s="1" t="s">
        <v>1495</v>
      </c>
      <c r="L112" s="1" t="s">
        <v>1496</v>
      </c>
      <c r="M112" s="1" t="s">
        <v>208</v>
      </c>
      <c r="N112" s="1" t="s">
        <v>16</v>
      </c>
      <c r="O112" s="1" t="str">
        <f>INT(Matrice1!$P112/12) &amp; " ans et " &amp; MOD(Matrice1!$P112,12) &amp; " mois"</f>
        <v>5 ans et 4 mois</v>
      </c>
      <c r="P112">
        <v>64</v>
      </c>
      <c r="Q112" s="1" t="s">
        <v>14</v>
      </c>
      <c r="R112" s="4">
        <f>Matrice1!$S112/1440</f>
        <v>0.25694444444444442</v>
      </c>
      <c r="S112">
        <v>370</v>
      </c>
      <c r="T112">
        <v>95.74</v>
      </c>
      <c r="U112">
        <v>1</v>
      </c>
      <c r="V112" s="8">
        <f>IF(Matrice1!$Q112="Pro Monde",10%,IF(AND(Matrice1!$R112&gt;12,Matrice1!$O112&gt;5),70%,IF(AND(OR(Matrice1!$R112&gt;=4,Matrice1!$R112&lt;=12,Matrice1!$O112&lt;5,(OR(Matrice1!$Q112="Premium ")))),45%,0%)))</f>
        <v>0.1</v>
      </c>
      <c r="W112">
        <f>Matrice1!$T112* (Matrice1!$V112/100)</f>
        <v>9.5739999999999992E-2</v>
      </c>
    </row>
    <row r="113" spans="1:23" x14ac:dyDescent="0.3">
      <c r="A113" s="1" t="s">
        <v>854</v>
      </c>
      <c r="B113" s="2">
        <v>45221</v>
      </c>
      <c r="C113" s="3">
        <v>0.77500000000000002</v>
      </c>
      <c r="D113" s="1" t="s">
        <v>889</v>
      </c>
      <c r="E113">
        <v>24</v>
      </c>
      <c r="F113" s="1" t="s">
        <v>807</v>
      </c>
      <c r="G113" s="1" t="s">
        <v>889</v>
      </c>
      <c r="H113" s="1" t="s">
        <v>16</v>
      </c>
      <c r="I113">
        <v>-11.514188000000001</v>
      </c>
      <c r="J113">
        <v>15.971181</v>
      </c>
      <c r="K113" s="1" t="s">
        <v>1495</v>
      </c>
      <c r="L113" s="1" t="s">
        <v>1496</v>
      </c>
      <c r="M113" s="1" t="s">
        <v>222</v>
      </c>
      <c r="N113" s="1" t="s">
        <v>16</v>
      </c>
      <c r="O113" s="1" t="str">
        <f>INT(Matrice1!$P113/12) &amp; " ans et " &amp; MOD(Matrice1!$P113,12) &amp; " mois"</f>
        <v>2 ans et 2 mois</v>
      </c>
      <c r="P113">
        <v>26</v>
      </c>
      <c r="Q113" s="1" t="s">
        <v>19</v>
      </c>
      <c r="R113" s="4">
        <f>Matrice1!$S113/1440</f>
        <v>0.12083333333333333</v>
      </c>
      <c r="S113">
        <v>174</v>
      </c>
      <c r="T113">
        <v>90.53</v>
      </c>
      <c r="U113">
        <v>3</v>
      </c>
      <c r="V113" s="8">
        <f>IF(Matrice1!$Q113="Pro Monde",10%,IF(AND(Matrice1!$R113&gt;12,Matrice1!$O113&gt;5),70%,IF(AND(OR(Matrice1!$R113&gt;=4,Matrice1!$R113&lt;=12,Matrice1!$O113&lt;5,(OR(Matrice1!$Q113="Premium ")))),45%,0%)))</f>
        <v>0.45</v>
      </c>
      <c r="W113">
        <f>Matrice1!$T113* (Matrice1!$V113/100)</f>
        <v>0.40738500000000005</v>
      </c>
    </row>
    <row r="114" spans="1:23" x14ac:dyDescent="0.3">
      <c r="A114" s="1" t="s">
        <v>854</v>
      </c>
      <c r="B114" s="2">
        <v>45221</v>
      </c>
      <c r="C114" s="3">
        <v>0.77500000000000002</v>
      </c>
      <c r="D114" s="1" t="s">
        <v>889</v>
      </c>
      <c r="E114">
        <v>24</v>
      </c>
      <c r="F114" s="1" t="s">
        <v>807</v>
      </c>
      <c r="G114" s="1" t="s">
        <v>889</v>
      </c>
      <c r="H114" s="1" t="s">
        <v>16</v>
      </c>
      <c r="I114">
        <v>-11.514188000000001</v>
      </c>
      <c r="J114">
        <v>15.971181</v>
      </c>
      <c r="K114" s="1" t="s">
        <v>1495</v>
      </c>
      <c r="L114" s="1" t="s">
        <v>1496</v>
      </c>
      <c r="M114" s="1" t="s">
        <v>266</v>
      </c>
      <c r="N114" s="1" t="s">
        <v>16</v>
      </c>
      <c r="O114" s="1" t="str">
        <f>INT(Matrice1!$P114/12) &amp; " ans et " &amp; MOD(Matrice1!$P114,12) &amp; " mois"</f>
        <v>1 ans et 6 mois</v>
      </c>
      <c r="P114">
        <v>18</v>
      </c>
      <c r="Q114" s="1" t="s">
        <v>22</v>
      </c>
      <c r="R114" s="4">
        <f>Matrice1!$S114/1440</f>
        <v>2.361111111111111E-2</v>
      </c>
      <c r="S114">
        <v>34</v>
      </c>
      <c r="T114">
        <v>43.71</v>
      </c>
      <c r="U114">
        <v>1</v>
      </c>
      <c r="V114" s="8">
        <f>IF(Matrice1!$Q114="Pro Monde",10%,IF(AND(Matrice1!$R114&gt;12,Matrice1!$O114&gt;5),70%,IF(AND(OR(Matrice1!$R114&gt;=4,Matrice1!$R114&lt;=12,Matrice1!$O114&lt;5,(OR(Matrice1!$Q114="Premium ")))),45%,0%)))</f>
        <v>0.45</v>
      </c>
      <c r="W114">
        <f>Matrice1!$T114* (Matrice1!$V114/100)</f>
        <v>0.19669500000000004</v>
      </c>
    </row>
    <row r="115" spans="1:23" x14ac:dyDescent="0.3">
      <c r="A115" s="1" t="s">
        <v>854</v>
      </c>
      <c r="B115" s="2">
        <v>45221</v>
      </c>
      <c r="C115" s="3">
        <v>0.77500000000000002</v>
      </c>
      <c r="D115" s="1" t="s">
        <v>889</v>
      </c>
      <c r="E115">
        <v>24</v>
      </c>
      <c r="F115" s="1" t="s">
        <v>807</v>
      </c>
      <c r="G115" s="1" t="s">
        <v>889</v>
      </c>
      <c r="H115" s="1" t="s">
        <v>16</v>
      </c>
      <c r="I115">
        <v>-11.514188000000001</v>
      </c>
      <c r="J115">
        <v>15.971181</v>
      </c>
      <c r="K115" s="1" t="s">
        <v>1495</v>
      </c>
      <c r="L115" s="1" t="s">
        <v>1496</v>
      </c>
      <c r="M115" s="1" t="s">
        <v>343</v>
      </c>
      <c r="N115" s="1" t="s">
        <v>16</v>
      </c>
      <c r="O115" s="1" t="str">
        <f>INT(Matrice1!$P115/12) &amp; " ans et " &amp; MOD(Matrice1!$P115,12) &amp; " mois"</f>
        <v>6 ans et 4 mois</v>
      </c>
      <c r="P115">
        <v>76</v>
      </c>
      <c r="Q115" s="1" t="s">
        <v>19</v>
      </c>
      <c r="R115" s="4">
        <f>Matrice1!$S115/1440</f>
        <v>0.13333333333333333</v>
      </c>
      <c r="S115">
        <v>192</v>
      </c>
      <c r="T115">
        <v>68.53</v>
      </c>
      <c r="U115">
        <v>0</v>
      </c>
      <c r="V115" s="8">
        <f>IF(Matrice1!$Q115="Pro Monde",10%,IF(AND(Matrice1!$R115&gt;12,Matrice1!$O115&gt;5),70%,IF(AND(OR(Matrice1!$R115&gt;=4,Matrice1!$R115&lt;=12,Matrice1!$O115&lt;5,(OR(Matrice1!$Q115="Premium ")))),45%,0%)))</f>
        <v>0.45</v>
      </c>
      <c r="W115">
        <f>Matrice1!$T115* (Matrice1!$V115/100)</f>
        <v>0.30838500000000002</v>
      </c>
    </row>
    <row r="116" spans="1:23" x14ac:dyDescent="0.3">
      <c r="A116" s="1" t="s">
        <v>854</v>
      </c>
      <c r="B116" s="2">
        <v>45221</v>
      </c>
      <c r="C116" s="3">
        <v>0.77500000000000002</v>
      </c>
      <c r="D116" s="1" t="s">
        <v>889</v>
      </c>
      <c r="E116">
        <v>24</v>
      </c>
      <c r="F116" s="1" t="s">
        <v>807</v>
      </c>
      <c r="G116" s="1" t="s">
        <v>889</v>
      </c>
      <c r="H116" s="1" t="s">
        <v>16</v>
      </c>
      <c r="I116">
        <v>-11.514188000000001</v>
      </c>
      <c r="J116">
        <v>15.971181</v>
      </c>
      <c r="K116" s="1" t="s">
        <v>1495</v>
      </c>
      <c r="L116" s="1" t="s">
        <v>1496</v>
      </c>
      <c r="M116" s="1" t="s">
        <v>355</v>
      </c>
      <c r="N116" s="1" t="s">
        <v>16</v>
      </c>
      <c r="O116" s="1" t="str">
        <f>INT(Matrice1!$P116/12) &amp; " ans et " &amp; MOD(Matrice1!$P116,12) &amp; " mois"</f>
        <v>8 ans et 6 mois</v>
      </c>
      <c r="P116">
        <v>102</v>
      </c>
      <c r="Q116" s="1" t="s">
        <v>19</v>
      </c>
      <c r="R116" s="4">
        <f>Matrice1!$S116/1440</f>
        <v>6.3194444444444442E-2</v>
      </c>
      <c r="S116">
        <v>91</v>
      </c>
      <c r="T116">
        <v>34.64</v>
      </c>
      <c r="U116">
        <v>2</v>
      </c>
      <c r="V116" s="8">
        <f>IF(Matrice1!$Q116="Pro Monde",10%,IF(AND(Matrice1!$R116&gt;12,Matrice1!$O116&gt;5),70%,IF(AND(OR(Matrice1!$R116&gt;=4,Matrice1!$R116&lt;=12,Matrice1!$O116&lt;5,(OR(Matrice1!$Q116="Premium ")))),45%,0%)))</f>
        <v>0.45</v>
      </c>
      <c r="W116">
        <f>Matrice1!$T116* (Matrice1!$V116/100)</f>
        <v>0.15588000000000002</v>
      </c>
    </row>
    <row r="117" spans="1:23" x14ac:dyDescent="0.3">
      <c r="A117" s="1" t="s">
        <v>854</v>
      </c>
      <c r="B117" s="2">
        <v>45221</v>
      </c>
      <c r="C117" s="3">
        <v>0.77500000000000002</v>
      </c>
      <c r="D117" s="1" t="s">
        <v>889</v>
      </c>
      <c r="E117">
        <v>24</v>
      </c>
      <c r="F117" s="1" t="s">
        <v>807</v>
      </c>
      <c r="G117" s="1" t="s">
        <v>889</v>
      </c>
      <c r="H117" s="1" t="s">
        <v>16</v>
      </c>
      <c r="I117">
        <v>-11.514188000000001</v>
      </c>
      <c r="J117">
        <v>15.971181</v>
      </c>
      <c r="K117" s="1" t="s">
        <v>1495</v>
      </c>
      <c r="L117" s="1" t="s">
        <v>1496</v>
      </c>
      <c r="M117" s="1" t="s">
        <v>363</v>
      </c>
      <c r="N117" s="1" t="s">
        <v>16</v>
      </c>
      <c r="O117" s="1" t="str">
        <f>INT(Matrice1!$P117/12) &amp; " ans et " &amp; MOD(Matrice1!$P117,12) &amp; " mois"</f>
        <v>4 ans et 3 mois</v>
      </c>
      <c r="P117">
        <v>51</v>
      </c>
      <c r="Q117" s="1" t="s">
        <v>11</v>
      </c>
      <c r="R117" s="4">
        <f>Matrice1!$S117/1440</f>
        <v>0.15416666666666667</v>
      </c>
      <c r="S117">
        <v>222</v>
      </c>
      <c r="T117">
        <v>18.95</v>
      </c>
      <c r="U117">
        <v>4</v>
      </c>
      <c r="V117" s="8">
        <f>IF(Matrice1!$Q117="Pro Monde",10%,IF(AND(Matrice1!$R117&gt;12,Matrice1!$O117&gt;5),70%,IF(AND(OR(Matrice1!$R117&gt;=4,Matrice1!$R117&lt;=12,Matrice1!$O117&lt;5,(OR(Matrice1!$Q117="Premium ")))),45%,0%)))</f>
        <v>0.45</v>
      </c>
      <c r="W117">
        <f>Matrice1!$T117* (Matrice1!$V117/100)</f>
        <v>8.5275000000000004E-2</v>
      </c>
    </row>
    <row r="118" spans="1:23" x14ac:dyDescent="0.3">
      <c r="A118" s="1" t="s">
        <v>854</v>
      </c>
      <c r="B118" s="2">
        <v>45221</v>
      </c>
      <c r="C118" s="3">
        <v>0.77500000000000002</v>
      </c>
      <c r="D118" s="1" t="s">
        <v>889</v>
      </c>
      <c r="E118">
        <v>24</v>
      </c>
      <c r="F118" s="1" t="s">
        <v>807</v>
      </c>
      <c r="G118" s="1" t="s">
        <v>889</v>
      </c>
      <c r="H118" s="1" t="s">
        <v>16</v>
      </c>
      <c r="I118">
        <v>-11.514188000000001</v>
      </c>
      <c r="J118">
        <v>15.971181</v>
      </c>
      <c r="K118" s="1" t="s">
        <v>1495</v>
      </c>
      <c r="L118" s="1" t="s">
        <v>1496</v>
      </c>
      <c r="M118" s="1" t="s">
        <v>364</v>
      </c>
      <c r="N118" s="1" t="s">
        <v>16</v>
      </c>
      <c r="O118" s="1" t="str">
        <f>INT(Matrice1!$P118/12) &amp; " ans et " &amp; MOD(Matrice1!$P118,12) &amp; " mois"</f>
        <v>0 ans et 2 mois</v>
      </c>
      <c r="P118">
        <v>2</v>
      </c>
      <c r="Q118" s="1" t="s">
        <v>14</v>
      </c>
      <c r="R118" s="4">
        <f>Matrice1!$S118/1440</f>
        <v>0.34444444444444444</v>
      </c>
      <c r="S118">
        <v>496</v>
      </c>
      <c r="T118">
        <v>15.71</v>
      </c>
      <c r="U118">
        <v>3</v>
      </c>
      <c r="V118" s="8">
        <f>IF(Matrice1!$Q118="Pro Monde",10%,IF(AND(Matrice1!$R118&gt;12,Matrice1!$O118&gt;5),70%,IF(AND(OR(Matrice1!$R118&gt;=4,Matrice1!$R118&lt;=12,Matrice1!$O118&lt;5,(OR(Matrice1!$Q118="Premium ")))),45%,0%)))</f>
        <v>0.1</v>
      </c>
      <c r="W118">
        <f>Matrice1!$T118* (Matrice1!$V118/100)</f>
        <v>1.5710000000000002E-2</v>
      </c>
    </row>
    <row r="119" spans="1:23" x14ac:dyDescent="0.3">
      <c r="A119" s="1" t="s">
        <v>854</v>
      </c>
      <c r="B119" s="2">
        <v>45221</v>
      </c>
      <c r="C119" s="3">
        <v>0.77500000000000002</v>
      </c>
      <c r="D119" s="1" t="s">
        <v>889</v>
      </c>
      <c r="E119">
        <v>24</v>
      </c>
      <c r="F119" s="1" t="s">
        <v>807</v>
      </c>
      <c r="G119" s="1" t="s">
        <v>889</v>
      </c>
      <c r="H119" s="1" t="s">
        <v>16</v>
      </c>
      <c r="I119">
        <v>-11.514188000000001</v>
      </c>
      <c r="J119">
        <v>15.971181</v>
      </c>
      <c r="K119" s="1" t="s">
        <v>1495</v>
      </c>
      <c r="L119" s="1" t="s">
        <v>1496</v>
      </c>
      <c r="M119" s="1" t="s">
        <v>396</v>
      </c>
      <c r="N119" s="1" t="s">
        <v>16</v>
      </c>
      <c r="O119" s="1" t="str">
        <f>INT(Matrice1!$P119/12) &amp; " ans et " &amp; MOD(Matrice1!$P119,12) &amp; " mois"</f>
        <v>9 ans et 9 mois</v>
      </c>
      <c r="P119">
        <v>117</v>
      </c>
      <c r="Q119" s="1" t="s">
        <v>22</v>
      </c>
      <c r="R119" s="4">
        <f>Matrice1!$S119/1440</f>
        <v>0.23472222222222222</v>
      </c>
      <c r="S119">
        <v>338</v>
      </c>
      <c r="T119">
        <v>29.18</v>
      </c>
      <c r="U119">
        <v>5</v>
      </c>
      <c r="V119" s="8">
        <f>IF(Matrice1!$Q119="Pro Monde",10%,IF(AND(Matrice1!$R119&gt;12,Matrice1!$O119&gt;5),70%,IF(AND(OR(Matrice1!$R119&gt;=4,Matrice1!$R119&lt;=12,Matrice1!$O119&lt;5,(OR(Matrice1!$Q119="Premium ")))),45%,0%)))</f>
        <v>0.45</v>
      </c>
      <c r="W119">
        <f>Matrice1!$T119* (Matrice1!$V119/100)</f>
        <v>0.13131000000000001</v>
      </c>
    </row>
    <row r="120" spans="1:23" x14ac:dyDescent="0.3">
      <c r="A120" s="1" t="s">
        <v>854</v>
      </c>
      <c r="B120" s="2">
        <v>45221</v>
      </c>
      <c r="C120" s="3">
        <v>0.77500000000000002</v>
      </c>
      <c r="D120" s="1" t="s">
        <v>889</v>
      </c>
      <c r="E120">
        <v>24</v>
      </c>
      <c r="F120" s="1" t="s">
        <v>807</v>
      </c>
      <c r="G120" s="1" t="s">
        <v>889</v>
      </c>
      <c r="H120" s="1" t="s">
        <v>16</v>
      </c>
      <c r="I120">
        <v>-11.514188000000001</v>
      </c>
      <c r="J120">
        <v>15.971181</v>
      </c>
      <c r="K120" s="1" t="s">
        <v>1495</v>
      </c>
      <c r="L120" s="1" t="s">
        <v>1496</v>
      </c>
      <c r="M120" s="1" t="s">
        <v>409</v>
      </c>
      <c r="N120" s="1" t="s">
        <v>16</v>
      </c>
      <c r="O120" s="1" t="str">
        <f>INT(Matrice1!$P120/12) &amp; " ans et " &amp; MOD(Matrice1!$P120,12) &amp; " mois"</f>
        <v>4 ans et 1 mois</v>
      </c>
      <c r="P120">
        <v>49</v>
      </c>
      <c r="Q120" s="1" t="s">
        <v>22</v>
      </c>
      <c r="R120" s="4">
        <f>Matrice1!$S120/1440</f>
        <v>5.9722222222222225E-2</v>
      </c>
      <c r="S120">
        <v>86</v>
      </c>
      <c r="T120">
        <v>65.400000000000006</v>
      </c>
      <c r="U120">
        <v>2</v>
      </c>
      <c r="V120" s="8">
        <f>IF(Matrice1!$Q120="Pro Monde",10%,IF(AND(Matrice1!$R120&gt;12,Matrice1!$O120&gt;5),70%,IF(AND(OR(Matrice1!$R120&gt;=4,Matrice1!$R120&lt;=12,Matrice1!$O120&lt;5,(OR(Matrice1!$Q120="Premium ")))),45%,0%)))</f>
        <v>0.45</v>
      </c>
      <c r="W120">
        <f>Matrice1!$T120* (Matrice1!$V120/100)</f>
        <v>0.29430000000000006</v>
      </c>
    </row>
    <row r="121" spans="1:23" x14ac:dyDescent="0.3">
      <c r="A121" s="1" t="s">
        <v>854</v>
      </c>
      <c r="B121" s="2">
        <v>45221</v>
      </c>
      <c r="C121" s="3">
        <v>0.77500000000000002</v>
      </c>
      <c r="D121" s="1" t="s">
        <v>889</v>
      </c>
      <c r="E121">
        <v>24</v>
      </c>
      <c r="F121" s="1" t="s">
        <v>807</v>
      </c>
      <c r="G121" s="1" t="s">
        <v>889</v>
      </c>
      <c r="H121" s="1" t="s">
        <v>16</v>
      </c>
      <c r="I121">
        <v>-11.514188000000001</v>
      </c>
      <c r="J121">
        <v>15.971181</v>
      </c>
      <c r="K121" s="1" t="s">
        <v>1495</v>
      </c>
      <c r="L121" s="1" t="s">
        <v>1496</v>
      </c>
      <c r="M121" s="1" t="s">
        <v>412</v>
      </c>
      <c r="N121" s="1" t="s">
        <v>16</v>
      </c>
      <c r="O121" s="1" t="str">
        <f>INT(Matrice1!$P121/12) &amp; " ans et " &amp; MOD(Matrice1!$P121,12) &amp; " mois"</f>
        <v>9 ans et 11 mois</v>
      </c>
      <c r="P121">
        <v>119</v>
      </c>
      <c r="Q121" s="1" t="s">
        <v>14</v>
      </c>
      <c r="R121" s="4">
        <f>Matrice1!$S121/1440</f>
        <v>0.31319444444444444</v>
      </c>
      <c r="S121">
        <v>451</v>
      </c>
      <c r="T121">
        <v>10.46</v>
      </c>
      <c r="U121">
        <v>5</v>
      </c>
      <c r="V121" s="8">
        <f>IF(Matrice1!$Q121="Pro Monde",10%,IF(AND(Matrice1!$R121&gt;12,Matrice1!$O121&gt;5),70%,IF(AND(OR(Matrice1!$R121&gt;=4,Matrice1!$R121&lt;=12,Matrice1!$O121&lt;5,(OR(Matrice1!$Q121="Premium ")))),45%,0%)))</f>
        <v>0.1</v>
      </c>
      <c r="W121">
        <f>Matrice1!$T121* (Matrice1!$V121/100)</f>
        <v>1.0460000000000001E-2</v>
      </c>
    </row>
    <row r="122" spans="1:23" x14ac:dyDescent="0.3">
      <c r="A122" s="1" t="s">
        <v>854</v>
      </c>
      <c r="B122" s="2">
        <v>45221</v>
      </c>
      <c r="C122" s="3">
        <v>0.77500000000000002</v>
      </c>
      <c r="D122" s="1" t="s">
        <v>889</v>
      </c>
      <c r="E122">
        <v>24</v>
      </c>
      <c r="F122" s="1" t="s">
        <v>807</v>
      </c>
      <c r="G122" s="1" t="s">
        <v>889</v>
      </c>
      <c r="H122" s="1" t="s">
        <v>16</v>
      </c>
      <c r="I122">
        <v>-11.514188000000001</v>
      </c>
      <c r="J122">
        <v>15.971181</v>
      </c>
      <c r="K122" s="1" t="s">
        <v>1495</v>
      </c>
      <c r="L122" s="1" t="s">
        <v>1496</v>
      </c>
      <c r="M122" s="1" t="s">
        <v>414</v>
      </c>
      <c r="N122" s="1" t="s">
        <v>16</v>
      </c>
      <c r="O122" s="1" t="str">
        <f>INT(Matrice1!$P122/12) &amp; " ans et " &amp; MOD(Matrice1!$P122,12) &amp; " mois"</f>
        <v>1 ans et 11 mois</v>
      </c>
      <c r="P122">
        <v>23</v>
      </c>
      <c r="Q122" s="1" t="s">
        <v>11</v>
      </c>
      <c r="R122" s="4">
        <f>Matrice1!$S122/1440</f>
        <v>0.18611111111111112</v>
      </c>
      <c r="S122">
        <v>268</v>
      </c>
      <c r="T122">
        <v>26.75</v>
      </c>
      <c r="U122">
        <v>3</v>
      </c>
      <c r="V122" s="8">
        <f>IF(Matrice1!$Q122="Pro Monde",10%,IF(AND(Matrice1!$R122&gt;12,Matrice1!$O122&gt;5),70%,IF(AND(OR(Matrice1!$R122&gt;=4,Matrice1!$R122&lt;=12,Matrice1!$O122&lt;5,(OR(Matrice1!$Q122="Premium ")))),45%,0%)))</f>
        <v>0.45</v>
      </c>
      <c r="W122">
        <f>Matrice1!$T122* (Matrice1!$V122/100)</f>
        <v>0.12037500000000001</v>
      </c>
    </row>
    <row r="123" spans="1:23" x14ac:dyDescent="0.3">
      <c r="A123" s="1" t="s">
        <v>854</v>
      </c>
      <c r="B123" s="2">
        <v>45221</v>
      </c>
      <c r="C123" s="3">
        <v>0.77500000000000002</v>
      </c>
      <c r="D123" s="1" t="s">
        <v>889</v>
      </c>
      <c r="E123">
        <v>24</v>
      </c>
      <c r="F123" s="1" t="s">
        <v>807</v>
      </c>
      <c r="G123" s="1" t="s">
        <v>889</v>
      </c>
      <c r="H123" s="1" t="s">
        <v>16</v>
      </c>
      <c r="I123">
        <v>-11.514188000000001</v>
      </c>
      <c r="J123">
        <v>15.971181</v>
      </c>
      <c r="K123" s="1" t="s">
        <v>1495</v>
      </c>
      <c r="L123" s="1" t="s">
        <v>1496</v>
      </c>
      <c r="M123" s="1" t="s">
        <v>420</v>
      </c>
      <c r="N123" s="1" t="s">
        <v>16</v>
      </c>
      <c r="O123" s="1" t="str">
        <f>INT(Matrice1!$P123/12) &amp; " ans et " &amp; MOD(Matrice1!$P123,12) &amp; " mois"</f>
        <v>8 ans et 10 mois</v>
      </c>
      <c r="P123">
        <v>106</v>
      </c>
      <c r="Q123" s="1" t="s">
        <v>14</v>
      </c>
      <c r="R123" s="4">
        <f>Matrice1!$S123/1440</f>
        <v>0.29791666666666666</v>
      </c>
      <c r="S123">
        <v>429</v>
      </c>
      <c r="T123">
        <v>23.83</v>
      </c>
      <c r="U123">
        <v>1</v>
      </c>
      <c r="V123" s="8">
        <f>IF(Matrice1!$Q123="Pro Monde",10%,IF(AND(Matrice1!$R123&gt;12,Matrice1!$O123&gt;5),70%,IF(AND(OR(Matrice1!$R123&gt;=4,Matrice1!$R123&lt;=12,Matrice1!$O123&lt;5,(OR(Matrice1!$Q123="Premium ")))),45%,0%)))</f>
        <v>0.1</v>
      </c>
      <c r="W123">
        <f>Matrice1!$T123* (Matrice1!$V123/100)</f>
        <v>2.383E-2</v>
      </c>
    </row>
    <row r="124" spans="1:23" x14ac:dyDescent="0.3">
      <c r="A124" s="1" t="s">
        <v>854</v>
      </c>
      <c r="B124" s="2">
        <v>45221</v>
      </c>
      <c r="C124" s="3">
        <v>0.77500000000000002</v>
      </c>
      <c r="D124" s="1" t="s">
        <v>889</v>
      </c>
      <c r="E124">
        <v>24</v>
      </c>
      <c r="F124" s="1" t="s">
        <v>807</v>
      </c>
      <c r="G124" s="1" t="s">
        <v>889</v>
      </c>
      <c r="H124" s="1" t="s">
        <v>16</v>
      </c>
      <c r="I124">
        <v>-11.514188000000001</v>
      </c>
      <c r="J124">
        <v>15.971181</v>
      </c>
      <c r="K124" s="1" t="s">
        <v>1495</v>
      </c>
      <c r="L124" s="1" t="s">
        <v>1496</v>
      </c>
      <c r="M124" s="1" t="s">
        <v>443</v>
      </c>
      <c r="N124" s="1" t="s">
        <v>16</v>
      </c>
      <c r="O124" s="1" t="str">
        <f>INT(Matrice1!$P124/12) &amp; " ans et " &amp; MOD(Matrice1!$P124,12) &amp; " mois"</f>
        <v>7 ans et 11 mois</v>
      </c>
      <c r="P124">
        <v>95</v>
      </c>
      <c r="Q124" s="1" t="s">
        <v>11</v>
      </c>
      <c r="R124" s="4">
        <f>Matrice1!$S124/1440</f>
        <v>0.10277777777777777</v>
      </c>
      <c r="S124">
        <v>148</v>
      </c>
      <c r="T124">
        <v>76.95</v>
      </c>
      <c r="U124">
        <v>5</v>
      </c>
      <c r="V124" s="8">
        <f>IF(Matrice1!$Q124="Pro Monde",10%,IF(AND(Matrice1!$R124&gt;12,Matrice1!$O124&gt;5),70%,IF(AND(OR(Matrice1!$R124&gt;=4,Matrice1!$R124&lt;=12,Matrice1!$O124&lt;5,(OR(Matrice1!$Q124="Premium ")))),45%,0%)))</f>
        <v>0.45</v>
      </c>
      <c r="W124">
        <f>Matrice1!$T124* (Matrice1!$V124/100)</f>
        <v>0.34627500000000005</v>
      </c>
    </row>
    <row r="125" spans="1:23" x14ac:dyDescent="0.3">
      <c r="A125" s="1" t="s">
        <v>854</v>
      </c>
      <c r="B125" s="2">
        <v>45221</v>
      </c>
      <c r="C125" s="3">
        <v>0.77500000000000002</v>
      </c>
      <c r="D125" s="1" t="s">
        <v>889</v>
      </c>
      <c r="E125">
        <v>24</v>
      </c>
      <c r="F125" s="1" t="s">
        <v>807</v>
      </c>
      <c r="G125" s="1" t="s">
        <v>889</v>
      </c>
      <c r="H125" s="1" t="s">
        <v>16</v>
      </c>
      <c r="I125">
        <v>-11.514188000000001</v>
      </c>
      <c r="J125">
        <v>15.971181</v>
      </c>
      <c r="K125" s="1" t="s">
        <v>1495</v>
      </c>
      <c r="L125" s="1" t="s">
        <v>1496</v>
      </c>
      <c r="M125" s="1" t="s">
        <v>464</v>
      </c>
      <c r="N125" s="1" t="s">
        <v>16</v>
      </c>
      <c r="O125" s="1" t="str">
        <f>INT(Matrice1!$P125/12) &amp; " ans et " &amp; MOD(Matrice1!$P125,12) &amp; " mois"</f>
        <v>8 ans et 0 mois</v>
      </c>
      <c r="P125">
        <v>96</v>
      </c>
      <c r="Q125" s="1" t="s">
        <v>22</v>
      </c>
      <c r="R125" s="4">
        <f>Matrice1!$S125/1440</f>
        <v>0.1076388888888889</v>
      </c>
      <c r="S125">
        <v>155</v>
      </c>
      <c r="T125">
        <v>69.16</v>
      </c>
      <c r="U125">
        <v>4</v>
      </c>
      <c r="V125" s="8">
        <f>IF(Matrice1!$Q125="Pro Monde",10%,IF(AND(Matrice1!$R125&gt;12,Matrice1!$O125&gt;5),70%,IF(AND(OR(Matrice1!$R125&gt;=4,Matrice1!$R125&lt;=12,Matrice1!$O125&lt;5,(OR(Matrice1!$Q125="Premium ")))),45%,0%)))</f>
        <v>0.45</v>
      </c>
      <c r="W125">
        <f>Matrice1!$T125* (Matrice1!$V125/100)</f>
        <v>0.31122</v>
      </c>
    </row>
    <row r="126" spans="1:23" x14ac:dyDescent="0.3">
      <c r="A126" s="1" t="s">
        <v>854</v>
      </c>
      <c r="B126" s="2">
        <v>45221</v>
      </c>
      <c r="C126" s="3">
        <v>0.77500000000000002</v>
      </c>
      <c r="D126" s="1" t="s">
        <v>889</v>
      </c>
      <c r="E126">
        <v>24</v>
      </c>
      <c r="F126" s="1" t="s">
        <v>807</v>
      </c>
      <c r="G126" s="1" t="s">
        <v>889</v>
      </c>
      <c r="H126" s="1" t="s">
        <v>16</v>
      </c>
      <c r="I126">
        <v>-11.514188000000001</v>
      </c>
      <c r="J126">
        <v>15.971181</v>
      </c>
      <c r="K126" s="1" t="s">
        <v>1495</v>
      </c>
      <c r="L126" s="1" t="s">
        <v>1496</v>
      </c>
      <c r="M126" s="1" t="s">
        <v>465</v>
      </c>
      <c r="N126" s="1" t="s">
        <v>16</v>
      </c>
      <c r="O126" s="1" t="str">
        <f>INT(Matrice1!$P126/12) &amp; " ans et " &amp; MOD(Matrice1!$P126,12) &amp; " mois"</f>
        <v>3 ans et 6 mois</v>
      </c>
      <c r="P126">
        <v>42</v>
      </c>
      <c r="Q126" s="1" t="s">
        <v>19</v>
      </c>
      <c r="R126" s="4">
        <f>Matrice1!$S126/1440</f>
        <v>0.30277777777777776</v>
      </c>
      <c r="S126">
        <v>436</v>
      </c>
      <c r="T126">
        <v>88.12</v>
      </c>
      <c r="U126">
        <v>0</v>
      </c>
      <c r="V126" s="8">
        <f>IF(Matrice1!$Q126="Pro Monde",10%,IF(AND(Matrice1!$R126&gt;12,Matrice1!$O126&gt;5),70%,IF(AND(OR(Matrice1!$R126&gt;=4,Matrice1!$R126&lt;=12,Matrice1!$O126&lt;5,(OR(Matrice1!$Q126="Premium ")))),45%,0%)))</f>
        <v>0.45</v>
      </c>
      <c r="W126">
        <f>Matrice1!$T126* (Matrice1!$V126/100)</f>
        <v>0.39654000000000006</v>
      </c>
    </row>
    <row r="127" spans="1:23" x14ac:dyDescent="0.3">
      <c r="A127" s="1" t="s">
        <v>854</v>
      </c>
      <c r="B127" s="2">
        <v>45221</v>
      </c>
      <c r="C127" s="3">
        <v>0.77500000000000002</v>
      </c>
      <c r="D127" s="1" t="s">
        <v>889</v>
      </c>
      <c r="E127">
        <v>24</v>
      </c>
      <c r="F127" s="1" t="s">
        <v>807</v>
      </c>
      <c r="G127" s="1" t="s">
        <v>889</v>
      </c>
      <c r="H127" s="1" t="s">
        <v>16</v>
      </c>
      <c r="I127">
        <v>-11.514188000000001</v>
      </c>
      <c r="J127">
        <v>15.971181</v>
      </c>
      <c r="K127" s="1" t="s">
        <v>1495</v>
      </c>
      <c r="L127" s="1" t="s">
        <v>1496</v>
      </c>
      <c r="M127" s="1" t="s">
        <v>486</v>
      </c>
      <c r="N127" s="1" t="s">
        <v>16</v>
      </c>
      <c r="O127" s="1" t="str">
        <f>INT(Matrice1!$P127/12) &amp; " ans et " &amp; MOD(Matrice1!$P127,12) &amp; " mois"</f>
        <v>8 ans et 3 mois</v>
      </c>
      <c r="P127">
        <v>99</v>
      </c>
      <c r="Q127" s="1" t="s">
        <v>14</v>
      </c>
      <c r="R127" s="4">
        <f>Matrice1!$S127/1440</f>
        <v>9.583333333333334E-2</v>
      </c>
      <c r="S127">
        <v>138</v>
      </c>
      <c r="T127">
        <v>54.64</v>
      </c>
      <c r="U127">
        <v>5</v>
      </c>
      <c r="V127" s="8">
        <f>IF(Matrice1!$Q127="Pro Monde",10%,IF(AND(Matrice1!$R127&gt;12,Matrice1!$O127&gt;5),70%,IF(AND(OR(Matrice1!$R127&gt;=4,Matrice1!$R127&lt;=12,Matrice1!$O127&lt;5,(OR(Matrice1!$Q127="Premium ")))),45%,0%)))</f>
        <v>0.1</v>
      </c>
      <c r="W127">
        <f>Matrice1!$T127* (Matrice1!$V127/100)</f>
        <v>5.4640000000000001E-2</v>
      </c>
    </row>
    <row r="128" spans="1:23" x14ac:dyDescent="0.3">
      <c r="A128" s="1" t="s">
        <v>854</v>
      </c>
      <c r="B128" s="2">
        <v>45221</v>
      </c>
      <c r="C128" s="3">
        <v>0.77500000000000002</v>
      </c>
      <c r="D128" s="1" t="s">
        <v>889</v>
      </c>
      <c r="E128">
        <v>24</v>
      </c>
      <c r="F128" s="1" t="s">
        <v>807</v>
      </c>
      <c r="G128" s="1" t="s">
        <v>889</v>
      </c>
      <c r="H128" s="1" t="s">
        <v>16</v>
      </c>
      <c r="I128">
        <v>-11.514188000000001</v>
      </c>
      <c r="J128">
        <v>15.971181</v>
      </c>
      <c r="K128" s="1" t="s">
        <v>1495</v>
      </c>
      <c r="L128" s="1" t="s">
        <v>1496</v>
      </c>
      <c r="M128" s="1" t="s">
        <v>499</v>
      </c>
      <c r="N128" s="1" t="s">
        <v>16</v>
      </c>
      <c r="O128" s="1" t="str">
        <f>INT(Matrice1!$P128/12) &amp; " ans et " &amp; MOD(Matrice1!$P128,12) &amp; " mois"</f>
        <v>7 ans et 3 mois</v>
      </c>
      <c r="P128">
        <v>87</v>
      </c>
      <c r="Q128" s="1" t="s">
        <v>11</v>
      </c>
      <c r="R128" s="4">
        <f>Matrice1!$S128/1440</f>
        <v>0.24722222222222223</v>
      </c>
      <c r="S128">
        <v>356</v>
      </c>
      <c r="T128">
        <v>12.89</v>
      </c>
      <c r="U128">
        <v>0</v>
      </c>
      <c r="V128" s="8">
        <f>IF(Matrice1!$Q128="Pro Monde",10%,IF(AND(Matrice1!$R128&gt;12,Matrice1!$O128&gt;5),70%,IF(AND(OR(Matrice1!$R128&gt;=4,Matrice1!$R128&lt;=12,Matrice1!$O128&lt;5,(OR(Matrice1!$Q128="Premium ")))),45%,0%)))</f>
        <v>0.45</v>
      </c>
      <c r="W128">
        <f>Matrice1!$T128* (Matrice1!$V128/100)</f>
        <v>5.8005000000000008E-2</v>
      </c>
    </row>
    <row r="129" spans="1:23" x14ac:dyDescent="0.3">
      <c r="A129" s="1" t="s">
        <v>854</v>
      </c>
      <c r="B129" s="2">
        <v>45221</v>
      </c>
      <c r="C129" s="3">
        <v>0.77500000000000002</v>
      </c>
      <c r="D129" s="1" t="s">
        <v>889</v>
      </c>
      <c r="E129">
        <v>24</v>
      </c>
      <c r="F129" s="1" t="s">
        <v>807</v>
      </c>
      <c r="G129" s="1" t="s">
        <v>889</v>
      </c>
      <c r="H129" s="1" t="s">
        <v>16</v>
      </c>
      <c r="I129">
        <v>-11.514188000000001</v>
      </c>
      <c r="J129">
        <v>15.971181</v>
      </c>
      <c r="K129" s="1" t="s">
        <v>1495</v>
      </c>
      <c r="L129" s="1" t="s">
        <v>1496</v>
      </c>
      <c r="M129" s="1" t="s">
        <v>519</v>
      </c>
      <c r="N129" s="1" t="s">
        <v>16</v>
      </c>
      <c r="O129" s="1" t="str">
        <f>INT(Matrice1!$P129/12) &amp; " ans et " &amp; MOD(Matrice1!$P129,12) &amp; " mois"</f>
        <v>8 ans et 8 mois</v>
      </c>
      <c r="P129">
        <v>104</v>
      </c>
      <c r="Q129" s="1" t="s">
        <v>14</v>
      </c>
      <c r="R129" s="4">
        <f>Matrice1!$S129/1440</f>
        <v>8.6805555555555552E-2</v>
      </c>
      <c r="S129">
        <v>125</v>
      </c>
      <c r="T129">
        <v>29.7</v>
      </c>
      <c r="U129">
        <v>2</v>
      </c>
      <c r="V129" s="8">
        <f>IF(Matrice1!$Q129="Pro Monde",10%,IF(AND(Matrice1!$R129&gt;12,Matrice1!$O129&gt;5),70%,IF(AND(OR(Matrice1!$R129&gt;=4,Matrice1!$R129&lt;=12,Matrice1!$O129&lt;5,(OR(Matrice1!$Q129="Premium ")))),45%,0%)))</f>
        <v>0.1</v>
      </c>
      <c r="W129">
        <f>Matrice1!$T129* (Matrice1!$V129/100)</f>
        <v>2.9700000000000001E-2</v>
      </c>
    </row>
    <row r="130" spans="1:23" x14ac:dyDescent="0.3">
      <c r="A130" s="1" t="s">
        <v>854</v>
      </c>
      <c r="B130" s="2">
        <v>45221</v>
      </c>
      <c r="C130" s="3">
        <v>0.77500000000000002</v>
      </c>
      <c r="D130" s="1" t="s">
        <v>889</v>
      </c>
      <c r="E130">
        <v>24</v>
      </c>
      <c r="F130" s="1" t="s">
        <v>807</v>
      </c>
      <c r="G130" s="1" t="s">
        <v>889</v>
      </c>
      <c r="H130" s="1" t="s">
        <v>16</v>
      </c>
      <c r="I130">
        <v>-11.514188000000001</v>
      </c>
      <c r="J130">
        <v>15.971181</v>
      </c>
      <c r="K130" s="1" t="s">
        <v>1495</v>
      </c>
      <c r="L130" s="1" t="s">
        <v>1496</v>
      </c>
      <c r="M130" s="1" t="s">
        <v>547</v>
      </c>
      <c r="N130" s="1" t="s">
        <v>16</v>
      </c>
      <c r="O130" s="1" t="str">
        <f>INT(Matrice1!$P130/12) &amp; " ans et " &amp; MOD(Matrice1!$P130,12) &amp; " mois"</f>
        <v>10 ans et 0 mois</v>
      </c>
      <c r="P130">
        <v>120</v>
      </c>
      <c r="Q130" s="1" t="s">
        <v>19</v>
      </c>
      <c r="R130" s="4">
        <f>Matrice1!$S130/1440</f>
        <v>1.8749999999999999E-2</v>
      </c>
      <c r="S130">
        <v>27</v>
      </c>
      <c r="T130">
        <v>24.46</v>
      </c>
      <c r="U130">
        <v>3</v>
      </c>
      <c r="V130" s="8">
        <f>IF(Matrice1!$Q130="Pro Monde",10%,IF(AND(Matrice1!$R130&gt;12,Matrice1!$O130&gt;5),70%,IF(AND(OR(Matrice1!$R130&gt;=4,Matrice1!$R130&lt;=12,Matrice1!$O130&lt;5,(OR(Matrice1!$Q130="Premium ")))),45%,0%)))</f>
        <v>0.45</v>
      </c>
      <c r="W130">
        <f>Matrice1!$T130* (Matrice1!$V130/100)</f>
        <v>0.11007000000000002</v>
      </c>
    </row>
    <row r="131" spans="1:23" x14ac:dyDescent="0.3">
      <c r="A131" s="1" t="s">
        <v>854</v>
      </c>
      <c r="B131" s="2">
        <v>45221</v>
      </c>
      <c r="C131" s="3">
        <v>0.77500000000000002</v>
      </c>
      <c r="D131" s="1" t="s">
        <v>889</v>
      </c>
      <c r="E131">
        <v>24</v>
      </c>
      <c r="F131" s="1" t="s">
        <v>807</v>
      </c>
      <c r="G131" s="1" t="s">
        <v>889</v>
      </c>
      <c r="H131" s="1" t="s">
        <v>16</v>
      </c>
      <c r="I131">
        <v>-11.514188000000001</v>
      </c>
      <c r="J131">
        <v>15.971181</v>
      </c>
      <c r="K131" s="1" t="s">
        <v>1495</v>
      </c>
      <c r="L131" s="1" t="s">
        <v>1496</v>
      </c>
      <c r="M131" s="1" t="s">
        <v>556</v>
      </c>
      <c r="N131" s="1" t="s">
        <v>16</v>
      </c>
      <c r="O131" s="1" t="str">
        <f>INT(Matrice1!$P131/12) &amp; " ans et " &amp; MOD(Matrice1!$P131,12) &amp; " mois"</f>
        <v>0 ans et 10 mois</v>
      </c>
      <c r="P131">
        <v>10</v>
      </c>
      <c r="Q131" s="1" t="s">
        <v>14</v>
      </c>
      <c r="R131" s="4">
        <f>Matrice1!$S131/1440</f>
        <v>8.9583333333333334E-2</v>
      </c>
      <c r="S131">
        <v>129</v>
      </c>
      <c r="T131">
        <v>70.12</v>
      </c>
      <c r="U131">
        <v>0</v>
      </c>
      <c r="V131" s="8">
        <f>IF(Matrice1!$Q131="Pro Monde",10%,IF(AND(Matrice1!$R131&gt;12,Matrice1!$O131&gt;5),70%,IF(AND(OR(Matrice1!$R131&gt;=4,Matrice1!$R131&lt;=12,Matrice1!$O131&lt;5,(OR(Matrice1!$Q131="Premium ")))),45%,0%)))</f>
        <v>0.1</v>
      </c>
      <c r="W131">
        <f>Matrice1!$T131* (Matrice1!$V131/100)</f>
        <v>7.0120000000000002E-2</v>
      </c>
    </row>
    <row r="132" spans="1:23" x14ac:dyDescent="0.3">
      <c r="A132" s="1" t="s">
        <v>898</v>
      </c>
      <c r="B132" s="2">
        <v>45210</v>
      </c>
      <c r="C132" s="3">
        <v>0.56805555555555554</v>
      </c>
      <c r="D132" s="1" t="s">
        <v>904</v>
      </c>
      <c r="E132">
        <v>96</v>
      </c>
      <c r="F132" s="1" t="s">
        <v>807</v>
      </c>
      <c r="G132" s="1" t="s">
        <v>904</v>
      </c>
      <c r="H132" s="1" t="s">
        <v>64</v>
      </c>
      <c r="I132">
        <v>-5.4126279999999998</v>
      </c>
      <c r="J132">
        <v>25.498235999999999</v>
      </c>
      <c r="K132" s="1" t="s">
        <v>1495</v>
      </c>
      <c r="L132" s="1" t="s">
        <v>1501</v>
      </c>
      <c r="M132" s="1" t="s">
        <v>63</v>
      </c>
      <c r="N132" s="1" t="s">
        <v>64</v>
      </c>
      <c r="O132" s="1" t="str">
        <f>INT(Matrice1!$P132/12) &amp; " ans et " &amp; MOD(Matrice1!$P132,12) &amp; " mois"</f>
        <v>6 ans et 7 mois</v>
      </c>
      <c r="P132">
        <v>79</v>
      </c>
      <c r="Q132" s="1" t="s">
        <v>11</v>
      </c>
      <c r="R132" s="4">
        <f>Matrice1!$S132/1440</f>
        <v>0.15694444444444444</v>
      </c>
      <c r="S132">
        <v>226</v>
      </c>
      <c r="T132">
        <v>94.38</v>
      </c>
      <c r="U132">
        <v>3</v>
      </c>
      <c r="V132" s="8">
        <f>IF(Matrice1!$Q132="Pro Monde",10%,IF(AND(Matrice1!$R132&gt;12,Matrice1!$O132&gt;5),70%,IF(AND(OR(Matrice1!$R132&gt;=4,Matrice1!$R132&lt;=12,Matrice1!$O132&lt;5,(OR(Matrice1!$Q132="Premium ")))),45%,0%)))</f>
        <v>0.45</v>
      </c>
      <c r="W132">
        <f>Matrice1!$T132* (Matrice1!$V132/100)</f>
        <v>0.42471000000000003</v>
      </c>
    </row>
    <row r="133" spans="1:23" x14ac:dyDescent="0.3">
      <c r="A133" s="1" t="s">
        <v>898</v>
      </c>
      <c r="B133" s="2">
        <v>45210</v>
      </c>
      <c r="C133" s="3">
        <v>0.56805555555555554</v>
      </c>
      <c r="D133" s="1" t="s">
        <v>904</v>
      </c>
      <c r="E133">
        <v>96</v>
      </c>
      <c r="F133" s="1" t="s">
        <v>807</v>
      </c>
      <c r="G133" s="1" t="s">
        <v>904</v>
      </c>
      <c r="H133" s="1" t="s">
        <v>64</v>
      </c>
      <c r="I133">
        <v>-5.4126279999999998</v>
      </c>
      <c r="J133">
        <v>25.498235999999999</v>
      </c>
      <c r="K133" s="1" t="s">
        <v>1495</v>
      </c>
      <c r="L133" s="1" t="s">
        <v>1501</v>
      </c>
      <c r="M133" s="1" t="s">
        <v>101</v>
      </c>
      <c r="N133" s="1" t="s">
        <v>64</v>
      </c>
      <c r="O133" s="1" t="str">
        <f>INT(Matrice1!$P133/12) &amp; " ans et " &amp; MOD(Matrice1!$P133,12) &amp; " mois"</f>
        <v>6 ans et 8 mois</v>
      </c>
      <c r="P133">
        <v>80</v>
      </c>
      <c r="Q133" s="1" t="s">
        <v>19</v>
      </c>
      <c r="R133" s="4">
        <f>Matrice1!$S133/1440</f>
        <v>0.18055555555555555</v>
      </c>
      <c r="S133">
        <v>260</v>
      </c>
      <c r="T133">
        <v>65.87</v>
      </c>
      <c r="U133">
        <v>3</v>
      </c>
      <c r="V133" s="8">
        <f>IF(Matrice1!$Q133="Pro Monde",10%,IF(AND(Matrice1!$R133&gt;12,Matrice1!$O133&gt;5),70%,IF(AND(OR(Matrice1!$R133&gt;=4,Matrice1!$R133&lt;=12,Matrice1!$O133&lt;5,(OR(Matrice1!$Q133="Premium ")))),45%,0%)))</f>
        <v>0.45</v>
      </c>
      <c r="W133">
        <f>Matrice1!$T133* (Matrice1!$V133/100)</f>
        <v>0.29641500000000004</v>
      </c>
    </row>
    <row r="134" spans="1:23" x14ac:dyDescent="0.3">
      <c r="A134" s="1" t="s">
        <v>898</v>
      </c>
      <c r="B134" s="2">
        <v>45210</v>
      </c>
      <c r="C134" s="3">
        <v>0.56805555555555554</v>
      </c>
      <c r="D134" s="1" t="s">
        <v>904</v>
      </c>
      <c r="E134">
        <v>96</v>
      </c>
      <c r="F134" s="1" t="s">
        <v>807</v>
      </c>
      <c r="G134" s="1" t="s">
        <v>904</v>
      </c>
      <c r="H134" s="1" t="s">
        <v>64</v>
      </c>
      <c r="I134">
        <v>-5.4126279999999998</v>
      </c>
      <c r="J134">
        <v>25.498235999999999</v>
      </c>
      <c r="K134" s="1" t="s">
        <v>1495</v>
      </c>
      <c r="L134" s="1" t="s">
        <v>1501</v>
      </c>
      <c r="M134" s="1" t="s">
        <v>115</v>
      </c>
      <c r="N134" s="1" t="s">
        <v>64</v>
      </c>
      <c r="O134" s="1" t="str">
        <f>INT(Matrice1!$P134/12) &amp; " ans et " &amp; MOD(Matrice1!$P134,12) &amp; " mois"</f>
        <v>6 ans et 11 mois</v>
      </c>
      <c r="P134">
        <v>83</v>
      </c>
      <c r="Q134" s="1" t="s">
        <v>22</v>
      </c>
      <c r="R134" s="4">
        <f>Matrice1!$S134/1440</f>
        <v>9.7222222222222224E-3</v>
      </c>
      <c r="S134">
        <v>14</v>
      </c>
      <c r="T134">
        <v>58.07</v>
      </c>
      <c r="U134">
        <v>3</v>
      </c>
      <c r="V134" s="8">
        <f>IF(Matrice1!$Q134="Pro Monde",10%,IF(AND(Matrice1!$R134&gt;12,Matrice1!$O134&gt;5),70%,IF(AND(OR(Matrice1!$R134&gt;=4,Matrice1!$R134&lt;=12,Matrice1!$O134&lt;5,(OR(Matrice1!$Q134="Premium ")))),45%,0%)))</f>
        <v>0.45</v>
      </c>
      <c r="W134">
        <f>Matrice1!$T134* (Matrice1!$V134/100)</f>
        <v>0.26131500000000002</v>
      </c>
    </row>
    <row r="135" spans="1:23" x14ac:dyDescent="0.3">
      <c r="A135" s="1" t="s">
        <v>898</v>
      </c>
      <c r="B135" s="2">
        <v>45210</v>
      </c>
      <c r="C135" s="3">
        <v>0.56805555555555554</v>
      </c>
      <c r="D135" s="1" t="s">
        <v>904</v>
      </c>
      <c r="E135">
        <v>96</v>
      </c>
      <c r="F135" s="1" t="s">
        <v>807</v>
      </c>
      <c r="G135" s="1" t="s">
        <v>904</v>
      </c>
      <c r="H135" s="1" t="s">
        <v>64</v>
      </c>
      <c r="I135">
        <v>-5.4126279999999998</v>
      </c>
      <c r="J135">
        <v>25.498235999999999</v>
      </c>
      <c r="K135" s="1" t="s">
        <v>1495</v>
      </c>
      <c r="L135" s="1" t="s">
        <v>1501</v>
      </c>
      <c r="M135" s="1" t="s">
        <v>154</v>
      </c>
      <c r="N135" s="1" t="s">
        <v>64</v>
      </c>
      <c r="O135" s="1" t="str">
        <f>INT(Matrice1!$P135/12) &amp; " ans et " &amp; MOD(Matrice1!$P135,12) &amp; " mois"</f>
        <v>0 ans et 7 mois</v>
      </c>
      <c r="P135">
        <v>7</v>
      </c>
      <c r="Q135" s="1" t="s">
        <v>11</v>
      </c>
      <c r="R135" s="4">
        <f>Matrice1!$S135/1440</f>
        <v>0.22013888888888888</v>
      </c>
      <c r="S135">
        <v>317</v>
      </c>
      <c r="T135">
        <v>97.32</v>
      </c>
      <c r="U135">
        <v>1</v>
      </c>
      <c r="V135" s="8">
        <f>IF(Matrice1!$Q135="Pro Monde",10%,IF(AND(Matrice1!$R135&gt;12,Matrice1!$O135&gt;5),70%,IF(AND(OR(Matrice1!$R135&gt;=4,Matrice1!$R135&lt;=12,Matrice1!$O135&lt;5,(OR(Matrice1!$Q135="Premium ")))),45%,0%)))</f>
        <v>0.45</v>
      </c>
      <c r="W135">
        <f>Matrice1!$T135* (Matrice1!$V135/100)</f>
        <v>0.43794</v>
      </c>
    </row>
    <row r="136" spans="1:23" x14ac:dyDescent="0.3">
      <c r="A136" s="1" t="s">
        <v>898</v>
      </c>
      <c r="B136" s="2">
        <v>45210</v>
      </c>
      <c r="C136" s="3">
        <v>0.56805555555555554</v>
      </c>
      <c r="D136" s="1" t="s">
        <v>904</v>
      </c>
      <c r="E136">
        <v>96</v>
      </c>
      <c r="F136" s="1" t="s">
        <v>807</v>
      </c>
      <c r="G136" s="1" t="s">
        <v>904</v>
      </c>
      <c r="H136" s="1" t="s">
        <v>64</v>
      </c>
      <c r="I136">
        <v>-5.4126279999999998</v>
      </c>
      <c r="J136">
        <v>25.498235999999999</v>
      </c>
      <c r="K136" s="1" t="s">
        <v>1495</v>
      </c>
      <c r="L136" s="1" t="s">
        <v>1501</v>
      </c>
      <c r="M136" s="1" t="s">
        <v>188</v>
      </c>
      <c r="N136" s="1" t="s">
        <v>64</v>
      </c>
      <c r="O136" s="1" t="str">
        <f>INT(Matrice1!$P136/12) &amp; " ans et " &amp; MOD(Matrice1!$P136,12) &amp; " mois"</f>
        <v>7 ans et 11 mois</v>
      </c>
      <c r="P136">
        <v>95</v>
      </c>
      <c r="Q136" s="1" t="s">
        <v>14</v>
      </c>
      <c r="R136" s="4">
        <f>Matrice1!$S136/1440</f>
        <v>6.5972222222222224E-2</v>
      </c>
      <c r="S136">
        <v>95</v>
      </c>
      <c r="T136">
        <v>82.65</v>
      </c>
      <c r="U136">
        <v>2</v>
      </c>
      <c r="V136" s="8">
        <f>IF(Matrice1!$Q136="Pro Monde",10%,IF(AND(Matrice1!$R136&gt;12,Matrice1!$O136&gt;5),70%,IF(AND(OR(Matrice1!$R136&gt;=4,Matrice1!$R136&lt;=12,Matrice1!$O136&lt;5,(OR(Matrice1!$Q136="Premium ")))),45%,0%)))</f>
        <v>0.1</v>
      </c>
      <c r="W136">
        <f>Matrice1!$T136* (Matrice1!$V136/100)</f>
        <v>8.2650000000000001E-2</v>
      </c>
    </row>
    <row r="137" spans="1:23" x14ac:dyDescent="0.3">
      <c r="A137" s="1" t="s">
        <v>898</v>
      </c>
      <c r="B137" s="2">
        <v>45210</v>
      </c>
      <c r="C137" s="3">
        <v>0.56805555555555554</v>
      </c>
      <c r="D137" s="1" t="s">
        <v>904</v>
      </c>
      <c r="E137">
        <v>96</v>
      </c>
      <c r="F137" s="1" t="s">
        <v>807</v>
      </c>
      <c r="G137" s="1" t="s">
        <v>904</v>
      </c>
      <c r="H137" s="1" t="s">
        <v>64</v>
      </c>
      <c r="I137">
        <v>-5.4126279999999998</v>
      </c>
      <c r="J137">
        <v>25.498235999999999</v>
      </c>
      <c r="K137" s="1" t="s">
        <v>1495</v>
      </c>
      <c r="L137" s="1" t="s">
        <v>1501</v>
      </c>
      <c r="M137" s="1" t="s">
        <v>301</v>
      </c>
      <c r="N137" s="1" t="s">
        <v>64</v>
      </c>
      <c r="O137" s="1" t="str">
        <f>INT(Matrice1!$P137/12) &amp; " ans et " &amp; MOD(Matrice1!$P137,12) &amp; " mois"</f>
        <v>9 ans et 6 mois</v>
      </c>
      <c r="P137">
        <v>114</v>
      </c>
      <c r="Q137" s="1" t="s">
        <v>19</v>
      </c>
      <c r="R137" s="4">
        <f>Matrice1!$S137/1440</f>
        <v>0.26944444444444443</v>
      </c>
      <c r="S137">
        <v>388</v>
      </c>
      <c r="T137">
        <v>40.29</v>
      </c>
      <c r="U137">
        <v>5</v>
      </c>
      <c r="V137" s="8">
        <f>IF(Matrice1!$Q137="Pro Monde",10%,IF(AND(Matrice1!$R137&gt;12,Matrice1!$O137&gt;5),70%,IF(AND(OR(Matrice1!$R137&gt;=4,Matrice1!$R137&lt;=12,Matrice1!$O137&lt;5,(OR(Matrice1!$Q137="Premium ")))),45%,0%)))</f>
        <v>0.45</v>
      </c>
      <c r="W137">
        <f>Matrice1!$T137* (Matrice1!$V137/100)</f>
        <v>0.18130500000000002</v>
      </c>
    </row>
    <row r="138" spans="1:23" x14ac:dyDescent="0.3">
      <c r="A138" s="1" t="s">
        <v>898</v>
      </c>
      <c r="B138" s="2">
        <v>45210</v>
      </c>
      <c r="C138" s="3">
        <v>0.56805555555555554</v>
      </c>
      <c r="D138" s="1" t="s">
        <v>904</v>
      </c>
      <c r="E138">
        <v>96</v>
      </c>
      <c r="F138" s="1" t="s">
        <v>807</v>
      </c>
      <c r="G138" s="1" t="s">
        <v>904</v>
      </c>
      <c r="H138" s="1" t="s">
        <v>64</v>
      </c>
      <c r="I138">
        <v>-5.4126279999999998</v>
      </c>
      <c r="J138">
        <v>25.498235999999999</v>
      </c>
      <c r="K138" s="1" t="s">
        <v>1495</v>
      </c>
      <c r="L138" s="1" t="s">
        <v>1501</v>
      </c>
      <c r="M138" s="1" t="s">
        <v>332</v>
      </c>
      <c r="N138" s="1" t="s">
        <v>64</v>
      </c>
      <c r="O138" s="1" t="str">
        <f>INT(Matrice1!$P138/12) &amp; " ans et " &amp; MOD(Matrice1!$P138,12) &amp; " mois"</f>
        <v>2 ans et 8 mois</v>
      </c>
      <c r="P138">
        <v>32</v>
      </c>
      <c r="Q138" s="1" t="s">
        <v>22</v>
      </c>
      <c r="R138" s="4">
        <f>Matrice1!$S138/1440</f>
        <v>2.1527777777777778E-2</v>
      </c>
      <c r="S138">
        <v>31</v>
      </c>
      <c r="T138">
        <v>67.040000000000006</v>
      </c>
      <c r="U138">
        <v>1</v>
      </c>
      <c r="V138" s="8">
        <f>IF(Matrice1!$Q138="Pro Monde",10%,IF(AND(Matrice1!$R138&gt;12,Matrice1!$O138&gt;5),70%,IF(AND(OR(Matrice1!$R138&gt;=4,Matrice1!$R138&lt;=12,Matrice1!$O138&lt;5,(OR(Matrice1!$Q138="Premium ")))),45%,0%)))</f>
        <v>0.45</v>
      </c>
      <c r="W138">
        <f>Matrice1!$T138* (Matrice1!$V138/100)</f>
        <v>0.30168000000000006</v>
      </c>
    </row>
    <row r="139" spans="1:23" x14ac:dyDescent="0.3">
      <c r="A139" s="1" t="s">
        <v>898</v>
      </c>
      <c r="B139" s="2">
        <v>45210</v>
      </c>
      <c r="C139" s="3">
        <v>0.56805555555555554</v>
      </c>
      <c r="D139" s="1" t="s">
        <v>904</v>
      </c>
      <c r="E139">
        <v>96</v>
      </c>
      <c r="F139" s="1" t="s">
        <v>807</v>
      </c>
      <c r="G139" s="1" t="s">
        <v>904</v>
      </c>
      <c r="H139" s="1" t="s">
        <v>64</v>
      </c>
      <c r="I139">
        <v>-5.4126279999999998</v>
      </c>
      <c r="J139">
        <v>25.498235999999999</v>
      </c>
      <c r="K139" s="1" t="s">
        <v>1495</v>
      </c>
      <c r="L139" s="1" t="s">
        <v>1501</v>
      </c>
      <c r="M139" s="1" t="s">
        <v>333</v>
      </c>
      <c r="N139" s="1" t="s">
        <v>64</v>
      </c>
      <c r="O139" s="1" t="str">
        <f>INT(Matrice1!$P139/12) &amp; " ans et " &amp; MOD(Matrice1!$P139,12) &amp; " mois"</f>
        <v>5 ans et 2 mois</v>
      </c>
      <c r="P139">
        <v>62</v>
      </c>
      <c r="Q139" s="1" t="s">
        <v>22</v>
      </c>
      <c r="R139" s="4">
        <f>Matrice1!$S139/1440</f>
        <v>9.4444444444444442E-2</v>
      </c>
      <c r="S139">
        <v>136</v>
      </c>
      <c r="T139">
        <v>88.61</v>
      </c>
      <c r="U139">
        <v>2</v>
      </c>
      <c r="V139" s="8">
        <f>IF(Matrice1!$Q139="Pro Monde",10%,IF(AND(Matrice1!$R139&gt;12,Matrice1!$O139&gt;5),70%,IF(AND(OR(Matrice1!$R139&gt;=4,Matrice1!$R139&lt;=12,Matrice1!$O139&lt;5,(OR(Matrice1!$Q139="Premium ")))),45%,0%)))</f>
        <v>0.45</v>
      </c>
      <c r="W139">
        <f>Matrice1!$T139* (Matrice1!$V139/100)</f>
        <v>0.39874500000000007</v>
      </c>
    </row>
    <row r="140" spans="1:23" x14ac:dyDescent="0.3">
      <c r="A140" s="1" t="s">
        <v>898</v>
      </c>
      <c r="B140" s="2">
        <v>45210</v>
      </c>
      <c r="C140" s="3">
        <v>0.56805555555555554</v>
      </c>
      <c r="D140" s="1" t="s">
        <v>904</v>
      </c>
      <c r="E140">
        <v>96</v>
      </c>
      <c r="F140" s="1" t="s">
        <v>807</v>
      </c>
      <c r="G140" s="1" t="s">
        <v>904</v>
      </c>
      <c r="H140" s="1" t="s">
        <v>64</v>
      </c>
      <c r="I140">
        <v>-5.4126279999999998</v>
      </c>
      <c r="J140">
        <v>25.498235999999999</v>
      </c>
      <c r="K140" s="1" t="s">
        <v>1495</v>
      </c>
      <c r="L140" s="1" t="s">
        <v>1501</v>
      </c>
      <c r="M140" s="1" t="s">
        <v>390</v>
      </c>
      <c r="N140" s="1" t="s">
        <v>64</v>
      </c>
      <c r="O140" s="1" t="str">
        <f>INT(Matrice1!$P140/12) &amp; " ans et " &amp; MOD(Matrice1!$P140,12) &amp; " mois"</f>
        <v>3 ans et 4 mois</v>
      </c>
      <c r="P140">
        <v>40</v>
      </c>
      <c r="Q140" s="1" t="s">
        <v>11</v>
      </c>
      <c r="R140" s="4">
        <f>Matrice1!$S140/1440</f>
        <v>0.16458333333333333</v>
      </c>
      <c r="S140">
        <v>237</v>
      </c>
      <c r="T140">
        <v>24.51</v>
      </c>
      <c r="U140">
        <v>1</v>
      </c>
      <c r="V140" s="8">
        <f>IF(Matrice1!$Q140="Pro Monde",10%,IF(AND(Matrice1!$R140&gt;12,Matrice1!$O140&gt;5),70%,IF(AND(OR(Matrice1!$R140&gt;=4,Matrice1!$R140&lt;=12,Matrice1!$O140&lt;5,(OR(Matrice1!$Q140="Premium ")))),45%,0%)))</f>
        <v>0.45</v>
      </c>
      <c r="W140">
        <f>Matrice1!$T140* (Matrice1!$V140/100)</f>
        <v>0.11029500000000002</v>
      </c>
    </row>
    <row r="141" spans="1:23" x14ac:dyDescent="0.3">
      <c r="A141" s="1" t="s">
        <v>898</v>
      </c>
      <c r="B141" s="2">
        <v>45210</v>
      </c>
      <c r="C141" s="3">
        <v>0.56805555555555554</v>
      </c>
      <c r="D141" s="1" t="s">
        <v>904</v>
      </c>
      <c r="E141">
        <v>96</v>
      </c>
      <c r="F141" s="1" t="s">
        <v>807</v>
      </c>
      <c r="G141" s="1" t="s">
        <v>904</v>
      </c>
      <c r="H141" s="1" t="s">
        <v>64</v>
      </c>
      <c r="I141">
        <v>-5.4126279999999998</v>
      </c>
      <c r="J141">
        <v>25.498235999999999</v>
      </c>
      <c r="K141" s="1" t="s">
        <v>1495</v>
      </c>
      <c r="L141" s="1" t="s">
        <v>1501</v>
      </c>
      <c r="M141" s="1" t="s">
        <v>430</v>
      </c>
      <c r="N141" s="1" t="s">
        <v>64</v>
      </c>
      <c r="O141" s="1" t="str">
        <f>INT(Matrice1!$P141/12) &amp; " ans et " &amp; MOD(Matrice1!$P141,12) &amp; " mois"</f>
        <v>5 ans et 11 mois</v>
      </c>
      <c r="P141">
        <v>71</v>
      </c>
      <c r="Q141" s="1" t="s">
        <v>11</v>
      </c>
      <c r="R141" s="4">
        <f>Matrice1!$S141/1440</f>
        <v>0.13263888888888889</v>
      </c>
      <c r="S141">
        <v>191</v>
      </c>
      <c r="T141">
        <v>83.04</v>
      </c>
      <c r="U141">
        <v>4</v>
      </c>
      <c r="V141" s="8">
        <f>IF(Matrice1!$Q141="Pro Monde",10%,IF(AND(Matrice1!$R141&gt;12,Matrice1!$O141&gt;5),70%,IF(AND(OR(Matrice1!$R141&gt;=4,Matrice1!$R141&lt;=12,Matrice1!$O141&lt;5,(OR(Matrice1!$Q141="Premium ")))),45%,0%)))</f>
        <v>0.45</v>
      </c>
      <c r="W141">
        <f>Matrice1!$T141* (Matrice1!$V141/100)</f>
        <v>0.37368000000000007</v>
      </c>
    </row>
    <row r="142" spans="1:23" x14ac:dyDescent="0.3">
      <c r="A142" s="1" t="s">
        <v>898</v>
      </c>
      <c r="B142" s="2">
        <v>45210</v>
      </c>
      <c r="C142" s="3">
        <v>0.56805555555555554</v>
      </c>
      <c r="D142" s="1" t="s">
        <v>904</v>
      </c>
      <c r="E142">
        <v>96</v>
      </c>
      <c r="F142" s="1" t="s">
        <v>807</v>
      </c>
      <c r="G142" s="1" t="s">
        <v>904</v>
      </c>
      <c r="H142" s="1" t="s">
        <v>64</v>
      </c>
      <c r="I142">
        <v>-5.4126279999999998</v>
      </c>
      <c r="J142">
        <v>25.498235999999999</v>
      </c>
      <c r="K142" s="1" t="s">
        <v>1495</v>
      </c>
      <c r="L142" s="1" t="s">
        <v>1501</v>
      </c>
      <c r="M142" s="1" t="s">
        <v>476</v>
      </c>
      <c r="N142" s="1" t="s">
        <v>64</v>
      </c>
      <c r="O142" s="1" t="str">
        <f>INT(Matrice1!$P142/12) &amp; " ans et " &amp; MOD(Matrice1!$P142,12) &amp; " mois"</f>
        <v>5 ans et 3 mois</v>
      </c>
      <c r="P142">
        <v>63</v>
      </c>
      <c r="Q142" s="1" t="s">
        <v>14</v>
      </c>
      <c r="R142" s="4">
        <f>Matrice1!$S142/1440</f>
        <v>8.4027777777777785E-2</v>
      </c>
      <c r="S142">
        <v>121</v>
      </c>
      <c r="T142">
        <v>39.18</v>
      </c>
      <c r="U142">
        <v>2</v>
      </c>
      <c r="V142" s="8">
        <f>IF(Matrice1!$Q142="Pro Monde",10%,IF(AND(Matrice1!$R142&gt;12,Matrice1!$O142&gt;5),70%,IF(AND(OR(Matrice1!$R142&gt;=4,Matrice1!$R142&lt;=12,Matrice1!$O142&lt;5,(OR(Matrice1!$Q142="Premium ")))),45%,0%)))</f>
        <v>0.1</v>
      </c>
      <c r="W142">
        <f>Matrice1!$T142* (Matrice1!$V142/100)</f>
        <v>3.918E-2</v>
      </c>
    </row>
    <row r="143" spans="1:23" x14ac:dyDescent="0.3">
      <c r="A143" s="1" t="s">
        <v>898</v>
      </c>
      <c r="B143" s="2">
        <v>45210</v>
      </c>
      <c r="C143" s="3">
        <v>0.56805555555555554</v>
      </c>
      <c r="D143" s="1" t="s">
        <v>904</v>
      </c>
      <c r="E143">
        <v>96</v>
      </c>
      <c r="F143" s="1" t="s">
        <v>807</v>
      </c>
      <c r="G143" s="1" t="s">
        <v>904</v>
      </c>
      <c r="H143" s="1" t="s">
        <v>64</v>
      </c>
      <c r="I143">
        <v>-5.4126279999999998</v>
      </c>
      <c r="J143">
        <v>25.498235999999999</v>
      </c>
      <c r="K143" s="1" t="s">
        <v>1495</v>
      </c>
      <c r="L143" s="1" t="s">
        <v>1501</v>
      </c>
      <c r="M143" s="1" t="s">
        <v>502</v>
      </c>
      <c r="N143" s="1" t="s">
        <v>64</v>
      </c>
      <c r="O143" s="1" t="str">
        <f>INT(Matrice1!$P143/12) &amp; " ans et " &amp; MOD(Matrice1!$P143,12) &amp; " mois"</f>
        <v>9 ans et 7 mois</v>
      </c>
      <c r="P143">
        <v>115</v>
      </c>
      <c r="Q143" s="1" t="s">
        <v>14</v>
      </c>
      <c r="R143" s="4">
        <f>Matrice1!$S143/1440</f>
        <v>0.13194444444444445</v>
      </c>
      <c r="S143">
        <v>190</v>
      </c>
      <c r="T143">
        <v>10.98</v>
      </c>
      <c r="U143">
        <v>0</v>
      </c>
      <c r="V143" s="8">
        <f>IF(Matrice1!$Q143="Pro Monde",10%,IF(AND(Matrice1!$R143&gt;12,Matrice1!$O143&gt;5),70%,IF(AND(OR(Matrice1!$R143&gt;=4,Matrice1!$R143&lt;=12,Matrice1!$O143&lt;5,(OR(Matrice1!$Q143="Premium ")))),45%,0%)))</f>
        <v>0.1</v>
      </c>
      <c r="W143">
        <f>Matrice1!$T143* (Matrice1!$V143/100)</f>
        <v>1.098E-2</v>
      </c>
    </row>
    <row r="144" spans="1:23" x14ac:dyDescent="0.3">
      <c r="A144" s="1" t="s">
        <v>898</v>
      </c>
      <c r="B144" s="2">
        <v>45210</v>
      </c>
      <c r="C144" s="3">
        <v>0.56805555555555554</v>
      </c>
      <c r="D144" s="1" t="s">
        <v>904</v>
      </c>
      <c r="E144">
        <v>96</v>
      </c>
      <c r="F144" s="1" t="s">
        <v>807</v>
      </c>
      <c r="G144" s="1" t="s">
        <v>904</v>
      </c>
      <c r="H144" s="1" t="s">
        <v>64</v>
      </c>
      <c r="I144">
        <v>-5.4126279999999998</v>
      </c>
      <c r="J144">
        <v>25.498235999999999</v>
      </c>
      <c r="K144" s="1" t="s">
        <v>1495</v>
      </c>
      <c r="L144" s="1" t="s">
        <v>1501</v>
      </c>
      <c r="M144" s="1" t="s">
        <v>511</v>
      </c>
      <c r="N144" s="1" t="s">
        <v>64</v>
      </c>
      <c r="O144" s="1" t="str">
        <f>INT(Matrice1!$P144/12) &amp; " ans et " &amp; MOD(Matrice1!$P144,12) &amp; " mois"</f>
        <v>1 ans et 2 mois</v>
      </c>
      <c r="P144">
        <v>14</v>
      </c>
      <c r="Q144" s="1" t="s">
        <v>22</v>
      </c>
      <c r="R144" s="4">
        <f>Matrice1!$S144/1440</f>
        <v>0.21111111111111111</v>
      </c>
      <c r="S144">
        <v>304</v>
      </c>
      <c r="T144">
        <v>48.13</v>
      </c>
      <c r="U144">
        <v>2</v>
      </c>
      <c r="V144" s="8">
        <f>IF(Matrice1!$Q144="Pro Monde",10%,IF(AND(Matrice1!$R144&gt;12,Matrice1!$O144&gt;5),70%,IF(AND(OR(Matrice1!$R144&gt;=4,Matrice1!$R144&lt;=12,Matrice1!$O144&lt;5,(OR(Matrice1!$Q144="Premium ")))),45%,0%)))</f>
        <v>0.45</v>
      </c>
      <c r="W144">
        <f>Matrice1!$T144* (Matrice1!$V144/100)</f>
        <v>0.21658500000000003</v>
      </c>
    </row>
    <row r="145" spans="1:23" x14ac:dyDescent="0.3">
      <c r="A145" s="1" t="s">
        <v>898</v>
      </c>
      <c r="B145" s="2">
        <v>45210</v>
      </c>
      <c r="C145" s="3">
        <v>0.56805555555555554</v>
      </c>
      <c r="D145" s="1" t="s">
        <v>904</v>
      </c>
      <c r="E145">
        <v>96</v>
      </c>
      <c r="F145" s="1" t="s">
        <v>807</v>
      </c>
      <c r="G145" s="1" t="s">
        <v>904</v>
      </c>
      <c r="H145" s="1" t="s">
        <v>64</v>
      </c>
      <c r="I145">
        <v>-5.4126279999999998</v>
      </c>
      <c r="J145">
        <v>25.498235999999999</v>
      </c>
      <c r="K145" s="1" t="s">
        <v>1495</v>
      </c>
      <c r="L145" s="1" t="s">
        <v>1501</v>
      </c>
      <c r="M145" s="1" t="s">
        <v>513</v>
      </c>
      <c r="N145" s="1" t="s">
        <v>64</v>
      </c>
      <c r="O145" s="1" t="str">
        <f>INT(Matrice1!$P145/12) &amp; " ans et " &amp; MOD(Matrice1!$P145,12) &amp; " mois"</f>
        <v>9 ans et 10 mois</v>
      </c>
      <c r="P145">
        <v>118</v>
      </c>
      <c r="Q145" s="1" t="s">
        <v>14</v>
      </c>
      <c r="R145" s="4">
        <f>Matrice1!$S145/1440</f>
        <v>5.5555555555555552E-2</v>
      </c>
      <c r="S145">
        <v>80</v>
      </c>
      <c r="T145">
        <v>97.58</v>
      </c>
      <c r="U145">
        <v>3</v>
      </c>
      <c r="V145" s="8">
        <f>IF(Matrice1!$Q145="Pro Monde",10%,IF(AND(Matrice1!$R145&gt;12,Matrice1!$O145&gt;5),70%,IF(AND(OR(Matrice1!$R145&gt;=4,Matrice1!$R145&lt;=12,Matrice1!$O145&lt;5,(OR(Matrice1!$Q145="Premium ")))),45%,0%)))</f>
        <v>0.1</v>
      </c>
      <c r="W145">
        <f>Matrice1!$T145* (Matrice1!$V145/100)</f>
        <v>9.758E-2</v>
      </c>
    </row>
    <row r="146" spans="1:23" x14ac:dyDescent="0.3">
      <c r="A146" s="1" t="s">
        <v>1073</v>
      </c>
      <c r="B146" s="2">
        <v>45205</v>
      </c>
      <c r="C146" s="3">
        <v>0.47152777777777777</v>
      </c>
      <c r="D146" s="1" t="s">
        <v>1088</v>
      </c>
      <c r="E146">
        <v>50</v>
      </c>
      <c r="F146" s="1" t="s">
        <v>810</v>
      </c>
      <c r="G146" s="1" t="s">
        <v>1088</v>
      </c>
      <c r="H146" s="1" t="s">
        <v>18</v>
      </c>
      <c r="I146">
        <v>2.628638</v>
      </c>
      <c r="J146">
        <v>28.420582</v>
      </c>
      <c r="K146" s="1" t="s">
        <v>1498</v>
      </c>
      <c r="L146" s="1" t="s">
        <v>1499</v>
      </c>
      <c r="M146" s="1" t="s">
        <v>17</v>
      </c>
      <c r="N146" s="1" t="s">
        <v>18</v>
      </c>
      <c r="O146" s="1" t="str">
        <f>INT(Matrice1!$P146/12) &amp; " ans et " &amp; MOD(Matrice1!$P146,12) &amp; " mois"</f>
        <v>3 ans et 8 mois</v>
      </c>
      <c r="P146">
        <v>44</v>
      </c>
      <c r="Q146" s="1" t="s">
        <v>19</v>
      </c>
      <c r="R146" s="4">
        <f>Matrice1!$S146/1440</f>
        <v>0.24166666666666667</v>
      </c>
      <c r="S146">
        <v>348</v>
      </c>
      <c r="T146">
        <v>58.67</v>
      </c>
      <c r="U146">
        <v>0</v>
      </c>
      <c r="V146" s="8">
        <f>IF(Matrice1!$Q146="Pro Monde",10%,IF(AND(Matrice1!$R146&gt;12,Matrice1!$O146&gt;5),70%,IF(AND(OR(Matrice1!$R146&gt;=4,Matrice1!$R146&lt;=12,Matrice1!$O146&lt;5,(OR(Matrice1!$Q146="Premium ")))),45%,0%)))</f>
        <v>0.45</v>
      </c>
      <c r="W146">
        <f>Matrice1!$T146* (Matrice1!$V146/100)</f>
        <v>0.26401500000000006</v>
      </c>
    </row>
    <row r="147" spans="1:23" x14ac:dyDescent="0.3">
      <c r="A147" s="1" t="s">
        <v>1073</v>
      </c>
      <c r="B147" s="2">
        <v>45205</v>
      </c>
      <c r="C147" s="3">
        <v>0.47152777777777777</v>
      </c>
      <c r="D147" s="1" t="s">
        <v>1088</v>
      </c>
      <c r="E147">
        <v>50</v>
      </c>
      <c r="F147" s="1" t="s">
        <v>810</v>
      </c>
      <c r="G147" s="1" t="s">
        <v>1088</v>
      </c>
      <c r="H147" s="1" t="s">
        <v>18</v>
      </c>
      <c r="I147">
        <v>2.628638</v>
      </c>
      <c r="J147">
        <v>28.420582</v>
      </c>
      <c r="K147" s="1" t="s">
        <v>1498</v>
      </c>
      <c r="L147" s="1" t="s">
        <v>1499</v>
      </c>
      <c r="M147" s="1" t="s">
        <v>38</v>
      </c>
      <c r="N147" s="1" t="s">
        <v>18</v>
      </c>
      <c r="O147" s="1" t="str">
        <f>INT(Matrice1!$P147/12) &amp; " ans et " &amp; MOD(Matrice1!$P147,12) &amp; " mois"</f>
        <v>1 ans et 8 mois</v>
      </c>
      <c r="P147">
        <v>20</v>
      </c>
      <c r="Q147" s="1" t="s">
        <v>22</v>
      </c>
      <c r="R147" s="4">
        <f>Matrice1!$S147/1440</f>
        <v>2.7777777777777779E-3</v>
      </c>
      <c r="S147">
        <v>4</v>
      </c>
      <c r="T147">
        <v>84.9</v>
      </c>
      <c r="U147">
        <v>3</v>
      </c>
      <c r="V147" s="8">
        <f>IF(Matrice1!$Q147="Pro Monde",10%,IF(AND(Matrice1!$R147&gt;12,Matrice1!$O147&gt;5),70%,IF(AND(OR(Matrice1!$R147&gt;=4,Matrice1!$R147&lt;=12,Matrice1!$O147&lt;5,(OR(Matrice1!$Q147="Premium ")))),45%,0%)))</f>
        <v>0.45</v>
      </c>
      <c r="W147">
        <f>Matrice1!$T147* (Matrice1!$V147/100)</f>
        <v>0.38205000000000006</v>
      </c>
    </row>
    <row r="148" spans="1:23" x14ac:dyDescent="0.3">
      <c r="A148" s="1" t="s">
        <v>1073</v>
      </c>
      <c r="B148" s="2">
        <v>45205</v>
      </c>
      <c r="C148" s="3">
        <v>0.47152777777777777</v>
      </c>
      <c r="D148" s="1" t="s">
        <v>1088</v>
      </c>
      <c r="E148">
        <v>50</v>
      </c>
      <c r="F148" s="1" t="s">
        <v>810</v>
      </c>
      <c r="G148" s="1" t="s">
        <v>1088</v>
      </c>
      <c r="H148" s="1" t="s">
        <v>18</v>
      </c>
      <c r="I148">
        <v>2.628638</v>
      </c>
      <c r="J148">
        <v>28.420582</v>
      </c>
      <c r="K148" s="1" t="s">
        <v>1498</v>
      </c>
      <c r="L148" s="1" t="s">
        <v>1499</v>
      </c>
      <c r="M148" s="1" t="s">
        <v>113</v>
      </c>
      <c r="N148" s="1" t="s">
        <v>18</v>
      </c>
      <c r="O148" s="1" t="str">
        <f>INT(Matrice1!$P148/12) &amp; " ans et " &amp; MOD(Matrice1!$P148,12) &amp; " mois"</f>
        <v>7 ans et 11 mois</v>
      </c>
      <c r="P148">
        <v>95</v>
      </c>
      <c r="Q148" s="1" t="s">
        <v>19</v>
      </c>
      <c r="R148" s="4">
        <f>Matrice1!$S148/1440</f>
        <v>2.2916666666666665E-2</v>
      </c>
      <c r="S148">
        <v>33</v>
      </c>
      <c r="T148">
        <v>35.32</v>
      </c>
      <c r="U148">
        <v>0</v>
      </c>
      <c r="V148" s="8">
        <f>IF(Matrice1!$Q148="Pro Monde",10%,IF(AND(Matrice1!$R148&gt;12,Matrice1!$O148&gt;5),70%,IF(AND(OR(Matrice1!$R148&gt;=4,Matrice1!$R148&lt;=12,Matrice1!$O148&lt;5,(OR(Matrice1!$Q148="Premium ")))),45%,0%)))</f>
        <v>0.45</v>
      </c>
      <c r="W148">
        <f>Matrice1!$T148* (Matrice1!$V148/100)</f>
        <v>0.15894000000000003</v>
      </c>
    </row>
    <row r="149" spans="1:23" x14ac:dyDescent="0.3">
      <c r="A149" s="1" t="s">
        <v>1073</v>
      </c>
      <c r="B149" s="2">
        <v>45205</v>
      </c>
      <c r="C149" s="3">
        <v>0.47152777777777777</v>
      </c>
      <c r="D149" s="1" t="s">
        <v>1088</v>
      </c>
      <c r="E149">
        <v>50</v>
      </c>
      <c r="F149" s="1" t="s">
        <v>810</v>
      </c>
      <c r="G149" s="1" t="s">
        <v>1088</v>
      </c>
      <c r="H149" s="1" t="s">
        <v>18</v>
      </c>
      <c r="I149">
        <v>2.628638</v>
      </c>
      <c r="J149">
        <v>28.420582</v>
      </c>
      <c r="K149" s="1" t="s">
        <v>1498</v>
      </c>
      <c r="L149" s="1" t="s">
        <v>1499</v>
      </c>
      <c r="M149" s="1" t="s">
        <v>133</v>
      </c>
      <c r="N149" s="1" t="s">
        <v>18</v>
      </c>
      <c r="O149" s="1" t="str">
        <f>INT(Matrice1!$P149/12) &amp; " ans et " &amp; MOD(Matrice1!$P149,12) &amp; " mois"</f>
        <v>6 ans et 0 mois</v>
      </c>
      <c r="P149">
        <v>72</v>
      </c>
      <c r="Q149" s="1" t="s">
        <v>14</v>
      </c>
      <c r="R149" s="4">
        <f>Matrice1!$S149/1440</f>
        <v>0.23125000000000001</v>
      </c>
      <c r="S149">
        <v>333</v>
      </c>
      <c r="T149">
        <v>34.57</v>
      </c>
      <c r="U149">
        <v>2</v>
      </c>
      <c r="V149" s="8">
        <f>IF(Matrice1!$Q149="Pro Monde",10%,IF(AND(Matrice1!$R149&gt;12,Matrice1!$O149&gt;5),70%,IF(AND(OR(Matrice1!$R149&gt;=4,Matrice1!$R149&lt;=12,Matrice1!$O149&lt;5,(OR(Matrice1!$Q149="Premium ")))),45%,0%)))</f>
        <v>0.1</v>
      </c>
      <c r="W149">
        <f>Matrice1!$T149* (Matrice1!$V149/100)</f>
        <v>3.4570000000000004E-2</v>
      </c>
    </row>
    <row r="150" spans="1:23" x14ac:dyDescent="0.3">
      <c r="A150" s="1" t="s">
        <v>1073</v>
      </c>
      <c r="B150" s="2">
        <v>45205</v>
      </c>
      <c r="C150" s="3">
        <v>0.47152777777777777</v>
      </c>
      <c r="D150" s="1" t="s">
        <v>1088</v>
      </c>
      <c r="E150">
        <v>50</v>
      </c>
      <c r="F150" s="1" t="s">
        <v>810</v>
      </c>
      <c r="G150" s="1" t="s">
        <v>1088</v>
      </c>
      <c r="H150" s="1" t="s">
        <v>18</v>
      </c>
      <c r="I150">
        <v>2.628638</v>
      </c>
      <c r="J150">
        <v>28.420582</v>
      </c>
      <c r="K150" s="1" t="s">
        <v>1498</v>
      </c>
      <c r="L150" s="1" t="s">
        <v>1499</v>
      </c>
      <c r="M150" s="1" t="s">
        <v>167</v>
      </c>
      <c r="N150" s="1" t="s">
        <v>18</v>
      </c>
      <c r="O150" s="1" t="str">
        <f>INT(Matrice1!$P150/12) &amp; " ans et " &amp; MOD(Matrice1!$P150,12) &amp; " mois"</f>
        <v>5 ans et 7 mois</v>
      </c>
      <c r="P150">
        <v>67</v>
      </c>
      <c r="Q150" s="1" t="s">
        <v>14</v>
      </c>
      <c r="R150" s="4">
        <f>Matrice1!$S150/1440</f>
        <v>3.8194444444444448E-2</v>
      </c>
      <c r="S150">
        <v>55</v>
      </c>
      <c r="T150">
        <v>27.04</v>
      </c>
      <c r="U150">
        <v>1</v>
      </c>
      <c r="V150" s="8">
        <f>IF(Matrice1!$Q150="Pro Monde",10%,IF(AND(Matrice1!$R150&gt;12,Matrice1!$O150&gt;5),70%,IF(AND(OR(Matrice1!$R150&gt;=4,Matrice1!$R150&lt;=12,Matrice1!$O150&lt;5,(OR(Matrice1!$Q150="Premium ")))),45%,0%)))</f>
        <v>0.1</v>
      </c>
      <c r="W150">
        <f>Matrice1!$T150* (Matrice1!$V150/100)</f>
        <v>2.7039999999999998E-2</v>
      </c>
    </row>
    <row r="151" spans="1:23" x14ac:dyDescent="0.3">
      <c r="A151" s="1" t="s">
        <v>1073</v>
      </c>
      <c r="B151" s="2">
        <v>45205</v>
      </c>
      <c r="C151" s="3">
        <v>0.47152777777777777</v>
      </c>
      <c r="D151" s="1" t="s">
        <v>1088</v>
      </c>
      <c r="E151">
        <v>50</v>
      </c>
      <c r="F151" s="1" t="s">
        <v>810</v>
      </c>
      <c r="G151" s="1" t="s">
        <v>1088</v>
      </c>
      <c r="H151" s="1" t="s">
        <v>18</v>
      </c>
      <c r="I151">
        <v>2.628638</v>
      </c>
      <c r="J151">
        <v>28.420582</v>
      </c>
      <c r="K151" s="1" t="s">
        <v>1498</v>
      </c>
      <c r="L151" s="1" t="s">
        <v>1499</v>
      </c>
      <c r="M151" s="1" t="s">
        <v>176</v>
      </c>
      <c r="N151" s="1" t="s">
        <v>18</v>
      </c>
      <c r="O151" s="1" t="str">
        <f>INT(Matrice1!$P151/12) &amp; " ans et " &amp; MOD(Matrice1!$P151,12) &amp; " mois"</f>
        <v>5 ans et 9 mois</v>
      </c>
      <c r="P151">
        <v>69</v>
      </c>
      <c r="Q151" s="1" t="s">
        <v>14</v>
      </c>
      <c r="R151" s="4">
        <f>Matrice1!$S151/1440</f>
        <v>0.3215277777777778</v>
      </c>
      <c r="S151">
        <v>463</v>
      </c>
      <c r="T151">
        <v>19.440000000000001</v>
      </c>
      <c r="U151">
        <v>0</v>
      </c>
      <c r="V151" s="8">
        <f>IF(Matrice1!$Q151="Pro Monde",10%,IF(AND(Matrice1!$R151&gt;12,Matrice1!$O151&gt;5),70%,IF(AND(OR(Matrice1!$R151&gt;=4,Matrice1!$R151&lt;=12,Matrice1!$O151&lt;5,(OR(Matrice1!$Q151="Premium ")))),45%,0%)))</f>
        <v>0.1</v>
      </c>
      <c r="W151">
        <f>Matrice1!$T151* (Matrice1!$V151/100)</f>
        <v>1.9440000000000002E-2</v>
      </c>
    </row>
    <row r="152" spans="1:23" x14ac:dyDescent="0.3">
      <c r="A152" s="1" t="s">
        <v>1073</v>
      </c>
      <c r="B152" s="2">
        <v>45205</v>
      </c>
      <c r="C152" s="3">
        <v>0.47152777777777777</v>
      </c>
      <c r="D152" s="1" t="s">
        <v>1088</v>
      </c>
      <c r="E152">
        <v>50</v>
      </c>
      <c r="F152" s="1" t="s">
        <v>810</v>
      </c>
      <c r="G152" s="1" t="s">
        <v>1088</v>
      </c>
      <c r="H152" s="1" t="s">
        <v>18</v>
      </c>
      <c r="I152">
        <v>2.628638</v>
      </c>
      <c r="J152">
        <v>28.420582</v>
      </c>
      <c r="K152" s="1" t="s">
        <v>1498</v>
      </c>
      <c r="L152" s="1" t="s">
        <v>1499</v>
      </c>
      <c r="M152" s="1" t="s">
        <v>183</v>
      </c>
      <c r="N152" s="1" t="s">
        <v>18</v>
      </c>
      <c r="O152" s="1" t="str">
        <f>INT(Matrice1!$P152/12) &amp; " ans et " &amp; MOD(Matrice1!$P152,12) &amp; " mois"</f>
        <v>0 ans et 11 mois</v>
      </c>
      <c r="P152">
        <v>11</v>
      </c>
      <c r="Q152" s="1" t="s">
        <v>19</v>
      </c>
      <c r="R152" s="4">
        <f>Matrice1!$S152/1440</f>
        <v>0.14930555555555555</v>
      </c>
      <c r="S152">
        <v>215</v>
      </c>
      <c r="T152">
        <v>51.99</v>
      </c>
      <c r="U152">
        <v>1</v>
      </c>
      <c r="V152" s="8">
        <f>IF(Matrice1!$Q152="Pro Monde",10%,IF(AND(Matrice1!$R152&gt;12,Matrice1!$O152&gt;5),70%,IF(AND(OR(Matrice1!$R152&gt;=4,Matrice1!$R152&lt;=12,Matrice1!$O152&lt;5,(OR(Matrice1!$Q152="Premium ")))),45%,0%)))</f>
        <v>0.45</v>
      </c>
      <c r="W152">
        <f>Matrice1!$T152* (Matrice1!$V152/100)</f>
        <v>0.23395500000000002</v>
      </c>
    </row>
    <row r="153" spans="1:23" x14ac:dyDescent="0.3">
      <c r="A153" s="1" t="s">
        <v>1073</v>
      </c>
      <c r="B153" s="2">
        <v>45205</v>
      </c>
      <c r="C153" s="3">
        <v>0.47152777777777777</v>
      </c>
      <c r="D153" s="1" t="s">
        <v>1088</v>
      </c>
      <c r="E153">
        <v>50</v>
      </c>
      <c r="F153" s="1" t="s">
        <v>810</v>
      </c>
      <c r="G153" s="1" t="s">
        <v>1088</v>
      </c>
      <c r="H153" s="1" t="s">
        <v>18</v>
      </c>
      <c r="I153">
        <v>2.628638</v>
      </c>
      <c r="J153">
        <v>28.420582</v>
      </c>
      <c r="K153" s="1" t="s">
        <v>1498</v>
      </c>
      <c r="L153" s="1" t="s">
        <v>1499</v>
      </c>
      <c r="M153" s="1" t="s">
        <v>230</v>
      </c>
      <c r="N153" s="1" t="s">
        <v>18</v>
      </c>
      <c r="O153" s="1" t="str">
        <f>INT(Matrice1!$P153/12) &amp; " ans et " &amp; MOD(Matrice1!$P153,12) &amp; " mois"</f>
        <v>9 ans et 6 mois</v>
      </c>
      <c r="P153">
        <v>114</v>
      </c>
      <c r="Q153" s="1" t="s">
        <v>11</v>
      </c>
      <c r="R153" s="4">
        <f>Matrice1!$S153/1440</f>
        <v>0.3347222222222222</v>
      </c>
      <c r="S153">
        <v>482</v>
      </c>
      <c r="T153">
        <v>16.25</v>
      </c>
      <c r="U153">
        <v>3</v>
      </c>
      <c r="V153" s="8">
        <f>IF(Matrice1!$Q153="Pro Monde",10%,IF(AND(Matrice1!$R153&gt;12,Matrice1!$O153&gt;5),70%,IF(AND(OR(Matrice1!$R153&gt;=4,Matrice1!$R153&lt;=12,Matrice1!$O153&lt;5,(OR(Matrice1!$Q153="Premium ")))),45%,0%)))</f>
        <v>0.45</v>
      </c>
      <c r="W153">
        <f>Matrice1!$T153* (Matrice1!$V153/100)</f>
        <v>7.3125000000000009E-2</v>
      </c>
    </row>
    <row r="154" spans="1:23" x14ac:dyDescent="0.3">
      <c r="A154" s="1" t="s">
        <v>1073</v>
      </c>
      <c r="B154" s="2">
        <v>45205</v>
      </c>
      <c r="C154" s="3">
        <v>0.47152777777777777</v>
      </c>
      <c r="D154" s="1" t="s">
        <v>1088</v>
      </c>
      <c r="E154">
        <v>50</v>
      </c>
      <c r="F154" s="1" t="s">
        <v>810</v>
      </c>
      <c r="G154" s="1" t="s">
        <v>1088</v>
      </c>
      <c r="H154" s="1" t="s">
        <v>18</v>
      </c>
      <c r="I154">
        <v>2.628638</v>
      </c>
      <c r="J154">
        <v>28.420582</v>
      </c>
      <c r="K154" s="1" t="s">
        <v>1498</v>
      </c>
      <c r="L154" s="1" t="s">
        <v>1499</v>
      </c>
      <c r="M154" s="1" t="s">
        <v>251</v>
      </c>
      <c r="N154" s="1" t="s">
        <v>18</v>
      </c>
      <c r="O154" s="1" t="str">
        <f>INT(Matrice1!$P154/12) &amp; " ans et " &amp; MOD(Matrice1!$P154,12) &amp; " mois"</f>
        <v>8 ans et 0 mois</v>
      </c>
      <c r="P154">
        <v>96</v>
      </c>
      <c r="Q154" s="1" t="s">
        <v>11</v>
      </c>
      <c r="R154" s="4">
        <f>Matrice1!$S154/1440</f>
        <v>0.23194444444444445</v>
      </c>
      <c r="S154">
        <v>334</v>
      </c>
      <c r="T154">
        <v>64.77</v>
      </c>
      <c r="U154">
        <v>0</v>
      </c>
      <c r="V154" s="8">
        <f>IF(Matrice1!$Q154="Pro Monde",10%,IF(AND(Matrice1!$R154&gt;12,Matrice1!$O154&gt;5),70%,IF(AND(OR(Matrice1!$R154&gt;=4,Matrice1!$R154&lt;=12,Matrice1!$O154&lt;5,(OR(Matrice1!$Q154="Premium ")))),45%,0%)))</f>
        <v>0.45</v>
      </c>
      <c r="W154">
        <f>Matrice1!$T154* (Matrice1!$V154/100)</f>
        <v>0.29146500000000003</v>
      </c>
    </row>
    <row r="155" spans="1:23" x14ac:dyDescent="0.3">
      <c r="A155" s="1" t="s">
        <v>1073</v>
      </c>
      <c r="B155" s="2">
        <v>45205</v>
      </c>
      <c r="C155" s="3">
        <v>0.47152777777777777</v>
      </c>
      <c r="D155" s="1" t="s">
        <v>1088</v>
      </c>
      <c r="E155">
        <v>50</v>
      </c>
      <c r="F155" s="1" t="s">
        <v>810</v>
      </c>
      <c r="G155" s="1" t="s">
        <v>1088</v>
      </c>
      <c r="H155" s="1" t="s">
        <v>18</v>
      </c>
      <c r="I155">
        <v>2.628638</v>
      </c>
      <c r="J155">
        <v>28.420582</v>
      </c>
      <c r="K155" s="1" t="s">
        <v>1498</v>
      </c>
      <c r="L155" s="1" t="s">
        <v>1499</v>
      </c>
      <c r="M155" s="1" t="s">
        <v>272</v>
      </c>
      <c r="N155" s="1" t="s">
        <v>18</v>
      </c>
      <c r="O155" s="1" t="str">
        <f>INT(Matrice1!$P155/12) &amp; " ans et " &amp; MOD(Matrice1!$P155,12) &amp; " mois"</f>
        <v>5 ans et 0 mois</v>
      </c>
      <c r="P155">
        <v>60</v>
      </c>
      <c r="Q155" s="1" t="s">
        <v>19</v>
      </c>
      <c r="R155" s="4">
        <f>Matrice1!$S155/1440</f>
        <v>0.21249999999999999</v>
      </c>
      <c r="S155">
        <v>306</v>
      </c>
      <c r="T155">
        <v>63.83</v>
      </c>
      <c r="U155">
        <v>2</v>
      </c>
      <c r="V155" s="8">
        <f>IF(Matrice1!$Q155="Pro Monde",10%,IF(AND(Matrice1!$R155&gt;12,Matrice1!$O155&gt;5),70%,IF(AND(OR(Matrice1!$R155&gt;=4,Matrice1!$R155&lt;=12,Matrice1!$O155&lt;5,(OR(Matrice1!$Q155="Premium ")))),45%,0%)))</f>
        <v>0.45</v>
      </c>
      <c r="W155">
        <f>Matrice1!$T155* (Matrice1!$V155/100)</f>
        <v>0.28723500000000002</v>
      </c>
    </row>
    <row r="156" spans="1:23" x14ac:dyDescent="0.3">
      <c r="A156" s="1" t="s">
        <v>1073</v>
      </c>
      <c r="B156" s="2">
        <v>45205</v>
      </c>
      <c r="C156" s="3">
        <v>0.47152777777777777</v>
      </c>
      <c r="D156" s="1" t="s">
        <v>1088</v>
      </c>
      <c r="E156">
        <v>50</v>
      </c>
      <c r="F156" s="1" t="s">
        <v>810</v>
      </c>
      <c r="G156" s="1" t="s">
        <v>1088</v>
      </c>
      <c r="H156" s="1" t="s">
        <v>18</v>
      </c>
      <c r="I156">
        <v>2.628638</v>
      </c>
      <c r="J156">
        <v>28.420582</v>
      </c>
      <c r="K156" s="1" t="s">
        <v>1498</v>
      </c>
      <c r="L156" s="1" t="s">
        <v>1499</v>
      </c>
      <c r="M156" s="1" t="s">
        <v>273</v>
      </c>
      <c r="N156" s="1" t="s">
        <v>18</v>
      </c>
      <c r="O156" s="1" t="str">
        <f>INT(Matrice1!$P156/12) &amp; " ans et " &amp; MOD(Matrice1!$P156,12) &amp; " mois"</f>
        <v>0 ans et 9 mois</v>
      </c>
      <c r="P156">
        <v>9</v>
      </c>
      <c r="Q156" s="1" t="s">
        <v>14</v>
      </c>
      <c r="R156" s="4">
        <f>Matrice1!$S156/1440</f>
        <v>0.17708333333333334</v>
      </c>
      <c r="S156">
        <v>255</v>
      </c>
      <c r="T156">
        <v>95.13</v>
      </c>
      <c r="U156">
        <v>1</v>
      </c>
      <c r="V156" s="8">
        <f>IF(Matrice1!$Q156="Pro Monde",10%,IF(AND(Matrice1!$R156&gt;12,Matrice1!$O156&gt;5),70%,IF(AND(OR(Matrice1!$R156&gt;=4,Matrice1!$R156&lt;=12,Matrice1!$O156&lt;5,(OR(Matrice1!$Q156="Premium ")))),45%,0%)))</f>
        <v>0.1</v>
      </c>
      <c r="W156">
        <f>Matrice1!$T156* (Matrice1!$V156/100)</f>
        <v>9.5129999999999992E-2</v>
      </c>
    </row>
    <row r="157" spans="1:23" x14ac:dyDescent="0.3">
      <c r="A157" s="1" t="s">
        <v>1073</v>
      </c>
      <c r="B157" s="2">
        <v>45205</v>
      </c>
      <c r="C157" s="3">
        <v>0.47152777777777777</v>
      </c>
      <c r="D157" s="1" t="s">
        <v>1088</v>
      </c>
      <c r="E157">
        <v>50</v>
      </c>
      <c r="F157" s="1" t="s">
        <v>810</v>
      </c>
      <c r="G157" s="1" t="s">
        <v>1088</v>
      </c>
      <c r="H157" s="1" t="s">
        <v>18</v>
      </c>
      <c r="I157">
        <v>2.628638</v>
      </c>
      <c r="J157">
        <v>28.420582</v>
      </c>
      <c r="K157" s="1" t="s">
        <v>1498</v>
      </c>
      <c r="L157" s="1" t="s">
        <v>1499</v>
      </c>
      <c r="M157" s="1" t="s">
        <v>296</v>
      </c>
      <c r="N157" s="1" t="s">
        <v>18</v>
      </c>
      <c r="O157" s="1" t="str">
        <f>INT(Matrice1!$P157/12) &amp; " ans et " &amp; MOD(Matrice1!$P157,12) &amp; " mois"</f>
        <v>5 ans et 3 mois</v>
      </c>
      <c r="P157">
        <v>63</v>
      </c>
      <c r="Q157" s="1" t="s">
        <v>22</v>
      </c>
      <c r="R157" s="4">
        <f>Matrice1!$S157/1440</f>
        <v>6.5972222222222224E-2</v>
      </c>
      <c r="S157">
        <v>95</v>
      </c>
      <c r="T157">
        <v>56.81</v>
      </c>
      <c r="U157">
        <v>0</v>
      </c>
      <c r="V157" s="8">
        <f>IF(Matrice1!$Q157="Pro Monde",10%,IF(AND(Matrice1!$R157&gt;12,Matrice1!$O157&gt;5),70%,IF(AND(OR(Matrice1!$R157&gt;=4,Matrice1!$R157&lt;=12,Matrice1!$O157&lt;5,(OR(Matrice1!$Q157="Premium ")))),45%,0%)))</f>
        <v>0.45</v>
      </c>
      <c r="W157">
        <f>Matrice1!$T157* (Matrice1!$V157/100)</f>
        <v>0.25564500000000007</v>
      </c>
    </row>
    <row r="158" spans="1:23" x14ac:dyDescent="0.3">
      <c r="A158" s="1" t="s">
        <v>1073</v>
      </c>
      <c r="B158" s="2">
        <v>45205</v>
      </c>
      <c r="C158" s="3">
        <v>0.47152777777777777</v>
      </c>
      <c r="D158" s="1" t="s">
        <v>1088</v>
      </c>
      <c r="E158">
        <v>50</v>
      </c>
      <c r="F158" s="1" t="s">
        <v>810</v>
      </c>
      <c r="G158" s="1" t="s">
        <v>1088</v>
      </c>
      <c r="H158" s="1" t="s">
        <v>18</v>
      </c>
      <c r="I158">
        <v>2.628638</v>
      </c>
      <c r="J158">
        <v>28.420582</v>
      </c>
      <c r="K158" s="1" t="s">
        <v>1498</v>
      </c>
      <c r="L158" s="1" t="s">
        <v>1499</v>
      </c>
      <c r="M158" s="1" t="s">
        <v>312</v>
      </c>
      <c r="N158" s="1" t="s">
        <v>18</v>
      </c>
      <c r="O158" s="1" t="str">
        <f>INT(Matrice1!$P158/12) &amp; " ans et " &amp; MOD(Matrice1!$P158,12) &amp; " mois"</f>
        <v>2 ans et 9 mois</v>
      </c>
      <c r="P158">
        <v>33</v>
      </c>
      <c r="Q158" s="1" t="s">
        <v>11</v>
      </c>
      <c r="R158" s="4">
        <f>Matrice1!$S158/1440</f>
        <v>0.30833333333333335</v>
      </c>
      <c r="S158">
        <v>444</v>
      </c>
      <c r="T158">
        <v>10.28</v>
      </c>
      <c r="U158">
        <v>5</v>
      </c>
      <c r="V158" s="8">
        <f>IF(Matrice1!$Q158="Pro Monde",10%,IF(AND(Matrice1!$R158&gt;12,Matrice1!$O158&gt;5),70%,IF(AND(OR(Matrice1!$R158&gt;=4,Matrice1!$R158&lt;=12,Matrice1!$O158&lt;5,(OR(Matrice1!$Q158="Premium ")))),45%,0%)))</f>
        <v>0.45</v>
      </c>
      <c r="W158">
        <f>Matrice1!$T158* (Matrice1!$V158/100)</f>
        <v>4.6260000000000003E-2</v>
      </c>
    </row>
    <row r="159" spans="1:23" x14ac:dyDescent="0.3">
      <c r="A159" s="1" t="s">
        <v>1073</v>
      </c>
      <c r="B159" s="2">
        <v>45205</v>
      </c>
      <c r="C159" s="3">
        <v>0.47152777777777777</v>
      </c>
      <c r="D159" s="1" t="s">
        <v>1088</v>
      </c>
      <c r="E159">
        <v>50</v>
      </c>
      <c r="F159" s="1" t="s">
        <v>810</v>
      </c>
      <c r="G159" s="1" t="s">
        <v>1088</v>
      </c>
      <c r="H159" s="1" t="s">
        <v>18</v>
      </c>
      <c r="I159">
        <v>2.628638</v>
      </c>
      <c r="J159">
        <v>28.420582</v>
      </c>
      <c r="K159" s="1" t="s">
        <v>1498</v>
      </c>
      <c r="L159" s="1" t="s">
        <v>1499</v>
      </c>
      <c r="M159" s="1" t="s">
        <v>335</v>
      </c>
      <c r="N159" s="1" t="s">
        <v>18</v>
      </c>
      <c r="O159" s="1" t="str">
        <f>INT(Matrice1!$P159/12) &amp; " ans et " &amp; MOD(Matrice1!$P159,12) &amp; " mois"</f>
        <v>9 ans et 10 mois</v>
      </c>
      <c r="P159">
        <v>118</v>
      </c>
      <c r="Q159" s="1" t="s">
        <v>22</v>
      </c>
      <c r="R159" s="4">
        <f>Matrice1!$S159/1440</f>
        <v>0.33958333333333335</v>
      </c>
      <c r="S159">
        <v>489</v>
      </c>
      <c r="T159">
        <v>76.22</v>
      </c>
      <c r="U159">
        <v>2</v>
      </c>
      <c r="V159" s="8">
        <f>IF(Matrice1!$Q159="Pro Monde",10%,IF(AND(Matrice1!$R159&gt;12,Matrice1!$O159&gt;5),70%,IF(AND(OR(Matrice1!$R159&gt;=4,Matrice1!$R159&lt;=12,Matrice1!$O159&lt;5,(OR(Matrice1!$Q159="Premium ")))),45%,0%)))</f>
        <v>0.45</v>
      </c>
      <c r="W159">
        <f>Matrice1!$T159* (Matrice1!$V159/100)</f>
        <v>0.34299000000000002</v>
      </c>
    </row>
    <row r="160" spans="1:23" x14ac:dyDescent="0.3">
      <c r="A160" s="1" t="s">
        <v>1073</v>
      </c>
      <c r="B160" s="2">
        <v>45205</v>
      </c>
      <c r="C160" s="3">
        <v>0.47152777777777777</v>
      </c>
      <c r="D160" s="1" t="s">
        <v>1088</v>
      </c>
      <c r="E160">
        <v>50</v>
      </c>
      <c r="F160" s="1" t="s">
        <v>810</v>
      </c>
      <c r="G160" s="1" t="s">
        <v>1088</v>
      </c>
      <c r="H160" s="1" t="s">
        <v>18</v>
      </c>
      <c r="I160">
        <v>2.628638</v>
      </c>
      <c r="J160">
        <v>28.420582</v>
      </c>
      <c r="K160" s="1" t="s">
        <v>1498</v>
      </c>
      <c r="L160" s="1" t="s">
        <v>1499</v>
      </c>
      <c r="M160" s="1" t="s">
        <v>336</v>
      </c>
      <c r="N160" s="1" t="s">
        <v>18</v>
      </c>
      <c r="O160" s="1" t="str">
        <f>INT(Matrice1!$P160/12) &amp; " ans et " &amp; MOD(Matrice1!$P160,12) &amp; " mois"</f>
        <v>8 ans et 9 mois</v>
      </c>
      <c r="P160">
        <v>105</v>
      </c>
      <c r="Q160" s="1" t="s">
        <v>22</v>
      </c>
      <c r="R160" s="4">
        <f>Matrice1!$S160/1440</f>
        <v>2.0833333333333333E-3</v>
      </c>
      <c r="S160">
        <v>3</v>
      </c>
      <c r="T160">
        <v>71.010000000000005</v>
      </c>
      <c r="U160">
        <v>1</v>
      </c>
      <c r="V160" s="8">
        <f>IF(Matrice1!$Q160="Pro Monde",10%,IF(AND(Matrice1!$R160&gt;12,Matrice1!$O160&gt;5),70%,IF(AND(OR(Matrice1!$R160&gt;=4,Matrice1!$R160&lt;=12,Matrice1!$O160&lt;5,(OR(Matrice1!$Q160="Premium ")))),45%,0%)))</f>
        <v>0.45</v>
      </c>
      <c r="W160">
        <f>Matrice1!$T160* (Matrice1!$V160/100)</f>
        <v>0.31954500000000008</v>
      </c>
    </row>
    <row r="161" spans="1:23" x14ac:dyDescent="0.3">
      <c r="A161" s="1" t="s">
        <v>1073</v>
      </c>
      <c r="B161" s="2">
        <v>45205</v>
      </c>
      <c r="C161" s="3">
        <v>0.47152777777777777</v>
      </c>
      <c r="D161" s="1" t="s">
        <v>1088</v>
      </c>
      <c r="E161">
        <v>50</v>
      </c>
      <c r="F161" s="1" t="s">
        <v>810</v>
      </c>
      <c r="G161" s="1" t="s">
        <v>1088</v>
      </c>
      <c r="H161" s="1" t="s">
        <v>18</v>
      </c>
      <c r="I161">
        <v>2.628638</v>
      </c>
      <c r="J161">
        <v>28.420582</v>
      </c>
      <c r="K161" s="1" t="s">
        <v>1498</v>
      </c>
      <c r="L161" s="1" t="s">
        <v>1499</v>
      </c>
      <c r="M161" s="1" t="s">
        <v>344</v>
      </c>
      <c r="N161" s="1" t="s">
        <v>18</v>
      </c>
      <c r="O161" s="1" t="str">
        <f>INT(Matrice1!$P161/12) &amp; " ans et " &amp; MOD(Matrice1!$P161,12) &amp; " mois"</f>
        <v>5 ans et 9 mois</v>
      </c>
      <c r="P161">
        <v>69</v>
      </c>
      <c r="Q161" s="1" t="s">
        <v>11</v>
      </c>
      <c r="R161" s="4">
        <f>Matrice1!$S161/1440</f>
        <v>0.33750000000000002</v>
      </c>
      <c r="S161">
        <v>486</v>
      </c>
      <c r="T161">
        <v>34.770000000000003</v>
      </c>
      <c r="U161">
        <v>0</v>
      </c>
      <c r="V161" s="8">
        <f>IF(Matrice1!$Q161="Pro Monde",10%,IF(AND(Matrice1!$R161&gt;12,Matrice1!$O161&gt;5),70%,IF(AND(OR(Matrice1!$R161&gt;=4,Matrice1!$R161&lt;=12,Matrice1!$O161&lt;5,(OR(Matrice1!$Q161="Premium ")))),45%,0%)))</f>
        <v>0.45</v>
      </c>
      <c r="W161">
        <f>Matrice1!$T161* (Matrice1!$V161/100)</f>
        <v>0.15646500000000002</v>
      </c>
    </row>
    <row r="162" spans="1:23" x14ac:dyDescent="0.3">
      <c r="A162" s="1" t="s">
        <v>1073</v>
      </c>
      <c r="B162" s="2">
        <v>45205</v>
      </c>
      <c r="C162" s="3">
        <v>0.47152777777777777</v>
      </c>
      <c r="D162" s="1" t="s">
        <v>1088</v>
      </c>
      <c r="E162">
        <v>50</v>
      </c>
      <c r="F162" s="1" t="s">
        <v>810</v>
      </c>
      <c r="G162" s="1" t="s">
        <v>1088</v>
      </c>
      <c r="H162" s="1" t="s">
        <v>18</v>
      </c>
      <c r="I162">
        <v>2.628638</v>
      </c>
      <c r="J162">
        <v>28.420582</v>
      </c>
      <c r="K162" s="1" t="s">
        <v>1498</v>
      </c>
      <c r="L162" s="1" t="s">
        <v>1499</v>
      </c>
      <c r="M162" s="1" t="s">
        <v>359</v>
      </c>
      <c r="N162" s="1" t="s">
        <v>18</v>
      </c>
      <c r="O162" s="1" t="str">
        <f>INT(Matrice1!$P162/12) &amp; " ans et " &amp; MOD(Matrice1!$P162,12) &amp; " mois"</f>
        <v>6 ans et 6 mois</v>
      </c>
      <c r="P162">
        <v>78</v>
      </c>
      <c r="Q162" s="1" t="s">
        <v>11</v>
      </c>
      <c r="R162" s="4">
        <f>Matrice1!$S162/1440</f>
        <v>0.18263888888888888</v>
      </c>
      <c r="S162">
        <v>263</v>
      </c>
      <c r="T162">
        <v>53.58</v>
      </c>
      <c r="U162">
        <v>5</v>
      </c>
      <c r="V162" s="8">
        <f>IF(Matrice1!$Q162="Pro Monde",10%,IF(AND(Matrice1!$R162&gt;12,Matrice1!$O162&gt;5),70%,IF(AND(OR(Matrice1!$R162&gt;=4,Matrice1!$R162&lt;=12,Matrice1!$O162&lt;5,(OR(Matrice1!$Q162="Premium ")))),45%,0%)))</f>
        <v>0.45</v>
      </c>
      <c r="W162">
        <f>Matrice1!$T162* (Matrice1!$V162/100)</f>
        <v>0.24111000000000002</v>
      </c>
    </row>
    <row r="163" spans="1:23" x14ac:dyDescent="0.3">
      <c r="A163" s="1" t="s">
        <v>1073</v>
      </c>
      <c r="B163" s="2">
        <v>45205</v>
      </c>
      <c r="C163" s="3">
        <v>0.47152777777777777</v>
      </c>
      <c r="D163" s="1" t="s">
        <v>1088</v>
      </c>
      <c r="E163">
        <v>50</v>
      </c>
      <c r="F163" s="1" t="s">
        <v>810</v>
      </c>
      <c r="G163" s="1" t="s">
        <v>1088</v>
      </c>
      <c r="H163" s="1" t="s">
        <v>18</v>
      </c>
      <c r="I163">
        <v>2.628638</v>
      </c>
      <c r="J163">
        <v>28.420582</v>
      </c>
      <c r="K163" s="1" t="s">
        <v>1498</v>
      </c>
      <c r="L163" s="1" t="s">
        <v>1499</v>
      </c>
      <c r="M163" s="1" t="s">
        <v>360</v>
      </c>
      <c r="N163" s="1" t="s">
        <v>18</v>
      </c>
      <c r="O163" s="1" t="str">
        <f>INT(Matrice1!$P163/12) &amp; " ans et " &amp; MOD(Matrice1!$P163,12) &amp; " mois"</f>
        <v>6 ans et 4 mois</v>
      </c>
      <c r="P163">
        <v>76</v>
      </c>
      <c r="Q163" s="1" t="s">
        <v>22</v>
      </c>
      <c r="R163" s="4">
        <f>Matrice1!$S163/1440</f>
        <v>0.23055555555555557</v>
      </c>
      <c r="S163">
        <v>332</v>
      </c>
      <c r="T163">
        <v>68.010000000000005</v>
      </c>
      <c r="U163">
        <v>4</v>
      </c>
      <c r="V163" s="8">
        <f>IF(Matrice1!$Q163="Pro Monde",10%,IF(AND(Matrice1!$R163&gt;12,Matrice1!$O163&gt;5),70%,IF(AND(OR(Matrice1!$R163&gt;=4,Matrice1!$R163&lt;=12,Matrice1!$O163&lt;5,(OR(Matrice1!$Q163="Premium ")))),45%,0%)))</f>
        <v>0.45</v>
      </c>
      <c r="W163">
        <f>Matrice1!$T163* (Matrice1!$V163/100)</f>
        <v>0.30604500000000007</v>
      </c>
    </row>
    <row r="164" spans="1:23" x14ac:dyDescent="0.3">
      <c r="A164" s="1" t="s">
        <v>1073</v>
      </c>
      <c r="B164" s="2">
        <v>45205</v>
      </c>
      <c r="C164" s="3">
        <v>0.47152777777777777</v>
      </c>
      <c r="D164" s="1" t="s">
        <v>1088</v>
      </c>
      <c r="E164">
        <v>50</v>
      </c>
      <c r="F164" s="1" t="s">
        <v>810</v>
      </c>
      <c r="G164" s="1" t="s">
        <v>1088</v>
      </c>
      <c r="H164" s="1" t="s">
        <v>18</v>
      </c>
      <c r="I164">
        <v>2.628638</v>
      </c>
      <c r="J164">
        <v>28.420582</v>
      </c>
      <c r="K164" s="1" t="s">
        <v>1498</v>
      </c>
      <c r="L164" s="1" t="s">
        <v>1499</v>
      </c>
      <c r="M164" s="1" t="s">
        <v>361</v>
      </c>
      <c r="N164" s="1" t="s">
        <v>18</v>
      </c>
      <c r="O164" s="1" t="str">
        <f>INT(Matrice1!$P164/12) &amp; " ans et " &amp; MOD(Matrice1!$P164,12) &amp; " mois"</f>
        <v>2 ans et 5 mois</v>
      </c>
      <c r="P164">
        <v>29</v>
      </c>
      <c r="Q164" s="1" t="s">
        <v>19</v>
      </c>
      <c r="R164" s="4">
        <f>Matrice1!$S164/1440</f>
        <v>0.12013888888888889</v>
      </c>
      <c r="S164">
        <v>173</v>
      </c>
      <c r="T164">
        <v>49.03</v>
      </c>
      <c r="U164">
        <v>3</v>
      </c>
      <c r="V164" s="8">
        <f>IF(Matrice1!$Q164="Pro Monde",10%,IF(AND(Matrice1!$R164&gt;12,Matrice1!$O164&gt;5),70%,IF(AND(OR(Matrice1!$R164&gt;=4,Matrice1!$R164&lt;=12,Matrice1!$O164&lt;5,(OR(Matrice1!$Q164="Premium ")))),45%,0%)))</f>
        <v>0.45</v>
      </c>
      <c r="W164">
        <f>Matrice1!$T164* (Matrice1!$V164/100)</f>
        <v>0.22063500000000003</v>
      </c>
    </row>
    <row r="165" spans="1:23" x14ac:dyDescent="0.3">
      <c r="A165" s="1" t="s">
        <v>1073</v>
      </c>
      <c r="B165" s="2">
        <v>45205</v>
      </c>
      <c r="C165" s="3">
        <v>0.47152777777777777</v>
      </c>
      <c r="D165" s="1" t="s">
        <v>1088</v>
      </c>
      <c r="E165">
        <v>50</v>
      </c>
      <c r="F165" s="1" t="s">
        <v>810</v>
      </c>
      <c r="G165" s="1" t="s">
        <v>1088</v>
      </c>
      <c r="H165" s="1" t="s">
        <v>18</v>
      </c>
      <c r="I165">
        <v>2.628638</v>
      </c>
      <c r="J165">
        <v>28.420582</v>
      </c>
      <c r="K165" s="1" t="s">
        <v>1498</v>
      </c>
      <c r="L165" s="1" t="s">
        <v>1499</v>
      </c>
      <c r="M165" s="1" t="s">
        <v>378</v>
      </c>
      <c r="N165" s="1" t="s">
        <v>18</v>
      </c>
      <c r="O165" s="1" t="str">
        <f>INT(Matrice1!$P165/12) &amp; " ans et " &amp; MOD(Matrice1!$P165,12) &amp; " mois"</f>
        <v>6 ans et 5 mois</v>
      </c>
      <c r="P165">
        <v>77</v>
      </c>
      <c r="Q165" s="1" t="s">
        <v>11</v>
      </c>
      <c r="R165" s="4">
        <f>Matrice1!$S165/1440</f>
        <v>0.33888888888888891</v>
      </c>
      <c r="S165">
        <v>488</v>
      </c>
      <c r="T165">
        <v>21.17</v>
      </c>
      <c r="U165">
        <v>0</v>
      </c>
      <c r="V165" s="8">
        <f>IF(Matrice1!$Q165="Pro Monde",10%,IF(AND(Matrice1!$R165&gt;12,Matrice1!$O165&gt;5),70%,IF(AND(OR(Matrice1!$R165&gt;=4,Matrice1!$R165&lt;=12,Matrice1!$O165&lt;5,(OR(Matrice1!$Q165="Premium ")))),45%,0%)))</f>
        <v>0.45</v>
      </c>
      <c r="W165">
        <f>Matrice1!$T165* (Matrice1!$V165/100)</f>
        <v>9.5265000000000016E-2</v>
      </c>
    </row>
    <row r="166" spans="1:23" x14ac:dyDescent="0.3">
      <c r="A166" s="1" t="s">
        <v>1073</v>
      </c>
      <c r="B166" s="2">
        <v>45205</v>
      </c>
      <c r="C166" s="3">
        <v>0.47152777777777777</v>
      </c>
      <c r="D166" s="1" t="s">
        <v>1088</v>
      </c>
      <c r="E166">
        <v>50</v>
      </c>
      <c r="F166" s="1" t="s">
        <v>810</v>
      </c>
      <c r="G166" s="1" t="s">
        <v>1088</v>
      </c>
      <c r="H166" s="1" t="s">
        <v>18</v>
      </c>
      <c r="I166">
        <v>2.628638</v>
      </c>
      <c r="J166">
        <v>28.420582</v>
      </c>
      <c r="K166" s="1" t="s">
        <v>1498</v>
      </c>
      <c r="L166" s="1" t="s">
        <v>1499</v>
      </c>
      <c r="M166" s="1" t="s">
        <v>381</v>
      </c>
      <c r="N166" s="1" t="s">
        <v>18</v>
      </c>
      <c r="O166" s="1" t="str">
        <f>INT(Matrice1!$P166/12) &amp; " ans et " &amp; MOD(Matrice1!$P166,12) &amp; " mois"</f>
        <v>8 ans et 0 mois</v>
      </c>
      <c r="P166">
        <v>96</v>
      </c>
      <c r="Q166" s="1" t="s">
        <v>22</v>
      </c>
      <c r="R166" s="4">
        <f>Matrice1!$S166/1440</f>
        <v>0.26458333333333334</v>
      </c>
      <c r="S166">
        <v>381</v>
      </c>
      <c r="T166">
        <v>90.78</v>
      </c>
      <c r="U166">
        <v>2</v>
      </c>
      <c r="V166" s="8">
        <f>IF(Matrice1!$Q166="Pro Monde",10%,IF(AND(Matrice1!$R166&gt;12,Matrice1!$O166&gt;5),70%,IF(AND(OR(Matrice1!$R166&gt;=4,Matrice1!$R166&lt;=12,Matrice1!$O166&lt;5,(OR(Matrice1!$Q166="Premium ")))),45%,0%)))</f>
        <v>0.45</v>
      </c>
      <c r="W166">
        <f>Matrice1!$T166* (Matrice1!$V166/100)</f>
        <v>0.40851000000000004</v>
      </c>
    </row>
    <row r="167" spans="1:23" x14ac:dyDescent="0.3">
      <c r="A167" s="1" t="s">
        <v>1073</v>
      </c>
      <c r="B167" s="2">
        <v>45205</v>
      </c>
      <c r="C167" s="3">
        <v>0.47152777777777777</v>
      </c>
      <c r="D167" s="1" t="s">
        <v>1088</v>
      </c>
      <c r="E167">
        <v>50</v>
      </c>
      <c r="F167" s="1" t="s">
        <v>810</v>
      </c>
      <c r="G167" s="1" t="s">
        <v>1088</v>
      </c>
      <c r="H167" s="1" t="s">
        <v>18</v>
      </c>
      <c r="I167">
        <v>2.628638</v>
      </c>
      <c r="J167">
        <v>28.420582</v>
      </c>
      <c r="K167" s="1" t="s">
        <v>1498</v>
      </c>
      <c r="L167" s="1" t="s">
        <v>1499</v>
      </c>
      <c r="M167" s="1" t="s">
        <v>389</v>
      </c>
      <c r="N167" s="1" t="s">
        <v>18</v>
      </c>
      <c r="O167" s="1" t="str">
        <f>INT(Matrice1!$P167/12) &amp; " ans et " &amp; MOD(Matrice1!$P167,12) &amp; " mois"</f>
        <v>3 ans et 5 mois</v>
      </c>
      <c r="P167">
        <v>41</v>
      </c>
      <c r="Q167" s="1" t="s">
        <v>19</v>
      </c>
      <c r="R167" s="4">
        <f>Matrice1!$S167/1440</f>
        <v>0.27638888888888891</v>
      </c>
      <c r="S167">
        <v>398</v>
      </c>
      <c r="T167">
        <v>28.56</v>
      </c>
      <c r="U167">
        <v>2</v>
      </c>
      <c r="V167" s="8">
        <f>IF(Matrice1!$Q167="Pro Monde",10%,IF(AND(Matrice1!$R167&gt;12,Matrice1!$O167&gt;5),70%,IF(AND(OR(Matrice1!$R167&gt;=4,Matrice1!$R167&lt;=12,Matrice1!$O167&lt;5,(OR(Matrice1!$Q167="Premium ")))),45%,0%)))</f>
        <v>0.45</v>
      </c>
      <c r="W167">
        <f>Matrice1!$T167* (Matrice1!$V167/100)</f>
        <v>0.12852000000000002</v>
      </c>
    </row>
    <row r="168" spans="1:23" x14ac:dyDescent="0.3">
      <c r="A168" s="1" t="s">
        <v>1073</v>
      </c>
      <c r="B168" s="2">
        <v>45205</v>
      </c>
      <c r="C168" s="3">
        <v>0.47152777777777777</v>
      </c>
      <c r="D168" s="1" t="s">
        <v>1088</v>
      </c>
      <c r="E168">
        <v>50</v>
      </c>
      <c r="F168" s="1" t="s">
        <v>810</v>
      </c>
      <c r="G168" s="1" t="s">
        <v>1088</v>
      </c>
      <c r="H168" s="1" t="s">
        <v>18</v>
      </c>
      <c r="I168">
        <v>2.628638</v>
      </c>
      <c r="J168">
        <v>28.420582</v>
      </c>
      <c r="K168" s="1" t="s">
        <v>1498</v>
      </c>
      <c r="L168" s="1" t="s">
        <v>1499</v>
      </c>
      <c r="M168" s="1" t="s">
        <v>410</v>
      </c>
      <c r="N168" s="1" t="s">
        <v>18</v>
      </c>
      <c r="O168" s="1" t="str">
        <f>INT(Matrice1!$P168/12) &amp; " ans et " &amp; MOD(Matrice1!$P168,12) &amp; " mois"</f>
        <v>1 ans et 2 mois</v>
      </c>
      <c r="P168">
        <v>14</v>
      </c>
      <c r="Q168" s="1" t="s">
        <v>14</v>
      </c>
      <c r="R168" s="4">
        <f>Matrice1!$S168/1440</f>
        <v>0.23958333333333334</v>
      </c>
      <c r="S168">
        <v>345</v>
      </c>
      <c r="T168">
        <v>39.57</v>
      </c>
      <c r="U168">
        <v>3</v>
      </c>
      <c r="V168" s="8">
        <f>IF(Matrice1!$Q168="Pro Monde",10%,IF(AND(Matrice1!$R168&gt;12,Matrice1!$O168&gt;5),70%,IF(AND(OR(Matrice1!$R168&gt;=4,Matrice1!$R168&lt;=12,Matrice1!$O168&lt;5,(OR(Matrice1!$Q168="Premium ")))),45%,0%)))</f>
        <v>0.1</v>
      </c>
      <c r="W168">
        <f>Matrice1!$T168* (Matrice1!$V168/100)</f>
        <v>3.9570000000000001E-2</v>
      </c>
    </row>
    <row r="169" spans="1:23" x14ac:dyDescent="0.3">
      <c r="A169" s="1" t="s">
        <v>1073</v>
      </c>
      <c r="B169" s="2">
        <v>45205</v>
      </c>
      <c r="C169" s="3">
        <v>0.47152777777777777</v>
      </c>
      <c r="D169" s="1" t="s">
        <v>1088</v>
      </c>
      <c r="E169">
        <v>50</v>
      </c>
      <c r="F169" s="1" t="s">
        <v>810</v>
      </c>
      <c r="G169" s="1" t="s">
        <v>1088</v>
      </c>
      <c r="H169" s="1" t="s">
        <v>18</v>
      </c>
      <c r="I169">
        <v>2.628638</v>
      </c>
      <c r="J169">
        <v>28.420582</v>
      </c>
      <c r="K169" s="1" t="s">
        <v>1498</v>
      </c>
      <c r="L169" s="1" t="s">
        <v>1499</v>
      </c>
      <c r="M169" s="1" t="s">
        <v>458</v>
      </c>
      <c r="N169" s="1" t="s">
        <v>18</v>
      </c>
      <c r="O169" s="1" t="str">
        <f>INT(Matrice1!$P169/12) &amp; " ans et " &amp; MOD(Matrice1!$P169,12) &amp; " mois"</f>
        <v>0 ans et 7 mois</v>
      </c>
      <c r="P169">
        <v>7</v>
      </c>
      <c r="Q169" s="1" t="s">
        <v>19</v>
      </c>
      <c r="R169" s="4">
        <f>Matrice1!$S169/1440</f>
        <v>0.16180555555555556</v>
      </c>
      <c r="S169">
        <v>233</v>
      </c>
      <c r="T169">
        <v>10.94</v>
      </c>
      <c r="U169">
        <v>0</v>
      </c>
      <c r="V169" s="8">
        <f>IF(Matrice1!$Q169="Pro Monde",10%,IF(AND(Matrice1!$R169&gt;12,Matrice1!$O169&gt;5),70%,IF(AND(OR(Matrice1!$R169&gt;=4,Matrice1!$R169&lt;=12,Matrice1!$O169&lt;5,(OR(Matrice1!$Q169="Premium ")))),45%,0%)))</f>
        <v>0.45</v>
      </c>
      <c r="W169">
        <f>Matrice1!$T169* (Matrice1!$V169/100)</f>
        <v>4.9230000000000003E-2</v>
      </c>
    </row>
    <row r="170" spans="1:23" x14ac:dyDescent="0.3">
      <c r="A170" s="1" t="s">
        <v>1073</v>
      </c>
      <c r="B170" s="2">
        <v>45205</v>
      </c>
      <c r="C170" s="3">
        <v>0.47152777777777777</v>
      </c>
      <c r="D170" s="1" t="s">
        <v>1088</v>
      </c>
      <c r="E170">
        <v>50</v>
      </c>
      <c r="F170" s="1" t="s">
        <v>810</v>
      </c>
      <c r="G170" s="1" t="s">
        <v>1088</v>
      </c>
      <c r="H170" s="1" t="s">
        <v>18</v>
      </c>
      <c r="I170">
        <v>2.628638</v>
      </c>
      <c r="J170">
        <v>28.420582</v>
      </c>
      <c r="K170" s="1" t="s">
        <v>1498</v>
      </c>
      <c r="L170" s="1" t="s">
        <v>1499</v>
      </c>
      <c r="M170" s="1" t="s">
        <v>554</v>
      </c>
      <c r="N170" s="1" t="s">
        <v>18</v>
      </c>
      <c r="O170" s="1" t="str">
        <f>INT(Matrice1!$P170/12) &amp; " ans et " &amp; MOD(Matrice1!$P170,12) &amp; " mois"</f>
        <v>3 ans et 10 mois</v>
      </c>
      <c r="P170">
        <v>46</v>
      </c>
      <c r="Q170" s="1" t="s">
        <v>14</v>
      </c>
      <c r="R170" s="4">
        <f>Matrice1!$S170/1440</f>
        <v>0.15</v>
      </c>
      <c r="S170">
        <v>216</v>
      </c>
      <c r="T170">
        <v>63.74</v>
      </c>
      <c r="U170">
        <v>4</v>
      </c>
      <c r="V170" s="8">
        <f>IF(Matrice1!$Q170="Pro Monde",10%,IF(AND(Matrice1!$R170&gt;12,Matrice1!$O170&gt;5),70%,IF(AND(OR(Matrice1!$R170&gt;=4,Matrice1!$R170&lt;=12,Matrice1!$O170&lt;5,(OR(Matrice1!$Q170="Premium ")))),45%,0%)))</f>
        <v>0.1</v>
      </c>
      <c r="W170">
        <f>Matrice1!$T170* (Matrice1!$V170/100)</f>
        <v>6.3740000000000005E-2</v>
      </c>
    </row>
    <row r="171" spans="1:23" x14ac:dyDescent="0.3">
      <c r="A171" s="1" t="s">
        <v>805</v>
      </c>
      <c r="B171" s="2">
        <v>45213</v>
      </c>
      <c r="C171" s="3">
        <v>0.31111111111111112</v>
      </c>
      <c r="D171" s="1" t="s">
        <v>819</v>
      </c>
      <c r="E171">
        <v>22</v>
      </c>
      <c r="F171" s="1" t="s">
        <v>810</v>
      </c>
      <c r="G171" s="1" t="s">
        <v>819</v>
      </c>
      <c r="H171" s="1" t="s">
        <v>40</v>
      </c>
      <c r="I171">
        <v>4.8319039999999998</v>
      </c>
      <c r="J171">
        <v>20.733468999999999</v>
      </c>
      <c r="K171" s="1" t="s">
        <v>1495</v>
      </c>
      <c r="L171" s="1" t="s">
        <v>1496</v>
      </c>
      <c r="M171" s="1" t="s">
        <v>39</v>
      </c>
      <c r="N171" s="1" t="s">
        <v>40</v>
      </c>
      <c r="O171" s="1" t="str">
        <f>INT(Matrice1!$P171/12) &amp; " ans et " &amp; MOD(Matrice1!$P171,12) &amp; " mois"</f>
        <v>9 ans et 2 mois</v>
      </c>
      <c r="P171">
        <v>110</v>
      </c>
      <c r="Q171" s="1" t="s">
        <v>14</v>
      </c>
      <c r="R171" s="4">
        <f>Matrice1!$S171/1440</f>
        <v>0.29375000000000001</v>
      </c>
      <c r="S171">
        <v>423</v>
      </c>
      <c r="T171">
        <v>37.35</v>
      </c>
      <c r="U171">
        <v>4</v>
      </c>
      <c r="V171" s="8">
        <f>IF(Matrice1!$Q171="Pro Monde",10%,IF(AND(Matrice1!$R171&gt;12,Matrice1!$O171&gt;5),70%,IF(AND(OR(Matrice1!$R171&gt;=4,Matrice1!$R171&lt;=12,Matrice1!$O171&lt;5,(OR(Matrice1!$Q171="Premium ")))),45%,0%)))</f>
        <v>0.1</v>
      </c>
      <c r="W171">
        <f>Matrice1!$T171* (Matrice1!$V171/100)</f>
        <v>3.7350000000000001E-2</v>
      </c>
    </row>
    <row r="172" spans="1:23" x14ac:dyDescent="0.3">
      <c r="A172" s="1" t="s">
        <v>805</v>
      </c>
      <c r="B172" s="2">
        <v>45213</v>
      </c>
      <c r="C172" s="3">
        <v>0.31111111111111112</v>
      </c>
      <c r="D172" s="1" t="s">
        <v>819</v>
      </c>
      <c r="E172">
        <v>22</v>
      </c>
      <c r="F172" s="1" t="s">
        <v>810</v>
      </c>
      <c r="G172" s="1" t="s">
        <v>819</v>
      </c>
      <c r="H172" s="1" t="s">
        <v>40</v>
      </c>
      <c r="I172">
        <v>4.8319039999999998</v>
      </c>
      <c r="J172">
        <v>20.733468999999999</v>
      </c>
      <c r="K172" s="1" t="s">
        <v>1495</v>
      </c>
      <c r="L172" s="1" t="s">
        <v>1496</v>
      </c>
      <c r="M172" s="1" t="s">
        <v>76</v>
      </c>
      <c r="N172" s="1" t="s">
        <v>40</v>
      </c>
      <c r="O172" s="1" t="str">
        <f>INT(Matrice1!$P172/12) &amp; " ans et " &amp; MOD(Matrice1!$P172,12) &amp; " mois"</f>
        <v>1 ans et 10 mois</v>
      </c>
      <c r="P172">
        <v>22</v>
      </c>
      <c r="Q172" s="1" t="s">
        <v>22</v>
      </c>
      <c r="R172" s="4">
        <f>Matrice1!$S172/1440</f>
        <v>0.31319444444444444</v>
      </c>
      <c r="S172">
        <v>451</v>
      </c>
      <c r="T172">
        <v>76.38</v>
      </c>
      <c r="U172">
        <v>3</v>
      </c>
      <c r="V172" s="8">
        <f>IF(Matrice1!$Q172="Pro Monde",10%,IF(AND(Matrice1!$R172&gt;12,Matrice1!$O172&gt;5),70%,IF(AND(OR(Matrice1!$R172&gt;=4,Matrice1!$R172&lt;=12,Matrice1!$O172&lt;5,(OR(Matrice1!$Q172="Premium ")))),45%,0%)))</f>
        <v>0.45</v>
      </c>
      <c r="W172">
        <f>Matrice1!$T172* (Matrice1!$V172/100)</f>
        <v>0.34371000000000002</v>
      </c>
    </row>
    <row r="173" spans="1:23" x14ac:dyDescent="0.3">
      <c r="A173" s="1" t="s">
        <v>805</v>
      </c>
      <c r="B173" s="2">
        <v>45213</v>
      </c>
      <c r="C173" s="3">
        <v>0.31111111111111112</v>
      </c>
      <c r="D173" s="1" t="s">
        <v>819</v>
      </c>
      <c r="E173">
        <v>22</v>
      </c>
      <c r="F173" s="1" t="s">
        <v>810</v>
      </c>
      <c r="G173" s="1" t="s">
        <v>819</v>
      </c>
      <c r="H173" s="1" t="s">
        <v>40</v>
      </c>
      <c r="I173">
        <v>4.8319039999999998</v>
      </c>
      <c r="J173">
        <v>20.733468999999999</v>
      </c>
      <c r="K173" s="1" t="s">
        <v>1495</v>
      </c>
      <c r="L173" s="1" t="s">
        <v>1496</v>
      </c>
      <c r="M173" s="1" t="s">
        <v>119</v>
      </c>
      <c r="N173" s="1" t="s">
        <v>40</v>
      </c>
      <c r="O173" s="1" t="str">
        <f>INT(Matrice1!$P173/12) &amp; " ans et " &amp; MOD(Matrice1!$P173,12) &amp; " mois"</f>
        <v>7 ans et 7 mois</v>
      </c>
      <c r="P173">
        <v>91</v>
      </c>
      <c r="Q173" s="1" t="s">
        <v>11</v>
      </c>
      <c r="R173" s="4">
        <f>Matrice1!$S173/1440</f>
        <v>0.32430555555555557</v>
      </c>
      <c r="S173">
        <v>467</v>
      </c>
      <c r="T173">
        <v>84.74</v>
      </c>
      <c r="U173">
        <v>1</v>
      </c>
      <c r="V173" s="8">
        <f>IF(Matrice1!$Q173="Pro Monde",10%,IF(AND(Matrice1!$R173&gt;12,Matrice1!$O173&gt;5),70%,IF(AND(OR(Matrice1!$R173&gt;=4,Matrice1!$R173&lt;=12,Matrice1!$O173&lt;5,(OR(Matrice1!$Q173="Premium ")))),45%,0%)))</f>
        <v>0.45</v>
      </c>
      <c r="W173">
        <f>Matrice1!$T173* (Matrice1!$V173/100)</f>
        <v>0.38133</v>
      </c>
    </row>
    <row r="174" spans="1:23" x14ac:dyDescent="0.3">
      <c r="A174" s="1" t="s">
        <v>805</v>
      </c>
      <c r="B174" s="2">
        <v>45213</v>
      </c>
      <c r="C174" s="3">
        <v>0.31111111111111112</v>
      </c>
      <c r="D174" s="1" t="s">
        <v>819</v>
      </c>
      <c r="E174">
        <v>22</v>
      </c>
      <c r="F174" s="1" t="s">
        <v>810</v>
      </c>
      <c r="G174" s="1" t="s">
        <v>819</v>
      </c>
      <c r="H174" s="1" t="s">
        <v>40</v>
      </c>
      <c r="I174">
        <v>4.8319039999999998</v>
      </c>
      <c r="J174">
        <v>20.733468999999999</v>
      </c>
      <c r="K174" s="1" t="s">
        <v>1495</v>
      </c>
      <c r="L174" s="1" t="s">
        <v>1496</v>
      </c>
      <c r="M174" s="1" t="s">
        <v>177</v>
      </c>
      <c r="N174" s="1" t="s">
        <v>40</v>
      </c>
      <c r="O174" s="1" t="str">
        <f>INT(Matrice1!$P174/12) &amp; " ans et " &amp; MOD(Matrice1!$P174,12) &amp; " mois"</f>
        <v>4 ans et 10 mois</v>
      </c>
      <c r="P174">
        <v>58</v>
      </c>
      <c r="Q174" s="1" t="s">
        <v>19</v>
      </c>
      <c r="R174" s="4">
        <f>Matrice1!$S174/1440</f>
        <v>0.20347222222222222</v>
      </c>
      <c r="S174">
        <v>293</v>
      </c>
      <c r="T174">
        <v>88.85</v>
      </c>
      <c r="U174">
        <v>5</v>
      </c>
      <c r="V174" s="8">
        <f>IF(Matrice1!$Q174="Pro Monde",10%,IF(AND(Matrice1!$R174&gt;12,Matrice1!$O174&gt;5),70%,IF(AND(OR(Matrice1!$R174&gt;=4,Matrice1!$R174&lt;=12,Matrice1!$O174&lt;5,(OR(Matrice1!$Q174="Premium ")))),45%,0%)))</f>
        <v>0.45</v>
      </c>
      <c r="W174">
        <f>Matrice1!$T174* (Matrice1!$V174/100)</f>
        <v>0.39982500000000004</v>
      </c>
    </row>
    <row r="175" spans="1:23" x14ac:dyDescent="0.3">
      <c r="A175" s="1" t="s">
        <v>805</v>
      </c>
      <c r="B175" s="2">
        <v>45213</v>
      </c>
      <c r="C175" s="3">
        <v>0.31111111111111112</v>
      </c>
      <c r="D175" s="1" t="s">
        <v>819</v>
      </c>
      <c r="E175">
        <v>22</v>
      </c>
      <c r="F175" s="1" t="s">
        <v>810</v>
      </c>
      <c r="G175" s="1" t="s">
        <v>819</v>
      </c>
      <c r="H175" s="1" t="s">
        <v>40</v>
      </c>
      <c r="I175">
        <v>4.8319039999999998</v>
      </c>
      <c r="J175">
        <v>20.733468999999999</v>
      </c>
      <c r="K175" s="1" t="s">
        <v>1495</v>
      </c>
      <c r="L175" s="1" t="s">
        <v>1496</v>
      </c>
      <c r="M175" s="1" t="s">
        <v>194</v>
      </c>
      <c r="N175" s="1" t="s">
        <v>40</v>
      </c>
      <c r="O175" s="1" t="str">
        <f>INT(Matrice1!$P175/12) &amp; " ans et " &amp; MOD(Matrice1!$P175,12) &amp; " mois"</f>
        <v>8 ans et 1 mois</v>
      </c>
      <c r="P175">
        <v>97</v>
      </c>
      <c r="Q175" s="1" t="s">
        <v>11</v>
      </c>
      <c r="R175" s="4">
        <f>Matrice1!$S175/1440</f>
        <v>0.20555555555555555</v>
      </c>
      <c r="S175">
        <v>296</v>
      </c>
      <c r="T175">
        <v>10.87</v>
      </c>
      <c r="U175">
        <v>4</v>
      </c>
      <c r="V175" s="8">
        <f>IF(Matrice1!$Q175="Pro Monde",10%,IF(AND(Matrice1!$R175&gt;12,Matrice1!$O175&gt;5),70%,IF(AND(OR(Matrice1!$R175&gt;=4,Matrice1!$R175&lt;=12,Matrice1!$O175&lt;5,(OR(Matrice1!$Q175="Premium ")))),45%,0%)))</f>
        <v>0.45</v>
      </c>
      <c r="W175">
        <f>Matrice1!$T175* (Matrice1!$V175/100)</f>
        <v>4.8915E-2</v>
      </c>
    </row>
    <row r="176" spans="1:23" x14ac:dyDescent="0.3">
      <c r="A176" s="1" t="s">
        <v>805</v>
      </c>
      <c r="B176" s="2">
        <v>45213</v>
      </c>
      <c r="C176" s="3">
        <v>0.31111111111111112</v>
      </c>
      <c r="D176" s="1" t="s">
        <v>819</v>
      </c>
      <c r="E176">
        <v>22</v>
      </c>
      <c r="F176" s="1" t="s">
        <v>810</v>
      </c>
      <c r="G176" s="1" t="s">
        <v>819</v>
      </c>
      <c r="H176" s="1" t="s">
        <v>40</v>
      </c>
      <c r="I176">
        <v>4.8319039999999998</v>
      </c>
      <c r="J176">
        <v>20.733468999999999</v>
      </c>
      <c r="K176" s="1" t="s">
        <v>1495</v>
      </c>
      <c r="L176" s="1" t="s">
        <v>1496</v>
      </c>
      <c r="M176" s="1" t="s">
        <v>231</v>
      </c>
      <c r="N176" s="1" t="s">
        <v>40</v>
      </c>
      <c r="O176" s="1" t="str">
        <f>INT(Matrice1!$P176/12) &amp; " ans et " &amp; MOD(Matrice1!$P176,12) &amp; " mois"</f>
        <v>4 ans et 1 mois</v>
      </c>
      <c r="P176">
        <v>49</v>
      </c>
      <c r="Q176" s="1" t="s">
        <v>11</v>
      </c>
      <c r="R176" s="4">
        <f>Matrice1!$S176/1440</f>
        <v>0.24791666666666667</v>
      </c>
      <c r="S176">
        <v>357</v>
      </c>
      <c r="T176">
        <v>96.67</v>
      </c>
      <c r="U176">
        <v>3</v>
      </c>
      <c r="V176" s="8">
        <f>IF(Matrice1!$Q176="Pro Monde",10%,IF(AND(Matrice1!$R176&gt;12,Matrice1!$O176&gt;5),70%,IF(AND(OR(Matrice1!$R176&gt;=4,Matrice1!$R176&lt;=12,Matrice1!$O176&lt;5,(OR(Matrice1!$Q176="Premium ")))),45%,0%)))</f>
        <v>0.45</v>
      </c>
      <c r="W176">
        <f>Matrice1!$T176* (Matrice1!$V176/100)</f>
        <v>0.43501500000000004</v>
      </c>
    </row>
    <row r="177" spans="1:23" x14ac:dyDescent="0.3">
      <c r="A177" s="1" t="s">
        <v>805</v>
      </c>
      <c r="B177" s="2">
        <v>45213</v>
      </c>
      <c r="C177" s="3">
        <v>0.31111111111111112</v>
      </c>
      <c r="D177" s="1" t="s">
        <v>819</v>
      </c>
      <c r="E177">
        <v>22</v>
      </c>
      <c r="F177" s="1" t="s">
        <v>810</v>
      </c>
      <c r="G177" s="1" t="s">
        <v>819</v>
      </c>
      <c r="H177" s="1" t="s">
        <v>40</v>
      </c>
      <c r="I177">
        <v>4.8319039999999998</v>
      </c>
      <c r="J177">
        <v>20.733468999999999</v>
      </c>
      <c r="K177" s="1" t="s">
        <v>1495</v>
      </c>
      <c r="L177" s="1" t="s">
        <v>1496</v>
      </c>
      <c r="M177" s="1" t="s">
        <v>237</v>
      </c>
      <c r="N177" s="1" t="s">
        <v>40</v>
      </c>
      <c r="O177" s="1" t="str">
        <f>INT(Matrice1!$P177/12) &amp; " ans et " &amp; MOD(Matrice1!$P177,12) &amp; " mois"</f>
        <v>2 ans et 9 mois</v>
      </c>
      <c r="P177">
        <v>33</v>
      </c>
      <c r="Q177" s="1" t="s">
        <v>11</v>
      </c>
      <c r="R177" s="4">
        <f>Matrice1!$S177/1440</f>
        <v>0.19791666666666666</v>
      </c>
      <c r="S177">
        <v>285</v>
      </c>
      <c r="T177">
        <v>56.67</v>
      </c>
      <c r="U177">
        <v>2</v>
      </c>
      <c r="V177" s="8">
        <f>IF(Matrice1!$Q177="Pro Monde",10%,IF(AND(Matrice1!$R177&gt;12,Matrice1!$O177&gt;5),70%,IF(AND(OR(Matrice1!$R177&gt;=4,Matrice1!$R177&lt;=12,Matrice1!$O177&lt;5,(OR(Matrice1!$Q177="Premium ")))),45%,0%)))</f>
        <v>0.45</v>
      </c>
      <c r="W177">
        <f>Matrice1!$T177* (Matrice1!$V177/100)</f>
        <v>0.25501500000000005</v>
      </c>
    </row>
    <row r="178" spans="1:23" x14ac:dyDescent="0.3">
      <c r="A178" s="1" t="s">
        <v>805</v>
      </c>
      <c r="B178" s="2">
        <v>45213</v>
      </c>
      <c r="C178" s="3">
        <v>0.31111111111111112</v>
      </c>
      <c r="D178" s="1" t="s">
        <v>819</v>
      </c>
      <c r="E178">
        <v>22</v>
      </c>
      <c r="F178" s="1" t="s">
        <v>810</v>
      </c>
      <c r="G178" s="1" t="s">
        <v>819</v>
      </c>
      <c r="H178" s="1" t="s">
        <v>40</v>
      </c>
      <c r="I178">
        <v>4.8319039999999998</v>
      </c>
      <c r="J178">
        <v>20.733468999999999</v>
      </c>
      <c r="K178" s="1" t="s">
        <v>1495</v>
      </c>
      <c r="L178" s="1" t="s">
        <v>1496</v>
      </c>
      <c r="M178" s="1" t="s">
        <v>270</v>
      </c>
      <c r="N178" s="1" t="s">
        <v>40</v>
      </c>
      <c r="O178" s="1" t="str">
        <f>INT(Matrice1!$P178/12) &amp; " ans et " &amp; MOD(Matrice1!$P178,12) &amp; " mois"</f>
        <v>5 ans et 0 mois</v>
      </c>
      <c r="P178">
        <v>60</v>
      </c>
      <c r="Q178" s="1" t="s">
        <v>22</v>
      </c>
      <c r="R178" s="4">
        <f>Matrice1!$S178/1440</f>
        <v>0.10694444444444444</v>
      </c>
      <c r="S178">
        <v>154</v>
      </c>
      <c r="T178">
        <v>13.41</v>
      </c>
      <c r="U178">
        <v>5</v>
      </c>
      <c r="V178" s="8">
        <f>IF(Matrice1!$Q178="Pro Monde",10%,IF(AND(Matrice1!$R178&gt;12,Matrice1!$O178&gt;5),70%,IF(AND(OR(Matrice1!$R178&gt;=4,Matrice1!$R178&lt;=12,Matrice1!$O178&lt;5,(OR(Matrice1!$Q178="Premium ")))),45%,0%)))</f>
        <v>0.45</v>
      </c>
      <c r="W178">
        <f>Matrice1!$T178* (Matrice1!$V178/100)</f>
        <v>6.034500000000001E-2</v>
      </c>
    </row>
    <row r="179" spans="1:23" x14ac:dyDescent="0.3">
      <c r="A179" s="1" t="s">
        <v>805</v>
      </c>
      <c r="B179" s="2">
        <v>45213</v>
      </c>
      <c r="C179" s="3">
        <v>0.31111111111111112</v>
      </c>
      <c r="D179" s="1" t="s">
        <v>819</v>
      </c>
      <c r="E179">
        <v>22</v>
      </c>
      <c r="F179" s="1" t="s">
        <v>810</v>
      </c>
      <c r="G179" s="1" t="s">
        <v>819</v>
      </c>
      <c r="H179" s="1" t="s">
        <v>40</v>
      </c>
      <c r="I179">
        <v>4.8319039999999998</v>
      </c>
      <c r="J179">
        <v>20.733468999999999</v>
      </c>
      <c r="K179" s="1" t="s">
        <v>1495</v>
      </c>
      <c r="L179" s="1" t="s">
        <v>1496</v>
      </c>
      <c r="M179" s="1" t="s">
        <v>281</v>
      </c>
      <c r="N179" s="1" t="s">
        <v>40</v>
      </c>
      <c r="O179" s="1" t="str">
        <f>INT(Matrice1!$P179/12) &amp; " ans et " &amp; MOD(Matrice1!$P179,12) &amp; " mois"</f>
        <v>5 ans et 1 mois</v>
      </c>
      <c r="P179">
        <v>61</v>
      </c>
      <c r="Q179" s="1" t="s">
        <v>22</v>
      </c>
      <c r="R179" s="4">
        <f>Matrice1!$S179/1440</f>
        <v>6.0416666666666667E-2</v>
      </c>
      <c r="S179">
        <v>87</v>
      </c>
      <c r="T179">
        <v>68.319999999999993</v>
      </c>
      <c r="U179">
        <v>2</v>
      </c>
      <c r="V179" s="8">
        <f>IF(Matrice1!$Q179="Pro Monde",10%,IF(AND(Matrice1!$R179&gt;12,Matrice1!$O179&gt;5),70%,IF(AND(OR(Matrice1!$R179&gt;=4,Matrice1!$R179&lt;=12,Matrice1!$O179&lt;5,(OR(Matrice1!$Q179="Premium ")))),45%,0%)))</f>
        <v>0.45</v>
      </c>
      <c r="W179">
        <f>Matrice1!$T179* (Matrice1!$V179/100)</f>
        <v>0.30743999999999999</v>
      </c>
    </row>
    <row r="180" spans="1:23" x14ac:dyDescent="0.3">
      <c r="A180" s="1" t="s">
        <v>805</v>
      </c>
      <c r="B180" s="2">
        <v>45213</v>
      </c>
      <c r="C180" s="3">
        <v>0.31111111111111112</v>
      </c>
      <c r="D180" s="1" t="s">
        <v>819</v>
      </c>
      <c r="E180">
        <v>22</v>
      </c>
      <c r="F180" s="1" t="s">
        <v>810</v>
      </c>
      <c r="G180" s="1" t="s">
        <v>819</v>
      </c>
      <c r="H180" s="1" t="s">
        <v>40</v>
      </c>
      <c r="I180">
        <v>4.8319039999999998</v>
      </c>
      <c r="J180">
        <v>20.733468999999999</v>
      </c>
      <c r="K180" s="1" t="s">
        <v>1495</v>
      </c>
      <c r="L180" s="1" t="s">
        <v>1496</v>
      </c>
      <c r="M180" s="1" t="s">
        <v>305</v>
      </c>
      <c r="N180" s="1" t="s">
        <v>40</v>
      </c>
      <c r="O180" s="1" t="str">
        <f>INT(Matrice1!$P180/12) &amp; " ans et " &amp; MOD(Matrice1!$P180,12) &amp; " mois"</f>
        <v>4 ans et 2 mois</v>
      </c>
      <c r="P180">
        <v>50</v>
      </c>
      <c r="Q180" s="1" t="s">
        <v>22</v>
      </c>
      <c r="R180" s="4">
        <f>Matrice1!$S180/1440</f>
        <v>0.30972222222222223</v>
      </c>
      <c r="S180">
        <v>446</v>
      </c>
      <c r="T180">
        <v>31.56</v>
      </c>
      <c r="U180">
        <v>5</v>
      </c>
      <c r="V180" s="8">
        <f>IF(Matrice1!$Q180="Pro Monde",10%,IF(AND(Matrice1!$R180&gt;12,Matrice1!$O180&gt;5),70%,IF(AND(OR(Matrice1!$R180&gt;=4,Matrice1!$R180&lt;=12,Matrice1!$O180&lt;5,(OR(Matrice1!$Q180="Premium ")))),45%,0%)))</f>
        <v>0.45</v>
      </c>
      <c r="W180">
        <f>Matrice1!$T180* (Matrice1!$V180/100)</f>
        <v>0.14202000000000001</v>
      </c>
    </row>
    <row r="181" spans="1:23" x14ac:dyDescent="0.3">
      <c r="A181" s="1" t="s">
        <v>805</v>
      </c>
      <c r="B181" s="2">
        <v>45213</v>
      </c>
      <c r="C181" s="3">
        <v>0.31111111111111112</v>
      </c>
      <c r="D181" s="1" t="s">
        <v>819</v>
      </c>
      <c r="E181">
        <v>22</v>
      </c>
      <c r="F181" s="1" t="s">
        <v>810</v>
      </c>
      <c r="G181" s="1" t="s">
        <v>819</v>
      </c>
      <c r="H181" s="1" t="s">
        <v>40</v>
      </c>
      <c r="I181">
        <v>4.8319039999999998</v>
      </c>
      <c r="J181">
        <v>20.733468999999999</v>
      </c>
      <c r="K181" s="1" t="s">
        <v>1495</v>
      </c>
      <c r="L181" s="1" t="s">
        <v>1496</v>
      </c>
      <c r="M181" s="1" t="s">
        <v>324</v>
      </c>
      <c r="N181" s="1" t="s">
        <v>40</v>
      </c>
      <c r="O181" s="1" t="str">
        <f>INT(Matrice1!$P181/12) &amp; " ans et " &amp; MOD(Matrice1!$P181,12) &amp; " mois"</f>
        <v>7 ans et 6 mois</v>
      </c>
      <c r="P181">
        <v>90</v>
      </c>
      <c r="Q181" s="1" t="s">
        <v>14</v>
      </c>
      <c r="R181" s="4">
        <f>Matrice1!$S181/1440</f>
        <v>0.2076388888888889</v>
      </c>
      <c r="S181">
        <v>299</v>
      </c>
      <c r="T181">
        <v>71.760000000000005</v>
      </c>
      <c r="U181">
        <v>1</v>
      </c>
      <c r="V181" s="8">
        <f>IF(Matrice1!$Q181="Pro Monde",10%,IF(AND(Matrice1!$R181&gt;12,Matrice1!$O181&gt;5),70%,IF(AND(OR(Matrice1!$R181&gt;=4,Matrice1!$R181&lt;=12,Matrice1!$O181&lt;5,(OR(Matrice1!$Q181="Premium ")))),45%,0%)))</f>
        <v>0.1</v>
      </c>
      <c r="W181">
        <f>Matrice1!$T181* (Matrice1!$V181/100)</f>
        <v>7.1760000000000004E-2</v>
      </c>
    </row>
    <row r="182" spans="1:23" x14ac:dyDescent="0.3">
      <c r="A182" s="1" t="s">
        <v>805</v>
      </c>
      <c r="B182" s="2">
        <v>45213</v>
      </c>
      <c r="C182" s="3">
        <v>0.31111111111111112</v>
      </c>
      <c r="D182" s="1" t="s">
        <v>819</v>
      </c>
      <c r="E182">
        <v>22</v>
      </c>
      <c r="F182" s="1" t="s">
        <v>810</v>
      </c>
      <c r="G182" s="1" t="s">
        <v>819</v>
      </c>
      <c r="H182" s="1" t="s">
        <v>40</v>
      </c>
      <c r="I182">
        <v>4.8319039999999998</v>
      </c>
      <c r="J182">
        <v>20.733468999999999</v>
      </c>
      <c r="K182" s="1" t="s">
        <v>1495</v>
      </c>
      <c r="L182" s="1" t="s">
        <v>1496</v>
      </c>
      <c r="M182" s="1" t="s">
        <v>346</v>
      </c>
      <c r="N182" s="1" t="s">
        <v>40</v>
      </c>
      <c r="O182" s="1" t="str">
        <f>INT(Matrice1!$P182/12) &amp; " ans et " &amp; MOD(Matrice1!$P182,12) &amp; " mois"</f>
        <v>9 ans et 1 mois</v>
      </c>
      <c r="P182">
        <v>109</v>
      </c>
      <c r="Q182" s="1" t="s">
        <v>22</v>
      </c>
      <c r="R182" s="4">
        <f>Matrice1!$S182/1440</f>
        <v>0.24097222222222223</v>
      </c>
      <c r="S182">
        <v>347</v>
      </c>
      <c r="T182">
        <v>43.06</v>
      </c>
      <c r="U182">
        <v>4</v>
      </c>
      <c r="V182" s="8">
        <f>IF(Matrice1!$Q182="Pro Monde",10%,IF(AND(Matrice1!$R182&gt;12,Matrice1!$O182&gt;5),70%,IF(AND(OR(Matrice1!$R182&gt;=4,Matrice1!$R182&lt;=12,Matrice1!$O182&lt;5,(OR(Matrice1!$Q182="Premium ")))),45%,0%)))</f>
        <v>0.45</v>
      </c>
      <c r="W182">
        <f>Matrice1!$T182* (Matrice1!$V182/100)</f>
        <v>0.19377000000000003</v>
      </c>
    </row>
    <row r="183" spans="1:23" x14ac:dyDescent="0.3">
      <c r="A183" s="1" t="s">
        <v>805</v>
      </c>
      <c r="B183" s="2">
        <v>45213</v>
      </c>
      <c r="C183" s="3">
        <v>0.31111111111111112</v>
      </c>
      <c r="D183" s="1" t="s">
        <v>819</v>
      </c>
      <c r="E183">
        <v>22</v>
      </c>
      <c r="F183" s="1" t="s">
        <v>810</v>
      </c>
      <c r="G183" s="1" t="s">
        <v>819</v>
      </c>
      <c r="H183" s="1" t="s">
        <v>40</v>
      </c>
      <c r="I183">
        <v>4.8319039999999998</v>
      </c>
      <c r="J183">
        <v>20.733468999999999</v>
      </c>
      <c r="K183" s="1" t="s">
        <v>1495</v>
      </c>
      <c r="L183" s="1" t="s">
        <v>1496</v>
      </c>
      <c r="M183" s="1" t="s">
        <v>354</v>
      </c>
      <c r="N183" s="1" t="s">
        <v>40</v>
      </c>
      <c r="O183" s="1" t="str">
        <f>INT(Matrice1!$P183/12) &amp; " ans et " &amp; MOD(Matrice1!$P183,12) &amp; " mois"</f>
        <v>10 ans et 0 mois</v>
      </c>
      <c r="P183">
        <v>120</v>
      </c>
      <c r="Q183" s="1" t="s">
        <v>22</v>
      </c>
      <c r="R183" s="4">
        <f>Matrice1!$S183/1440</f>
        <v>0.16805555555555557</v>
      </c>
      <c r="S183">
        <v>242</v>
      </c>
      <c r="T183">
        <v>61.54</v>
      </c>
      <c r="U183">
        <v>1</v>
      </c>
      <c r="V183" s="8">
        <f>IF(Matrice1!$Q183="Pro Monde",10%,IF(AND(Matrice1!$R183&gt;12,Matrice1!$O183&gt;5),70%,IF(AND(OR(Matrice1!$R183&gt;=4,Matrice1!$R183&lt;=12,Matrice1!$O183&lt;5,(OR(Matrice1!$Q183="Premium ")))),45%,0%)))</f>
        <v>0.45</v>
      </c>
      <c r="W183">
        <f>Matrice1!$T183* (Matrice1!$V183/100)</f>
        <v>0.27693000000000001</v>
      </c>
    </row>
    <row r="184" spans="1:23" x14ac:dyDescent="0.3">
      <c r="A184" s="1" t="s">
        <v>805</v>
      </c>
      <c r="B184" s="2">
        <v>45213</v>
      </c>
      <c r="C184" s="3">
        <v>0.31111111111111112</v>
      </c>
      <c r="D184" s="1" t="s">
        <v>819</v>
      </c>
      <c r="E184">
        <v>22</v>
      </c>
      <c r="F184" s="1" t="s">
        <v>810</v>
      </c>
      <c r="G184" s="1" t="s">
        <v>819</v>
      </c>
      <c r="H184" s="1" t="s">
        <v>40</v>
      </c>
      <c r="I184">
        <v>4.8319039999999998</v>
      </c>
      <c r="J184">
        <v>20.733468999999999</v>
      </c>
      <c r="K184" s="1" t="s">
        <v>1495</v>
      </c>
      <c r="L184" s="1" t="s">
        <v>1496</v>
      </c>
      <c r="M184" s="1" t="s">
        <v>374</v>
      </c>
      <c r="N184" s="1" t="s">
        <v>40</v>
      </c>
      <c r="O184" s="1" t="str">
        <f>INT(Matrice1!$P184/12) &amp; " ans et " &amp; MOD(Matrice1!$P184,12) &amp; " mois"</f>
        <v>5 ans et 4 mois</v>
      </c>
      <c r="P184">
        <v>64</v>
      </c>
      <c r="Q184" s="1" t="s">
        <v>19</v>
      </c>
      <c r="R184" s="4">
        <f>Matrice1!$S184/1440</f>
        <v>0.1736111111111111</v>
      </c>
      <c r="S184">
        <v>250</v>
      </c>
      <c r="T184">
        <v>56.7</v>
      </c>
      <c r="U184">
        <v>0</v>
      </c>
      <c r="V184" s="8">
        <f>IF(Matrice1!$Q184="Pro Monde",10%,IF(AND(Matrice1!$R184&gt;12,Matrice1!$O184&gt;5),70%,IF(AND(OR(Matrice1!$R184&gt;=4,Matrice1!$R184&lt;=12,Matrice1!$O184&lt;5,(OR(Matrice1!$Q184="Premium ")))),45%,0%)))</f>
        <v>0.45</v>
      </c>
      <c r="W184">
        <f>Matrice1!$T184* (Matrice1!$V184/100)</f>
        <v>0.25515000000000004</v>
      </c>
    </row>
    <row r="185" spans="1:23" x14ac:dyDescent="0.3">
      <c r="A185" s="1" t="s">
        <v>805</v>
      </c>
      <c r="B185" s="2">
        <v>45213</v>
      </c>
      <c r="C185" s="3">
        <v>0.31111111111111112</v>
      </c>
      <c r="D185" s="1" t="s">
        <v>819</v>
      </c>
      <c r="E185">
        <v>22</v>
      </c>
      <c r="F185" s="1" t="s">
        <v>810</v>
      </c>
      <c r="G185" s="1" t="s">
        <v>819</v>
      </c>
      <c r="H185" s="1" t="s">
        <v>40</v>
      </c>
      <c r="I185">
        <v>4.8319039999999998</v>
      </c>
      <c r="J185">
        <v>20.733468999999999</v>
      </c>
      <c r="K185" s="1" t="s">
        <v>1495</v>
      </c>
      <c r="L185" s="1" t="s">
        <v>1496</v>
      </c>
      <c r="M185" s="1" t="s">
        <v>376</v>
      </c>
      <c r="N185" s="1" t="s">
        <v>40</v>
      </c>
      <c r="O185" s="1" t="str">
        <f>INT(Matrice1!$P185/12) &amp; " ans et " &amp; MOD(Matrice1!$P185,12) &amp; " mois"</f>
        <v>4 ans et 11 mois</v>
      </c>
      <c r="P185">
        <v>59</v>
      </c>
      <c r="Q185" s="1" t="s">
        <v>11</v>
      </c>
      <c r="R185" s="4">
        <f>Matrice1!$S185/1440</f>
        <v>0.24444444444444444</v>
      </c>
      <c r="S185">
        <v>352</v>
      </c>
      <c r="T185">
        <v>74.239999999999995</v>
      </c>
      <c r="U185">
        <v>0</v>
      </c>
      <c r="V185" s="8">
        <f>IF(Matrice1!$Q185="Pro Monde",10%,IF(AND(Matrice1!$R185&gt;12,Matrice1!$O185&gt;5),70%,IF(AND(OR(Matrice1!$R185&gt;=4,Matrice1!$R185&lt;=12,Matrice1!$O185&lt;5,(OR(Matrice1!$Q185="Premium ")))),45%,0%)))</f>
        <v>0.45</v>
      </c>
      <c r="W185">
        <f>Matrice1!$T185* (Matrice1!$V185/100)</f>
        <v>0.33408000000000004</v>
      </c>
    </row>
    <row r="186" spans="1:23" x14ac:dyDescent="0.3">
      <c r="A186" s="1" t="s">
        <v>805</v>
      </c>
      <c r="B186" s="2">
        <v>45213</v>
      </c>
      <c r="C186" s="3">
        <v>0.31111111111111112</v>
      </c>
      <c r="D186" s="1" t="s">
        <v>819</v>
      </c>
      <c r="E186">
        <v>22</v>
      </c>
      <c r="F186" s="1" t="s">
        <v>810</v>
      </c>
      <c r="G186" s="1" t="s">
        <v>819</v>
      </c>
      <c r="H186" s="1" t="s">
        <v>40</v>
      </c>
      <c r="I186">
        <v>4.8319039999999998</v>
      </c>
      <c r="J186">
        <v>20.733468999999999</v>
      </c>
      <c r="K186" s="1" t="s">
        <v>1495</v>
      </c>
      <c r="L186" s="1" t="s">
        <v>1496</v>
      </c>
      <c r="M186" s="1" t="s">
        <v>400</v>
      </c>
      <c r="N186" s="1" t="s">
        <v>40</v>
      </c>
      <c r="O186" s="1" t="str">
        <f>INT(Matrice1!$P186/12) &amp; " ans et " &amp; MOD(Matrice1!$P186,12) &amp; " mois"</f>
        <v>1 ans et 7 mois</v>
      </c>
      <c r="P186">
        <v>19</v>
      </c>
      <c r="Q186" s="1" t="s">
        <v>22</v>
      </c>
      <c r="R186" s="4">
        <f>Matrice1!$S186/1440</f>
        <v>0.3125</v>
      </c>
      <c r="S186">
        <v>450</v>
      </c>
      <c r="T186">
        <v>37.43</v>
      </c>
      <c r="U186">
        <v>2</v>
      </c>
      <c r="V186" s="8">
        <f>IF(Matrice1!$Q186="Pro Monde",10%,IF(AND(Matrice1!$R186&gt;12,Matrice1!$O186&gt;5),70%,IF(AND(OR(Matrice1!$R186&gt;=4,Matrice1!$R186&lt;=12,Matrice1!$O186&lt;5,(OR(Matrice1!$Q186="Premium ")))),45%,0%)))</f>
        <v>0.45</v>
      </c>
      <c r="W186">
        <f>Matrice1!$T186* (Matrice1!$V186/100)</f>
        <v>0.16843500000000003</v>
      </c>
    </row>
    <row r="187" spans="1:23" x14ac:dyDescent="0.3">
      <c r="A187" s="1" t="s">
        <v>805</v>
      </c>
      <c r="B187" s="2">
        <v>45213</v>
      </c>
      <c r="C187" s="3">
        <v>0.31111111111111112</v>
      </c>
      <c r="D187" s="1" t="s">
        <v>819</v>
      </c>
      <c r="E187">
        <v>22</v>
      </c>
      <c r="F187" s="1" t="s">
        <v>810</v>
      </c>
      <c r="G187" s="1" t="s">
        <v>819</v>
      </c>
      <c r="H187" s="1" t="s">
        <v>40</v>
      </c>
      <c r="I187">
        <v>4.8319039999999998</v>
      </c>
      <c r="J187">
        <v>20.733468999999999</v>
      </c>
      <c r="K187" s="1" t="s">
        <v>1495</v>
      </c>
      <c r="L187" s="1" t="s">
        <v>1496</v>
      </c>
      <c r="M187" s="1" t="s">
        <v>408</v>
      </c>
      <c r="N187" s="1" t="s">
        <v>40</v>
      </c>
      <c r="O187" s="1" t="str">
        <f>INT(Matrice1!$P187/12) &amp; " ans et " &amp; MOD(Matrice1!$P187,12) &amp; " mois"</f>
        <v>2 ans et 5 mois</v>
      </c>
      <c r="P187">
        <v>29</v>
      </c>
      <c r="Q187" s="1" t="s">
        <v>14</v>
      </c>
      <c r="R187" s="4">
        <f>Matrice1!$S187/1440</f>
        <v>0.34236111111111112</v>
      </c>
      <c r="S187">
        <v>493</v>
      </c>
      <c r="T187">
        <v>42.02</v>
      </c>
      <c r="U187">
        <v>1</v>
      </c>
      <c r="V187" s="8">
        <f>IF(Matrice1!$Q187="Pro Monde",10%,IF(AND(Matrice1!$R187&gt;12,Matrice1!$O187&gt;5),70%,IF(AND(OR(Matrice1!$R187&gt;=4,Matrice1!$R187&lt;=12,Matrice1!$O187&lt;5,(OR(Matrice1!$Q187="Premium ")))),45%,0%)))</f>
        <v>0.1</v>
      </c>
      <c r="W187">
        <f>Matrice1!$T187* (Matrice1!$V187/100)</f>
        <v>4.2020000000000002E-2</v>
      </c>
    </row>
    <row r="188" spans="1:23" x14ac:dyDescent="0.3">
      <c r="A188" s="1" t="s">
        <v>805</v>
      </c>
      <c r="B188" s="2">
        <v>45213</v>
      </c>
      <c r="C188" s="3">
        <v>0.31111111111111112</v>
      </c>
      <c r="D188" s="1" t="s">
        <v>819</v>
      </c>
      <c r="E188">
        <v>22</v>
      </c>
      <c r="F188" s="1" t="s">
        <v>810</v>
      </c>
      <c r="G188" s="1" t="s">
        <v>819</v>
      </c>
      <c r="H188" s="1" t="s">
        <v>40</v>
      </c>
      <c r="I188">
        <v>4.8319039999999998</v>
      </c>
      <c r="J188">
        <v>20.733468999999999</v>
      </c>
      <c r="K188" s="1" t="s">
        <v>1495</v>
      </c>
      <c r="L188" s="1" t="s">
        <v>1496</v>
      </c>
      <c r="M188" s="1" t="s">
        <v>433</v>
      </c>
      <c r="N188" s="1" t="s">
        <v>40</v>
      </c>
      <c r="O188" s="1" t="str">
        <f>INT(Matrice1!$P188/12) &amp; " ans et " &amp; MOD(Matrice1!$P188,12) &amp; " mois"</f>
        <v>1 ans et 1 mois</v>
      </c>
      <c r="P188">
        <v>13</v>
      </c>
      <c r="Q188" s="1" t="s">
        <v>14</v>
      </c>
      <c r="R188" s="4">
        <f>Matrice1!$S188/1440</f>
        <v>0.12013888888888889</v>
      </c>
      <c r="S188">
        <v>173</v>
      </c>
      <c r="T188">
        <v>85.54</v>
      </c>
      <c r="U188">
        <v>3</v>
      </c>
      <c r="V188" s="8">
        <f>IF(Matrice1!$Q188="Pro Monde",10%,IF(AND(Matrice1!$R188&gt;12,Matrice1!$O188&gt;5),70%,IF(AND(OR(Matrice1!$R188&gt;=4,Matrice1!$R188&lt;=12,Matrice1!$O188&lt;5,(OR(Matrice1!$Q188="Premium ")))),45%,0%)))</f>
        <v>0.1</v>
      </c>
      <c r="W188">
        <f>Matrice1!$T188* (Matrice1!$V188/100)</f>
        <v>8.5540000000000005E-2</v>
      </c>
    </row>
    <row r="189" spans="1:23" x14ac:dyDescent="0.3">
      <c r="A189" s="1" t="s">
        <v>805</v>
      </c>
      <c r="B189" s="2">
        <v>45213</v>
      </c>
      <c r="C189" s="3">
        <v>0.31111111111111112</v>
      </c>
      <c r="D189" s="1" t="s">
        <v>819</v>
      </c>
      <c r="E189">
        <v>22</v>
      </c>
      <c r="F189" s="1" t="s">
        <v>810</v>
      </c>
      <c r="G189" s="1" t="s">
        <v>819</v>
      </c>
      <c r="H189" s="1" t="s">
        <v>40</v>
      </c>
      <c r="I189">
        <v>4.8319039999999998</v>
      </c>
      <c r="J189">
        <v>20.733468999999999</v>
      </c>
      <c r="K189" s="1" t="s">
        <v>1495</v>
      </c>
      <c r="L189" s="1" t="s">
        <v>1496</v>
      </c>
      <c r="M189" s="1" t="s">
        <v>441</v>
      </c>
      <c r="N189" s="1" t="s">
        <v>40</v>
      </c>
      <c r="O189" s="1" t="str">
        <f>INT(Matrice1!$P189/12) &amp; " ans et " &amp; MOD(Matrice1!$P189,12) &amp; " mois"</f>
        <v>3 ans et 9 mois</v>
      </c>
      <c r="P189">
        <v>45</v>
      </c>
      <c r="Q189" s="1" t="s">
        <v>19</v>
      </c>
      <c r="R189" s="4">
        <f>Matrice1!$S189/1440</f>
        <v>0.30486111111111114</v>
      </c>
      <c r="S189">
        <v>439</v>
      </c>
      <c r="T189">
        <v>13.62</v>
      </c>
      <c r="U189">
        <v>4</v>
      </c>
      <c r="V189" s="8">
        <f>IF(Matrice1!$Q189="Pro Monde",10%,IF(AND(Matrice1!$R189&gt;12,Matrice1!$O189&gt;5),70%,IF(AND(OR(Matrice1!$R189&gt;=4,Matrice1!$R189&lt;=12,Matrice1!$O189&lt;5,(OR(Matrice1!$Q189="Premium ")))),45%,0%)))</f>
        <v>0.45</v>
      </c>
      <c r="W189">
        <f>Matrice1!$T189* (Matrice1!$V189/100)</f>
        <v>6.1290000000000004E-2</v>
      </c>
    </row>
    <row r="190" spans="1:23" x14ac:dyDescent="0.3">
      <c r="A190" s="1" t="s">
        <v>805</v>
      </c>
      <c r="B190" s="2">
        <v>45213</v>
      </c>
      <c r="C190" s="3">
        <v>0.31111111111111112</v>
      </c>
      <c r="D190" s="1" t="s">
        <v>819</v>
      </c>
      <c r="E190">
        <v>22</v>
      </c>
      <c r="F190" s="1" t="s">
        <v>810</v>
      </c>
      <c r="G190" s="1" t="s">
        <v>819</v>
      </c>
      <c r="H190" s="1" t="s">
        <v>40</v>
      </c>
      <c r="I190">
        <v>4.8319039999999998</v>
      </c>
      <c r="J190">
        <v>20.733468999999999</v>
      </c>
      <c r="K190" s="1" t="s">
        <v>1495</v>
      </c>
      <c r="L190" s="1" t="s">
        <v>1496</v>
      </c>
      <c r="M190" s="1" t="s">
        <v>479</v>
      </c>
      <c r="N190" s="1" t="s">
        <v>40</v>
      </c>
      <c r="O190" s="1" t="str">
        <f>INT(Matrice1!$P190/12) &amp; " ans et " &amp; MOD(Matrice1!$P190,12) &amp; " mois"</f>
        <v>3 ans et 3 mois</v>
      </c>
      <c r="P190">
        <v>39</v>
      </c>
      <c r="Q190" s="1" t="s">
        <v>22</v>
      </c>
      <c r="R190" s="4">
        <f>Matrice1!$S190/1440</f>
        <v>0.22708333333333333</v>
      </c>
      <c r="S190">
        <v>327</v>
      </c>
      <c r="T190">
        <v>87.24</v>
      </c>
      <c r="U190">
        <v>4</v>
      </c>
      <c r="V190" s="8">
        <f>IF(Matrice1!$Q190="Pro Monde",10%,IF(AND(Matrice1!$R190&gt;12,Matrice1!$O190&gt;5),70%,IF(AND(OR(Matrice1!$R190&gt;=4,Matrice1!$R190&lt;=12,Matrice1!$O190&lt;5,(OR(Matrice1!$Q190="Premium ")))),45%,0%)))</f>
        <v>0.45</v>
      </c>
      <c r="W190">
        <f>Matrice1!$T190* (Matrice1!$V190/100)</f>
        <v>0.39258000000000004</v>
      </c>
    </row>
    <row r="191" spans="1:23" x14ac:dyDescent="0.3">
      <c r="A191" s="1" t="s">
        <v>805</v>
      </c>
      <c r="B191" s="2">
        <v>45213</v>
      </c>
      <c r="C191" s="3">
        <v>0.31111111111111112</v>
      </c>
      <c r="D191" s="1" t="s">
        <v>819</v>
      </c>
      <c r="E191">
        <v>22</v>
      </c>
      <c r="F191" s="1" t="s">
        <v>810</v>
      </c>
      <c r="G191" s="1" t="s">
        <v>819</v>
      </c>
      <c r="H191" s="1" t="s">
        <v>40</v>
      </c>
      <c r="I191">
        <v>4.8319039999999998</v>
      </c>
      <c r="J191">
        <v>20.733468999999999</v>
      </c>
      <c r="K191" s="1" t="s">
        <v>1495</v>
      </c>
      <c r="L191" s="1" t="s">
        <v>1496</v>
      </c>
      <c r="M191" s="1" t="s">
        <v>534</v>
      </c>
      <c r="N191" s="1" t="s">
        <v>40</v>
      </c>
      <c r="O191" s="1" t="str">
        <f>INT(Matrice1!$P191/12) &amp; " ans et " &amp; MOD(Matrice1!$P191,12) &amp; " mois"</f>
        <v>4 ans et 2 mois</v>
      </c>
      <c r="P191">
        <v>50</v>
      </c>
      <c r="Q191" s="1" t="s">
        <v>22</v>
      </c>
      <c r="R191" s="4">
        <f>Matrice1!$S191/1440</f>
        <v>0.24791666666666667</v>
      </c>
      <c r="S191">
        <v>357</v>
      </c>
      <c r="T191">
        <v>17</v>
      </c>
      <c r="U191">
        <v>3</v>
      </c>
      <c r="V191" s="8">
        <f>IF(Matrice1!$Q191="Pro Monde",10%,IF(AND(Matrice1!$R191&gt;12,Matrice1!$O191&gt;5),70%,IF(AND(OR(Matrice1!$R191&gt;=4,Matrice1!$R191&lt;=12,Matrice1!$O191&lt;5,(OR(Matrice1!$Q191="Premium ")))),45%,0%)))</f>
        <v>0.45</v>
      </c>
      <c r="W191">
        <f>Matrice1!$T191* (Matrice1!$V191/100)</f>
        <v>7.6500000000000012E-2</v>
      </c>
    </row>
    <row r="192" spans="1:23" x14ac:dyDescent="0.3">
      <c r="A192" s="1" t="s">
        <v>805</v>
      </c>
      <c r="B192" s="2">
        <v>45213</v>
      </c>
      <c r="C192" s="3">
        <v>0.31111111111111112</v>
      </c>
      <c r="D192" s="1" t="s">
        <v>819</v>
      </c>
      <c r="E192">
        <v>22</v>
      </c>
      <c r="F192" s="1" t="s">
        <v>810</v>
      </c>
      <c r="G192" s="1" t="s">
        <v>819</v>
      </c>
      <c r="H192" s="1" t="s">
        <v>40</v>
      </c>
      <c r="I192">
        <v>4.8319039999999998</v>
      </c>
      <c r="J192">
        <v>20.733468999999999</v>
      </c>
      <c r="K192" s="1" t="s">
        <v>1495</v>
      </c>
      <c r="L192" s="1" t="s">
        <v>1496</v>
      </c>
      <c r="M192" s="1" t="s">
        <v>539</v>
      </c>
      <c r="N192" s="1" t="s">
        <v>40</v>
      </c>
      <c r="O192" s="1" t="str">
        <f>INT(Matrice1!$P192/12) &amp; " ans et " &amp; MOD(Matrice1!$P192,12) &amp; " mois"</f>
        <v>5 ans et 2 mois</v>
      </c>
      <c r="P192">
        <v>62</v>
      </c>
      <c r="Q192" s="1" t="s">
        <v>22</v>
      </c>
      <c r="R192" s="4">
        <f>Matrice1!$S192/1440</f>
        <v>0.25624999999999998</v>
      </c>
      <c r="S192">
        <v>369</v>
      </c>
      <c r="T192">
        <v>58.74</v>
      </c>
      <c r="U192">
        <v>1</v>
      </c>
      <c r="V192" s="8">
        <f>IF(Matrice1!$Q192="Pro Monde",10%,IF(AND(Matrice1!$R192&gt;12,Matrice1!$O192&gt;5),70%,IF(AND(OR(Matrice1!$R192&gt;=4,Matrice1!$R192&lt;=12,Matrice1!$O192&lt;5,(OR(Matrice1!$Q192="Premium ")))),45%,0%)))</f>
        <v>0.45</v>
      </c>
      <c r="W192">
        <f>Matrice1!$T192* (Matrice1!$V192/100)</f>
        <v>0.26433000000000006</v>
      </c>
    </row>
    <row r="193" spans="1:23" x14ac:dyDescent="0.3">
      <c r="A193" s="1" t="s">
        <v>936</v>
      </c>
      <c r="B193" s="2">
        <v>45221</v>
      </c>
      <c r="C193" s="3">
        <v>0.51736111111111116</v>
      </c>
      <c r="D193" s="1" t="s">
        <v>963</v>
      </c>
      <c r="E193">
        <v>83</v>
      </c>
      <c r="F193" s="1" t="s">
        <v>812</v>
      </c>
      <c r="G193" s="1" t="s">
        <v>963</v>
      </c>
      <c r="H193" s="1" t="s">
        <v>21</v>
      </c>
      <c r="I193">
        <v>-2.9651529999999999</v>
      </c>
      <c r="J193">
        <v>29.79908</v>
      </c>
      <c r="K193" s="1" t="s">
        <v>1498</v>
      </c>
      <c r="L193" s="1" t="s">
        <v>1496</v>
      </c>
      <c r="M193" s="1" t="s">
        <v>20</v>
      </c>
      <c r="N193" s="1" t="s">
        <v>21</v>
      </c>
      <c r="O193" s="1" t="str">
        <f>INT(Matrice1!$P193/12) &amp; " ans et " &amp; MOD(Matrice1!$P193,12) &amp; " mois"</f>
        <v>8 ans et 5 mois</v>
      </c>
      <c r="P193">
        <v>101</v>
      </c>
      <c r="Q193" s="1" t="s">
        <v>22</v>
      </c>
      <c r="R193" s="4">
        <f>Matrice1!$S193/1440</f>
        <v>0.24861111111111112</v>
      </c>
      <c r="S193">
        <v>358</v>
      </c>
      <c r="T193">
        <v>29.24</v>
      </c>
      <c r="U193">
        <v>3</v>
      </c>
      <c r="V193" s="8">
        <f>IF(Matrice1!$Q193="Pro Monde",10%,IF(AND(Matrice1!$R193&gt;12,Matrice1!$O193&gt;5),70%,IF(AND(OR(Matrice1!$R193&gt;=4,Matrice1!$R193&lt;=12,Matrice1!$O193&lt;5,(OR(Matrice1!$Q193="Premium ")))),45%,0%)))</f>
        <v>0.45</v>
      </c>
      <c r="W193">
        <f>Matrice1!$T193* (Matrice1!$V193/100)</f>
        <v>0.13158</v>
      </c>
    </row>
    <row r="194" spans="1:23" x14ac:dyDescent="0.3">
      <c r="A194" s="1" t="s">
        <v>936</v>
      </c>
      <c r="B194" s="2">
        <v>45221</v>
      </c>
      <c r="C194" s="3">
        <v>0.51736111111111116</v>
      </c>
      <c r="D194" s="1" t="s">
        <v>963</v>
      </c>
      <c r="E194">
        <v>83</v>
      </c>
      <c r="F194" s="1" t="s">
        <v>812</v>
      </c>
      <c r="G194" s="1" t="s">
        <v>963</v>
      </c>
      <c r="H194" s="1" t="s">
        <v>21</v>
      </c>
      <c r="I194">
        <v>-2.9651529999999999</v>
      </c>
      <c r="J194">
        <v>29.79908</v>
      </c>
      <c r="K194" s="1" t="s">
        <v>1498</v>
      </c>
      <c r="L194" s="1" t="s">
        <v>1496</v>
      </c>
      <c r="M194" s="1" t="s">
        <v>65</v>
      </c>
      <c r="N194" s="1" t="s">
        <v>21</v>
      </c>
      <c r="O194" s="1" t="str">
        <f>INT(Matrice1!$P194/12) &amp; " ans et " &amp; MOD(Matrice1!$P194,12) &amp; " mois"</f>
        <v>6 ans et 7 mois</v>
      </c>
      <c r="P194">
        <v>79</v>
      </c>
      <c r="Q194" s="1" t="s">
        <v>19</v>
      </c>
      <c r="R194" s="4">
        <f>Matrice1!$S194/1440</f>
        <v>0.24791666666666667</v>
      </c>
      <c r="S194">
        <v>357</v>
      </c>
      <c r="T194">
        <v>69.900000000000006</v>
      </c>
      <c r="U194">
        <v>5</v>
      </c>
      <c r="V194" s="8">
        <f>IF(Matrice1!$Q194="Pro Monde",10%,IF(AND(Matrice1!$R194&gt;12,Matrice1!$O194&gt;5),70%,IF(AND(OR(Matrice1!$R194&gt;=4,Matrice1!$R194&lt;=12,Matrice1!$O194&lt;5,(OR(Matrice1!$Q194="Premium ")))),45%,0%)))</f>
        <v>0.45</v>
      </c>
      <c r="W194">
        <f>Matrice1!$T194* (Matrice1!$V194/100)</f>
        <v>0.31455000000000005</v>
      </c>
    </row>
    <row r="195" spans="1:23" x14ac:dyDescent="0.3">
      <c r="A195" s="1" t="s">
        <v>936</v>
      </c>
      <c r="B195" s="2">
        <v>45221</v>
      </c>
      <c r="C195" s="3">
        <v>0.51736111111111116</v>
      </c>
      <c r="D195" s="1" t="s">
        <v>963</v>
      </c>
      <c r="E195">
        <v>83</v>
      </c>
      <c r="F195" s="1" t="s">
        <v>812</v>
      </c>
      <c r="G195" s="1" t="s">
        <v>963</v>
      </c>
      <c r="H195" s="1" t="s">
        <v>21</v>
      </c>
      <c r="I195">
        <v>-2.9651529999999999</v>
      </c>
      <c r="J195">
        <v>29.79908</v>
      </c>
      <c r="K195" s="1" t="s">
        <v>1498</v>
      </c>
      <c r="L195" s="1" t="s">
        <v>1496</v>
      </c>
      <c r="M195" s="1" t="s">
        <v>68</v>
      </c>
      <c r="N195" s="1" t="s">
        <v>21</v>
      </c>
      <c r="O195" s="1" t="str">
        <f>INT(Matrice1!$P195/12) &amp; " ans et " &amp; MOD(Matrice1!$P195,12) &amp; " mois"</f>
        <v>9 ans et 2 mois</v>
      </c>
      <c r="P195">
        <v>110</v>
      </c>
      <c r="Q195" s="1" t="s">
        <v>22</v>
      </c>
      <c r="R195" s="4">
        <f>Matrice1!$S195/1440</f>
        <v>0.31527777777777777</v>
      </c>
      <c r="S195">
        <v>454</v>
      </c>
      <c r="T195">
        <v>31.05</v>
      </c>
      <c r="U195">
        <v>1</v>
      </c>
      <c r="V195" s="8">
        <f>IF(Matrice1!$Q195="Pro Monde",10%,IF(AND(Matrice1!$R195&gt;12,Matrice1!$O195&gt;5),70%,IF(AND(OR(Matrice1!$R195&gt;=4,Matrice1!$R195&lt;=12,Matrice1!$O195&lt;5,(OR(Matrice1!$Q195="Premium ")))),45%,0%)))</f>
        <v>0.45</v>
      </c>
      <c r="W195">
        <f>Matrice1!$T195* (Matrice1!$V195/100)</f>
        <v>0.13972500000000002</v>
      </c>
    </row>
    <row r="196" spans="1:23" x14ac:dyDescent="0.3">
      <c r="A196" s="1" t="s">
        <v>936</v>
      </c>
      <c r="B196" s="2">
        <v>45221</v>
      </c>
      <c r="C196" s="3">
        <v>0.51736111111111116</v>
      </c>
      <c r="D196" s="1" t="s">
        <v>963</v>
      </c>
      <c r="E196">
        <v>83</v>
      </c>
      <c r="F196" s="1" t="s">
        <v>812</v>
      </c>
      <c r="G196" s="1" t="s">
        <v>963</v>
      </c>
      <c r="H196" s="1" t="s">
        <v>21</v>
      </c>
      <c r="I196">
        <v>-2.9651529999999999</v>
      </c>
      <c r="J196">
        <v>29.79908</v>
      </c>
      <c r="K196" s="1" t="s">
        <v>1498</v>
      </c>
      <c r="L196" s="1" t="s">
        <v>1496</v>
      </c>
      <c r="M196" s="1" t="s">
        <v>87</v>
      </c>
      <c r="N196" s="1" t="s">
        <v>21</v>
      </c>
      <c r="O196" s="1" t="str">
        <f>INT(Matrice1!$P196/12) &amp; " ans et " &amp; MOD(Matrice1!$P196,12) &amp; " mois"</f>
        <v>4 ans et 11 mois</v>
      </c>
      <c r="P196">
        <v>59</v>
      </c>
      <c r="Q196" s="1" t="s">
        <v>22</v>
      </c>
      <c r="R196" s="4">
        <f>Matrice1!$S196/1440</f>
        <v>0.13333333333333333</v>
      </c>
      <c r="S196">
        <v>192</v>
      </c>
      <c r="T196">
        <v>86.17</v>
      </c>
      <c r="U196">
        <v>1</v>
      </c>
      <c r="V196" s="8">
        <f>IF(Matrice1!$Q196="Pro Monde",10%,IF(AND(Matrice1!$R196&gt;12,Matrice1!$O196&gt;5),70%,IF(AND(OR(Matrice1!$R196&gt;=4,Matrice1!$R196&lt;=12,Matrice1!$O196&lt;5,(OR(Matrice1!$Q196="Premium ")))),45%,0%)))</f>
        <v>0.45</v>
      </c>
      <c r="W196">
        <f>Matrice1!$T196* (Matrice1!$V196/100)</f>
        <v>0.38776500000000003</v>
      </c>
    </row>
    <row r="197" spans="1:23" x14ac:dyDescent="0.3">
      <c r="A197" s="1" t="s">
        <v>936</v>
      </c>
      <c r="B197" s="2">
        <v>45221</v>
      </c>
      <c r="C197" s="3">
        <v>0.51736111111111116</v>
      </c>
      <c r="D197" s="1" t="s">
        <v>963</v>
      </c>
      <c r="E197">
        <v>83</v>
      </c>
      <c r="F197" s="1" t="s">
        <v>812</v>
      </c>
      <c r="G197" s="1" t="s">
        <v>963</v>
      </c>
      <c r="H197" s="1" t="s">
        <v>21</v>
      </c>
      <c r="I197">
        <v>-2.9651529999999999</v>
      </c>
      <c r="J197">
        <v>29.79908</v>
      </c>
      <c r="K197" s="1" t="s">
        <v>1498</v>
      </c>
      <c r="L197" s="1" t="s">
        <v>1496</v>
      </c>
      <c r="M197" s="1" t="s">
        <v>95</v>
      </c>
      <c r="N197" s="1" t="s">
        <v>21</v>
      </c>
      <c r="O197" s="1" t="str">
        <f>INT(Matrice1!$P197/12) &amp; " ans et " &amp; MOD(Matrice1!$P197,12) &amp; " mois"</f>
        <v>7 ans et 10 mois</v>
      </c>
      <c r="P197">
        <v>94</v>
      </c>
      <c r="Q197" s="1" t="s">
        <v>22</v>
      </c>
      <c r="R197" s="4">
        <f>Matrice1!$S197/1440</f>
        <v>8.4722222222222227E-2</v>
      </c>
      <c r="S197">
        <v>122</v>
      </c>
      <c r="T197">
        <v>95.74</v>
      </c>
      <c r="U197">
        <v>5</v>
      </c>
      <c r="V197" s="8">
        <f>IF(Matrice1!$Q197="Pro Monde",10%,IF(AND(Matrice1!$R197&gt;12,Matrice1!$O197&gt;5),70%,IF(AND(OR(Matrice1!$R197&gt;=4,Matrice1!$R197&lt;=12,Matrice1!$O197&lt;5,(OR(Matrice1!$Q197="Premium ")))),45%,0%)))</f>
        <v>0.45</v>
      </c>
      <c r="W197">
        <f>Matrice1!$T197* (Matrice1!$V197/100)</f>
        <v>0.43083000000000005</v>
      </c>
    </row>
    <row r="198" spans="1:23" x14ac:dyDescent="0.3">
      <c r="A198" s="1" t="s">
        <v>936</v>
      </c>
      <c r="B198" s="2">
        <v>45221</v>
      </c>
      <c r="C198" s="3">
        <v>0.51736111111111116</v>
      </c>
      <c r="D198" s="1" t="s">
        <v>963</v>
      </c>
      <c r="E198">
        <v>83</v>
      </c>
      <c r="F198" s="1" t="s">
        <v>812</v>
      </c>
      <c r="G198" s="1" t="s">
        <v>963</v>
      </c>
      <c r="H198" s="1" t="s">
        <v>21</v>
      </c>
      <c r="I198">
        <v>-2.9651529999999999</v>
      </c>
      <c r="J198">
        <v>29.79908</v>
      </c>
      <c r="K198" s="1" t="s">
        <v>1498</v>
      </c>
      <c r="L198" s="1" t="s">
        <v>1496</v>
      </c>
      <c r="M198" s="1" t="s">
        <v>97</v>
      </c>
      <c r="N198" s="1" t="s">
        <v>21</v>
      </c>
      <c r="O198" s="1" t="str">
        <f>INT(Matrice1!$P198/12) &amp; " ans et " &amp; MOD(Matrice1!$P198,12) &amp; " mois"</f>
        <v>1 ans et 0 mois</v>
      </c>
      <c r="P198">
        <v>12</v>
      </c>
      <c r="Q198" s="1" t="s">
        <v>14</v>
      </c>
      <c r="R198" s="4">
        <f>Matrice1!$S198/1440</f>
        <v>0.21180555555555555</v>
      </c>
      <c r="S198">
        <v>305</v>
      </c>
      <c r="T198">
        <v>59.96</v>
      </c>
      <c r="U198">
        <v>3</v>
      </c>
      <c r="V198" s="8">
        <f>IF(Matrice1!$Q198="Pro Monde",10%,IF(AND(Matrice1!$R198&gt;12,Matrice1!$O198&gt;5),70%,IF(AND(OR(Matrice1!$R198&gt;=4,Matrice1!$R198&lt;=12,Matrice1!$O198&lt;5,(OR(Matrice1!$Q198="Premium ")))),45%,0%)))</f>
        <v>0.1</v>
      </c>
      <c r="W198">
        <f>Matrice1!$T198* (Matrice1!$V198/100)</f>
        <v>5.9959999999999999E-2</v>
      </c>
    </row>
    <row r="199" spans="1:23" x14ac:dyDescent="0.3">
      <c r="A199" s="1" t="s">
        <v>936</v>
      </c>
      <c r="B199" s="2">
        <v>45221</v>
      </c>
      <c r="C199" s="3">
        <v>0.51736111111111116</v>
      </c>
      <c r="D199" s="1" t="s">
        <v>963</v>
      </c>
      <c r="E199">
        <v>83</v>
      </c>
      <c r="F199" s="1" t="s">
        <v>812</v>
      </c>
      <c r="G199" s="1" t="s">
        <v>963</v>
      </c>
      <c r="H199" s="1" t="s">
        <v>21</v>
      </c>
      <c r="I199">
        <v>-2.9651529999999999</v>
      </c>
      <c r="J199">
        <v>29.79908</v>
      </c>
      <c r="K199" s="1" t="s">
        <v>1498</v>
      </c>
      <c r="L199" s="1" t="s">
        <v>1496</v>
      </c>
      <c r="M199" s="1" t="s">
        <v>118</v>
      </c>
      <c r="N199" s="1" t="s">
        <v>21</v>
      </c>
      <c r="O199" s="1" t="str">
        <f>INT(Matrice1!$P199/12) &amp; " ans et " &amp; MOD(Matrice1!$P199,12) &amp; " mois"</f>
        <v>1 ans et 10 mois</v>
      </c>
      <c r="P199">
        <v>22</v>
      </c>
      <c r="Q199" s="1" t="s">
        <v>22</v>
      </c>
      <c r="R199" s="4">
        <f>Matrice1!$S199/1440</f>
        <v>8.2638888888888887E-2</v>
      </c>
      <c r="S199">
        <v>119</v>
      </c>
      <c r="T199">
        <v>72.86</v>
      </c>
      <c r="U199">
        <v>3</v>
      </c>
      <c r="V199" s="8">
        <f>IF(Matrice1!$Q199="Pro Monde",10%,IF(AND(Matrice1!$R199&gt;12,Matrice1!$O199&gt;5),70%,IF(AND(OR(Matrice1!$R199&gt;=4,Matrice1!$R199&lt;=12,Matrice1!$O199&lt;5,(OR(Matrice1!$Q199="Premium ")))),45%,0%)))</f>
        <v>0.45</v>
      </c>
      <c r="W199">
        <f>Matrice1!$T199* (Matrice1!$V199/100)</f>
        <v>0.32787000000000005</v>
      </c>
    </row>
    <row r="200" spans="1:23" x14ac:dyDescent="0.3">
      <c r="A200" s="1" t="s">
        <v>936</v>
      </c>
      <c r="B200" s="2">
        <v>45221</v>
      </c>
      <c r="C200" s="3">
        <v>0.51736111111111116</v>
      </c>
      <c r="D200" s="1" t="s">
        <v>963</v>
      </c>
      <c r="E200">
        <v>83</v>
      </c>
      <c r="F200" s="1" t="s">
        <v>812</v>
      </c>
      <c r="G200" s="1" t="s">
        <v>963</v>
      </c>
      <c r="H200" s="1" t="s">
        <v>21</v>
      </c>
      <c r="I200">
        <v>-2.9651529999999999</v>
      </c>
      <c r="J200">
        <v>29.79908</v>
      </c>
      <c r="K200" s="1" t="s">
        <v>1498</v>
      </c>
      <c r="L200" s="1" t="s">
        <v>1496</v>
      </c>
      <c r="M200" s="1" t="s">
        <v>146</v>
      </c>
      <c r="N200" s="1" t="s">
        <v>21</v>
      </c>
      <c r="O200" s="1" t="str">
        <f>INT(Matrice1!$P200/12) &amp; " ans et " &amp; MOD(Matrice1!$P200,12) &amp; " mois"</f>
        <v>6 ans et 0 mois</v>
      </c>
      <c r="P200">
        <v>72</v>
      </c>
      <c r="Q200" s="1" t="s">
        <v>11</v>
      </c>
      <c r="R200" s="4">
        <f>Matrice1!$S200/1440</f>
        <v>3.472222222222222E-3</v>
      </c>
      <c r="S200">
        <v>5</v>
      </c>
      <c r="T200">
        <v>68.650000000000006</v>
      </c>
      <c r="U200">
        <v>0</v>
      </c>
      <c r="V200" s="8">
        <f>IF(Matrice1!$Q200="Pro Monde",10%,IF(AND(Matrice1!$R200&gt;12,Matrice1!$O200&gt;5),70%,IF(AND(OR(Matrice1!$R200&gt;=4,Matrice1!$R200&lt;=12,Matrice1!$O200&lt;5,(OR(Matrice1!$Q200="Premium ")))),45%,0%)))</f>
        <v>0.45</v>
      </c>
      <c r="W200">
        <f>Matrice1!$T200* (Matrice1!$V200/100)</f>
        <v>0.30892500000000006</v>
      </c>
    </row>
    <row r="201" spans="1:23" x14ac:dyDescent="0.3">
      <c r="A201" s="1" t="s">
        <v>936</v>
      </c>
      <c r="B201" s="2">
        <v>45221</v>
      </c>
      <c r="C201" s="3">
        <v>0.51736111111111116</v>
      </c>
      <c r="D201" s="1" t="s">
        <v>963</v>
      </c>
      <c r="E201">
        <v>83</v>
      </c>
      <c r="F201" s="1" t="s">
        <v>812</v>
      </c>
      <c r="G201" s="1" t="s">
        <v>963</v>
      </c>
      <c r="H201" s="1" t="s">
        <v>21</v>
      </c>
      <c r="I201">
        <v>-2.9651529999999999</v>
      </c>
      <c r="J201">
        <v>29.79908</v>
      </c>
      <c r="K201" s="1" t="s">
        <v>1498</v>
      </c>
      <c r="L201" s="1" t="s">
        <v>1496</v>
      </c>
      <c r="M201" s="1" t="s">
        <v>204</v>
      </c>
      <c r="N201" s="1" t="s">
        <v>21</v>
      </c>
      <c r="O201" s="1" t="str">
        <f>INT(Matrice1!$P201/12) &amp; " ans et " &amp; MOD(Matrice1!$P201,12) &amp; " mois"</f>
        <v>5 ans et 8 mois</v>
      </c>
      <c r="P201">
        <v>68</v>
      </c>
      <c r="Q201" s="1" t="s">
        <v>11</v>
      </c>
      <c r="R201" s="4">
        <f>Matrice1!$S201/1440</f>
        <v>0.30763888888888891</v>
      </c>
      <c r="S201">
        <v>443</v>
      </c>
      <c r="T201">
        <v>12.09</v>
      </c>
      <c r="U201">
        <v>3</v>
      </c>
      <c r="V201" s="8">
        <f>IF(Matrice1!$Q201="Pro Monde",10%,IF(AND(Matrice1!$R201&gt;12,Matrice1!$O201&gt;5),70%,IF(AND(OR(Matrice1!$R201&gt;=4,Matrice1!$R201&lt;=12,Matrice1!$O201&lt;5,(OR(Matrice1!$Q201="Premium ")))),45%,0%)))</f>
        <v>0.45</v>
      </c>
      <c r="W201">
        <f>Matrice1!$T201* (Matrice1!$V201/100)</f>
        <v>5.4405000000000009E-2</v>
      </c>
    </row>
    <row r="202" spans="1:23" x14ac:dyDescent="0.3">
      <c r="A202" s="1" t="s">
        <v>936</v>
      </c>
      <c r="B202" s="2">
        <v>45221</v>
      </c>
      <c r="C202" s="3">
        <v>0.51736111111111116</v>
      </c>
      <c r="D202" s="1" t="s">
        <v>963</v>
      </c>
      <c r="E202">
        <v>83</v>
      </c>
      <c r="F202" s="1" t="s">
        <v>812</v>
      </c>
      <c r="G202" s="1" t="s">
        <v>963</v>
      </c>
      <c r="H202" s="1" t="s">
        <v>21</v>
      </c>
      <c r="I202">
        <v>-2.9651529999999999</v>
      </c>
      <c r="J202">
        <v>29.79908</v>
      </c>
      <c r="K202" s="1" t="s">
        <v>1498</v>
      </c>
      <c r="L202" s="1" t="s">
        <v>1496</v>
      </c>
      <c r="M202" s="1" t="s">
        <v>280</v>
      </c>
      <c r="N202" s="1" t="s">
        <v>21</v>
      </c>
      <c r="O202" s="1" t="str">
        <f>INT(Matrice1!$P202/12) &amp; " ans et " &amp; MOD(Matrice1!$P202,12) &amp; " mois"</f>
        <v>1 ans et 6 mois</v>
      </c>
      <c r="P202">
        <v>18</v>
      </c>
      <c r="Q202" s="1" t="s">
        <v>19</v>
      </c>
      <c r="R202" s="4">
        <f>Matrice1!$S202/1440</f>
        <v>0.20208333333333334</v>
      </c>
      <c r="S202">
        <v>291</v>
      </c>
      <c r="T202">
        <v>97.98</v>
      </c>
      <c r="U202">
        <v>1</v>
      </c>
      <c r="V202" s="8">
        <f>IF(Matrice1!$Q202="Pro Monde",10%,IF(AND(Matrice1!$R202&gt;12,Matrice1!$O202&gt;5),70%,IF(AND(OR(Matrice1!$R202&gt;=4,Matrice1!$R202&lt;=12,Matrice1!$O202&lt;5,(OR(Matrice1!$Q202="Premium ")))),45%,0%)))</f>
        <v>0.45</v>
      </c>
      <c r="W202">
        <f>Matrice1!$T202* (Matrice1!$V202/100)</f>
        <v>0.44091000000000008</v>
      </c>
    </row>
    <row r="203" spans="1:23" x14ac:dyDescent="0.3">
      <c r="A203" s="1" t="s">
        <v>936</v>
      </c>
      <c r="B203" s="2">
        <v>45221</v>
      </c>
      <c r="C203" s="3">
        <v>0.51736111111111116</v>
      </c>
      <c r="D203" s="1" t="s">
        <v>963</v>
      </c>
      <c r="E203">
        <v>83</v>
      </c>
      <c r="F203" s="1" t="s">
        <v>812</v>
      </c>
      <c r="G203" s="1" t="s">
        <v>963</v>
      </c>
      <c r="H203" s="1" t="s">
        <v>21</v>
      </c>
      <c r="I203">
        <v>-2.9651529999999999</v>
      </c>
      <c r="J203">
        <v>29.79908</v>
      </c>
      <c r="K203" s="1" t="s">
        <v>1498</v>
      </c>
      <c r="L203" s="1" t="s">
        <v>1496</v>
      </c>
      <c r="M203" s="1" t="s">
        <v>337</v>
      </c>
      <c r="N203" s="1" t="s">
        <v>21</v>
      </c>
      <c r="O203" s="1" t="str">
        <f>INT(Matrice1!$P203/12) &amp; " ans et " &amp; MOD(Matrice1!$P203,12) &amp; " mois"</f>
        <v>3 ans et 11 mois</v>
      </c>
      <c r="P203">
        <v>47</v>
      </c>
      <c r="Q203" s="1" t="s">
        <v>22</v>
      </c>
      <c r="R203" s="4">
        <f>Matrice1!$S203/1440</f>
        <v>0.2361111111111111</v>
      </c>
      <c r="S203">
        <v>340</v>
      </c>
      <c r="T203">
        <v>31.02</v>
      </c>
      <c r="U203">
        <v>5</v>
      </c>
      <c r="V203" s="8">
        <f>IF(Matrice1!$Q203="Pro Monde",10%,IF(AND(Matrice1!$R203&gt;12,Matrice1!$O203&gt;5),70%,IF(AND(OR(Matrice1!$R203&gt;=4,Matrice1!$R203&lt;=12,Matrice1!$O203&lt;5,(OR(Matrice1!$Q203="Premium ")))),45%,0%)))</f>
        <v>0.45</v>
      </c>
      <c r="W203">
        <f>Matrice1!$T203* (Matrice1!$V203/100)</f>
        <v>0.13959000000000002</v>
      </c>
    </row>
    <row r="204" spans="1:23" x14ac:dyDescent="0.3">
      <c r="A204" s="1" t="s">
        <v>936</v>
      </c>
      <c r="B204" s="2">
        <v>45221</v>
      </c>
      <c r="C204" s="3">
        <v>0.51736111111111116</v>
      </c>
      <c r="D204" s="1" t="s">
        <v>963</v>
      </c>
      <c r="E204">
        <v>83</v>
      </c>
      <c r="F204" s="1" t="s">
        <v>812</v>
      </c>
      <c r="G204" s="1" t="s">
        <v>963</v>
      </c>
      <c r="H204" s="1" t="s">
        <v>21</v>
      </c>
      <c r="I204">
        <v>-2.9651529999999999</v>
      </c>
      <c r="J204">
        <v>29.79908</v>
      </c>
      <c r="K204" s="1" t="s">
        <v>1498</v>
      </c>
      <c r="L204" s="1" t="s">
        <v>1496</v>
      </c>
      <c r="M204" s="1" t="s">
        <v>384</v>
      </c>
      <c r="N204" s="1" t="s">
        <v>21</v>
      </c>
      <c r="O204" s="1" t="str">
        <f>INT(Matrice1!$P204/12) &amp; " ans et " &amp; MOD(Matrice1!$P204,12) &amp; " mois"</f>
        <v>8 ans et 7 mois</v>
      </c>
      <c r="P204">
        <v>103</v>
      </c>
      <c r="Q204" s="1" t="s">
        <v>11</v>
      </c>
      <c r="R204" s="4">
        <f>Matrice1!$S204/1440</f>
        <v>0.24583333333333332</v>
      </c>
      <c r="S204">
        <v>354</v>
      </c>
      <c r="T204">
        <v>26.19</v>
      </c>
      <c r="U204">
        <v>4</v>
      </c>
      <c r="V204" s="8">
        <f>IF(Matrice1!$Q204="Pro Monde",10%,IF(AND(Matrice1!$R204&gt;12,Matrice1!$O204&gt;5),70%,IF(AND(OR(Matrice1!$R204&gt;=4,Matrice1!$R204&lt;=12,Matrice1!$O204&lt;5,(OR(Matrice1!$Q204="Premium ")))),45%,0%)))</f>
        <v>0.45</v>
      </c>
      <c r="W204">
        <f>Matrice1!$T204* (Matrice1!$V204/100)</f>
        <v>0.11785500000000002</v>
      </c>
    </row>
    <row r="205" spans="1:23" x14ac:dyDescent="0.3">
      <c r="A205" s="1" t="s">
        <v>936</v>
      </c>
      <c r="B205" s="2">
        <v>45221</v>
      </c>
      <c r="C205" s="3">
        <v>0.51736111111111116</v>
      </c>
      <c r="D205" s="1" t="s">
        <v>963</v>
      </c>
      <c r="E205">
        <v>83</v>
      </c>
      <c r="F205" s="1" t="s">
        <v>812</v>
      </c>
      <c r="G205" s="1" t="s">
        <v>963</v>
      </c>
      <c r="H205" s="1" t="s">
        <v>21</v>
      </c>
      <c r="I205">
        <v>-2.9651529999999999</v>
      </c>
      <c r="J205">
        <v>29.79908</v>
      </c>
      <c r="K205" s="1" t="s">
        <v>1498</v>
      </c>
      <c r="L205" s="1" t="s">
        <v>1496</v>
      </c>
      <c r="M205" s="1" t="s">
        <v>417</v>
      </c>
      <c r="N205" s="1" t="s">
        <v>21</v>
      </c>
      <c r="O205" s="1" t="str">
        <f>INT(Matrice1!$P205/12) &amp; " ans et " &amp; MOD(Matrice1!$P205,12) &amp; " mois"</f>
        <v>9 ans et 5 mois</v>
      </c>
      <c r="P205">
        <v>113</v>
      </c>
      <c r="Q205" s="1" t="s">
        <v>11</v>
      </c>
      <c r="R205" s="4">
        <f>Matrice1!$S205/1440</f>
        <v>6.1805555555555558E-2</v>
      </c>
      <c r="S205">
        <v>89</v>
      </c>
      <c r="T205">
        <v>54.28</v>
      </c>
      <c r="U205">
        <v>0</v>
      </c>
      <c r="V205" s="8">
        <f>IF(Matrice1!$Q205="Pro Monde",10%,IF(AND(Matrice1!$R205&gt;12,Matrice1!$O205&gt;5),70%,IF(AND(OR(Matrice1!$R205&gt;=4,Matrice1!$R205&lt;=12,Matrice1!$O205&lt;5,(OR(Matrice1!$Q205="Premium ")))),45%,0%)))</f>
        <v>0.45</v>
      </c>
      <c r="W205">
        <f>Matrice1!$T205* (Matrice1!$V205/100)</f>
        <v>0.24426000000000003</v>
      </c>
    </row>
    <row r="206" spans="1:23" x14ac:dyDescent="0.3">
      <c r="A206" s="1" t="s">
        <v>936</v>
      </c>
      <c r="B206" s="2">
        <v>45221</v>
      </c>
      <c r="C206" s="3">
        <v>0.51736111111111116</v>
      </c>
      <c r="D206" s="1" t="s">
        <v>963</v>
      </c>
      <c r="E206">
        <v>83</v>
      </c>
      <c r="F206" s="1" t="s">
        <v>812</v>
      </c>
      <c r="G206" s="1" t="s">
        <v>963</v>
      </c>
      <c r="H206" s="1" t="s">
        <v>21</v>
      </c>
      <c r="I206">
        <v>-2.9651529999999999</v>
      </c>
      <c r="J206">
        <v>29.79908</v>
      </c>
      <c r="K206" s="1" t="s">
        <v>1498</v>
      </c>
      <c r="L206" s="1" t="s">
        <v>1496</v>
      </c>
      <c r="M206" s="1" t="s">
        <v>518</v>
      </c>
      <c r="N206" s="1" t="s">
        <v>21</v>
      </c>
      <c r="O206" s="1" t="str">
        <f>INT(Matrice1!$P206/12) &amp; " ans et " &amp; MOD(Matrice1!$P206,12) &amp; " mois"</f>
        <v>2 ans et 10 mois</v>
      </c>
      <c r="P206">
        <v>34</v>
      </c>
      <c r="Q206" s="1" t="s">
        <v>19</v>
      </c>
      <c r="R206" s="4">
        <f>Matrice1!$S206/1440</f>
        <v>2.7777777777777776E-2</v>
      </c>
      <c r="S206">
        <v>40</v>
      </c>
      <c r="T206">
        <v>65.709999999999994</v>
      </c>
      <c r="U206">
        <v>5</v>
      </c>
      <c r="V206" s="8">
        <f>IF(Matrice1!$Q206="Pro Monde",10%,IF(AND(Matrice1!$R206&gt;12,Matrice1!$O206&gt;5),70%,IF(AND(OR(Matrice1!$R206&gt;=4,Matrice1!$R206&lt;=12,Matrice1!$O206&lt;5,(OR(Matrice1!$Q206="Premium ")))),45%,0%)))</f>
        <v>0.45</v>
      </c>
      <c r="W206">
        <f>Matrice1!$T206* (Matrice1!$V206/100)</f>
        <v>0.29569499999999999</v>
      </c>
    </row>
    <row r="207" spans="1:23" x14ac:dyDescent="0.3">
      <c r="A207" s="1" t="s">
        <v>936</v>
      </c>
      <c r="B207" s="2">
        <v>45221</v>
      </c>
      <c r="C207" s="3">
        <v>0.51736111111111116</v>
      </c>
      <c r="D207" s="1" t="s">
        <v>963</v>
      </c>
      <c r="E207">
        <v>83</v>
      </c>
      <c r="F207" s="1" t="s">
        <v>812</v>
      </c>
      <c r="G207" s="1" t="s">
        <v>963</v>
      </c>
      <c r="H207" s="1" t="s">
        <v>21</v>
      </c>
      <c r="I207">
        <v>-2.9651529999999999</v>
      </c>
      <c r="J207">
        <v>29.79908</v>
      </c>
      <c r="K207" s="1" t="s">
        <v>1498</v>
      </c>
      <c r="L207" s="1" t="s">
        <v>1496</v>
      </c>
      <c r="M207" s="1" t="s">
        <v>533</v>
      </c>
      <c r="N207" s="1" t="s">
        <v>21</v>
      </c>
      <c r="O207" s="1" t="str">
        <f>INT(Matrice1!$P207/12) &amp; " ans et " &amp; MOD(Matrice1!$P207,12) &amp; " mois"</f>
        <v>1 ans et 7 mois</v>
      </c>
      <c r="P207">
        <v>19</v>
      </c>
      <c r="Q207" s="1" t="s">
        <v>11</v>
      </c>
      <c r="R207" s="4">
        <f>Matrice1!$S207/1440</f>
        <v>0.1875</v>
      </c>
      <c r="S207">
        <v>270</v>
      </c>
      <c r="T207">
        <v>19.760000000000002</v>
      </c>
      <c r="U207">
        <v>3</v>
      </c>
      <c r="V207" s="8">
        <f>IF(Matrice1!$Q207="Pro Monde",10%,IF(AND(Matrice1!$R207&gt;12,Matrice1!$O207&gt;5),70%,IF(AND(OR(Matrice1!$R207&gt;=4,Matrice1!$R207&lt;=12,Matrice1!$O207&lt;5,(OR(Matrice1!$Q207="Premium ")))),45%,0%)))</f>
        <v>0.45</v>
      </c>
      <c r="W207">
        <f>Matrice1!$T207* (Matrice1!$V207/100)</f>
        <v>8.8920000000000013E-2</v>
      </c>
    </row>
    <row r="208" spans="1:23" x14ac:dyDescent="0.3">
      <c r="A208" s="1" t="s">
        <v>936</v>
      </c>
      <c r="B208" s="2">
        <v>45221</v>
      </c>
      <c r="C208" s="3">
        <v>0.51736111111111116</v>
      </c>
      <c r="D208" s="1" t="s">
        <v>963</v>
      </c>
      <c r="E208">
        <v>83</v>
      </c>
      <c r="F208" s="1" t="s">
        <v>812</v>
      </c>
      <c r="G208" s="1" t="s">
        <v>963</v>
      </c>
      <c r="H208" s="1" t="s">
        <v>21</v>
      </c>
      <c r="I208">
        <v>-2.9651529999999999</v>
      </c>
      <c r="J208">
        <v>29.79908</v>
      </c>
      <c r="K208" s="1" t="s">
        <v>1498</v>
      </c>
      <c r="L208" s="1" t="s">
        <v>1496</v>
      </c>
      <c r="M208" s="1" t="s">
        <v>538</v>
      </c>
      <c r="N208" s="1" t="s">
        <v>21</v>
      </c>
      <c r="O208" s="1" t="str">
        <f>INT(Matrice1!$P208/12) &amp; " ans et " &amp; MOD(Matrice1!$P208,12) &amp; " mois"</f>
        <v>8 ans et 5 mois</v>
      </c>
      <c r="P208">
        <v>101</v>
      </c>
      <c r="Q208" s="1" t="s">
        <v>14</v>
      </c>
      <c r="R208" s="4">
        <f>Matrice1!$S208/1440</f>
        <v>0.14583333333333334</v>
      </c>
      <c r="S208">
        <v>210</v>
      </c>
      <c r="T208">
        <v>35.4</v>
      </c>
      <c r="U208">
        <v>1</v>
      </c>
      <c r="V208" s="8">
        <f>IF(Matrice1!$Q208="Pro Monde",10%,IF(AND(Matrice1!$R208&gt;12,Matrice1!$O208&gt;5),70%,IF(AND(OR(Matrice1!$R208&gt;=4,Matrice1!$R208&lt;=12,Matrice1!$O208&lt;5,(OR(Matrice1!$Q208="Premium ")))),45%,0%)))</f>
        <v>0.1</v>
      </c>
      <c r="W208">
        <f>Matrice1!$T208* (Matrice1!$V208/100)</f>
        <v>3.5400000000000001E-2</v>
      </c>
    </row>
    <row r="209" spans="1:23" x14ac:dyDescent="0.3">
      <c r="A209" s="1" t="s">
        <v>936</v>
      </c>
      <c r="B209" s="2">
        <v>45221</v>
      </c>
      <c r="C209" s="3">
        <v>0.51736111111111116</v>
      </c>
      <c r="D209" s="1" t="s">
        <v>963</v>
      </c>
      <c r="E209">
        <v>83</v>
      </c>
      <c r="F209" s="1" t="s">
        <v>812</v>
      </c>
      <c r="G209" s="1" t="s">
        <v>963</v>
      </c>
      <c r="H209" s="1" t="s">
        <v>21</v>
      </c>
      <c r="I209">
        <v>-2.9651529999999999</v>
      </c>
      <c r="J209">
        <v>29.79908</v>
      </c>
      <c r="K209" s="1" t="s">
        <v>1498</v>
      </c>
      <c r="L209" s="1" t="s">
        <v>1496</v>
      </c>
      <c r="M209" s="1" t="s">
        <v>565</v>
      </c>
      <c r="N209" s="1" t="s">
        <v>21</v>
      </c>
      <c r="O209" s="1" t="str">
        <f>INT(Matrice1!$P209/12) &amp; " ans et " &amp; MOD(Matrice1!$P209,12) &amp; " mois"</f>
        <v>9 ans et 5 mois</v>
      </c>
      <c r="P209">
        <v>113</v>
      </c>
      <c r="Q209" s="1" t="s">
        <v>14</v>
      </c>
      <c r="R209" s="4">
        <f>Matrice1!$S209/1440</f>
        <v>0.10555555555555556</v>
      </c>
      <c r="S209">
        <v>152</v>
      </c>
      <c r="T209">
        <v>51.28</v>
      </c>
      <c r="U209">
        <v>4</v>
      </c>
      <c r="V209" s="8">
        <f>IF(Matrice1!$Q209="Pro Monde",10%,IF(AND(Matrice1!$R209&gt;12,Matrice1!$O209&gt;5),70%,IF(AND(OR(Matrice1!$R209&gt;=4,Matrice1!$R209&lt;=12,Matrice1!$O209&lt;5,(OR(Matrice1!$Q209="Premium ")))),45%,0%)))</f>
        <v>0.1</v>
      </c>
      <c r="W209">
        <f>Matrice1!$T209* (Matrice1!$V209/100)</f>
        <v>5.1279999999999999E-2</v>
      </c>
    </row>
    <row r="210" spans="1:23" x14ac:dyDescent="0.3">
      <c r="A210" s="1" t="s">
        <v>805</v>
      </c>
      <c r="B210" s="2">
        <v>45218</v>
      </c>
      <c r="C210" s="3">
        <v>0.36875000000000002</v>
      </c>
      <c r="D210" s="1" t="s">
        <v>820</v>
      </c>
      <c r="E210">
        <v>70</v>
      </c>
      <c r="F210" s="1" t="s">
        <v>807</v>
      </c>
      <c r="G210" s="1" t="s">
        <v>820</v>
      </c>
      <c r="H210" s="1" t="s">
        <v>67</v>
      </c>
      <c r="I210">
        <v>-8.4227860000000003</v>
      </c>
      <c r="J210">
        <v>16.781293000000002</v>
      </c>
      <c r="K210" s="1" t="s">
        <v>1498</v>
      </c>
      <c r="L210" s="1" t="s">
        <v>1499</v>
      </c>
      <c r="M210" s="1" t="s">
        <v>66</v>
      </c>
      <c r="N210" s="1" t="s">
        <v>67</v>
      </c>
      <c r="O210" s="1" t="str">
        <f>INT(Matrice1!$P210/12) &amp; " ans et " &amp; MOD(Matrice1!$P210,12) &amp; " mois"</f>
        <v>8 ans et 5 mois</v>
      </c>
      <c r="P210">
        <v>101</v>
      </c>
      <c r="Q210" s="1" t="s">
        <v>14</v>
      </c>
      <c r="R210" s="4">
        <f>Matrice1!$S210/1440</f>
        <v>0.12222222222222222</v>
      </c>
      <c r="S210">
        <v>176</v>
      </c>
      <c r="T210">
        <v>86</v>
      </c>
      <c r="U210">
        <v>3</v>
      </c>
      <c r="V210" s="8">
        <f>IF(Matrice1!$Q210="Pro Monde",10%,IF(AND(Matrice1!$R210&gt;12,Matrice1!$O210&gt;5),70%,IF(AND(OR(Matrice1!$R210&gt;=4,Matrice1!$R210&lt;=12,Matrice1!$O210&lt;5,(OR(Matrice1!$Q210="Premium ")))),45%,0%)))</f>
        <v>0.1</v>
      </c>
      <c r="W210">
        <f>Matrice1!$T210* (Matrice1!$V210/100)</f>
        <v>8.6000000000000007E-2</v>
      </c>
    </row>
    <row r="211" spans="1:23" x14ac:dyDescent="0.3">
      <c r="A211" s="1" t="s">
        <v>805</v>
      </c>
      <c r="B211" s="2">
        <v>45218</v>
      </c>
      <c r="C211" s="3">
        <v>0.36875000000000002</v>
      </c>
      <c r="D211" s="1" t="s">
        <v>820</v>
      </c>
      <c r="E211">
        <v>70</v>
      </c>
      <c r="F211" s="1" t="s">
        <v>807</v>
      </c>
      <c r="G211" s="1" t="s">
        <v>820</v>
      </c>
      <c r="H211" s="1" t="s">
        <v>67</v>
      </c>
      <c r="I211">
        <v>-8.4227860000000003</v>
      </c>
      <c r="J211">
        <v>16.781293000000002</v>
      </c>
      <c r="K211" s="1" t="s">
        <v>1498</v>
      </c>
      <c r="L211" s="1" t="s">
        <v>1499</v>
      </c>
      <c r="M211" s="1" t="s">
        <v>148</v>
      </c>
      <c r="N211" s="1" t="s">
        <v>67</v>
      </c>
      <c r="O211" s="1" t="str">
        <f>INT(Matrice1!$P211/12) &amp; " ans et " &amp; MOD(Matrice1!$P211,12) &amp; " mois"</f>
        <v>4 ans et 11 mois</v>
      </c>
      <c r="P211">
        <v>59</v>
      </c>
      <c r="Q211" s="1" t="s">
        <v>19</v>
      </c>
      <c r="R211" s="4">
        <f>Matrice1!$S211/1440</f>
        <v>0.1361111111111111</v>
      </c>
      <c r="S211">
        <v>196</v>
      </c>
      <c r="T211">
        <v>62.53</v>
      </c>
      <c r="U211">
        <v>0</v>
      </c>
      <c r="V211" s="8">
        <f>IF(Matrice1!$Q211="Pro Monde",10%,IF(AND(Matrice1!$R211&gt;12,Matrice1!$O211&gt;5),70%,IF(AND(OR(Matrice1!$R211&gt;=4,Matrice1!$R211&lt;=12,Matrice1!$O211&lt;5,(OR(Matrice1!$Q211="Premium ")))),45%,0%)))</f>
        <v>0.45</v>
      </c>
      <c r="W211">
        <f>Matrice1!$T211* (Matrice1!$V211/100)</f>
        <v>0.28138500000000005</v>
      </c>
    </row>
    <row r="212" spans="1:23" x14ac:dyDescent="0.3">
      <c r="A212" s="1" t="s">
        <v>805</v>
      </c>
      <c r="B212" s="2">
        <v>45218</v>
      </c>
      <c r="C212" s="3">
        <v>0.36875000000000002</v>
      </c>
      <c r="D212" s="1" t="s">
        <v>820</v>
      </c>
      <c r="E212">
        <v>70</v>
      </c>
      <c r="F212" s="1" t="s">
        <v>807</v>
      </c>
      <c r="G212" s="1" t="s">
        <v>820</v>
      </c>
      <c r="H212" s="1" t="s">
        <v>67</v>
      </c>
      <c r="I212">
        <v>-8.4227860000000003</v>
      </c>
      <c r="J212">
        <v>16.781293000000002</v>
      </c>
      <c r="K212" s="1" t="s">
        <v>1498</v>
      </c>
      <c r="L212" s="1" t="s">
        <v>1499</v>
      </c>
      <c r="M212" s="1" t="s">
        <v>159</v>
      </c>
      <c r="N212" s="1" t="s">
        <v>67</v>
      </c>
      <c r="O212" s="1" t="str">
        <f>INT(Matrice1!$P212/12) &amp; " ans et " &amp; MOD(Matrice1!$P212,12) &amp; " mois"</f>
        <v>4 ans et 5 mois</v>
      </c>
      <c r="P212">
        <v>53</v>
      </c>
      <c r="Q212" s="1" t="s">
        <v>22</v>
      </c>
      <c r="R212" s="4">
        <f>Matrice1!$S212/1440</f>
        <v>0.23958333333333334</v>
      </c>
      <c r="S212">
        <v>345</v>
      </c>
      <c r="T212">
        <v>83.73</v>
      </c>
      <c r="U212">
        <v>0</v>
      </c>
      <c r="V212" s="8">
        <f>IF(Matrice1!$Q212="Pro Monde",10%,IF(AND(Matrice1!$R212&gt;12,Matrice1!$O212&gt;5),70%,IF(AND(OR(Matrice1!$R212&gt;=4,Matrice1!$R212&lt;=12,Matrice1!$O212&lt;5,(OR(Matrice1!$Q212="Premium ")))),45%,0%)))</f>
        <v>0.45</v>
      </c>
      <c r="W212">
        <f>Matrice1!$T212* (Matrice1!$V212/100)</f>
        <v>0.37678500000000004</v>
      </c>
    </row>
    <row r="213" spans="1:23" x14ac:dyDescent="0.3">
      <c r="A213" s="1" t="s">
        <v>805</v>
      </c>
      <c r="B213" s="2">
        <v>45218</v>
      </c>
      <c r="C213" s="3">
        <v>0.36875000000000002</v>
      </c>
      <c r="D213" s="1" t="s">
        <v>820</v>
      </c>
      <c r="E213">
        <v>70</v>
      </c>
      <c r="F213" s="1" t="s">
        <v>807</v>
      </c>
      <c r="G213" s="1" t="s">
        <v>820</v>
      </c>
      <c r="H213" s="1" t="s">
        <v>67</v>
      </c>
      <c r="I213">
        <v>-8.4227860000000003</v>
      </c>
      <c r="J213">
        <v>16.781293000000002</v>
      </c>
      <c r="K213" s="1" t="s">
        <v>1498</v>
      </c>
      <c r="L213" s="1" t="s">
        <v>1499</v>
      </c>
      <c r="M213" s="1" t="s">
        <v>179</v>
      </c>
      <c r="N213" s="1" t="s">
        <v>67</v>
      </c>
      <c r="O213" s="1" t="str">
        <f>INT(Matrice1!$P213/12) &amp; " ans et " &amp; MOD(Matrice1!$P213,12) &amp; " mois"</f>
        <v>0 ans et 1 mois</v>
      </c>
      <c r="P213">
        <v>1</v>
      </c>
      <c r="Q213" s="1" t="s">
        <v>14</v>
      </c>
      <c r="R213" s="4">
        <f>Matrice1!$S213/1440</f>
        <v>0.22638888888888889</v>
      </c>
      <c r="S213">
        <v>326</v>
      </c>
      <c r="T213">
        <v>54.63</v>
      </c>
      <c r="U213">
        <v>3</v>
      </c>
      <c r="V213" s="8">
        <f>IF(Matrice1!$Q213="Pro Monde",10%,IF(AND(Matrice1!$R213&gt;12,Matrice1!$O213&gt;5),70%,IF(AND(OR(Matrice1!$R213&gt;=4,Matrice1!$R213&lt;=12,Matrice1!$O213&lt;5,(OR(Matrice1!$Q213="Premium ")))),45%,0%)))</f>
        <v>0.1</v>
      </c>
      <c r="W213">
        <f>Matrice1!$T213* (Matrice1!$V213/100)</f>
        <v>5.4630000000000005E-2</v>
      </c>
    </row>
    <row r="214" spans="1:23" x14ac:dyDescent="0.3">
      <c r="A214" s="1" t="s">
        <v>805</v>
      </c>
      <c r="B214" s="2">
        <v>45218</v>
      </c>
      <c r="C214" s="3">
        <v>0.36875000000000002</v>
      </c>
      <c r="D214" s="1" t="s">
        <v>820</v>
      </c>
      <c r="E214">
        <v>70</v>
      </c>
      <c r="F214" s="1" t="s">
        <v>807</v>
      </c>
      <c r="G214" s="1" t="s">
        <v>820</v>
      </c>
      <c r="H214" s="1" t="s">
        <v>67</v>
      </c>
      <c r="I214">
        <v>-8.4227860000000003</v>
      </c>
      <c r="J214">
        <v>16.781293000000002</v>
      </c>
      <c r="K214" s="1" t="s">
        <v>1498</v>
      </c>
      <c r="L214" s="1" t="s">
        <v>1499</v>
      </c>
      <c r="M214" s="1" t="s">
        <v>185</v>
      </c>
      <c r="N214" s="1" t="s">
        <v>67</v>
      </c>
      <c r="O214" s="1" t="str">
        <f>INT(Matrice1!$P214/12) &amp; " ans et " &amp; MOD(Matrice1!$P214,12) &amp; " mois"</f>
        <v>6 ans et 2 mois</v>
      </c>
      <c r="P214">
        <v>74</v>
      </c>
      <c r="Q214" s="1" t="s">
        <v>14</v>
      </c>
      <c r="R214" s="4">
        <f>Matrice1!$S214/1440</f>
        <v>0.25763888888888886</v>
      </c>
      <c r="S214">
        <v>371</v>
      </c>
      <c r="T214">
        <v>53.27</v>
      </c>
      <c r="U214">
        <v>3</v>
      </c>
      <c r="V214" s="8">
        <f>IF(Matrice1!$Q214="Pro Monde",10%,IF(AND(Matrice1!$R214&gt;12,Matrice1!$O214&gt;5),70%,IF(AND(OR(Matrice1!$R214&gt;=4,Matrice1!$R214&lt;=12,Matrice1!$O214&lt;5,(OR(Matrice1!$Q214="Premium ")))),45%,0%)))</f>
        <v>0.1</v>
      </c>
      <c r="W214">
        <f>Matrice1!$T214* (Matrice1!$V214/100)</f>
        <v>5.3270000000000005E-2</v>
      </c>
    </row>
    <row r="215" spans="1:23" x14ac:dyDescent="0.3">
      <c r="A215" s="1" t="s">
        <v>805</v>
      </c>
      <c r="B215" s="2">
        <v>45218</v>
      </c>
      <c r="C215" s="3">
        <v>0.36875000000000002</v>
      </c>
      <c r="D215" s="1" t="s">
        <v>820</v>
      </c>
      <c r="E215">
        <v>70</v>
      </c>
      <c r="F215" s="1" t="s">
        <v>807</v>
      </c>
      <c r="G215" s="1" t="s">
        <v>820</v>
      </c>
      <c r="H215" s="1" t="s">
        <v>67</v>
      </c>
      <c r="I215">
        <v>-8.4227860000000003</v>
      </c>
      <c r="J215">
        <v>16.781293000000002</v>
      </c>
      <c r="K215" s="1" t="s">
        <v>1498</v>
      </c>
      <c r="L215" s="1" t="s">
        <v>1499</v>
      </c>
      <c r="M215" s="1" t="s">
        <v>224</v>
      </c>
      <c r="N215" s="1" t="s">
        <v>67</v>
      </c>
      <c r="O215" s="1" t="str">
        <f>INT(Matrice1!$P215/12) &amp; " ans et " &amp; MOD(Matrice1!$P215,12) &amp; " mois"</f>
        <v>9 ans et 3 mois</v>
      </c>
      <c r="P215">
        <v>111</v>
      </c>
      <c r="Q215" s="1" t="s">
        <v>11</v>
      </c>
      <c r="R215" s="4">
        <f>Matrice1!$S215/1440</f>
        <v>2.9861111111111113E-2</v>
      </c>
      <c r="S215">
        <v>43</v>
      </c>
      <c r="T215">
        <v>19.39</v>
      </c>
      <c r="U215">
        <v>3</v>
      </c>
      <c r="V215" s="8">
        <f>IF(Matrice1!$Q215="Pro Monde",10%,IF(AND(Matrice1!$R215&gt;12,Matrice1!$O215&gt;5),70%,IF(AND(OR(Matrice1!$R215&gt;=4,Matrice1!$R215&lt;=12,Matrice1!$O215&lt;5,(OR(Matrice1!$Q215="Premium ")))),45%,0%)))</f>
        <v>0.45</v>
      </c>
      <c r="W215">
        <f>Matrice1!$T215* (Matrice1!$V215/100)</f>
        <v>8.7255000000000013E-2</v>
      </c>
    </row>
    <row r="216" spans="1:23" x14ac:dyDescent="0.3">
      <c r="A216" s="1" t="s">
        <v>805</v>
      </c>
      <c r="B216" s="2">
        <v>45218</v>
      </c>
      <c r="C216" s="3">
        <v>0.36875000000000002</v>
      </c>
      <c r="D216" s="1" t="s">
        <v>820</v>
      </c>
      <c r="E216">
        <v>70</v>
      </c>
      <c r="F216" s="1" t="s">
        <v>807</v>
      </c>
      <c r="G216" s="1" t="s">
        <v>820</v>
      </c>
      <c r="H216" s="1" t="s">
        <v>67</v>
      </c>
      <c r="I216">
        <v>-8.4227860000000003</v>
      </c>
      <c r="J216">
        <v>16.781293000000002</v>
      </c>
      <c r="K216" s="1" t="s">
        <v>1498</v>
      </c>
      <c r="L216" s="1" t="s">
        <v>1499</v>
      </c>
      <c r="M216" s="1" t="s">
        <v>265</v>
      </c>
      <c r="N216" s="1" t="s">
        <v>67</v>
      </c>
      <c r="O216" s="1" t="str">
        <f>INT(Matrice1!$P216/12) &amp; " ans et " &amp; MOD(Matrice1!$P216,12) &amp; " mois"</f>
        <v>9 ans et 10 mois</v>
      </c>
      <c r="P216">
        <v>118</v>
      </c>
      <c r="Q216" s="1" t="s">
        <v>14</v>
      </c>
      <c r="R216" s="4">
        <f>Matrice1!$S216/1440</f>
        <v>1.5277777777777777E-2</v>
      </c>
      <c r="S216">
        <v>22</v>
      </c>
      <c r="T216">
        <v>15.39</v>
      </c>
      <c r="U216">
        <v>1</v>
      </c>
      <c r="V216" s="8">
        <f>IF(Matrice1!$Q216="Pro Monde",10%,IF(AND(Matrice1!$R216&gt;12,Matrice1!$O216&gt;5),70%,IF(AND(OR(Matrice1!$R216&gt;=4,Matrice1!$R216&lt;=12,Matrice1!$O216&lt;5,(OR(Matrice1!$Q216="Premium ")))),45%,0%)))</f>
        <v>0.1</v>
      </c>
      <c r="W216">
        <f>Matrice1!$T216* (Matrice1!$V216/100)</f>
        <v>1.5390000000000001E-2</v>
      </c>
    </row>
    <row r="217" spans="1:23" x14ac:dyDescent="0.3">
      <c r="A217" s="1" t="s">
        <v>805</v>
      </c>
      <c r="B217" s="2">
        <v>45218</v>
      </c>
      <c r="C217" s="3">
        <v>0.36875000000000002</v>
      </c>
      <c r="D217" s="1" t="s">
        <v>820</v>
      </c>
      <c r="E217">
        <v>70</v>
      </c>
      <c r="F217" s="1" t="s">
        <v>807</v>
      </c>
      <c r="G217" s="1" t="s">
        <v>820</v>
      </c>
      <c r="H217" s="1" t="s">
        <v>67</v>
      </c>
      <c r="I217">
        <v>-8.4227860000000003</v>
      </c>
      <c r="J217">
        <v>16.781293000000002</v>
      </c>
      <c r="K217" s="1" t="s">
        <v>1498</v>
      </c>
      <c r="L217" s="1" t="s">
        <v>1499</v>
      </c>
      <c r="M217" s="1" t="s">
        <v>291</v>
      </c>
      <c r="N217" s="1" t="s">
        <v>67</v>
      </c>
      <c r="O217" s="1" t="str">
        <f>INT(Matrice1!$P217/12) &amp; " ans et " &amp; MOD(Matrice1!$P217,12) &amp; " mois"</f>
        <v>1 ans et 11 mois</v>
      </c>
      <c r="P217">
        <v>23</v>
      </c>
      <c r="Q217" s="1" t="s">
        <v>14</v>
      </c>
      <c r="R217" s="4">
        <f>Matrice1!$S217/1440</f>
        <v>0.32847222222222222</v>
      </c>
      <c r="S217">
        <v>473</v>
      </c>
      <c r="T217">
        <v>71.86</v>
      </c>
      <c r="U217">
        <v>3</v>
      </c>
      <c r="V217" s="8">
        <f>IF(Matrice1!$Q217="Pro Monde",10%,IF(AND(Matrice1!$R217&gt;12,Matrice1!$O217&gt;5),70%,IF(AND(OR(Matrice1!$R217&gt;=4,Matrice1!$R217&lt;=12,Matrice1!$O217&lt;5,(OR(Matrice1!$Q217="Premium ")))),45%,0%)))</f>
        <v>0.1</v>
      </c>
      <c r="W217">
        <f>Matrice1!$T217* (Matrice1!$V217/100)</f>
        <v>7.1860000000000007E-2</v>
      </c>
    </row>
    <row r="218" spans="1:23" x14ac:dyDescent="0.3">
      <c r="A218" s="1" t="s">
        <v>805</v>
      </c>
      <c r="B218" s="2">
        <v>45218</v>
      </c>
      <c r="C218" s="3">
        <v>0.36875000000000002</v>
      </c>
      <c r="D218" s="1" t="s">
        <v>820</v>
      </c>
      <c r="E218">
        <v>70</v>
      </c>
      <c r="F218" s="1" t="s">
        <v>807</v>
      </c>
      <c r="G218" s="1" t="s">
        <v>820</v>
      </c>
      <c r="H218" s="1" t="s">
        <v>67</v>
      </c>
      <c r="I218">
        <v>-8.4227860000000003</v>
      </c>
      <c r="J218">
        <v>16.781293000000002</v>
      </c>
      <c r="K218" s="1" t="s">
        <v>1498</v>
      </c>
      <c r="L218" s="1" t="s">
        <v>1499</v>
      </c>
      <c r="M218" s="1" t="s">
        <v>314</v>
      </c>
      <c r="N218" s="1" t="s">
        <v>67</v>
      </c>
      <c r="O218" s="1" t="str">
        <f>INT(Matrice1!$P218/12) &amp; " ans et " &amp; MOD(Matrice1!$P218,12) &amp; " mois"</f>
        <v>9 ans et 9 mois</v>
      </c>
      <c r="P218">
        <v>117</v>
      </c>
      <c r="Q218" s="1" t="s">
        <v>19</v>
      </c>
      <c r="R218" s="4">
        <f>Matrice1!$S218/1440</f>
        <v>5.9027777777777776E-2</v>
      </c>
      <c r="S218">
        <v>85</v>
      </c>
      <c r="T218">
        <v>46.16</v>
      </c>
      <c r="U218">
        <v>3</v>
      </c>
      <c r="V218" s="8">
        <f>IF(Matrice1!$Q218="Pro Monde",10%,IF(AND(Matrice1!$R218&gt;12,Matrice1!$O218&gt;5),70%,IF(AND(OR(Matrice1!$R218&gt;=4,Matrice1!$R218&lt;=12,Matrice1!$O218&lt;5,(OR(Matrice1!$Q218="Premium ")))),45%,0%)))</f>
        <v>0.45</v>
      </c>
      <c r="W218">
        <f>Matrice1!$T218* (Matrice1!$V218/100)</f>
        <v>0.20772000000000002</v>
      </c>
    </row>
    <row r="219" spans="1:23" x14ac:dyDescent="0.3">
      <c r="A219" s="1" t="s">
        <v>805</v>
      </c>
      <c r="B219" s="2">
        <v>45218</v>
      </c>
      <c r="C219" s="3">
        <v>0.36875000000000002</v>
      </c>
      <c r="D219" s="1" t="s">
        <v>820</v>
      </c>
      <c r="E219">
        <v>70</v>
      </c>
      <c r="F219" s="1" t="s">
        <v>807</v>
      </c>
      <c r="G219" s="1" t="s">
        <v>820</v>
      </c>
      <c r="H219" s="1" t="s">
        <v>67</v>
      </c>
      <c r="I219">
        <v>-8.4227860000000003</v>
      </c>
      <c r="J219">
        <v>16.781293000000002</v>
      </c>
      <c r="K219" s="1" t="s">
        <v>1498</v>
      </c>
      <c r="L219" s="1" t="s">
        <v>1499</v>
      </c>
      <c r="M219" s="1" t="s">
        <v>371</v>
      </c>
      <c r="N219" s="1" t="s">
        <v>67</v>
      </c>
      <c r="O219" s="1" t="str">
        <f>INT(Matrice1!$P219/12) &amp; " ans et " &amp; MOD(Matrice1!$P219,12) &amp; " mois"</f>
        <v>3 ans et 2 mois</v>
      </c>
      <c r="P219">
        <v>38</v>
      </c>
      <c r="Q219" s="1" t="s">
        <v>11</v>
      </c>
      <c r="R219" s="4">
        <f>Matrice1!$S219/1440</f>
        <v>4.1666666666666664E-2</v>
      </c>
      <c r="S219">
        <v>60</v>
      </c>
      <c r="T219">
        <v>58.28</v>
      </c>
      <c r="U219">
        <v>4</v>
      </c>
      <c r="V219" s="8">
        <f>IF(Matrice1!$Q219="Pro Monde",10%,IF(AND(Matrice1!$R219&gt;12,Matrice1!$O219&gt;5),70%,IF(AND(OR(Matrice1!$R219&gt;=4,Matrice1!$R219&lt;=12,Matrice1!$O219&lt;5,(OR(Matrice1!$Q219="Premium ")))),45%,0%)))</f>
        <v>0.45</v>
      </c>
      <c r="W219">
        <f>Matrice1!$T219* (Matrice1!$V219/100)</f>
        <v>0.26226000000000005</v>
      </c>
    </row>
    <row r="220" spans="1:23" x14ac:dyDescent="0.3">
      <c r="A220" s="1" t="s">
        <v>805</v>
      </c>
      <c r="B220" s="2">
        <v>45218</v>
      </c>
      <c r="C220" s="3">
        <v>0.36875000000000002</v>
      </c>
      <c r="D220" s="1" t="s">
        <v>820</v>
      </c>
      <c r="E220">
        <v>70</v>
      </c>
      <c r="F220" s="1" t="s">
        <v>807</v>
      </c>
      <c r="G220" s="1" t="s">
        <v>820</v>
      </c>
      <c r="H220" s="1" t="s">
        <v>67</v>
      </c>
      <c r="I220">
        <v>-8.4227860000000003</v>
      </c>
      <c r="J220">
        <v>16.781293000000002</v>
      </c>
      <c r="K220" s="1" t="s">
        <v>1498</v>
      </c>
      <c r="L220" s="1" t="s">
        <v>1499</v>
      </c>
      <c r="M220" s="1" t="s">
        <v>394</v>
      </c>
      <c r="N220" s="1" t="s">
        <v>67</v>
      </c>
      <c r="O220" s="1" t="str">
        <f>INT(Matrice1!$P220/12) &amp; " ans et " &amp; MOD(Matrice1!$P220,12) &amp; " mois"</f>
        <v>1 ans et 0 mois</v>
      </c>
      <c r="P220">
        <v>12</v>
      </c>
      <c r="Q220" s="1" t="s">
        <v>14</v>
      </c>
      <c r="R220" s="4">
        <f>Matrice1!$S220/1440</f>
        <v>8.6805555555555552E-2</v>
      </c>
      <c r="S220">
        <v>125</v>
      </c>
      <c r="T220">
        <v>36.93</v>
      </c>
      <c r="U220">
        <v>0</v>
      </c>
      <c r="V220" s="8">
        <f>IF(Matrice1!$Q220="Pro Monde",10%,IF(AND(Matrice1!$R220&gt;12,Matrice1!$O220&gt;5),70%,IF(AND(OR(Matrice1!$R220&gt;=4,Matrice1!$R220&lt;=12,Matrice1!$O220&lt;5,(OR(Matrice1!$Q220="Premium ")))),45%,0%)))</f>
        <v>0.1</v>
      </c>
      <c r="W220">
        <f>Matrice1!$T220* (Matrice1!$V220/100)</f>
        <v>3.6929999999999998E-2</v>
      </c>
    </row>
    <row r="221" spans="1:23" x14ac:dyDescent="0.3">
      <c r="A221" s="1" t="s">
        <v>805</v>
      </c>
      <c r="B221" s="2">
        <v>45218</v>
      </c>
      <c r="C221" s="3">
        <v>0.36875000000000002</v>
      </c>
      <c r="D221" s="1" t="s">
        <v>820</v>
      </c>
      <c r="E221">
        <v>70</v>
      </c>
      <c r="F221" s="1" t="s">
        <v>807</v>
      </c>
      <c r="G221" s="1" t="s">
        <v>820</v>
      </c>
      <c r="H221" s="1" t="s">
        <v>67</v>
      </c>
      <c r="I221">
        <v>-8.4227860000000003</v>
      </c>
      <c r="J221">
        <v>16.781293000000002</v>
      </c>
      <c r="K221" s="1" t="s">
        <v>1498</v>
      </c>
      <c r="L221" s="1" t="s">
        <v>1499</v>
      </c>
      <c r="M221" s="1" t="s">
        <v>401</v>
      </c>
      <c r="N221" s="1" t="s">
        <v>67</v>
      </c>
      <c r="O221" s="1" t="str">
        <f>INT(Matrice1!$P221/12) &amp; " ans et " &amp; MOD(Matrice1!$P221,12) &amp; " mois"</f>
        <v>9 ans et 4 mois</v>
      </c>
      <c r="P221">
        <v>112</v>
      </c>
      <c r="Q221" s="1" t="s">
        <v>22</v>
      </c>
      <c r="R221" s="4">
        <f>Matrice1!$S221/1440</f>
        <v>0.33541666666666664</v>
      </c>
      <c r="S221">
        <v>483</v>
      </c>
      <c r="T221">
        <v>93.98</v>
      </c>
      <c r="U221">
        <v>0</v>
      </c>
      <c r="V221" s="8">
        <f>IF(Matrice1!$Q221="Pro Monde",10%,IF(AND(Matrice1!$R221&gt;12,Matrice1!$O221&gt;5),70%,IF(AND(OR(Matrice1!$R221&gt;=4,Matrice1!$R221&lt;=12,Matrice1!$O221&lt;5,(OR(Matrice1!$Q221="Premium ")))),45%,0%)))</f>
        <v>0.45</v>
      </c>
      <c r="W221">
        <f>Matrice1!$T221* (Matrice1!$V221/100)</f>
        <v>0.42291000000000006</v>
      </c>
    </row>
    <row r="222" spans="1:23" x14ac:dyDescent="0.3">
      <c r="A222" s="1" t="s">
        <v>805</v>
      </c>
      <c r="B222" s="2">
        <v>45218</v>
      </c>
      <c r="C222" s="3">
        <v>0.36875000000000002</v>
      </c>
      <c r="D222" s="1" t="s">
        <v>820</v>
      </c>
      <c r="E222">
        <v>70</v>
      </c>
      <c r="F222" s="1" t="s">
        <v>807</v>
      </c>
      <c r="G222" s="1" t="s">
        <v>820</v>
      </c>
      <c r="H222" s="1" t="s">
        <v>67</v>
      </c>
      <c r="I222">
        <v>-8.4227860000000003</v>
      </c>
      <c r="J222">
        <v>16.781293000000002</v>
      </c>
      <c r="K222" s="1" t="s">
        <v>1498</v>
      </c>
      <c r="L222" s="1" t="s">
        <v>1499</v>
      </c>
      <c r="M222" s="1" t="s">
        <v>411</v>
      </c>
      <c r="N222" s="1" t="s">
        <v>67</v>
      </c>
      <c r="O222" s="1" t="str">
        <f>INT(Matrice1!$P222/12) &amp; " ans et " &amp; MOD(Matrice1!$P222,12) &amp; " mois"</f>
        <v>8 ans et 5 mois</v>
      </c>
      <c r="P222">
        <v>101</v>
      </c>
      <c r="Q222" s="1" t="s">
        <v>11</v>
      </c>
      <c r="R222" s="4">
        <f>Matrice1!$S222/1440</f>
        <v>0.33055555555555555</v>
      </c>
      <c r="S222">
        <v>476</v>
      </c>
      <c r="T222">
        <v>41.85</v>
      </c>
      <c r="U222">
        <v>4</v>
      </c>
      <c r="V222" s="8">
        <f>IF(Matrice1!$Q222="Pro Monde",10%,IF(AND(Matrice1!$R222&gt;12,Matrice1!$O222&gt;5),70%,IF(AND(OR(Matrice1!$R222&gt;=4,Matrice1!$R222&lt;=12,Matrice1!$O222&lt;5,(OR(Matrice1!$Q222="Premium ")))),45%,0%)))</f>
        <v>0.45</v>
      </c>
      <c r="W222">
        <f>Matrice1!$T222* (Matrice1!$V222/100)</f>
        <v>0.18832500000000002</v>
      </c>
    </row>
    <row r="223" spans="1:23" x14ac:dyDescent="0.3">
      <c r="A223" s="1" t="s">
        <v>805</v>
      </c>
      <c r="B223" s="2">
        <v>45218</v>
      </c>
      <c r="C223" s="3">
        <v>0.36875000000000002</v>
      </c>
      <c r="D223" s="1" t="s">
        <v>820</v>
      </c>
      <c r="E223">
        <v>70</v>
      </c>
      <c r="F223" s="1" t="s">
        <v>807</v>
      </c>
      <c r="G223" s="1" t="s">
        <v>820</v>
      </c>
      <c r="H223" s="1" t="s">
        <v>67</v>
      </c>
      <c r="I223">
        <v>-8.4227860000000003</v>
      </c>
      <c r="J223">
        <v>16.781293000000002</v>
      </c>
      <c r="K223" s="1" t="s">
        <v>1498</v>
      </c>
      <c r="L223" s="1" t="s">
        <v>1499</v>
      </c>
      <c r="M223" s="1" t="s">
        <v>434</v>
      </c>
      <c r="N223" s="1" t="s">
        <v>67</v>
      </c>
      <c r="O223" s="1" t="str">
        <f>INT(Matrice1!$P223/12) &amp; " ans et " &amp; MOD(Matrice1!$P223,12) &amp; " mois"</f>
        <v>9 ans et 7 mois</v>
      </c>
      <c r="P223">
        <v>115</v>
      </c>
      <c r="Q223" s="1" t="s">
        <v>22</v>
      </c>
      <c r="R223" s="4">
        <f>Matrice1!$S223/1440</f>
        <v>0.32430555555555557</v>
      </c>
      <c r="S223">
        <v>467</v>
      </c>
      <c r="T223">
        <v>24.57</v>
      </c>
      <c r="U223">
        <v>3</v>
      </c>
      <c r="V223" s="8">
        <f>IF(Matrice1!$Q223="Pro Monde",10%,IF(AND(Matrice1!$R223&gt;12,Matrice1!$O223&gt;5),70%,IF(AND(OR(Matrice1!$R223&gt;=4,Matrice1!$R223&lt;=12,Matrice1!$O223&lt;5,(OR(Matrice1!$Q223="Premium ")))),45%,0%)))</f>
        <v>0.45</v>
      </c>
      <c r="W223">
        <f>Matrice1!$T223* (Matrice1!$V223/100)</f>
        <v>0.11056500000000001</v>
      </c>
    </row>
    <row r="224" spans="1:23" x14ac:dyDescent="0.3">
      <c r="A224" s="1" t="s">
        <v>805</v>
      </c>
      <c r="B224" s="2">
        <v>45218</v>
      </c>
      <c r="C224" s="3">
        <v>0.36875000000000002</v>
      </c>
      <c r="D224" s="1" t="s">
        <v>820</v>
      </c>
      <c r="E224">
        <v>70</v>
      </c>
      <c r="F224" s="1" t="s">
        <v>807</v>
      </c>
      <c r="G224" s="1" t="s">
        <v>820</v>
      </c>
      <c r="H224" s="1" t="s">
        <v>67</v>
      </c>
      <c r="I224">
        <v>-8.4227860000000003</v>
      </c>
      <c r="J224">
        <v>16.781293000000002</v>
      </c>
      <c r="K224" s="1" t="s">
        <v>1498</v>
      </c>
      <c r="L224" s="1" t="s">
        <v>1499</v>
      </c>
      <c r="M224" s="1" t="s">
        <v>446</v>
      </c>
      <c r="N224" s="1" t="s">
        <v>67</v>
      </c>
      <c r="O224" s="1" t="str">
        <f>INT(Matrice1!$P224/12) &amp; " ans et " &amp; MOD(Matrice1!$P224,12) &amp; " mois"</f>
        <v>0 ans et 7 mois</v>
      </c>
      <c r="P224">
        <v>7</v>
      </c>
      <c r="Q224" s="1" t="s">
        <v>22</v>
      </c>
      <c r="R224" s="4">
        <f>Matrice1!$S224/1440</f>
        <v>6.5277777777777782E-2</v>
      </c>
      <c r="S224">
        <v>94</v>
      </c>
      <c r="T224">
        <v>68.38</v>
      </c>
      <c r="U224">
        <v>3</v>
      </c>
      <c r="V224" s="8">
        <f>IF(Matrice1!$Q224="Pro Monde",10%,IF(AND(Matrice1!$R224&gt;12,Matrice1!$O224&gt;5),70%,IF(AND(OR(Matrice1!$R224&gt;=4,Matrice1!$R224&lt;=12,Matrice1!$O224&lt;5,(OR(Matrice1!$Q224="Premium ")))),45%,0%)))</f>
        <v>0.45</v>
      </c>
      <c r="W224">
        <f>Matrice1!$T224* (Matrice1!$V224/100)</f>
        <v>0.30771000000000004</v>
      </c>
    </row>
    <row r="225" spans="1:23" x14ac:dyDescent="0.3">
      <c r="A225" s="1" t="s">
        <v>805</v>
      </c>
      <c r="B225" s="2">
        <v>45218</v>
      </c>
      <c r="C225" s="3">
        <v>0.36875000000000002</v>
      </c>
      <c r="D225" s="1" t="s">
        <v>820</v>
      </c>
      <c r="E225">
        <v>70</v>
      </c>
      <c r="F225" s="1" t="s">
        <v>807</v>
      </c>
      <c r="G225" s="1" t="s">
        <v>820</v>
      </c>
      <c r="H225" s="1" t="s">
        <v>67</v>
      </c>
      <c r="I225">
        <v>-8.4227860000000003</v>
      </c>
      <c r="J225">
        <v>16.781293000000002</v>
      </c>
      <c r="K225" s="1" t="s">
        <v>1498</v>
      </c>
      <c r="L225" s="1" t="s">
        <v>1499</v>
      </c>
      <c r="M225" s="1" t="s">
        <v>472</v>
      </c>
      <c r="N225" s="1" t="s">
        <v>67</v>
      </c>
      <c r="O225" s="1" t="str">
        <f>INT(Matrice1!$P225/12) &amp; " ans et " &amp; MOD(Matrice1!$P225,12) &amp; " mois"</f>
        <v>1 ans et 1 mois</v>
      </c>
      <c r="P225">
        <v>13</v>
      </c>
      <c r="Q225" s="1" t="s">
        <v>14</v>
      </c>
      <c r="R225" s="4">
        <f>Matrice1!$S225/1440</f>
        <v>6.0416666666666667E-2</v>
      </c>
      <c r="S225">
        <v>87</v>
      </c>
      <c r="T225">
        <v>66.36</v>
      </c>
      <c r="U225">
        <v>0</v>
      </c>
      <c r="V225" s="8">
        <f>IF(Matrice1!$Q225="Pro Monde",10%,IF(AND(Matrice1!$R225&gt;12,Matrice1!$O225&gt;5),70%,IF(AND(OR(Matrice1!$R225&gt;=4,Matrice1!$R225&lt;=12,Matrice1!$O225&lt;5,(OR(Matrice1!$Q225="Premium ")))),45%,0%)))</f>
        <v>0.1</v>
      </c>
      <c r="W225">
        <f>Matrice1!$T225* (Matrice1!$V225/100)</f>
        <v>6.6360000000000002E-2</v>
      </c>
    </row>
    <row r="226" spans="1:23" x14ac:dyDescent="0.3">
      <c r="A226" s="1" t="s">
        <v>805</v>
      </c>
      <c r="B226" s="2">
        <v>45218</v>
      </c>
      <c r="C226" s="3">
        <v>0.36875000000000002</v>
      </c>
      <c r="D226" s="1" t="s">
        <v>820</v>
      </c>
      <c r="E226">
        <v>70</v>
      </c>
      <c r="F226" s="1" t="s">
        <v>807</v>
      </c>
      <c r="G226" s="1" t="s">
        <v>820</v>
      </c>
      <c r="H226" s="1" t="s">
        <v>67</v>
      </c>
      <c r="I226">
        <v>-8.4227860000000003</v>
      </c>
      <c r="J226">
        <v>16.781293000000002</v>
      </c>
      <c r="K226" s="1" t="s">
        <v>1498</v>
      </c>
      <c r="L226" s="1" t="s">
        <v>1499</v>
      </c>
      <c r="M226" s="1" t="s">
        <v>498</v>
      </c>
      <c r="N226" s="1" t="s">
        <v>67</v>
      </c>
      <c r="O226" s="1" t="str">
        <f>INT(Matrice1!$P226/12) &amp; " ans et " &amp; MOD(Matrice1!$P226,12) &amp; " mois"</f>
        <v>2 ans et 0 mois</v>
      </c>
      <c r="P226">
        <v>24</v>
      </c>
      <c r="Q226" s="1" t="s">
        <v>19</v>
      </c>
      <c r="R226" s="4">
        <f>Matrice1!$S226/1440</f>
        <v>9.0277777777777769E-3</v>
      </c>
      <c r="S226">
        <v>13</v>
      </c>
      <c r="T226">
        <v>89.3</v>
      </c>
      <c r="U226">
        <v>2</v>
      </c>
      <c r="V226" s="8">
        <f>IF(Matrice1!$Q226="Pro Monde",10%,IF(AND(Matrice1!$R226&gt;12,Matrice1!$O226&gt;5),70%,IF(AND(OR(Matrice1!$R226&gt;=4,Matrice1!$R226&lt;=12,Matrice1!$O226&lt;5,(OR(Matrice1!$Q226="Premium ")))),45%,0%)))</f>
        <v>0.45</v>
      </c>
      <c r="W226">
        <f>Matrice1!$T226* (Matrice1!$V226/100)</f>
        <v>0.40185000000000004</v>
      </c>
    </row>
    <row r="227" spans="1:23" x14ac:dyDescent="0.3">
      <c r="A227" s="1" t="s">
        <v>805</v>
      </c>
      <c r="B227" s="2">
        <v>45214</v>
      </c>
      <c r="C227" s="3">
        <v>0.71319444444444446</v>
      </c>
      <c r="D227" s="1" t="s">
        <v>828</v>
      </c>
      <c r="E227">
        <v>25</v>
      </c>
      <c r="F227" s="1" t="s">
        <v>807</v>
      </c>
      <c r="G227" s="1" t="s">
        <v>828</v>
      </c>
      <c r="H227" s="1" t="s">
        <v>24</v>
      </c>
      <c r="I227">
        <v>0.172153</v>
      </c>
      <c r="J227">
        <v>21.091376</v>
      </c>
      <c r="K227" s="1" t="s">
        <v>1500</v>
      </c>
      <c r="L227" s="1" t="s">
        <v>1496</v>
      </c>
      <c r="M227" s="1" t="s">
        <v>23</v>
      </c>
      <c r="N227" s="1" t="s">
        <v>24</v>
      </c>
      <c r="O227" s="1" t="str">
        <f>INT(Matrice1!$P227/12) &amp; " ans et " &amp; MOD(Matrice1!$P227,12) &amp; " mois"</f>
        <v>3 ans et 10 mois</v>
      </c>
      <c r="P227">
        <v>46</v>
      </c>
      <c r="Q227" s="1" t="s">
        <v>11</v>
      </c>
      <c r="R227" s="4">
        <f>Matrice1!$S227/1440</f>
        <v>0.19652777777777777</v>
      </c>
      <c r="S227">
        <v>283</v>
      </c>
      <c r="T227">
        <v>56.05</v>
      </c>
      <c r="U227">
        <v>1</v>
      </c>
      <c r="V227" s="8">
        <f>IF(Matrice1!$Q227="Pro Monde",10%,IF(AND(Matrice1!$R227&gt;12,Matrice1!$O227&gt;5),70%,IF(AND(OR(Matrice1!$R227&gt;=4,Matrice1!$R227&lt;=12,Matrice1!$O227&lt;5,(OR(Matrice1!$Q227="Premium ")))),45%,0%)))</f>
        <v>0.45</v>
      </c>
      <c r="W227">
        <f>Matrice1!$T227* (Matrice1!$V227/100)</f>
        <v>0.25222500000000003</v>
      </c>
    </row>
    <row r="228" spans="1:23" x14ac:dyDescent="0.3">
      <c r="A228" s="1" t="s">
        <v>805</v>
      </c>
      <c r="B228" s="2">
        <v>45214</v>
      </c>
      <c r="C228" s="3">
        <v>0.71319444444444446</v>
      </c>
      <c r="D228" s="1" t="s">
        <v>828</v>
      </c>
      <c r="E228">
        <v>25</v>
      </c>
      <c r="F228" s="1" t="s">
        <v>807</v>
      </c>
      <c r="G228" s="1" t="s">
        <v>828</v>
      </c>
      <c r="H228" s="1" t="s">
        <v>24</v>
      </c>
      <c r="I228">
        <v>0.172153</v>
      </c>
      <c r="J228">
        <v>21.091376</v>
      </c>
      <c r="K228" s="1" t="s">
        <v>1500</v>
      </c>
      <c r="L228" s="1" t="s">
        <v>1496</v>
      </c>
      <c r="M228" s="1" t="s">
        <v>27</v>
      </c>
      <c r="N228" s="1" t="s">
        <v>24</v>
      </c>
      <c r="O228" s="1" t="str">
        <f>INT(Matrice1!$P228/12) &amp; " ans et " &amp; MOD(Matrice1!$P228,12) &amp; " mois"</f>
        <v>0 ans et 6 mois</v>
      </c>
      <c r="P228">
        <v>6</v>
      </c>
      <c r="Q228" s="1" t="s">
        <v>22</v>
      </c>
      <c r="R228" s="4">
        <f>Matrice1!$S228/1440</f>
        <v>0.1076388888888889</v>
      </c>
      <c r="S228">
        <v>155</v>
      </c>
      <c r="T228">
        <v>40.659999999999997</v>
      </c>
      <c r="U228">
        <v>1</v>
      </c>
      <c r="V228" s="8">
        <f>IF(Matrice1!$Q228="Pro Monde",10%,IF(AND(Matrice1!$R228&gt;12,Matrice1!$O228&gt;5),70%,IF(AND(OR(Matrice1!$R228&gt;=4,Matrice1!$R228&lt;=12,Matrice1!$O228&lt;5,(OR(Matrice1!$Q228="Premium ")))),45%,0%)))</f>
        <v>0.45</v>
      </c>
      <c r="W228">
        <f>Matrice1!$T228* (Matrice1!$V228/100)</f>
        <v>0.18296999999999999</v>
      </c>
    </row>
    <row r="229" spans="1:23" x14ac:dyDescent="0.3">
      <c r="A229" s="1" t="s">
        <v>805</v>
      </c>
      <c r="B229" s="2">
        <v>45214</v>
      </c>
      <c r="C229" s="3">
        <v>0.71319444444444446</v>
      </c>
      <c r="D229" s="1" t="s">
        <v>828</v>
      </c>
      <c r="E229">
        <v>25</v>
      </c>
      <c r="F229" s="1" t="s">
        <v>807</v>
      </c>
      <c r="G229" s="1" t="s">
        <v>828</v>
      </c>
      <c r="H229" s="1" t="s">
        <v>24</v>
      </c>
      <c r="I229">
        <v>0.172153</v>
      </c>
      <c r="J229">
        <v>21.091376</v>
      </c>
      <c r="K229" s="1" t="s">
        <v>1500</v>
      </c>
      <c r="L229" s="1" t="s">
        <v>1496</v>
      </c>
      <c r="M229" s="1" t="s">
        <v>52</v>
      </c>
      <c r="N229" s="1" t="s">
        <v>24</v>
      </c>
      <c r="O229" s="1" t="str">
        <f>INT(Matrice1!$P229/12) &amp; " ans et " &amp; MOD(Matrice1!$P229,12) &amp; " mois"</f>
        <v>4 ans et 9 mois</v>
      </c>
      <c r="P229">
        <v>57</v>
      </c>
      <c r="Q229" s="1" t="s">
        <v>22</v>
      </c>
      <c r="R229" s="4">
        <f>Matrice1!$S229/1440</f>
        <v>0.22847222222222222</v>
      </c>
      <c r="S229">
        <v>329</v>
      </c>
      <c r="T229">
        <v>50.39</v>
      </c>
      <c r="U229">
        <v>5</v>
      </c>
      <c r="V229" s="8">
        <f>IF(Matrice1!$Q229="Pro Monde",10%,IF(AND(Matrice1!$R229&gt;12,Matrice1!$O229&gt;5),70%,IF(AND(OR(Matrice1!$R229&gt;=4,Matrice1!$R229&lt;=12,Matrice1!$O229&lt;5,(OR(Matrice1!$Q229="Premium ")))),45%,0%)))</f>
        <v>0.45</v>
      </c>
      <c r="W229">
        <f>Matrice1!$T229* (Matrice1!$V229/100)</f>
        <v>0.22675500000000004</v>
      </c>
    </row>
    <row r="230" spans="1:23" x14ac:dyDescent="0.3">
      <c r="A230" s="1" t="s">
        <v>805</v>
      </c>
      <c r="B230" s="2">
        <v>45214</v>
      </c>
      <c r="C230" s="3">
        <v>0.71319444444444446</v>
      </c>
      <c r="D230" s="1" t="s">
        <v>828</v>
      </c>
      <c r="E230">
        <v>25</v>
      </c>
      <c r="F230" s="1" t="s">
        <v>807</v>
      </c>
      <c r="G230" s="1" t="s">
        <v>828</v>
      </c>
      <c r="H230" s="1" t="s">
        <v>24</v>
      </c>
      <c r="I230">
        <v>0.172153</v>
      </c>
      <c r="J230">
        <v>21.091376</v>
      </c>
      <c r="K230" s="1" t="s">
        <v>1500</v>
      </c>
      <c r="L230" s="1" t="s">
        <v>1496</v>
      </c>
      <c r="M230" s="1" t="s">
        <v>75</v>
      </c>
      <c r="N230" s="1" t="s">
        <v>24</v>
      </c>
      <c r="O230" s="1" t="str">
        <f>INT(Matrice1!$P230/12) &amp; " ans et " &amp; MOD(Matrice1!$P230,12) &amp; " mois"</f>
        <v>1 ans et 2 mois</v>
      </c>
      <c r="P230">
        <v>14</v>
      </c>
      <c r="Q230" s="1" t="s">
        <v>14</v>
      </c>
      <c r="R230" s="4">
        <f>Matrice1!$S230/1440</f>
        <v>7.013888888888889E-2</v>
      </c>
      <c r="S230">
        <v>101</v>
      </c>
      <c r="T230">
        <v>43.99</v>
      </c>
      <c r="U230">
        <v>1</v>
      </c>
      <c r="V230" s="8">
        <f>IF(Matrice1!$Q230="Pro Monde",10%,IF(AND(Matrice1!$R230&gt;12,Matrice1!$O230&gt;5),70%,IF(AND(OR(Matrice1!$R230&gt;=4,Matrice1!$R230&lt;=12,Matrice1!$O230&lt;5,(OR(Matrice1!$Q230="Premium ")))),45%,0%)))</f>
        <v>0.1</v>
      </c>
      <c r="W230">
        <f>Matrice1!$T230* (Matrice1!$V230/100)</f>
        <v>4.3990000000000001E-2</v>
      </c>
    </row>
    <row r="231" spans="1:23" x14ac:dyDescent="0.3">
      <c r="A231" s="1" t="s">
        <v>805</v>
      </c>
      <c r="B231" s="2">
        <v>45214</v>
      </c>
      <c r="C231" s="3">
        <v>0.71319444444444446</v>
      </c>
      <c r="D231" s="1" t="s">
        <v>828</v>
      </c>
      <c r="E231">
        <v>25</v>
      </c>
      <c r="F231" s="1" t="s">
        <v>807</v>
      </c>
      <c r="G231" s="1" t="s">
        <v>828</v>
      </c>
      <c r="H231" s="1" t="s">
        <v>24</v>
      </c>
      <c r="I231">
        <v>0.172153</v>
      </c>
      <c r="J231">
        <v>21.091376</v>
      </c>
      <c r="K231" s="1" t="s">
        <v>1500</v>
      </c>
      <c r="L231" s="1" t="s">
        <v>1496</v>
      </c>
      <c r="M231" s="1" t="s">
        <v>102</v>
      </c>
      <c r="N231" s="1" t="s">
        <v>24</v>
      </c>
      <c r="O231" s="1" t="str">
        <f>INT(Matrice1!$P231/12) &amp; " ans et " &amp; MOD(Matrice1!$P231,12) &amp; " mois"</f>
        <v>4 ans et 5 mois</v>
      </c>
      <c r="P231">
        <v>53</v>
      </c>
      <c r="Q231" s="1" t="s">
        <v>14</v>
      </c>
      <c r="R231" s="4">
        <f>Matrice1!$S231/1440</f>
        <v>0.2673611111111111</v>
      </c>
      <c r="S231">
        <v>385</v>
      </c>
      <c r="T231">
        <v>68.78</v>
      </c>
      <c r="U231">
        <v>3</v>
      </c>
      <c r="V231" s="8">
        <f>IF(Matrice1!$Q231="Pro Monde",10%,IF(AND(Matrice1!$R231&gt;12,Matrice1!$O231&gt;5),70%,IF(AND(OR(Matrice1!$R231&gt;=4,Matrice1!$R231&lt;=12,Matrice1!$O231&lt;5,(OR(Matrice1!$Q231="Premium ")))),45%,0%)))</f>
        <v>0.1</v>
      </c>
      <c r="W231">
        <f>Matrice1!$T231* (Matrice1!$V231/100)</f>
        <v>6.8780000000000008E-2</v>
      </c>
    </row>
    <row r="232" spans="1:23" x14ac:dyDescent="0.3">
      <c r="A232" s="1" t="s">
        <v>805</v>
      </c>
      <c r="B232" s="2">
        <v>45214</v>
      </c>
      <c r="C232" s="3">
        <v>0.71319444444444446</v>
      </c>
      <c r="D232" s="1" t="s">
        <v>828</v>
      </c>
      <c r="E232">
        <v>25</v>
      </c>
      <c r="F232" s="1" t="s">
        <v>807</v>
      </c>
      <c r="G232" s="1" t="s">
        <v>828</v>
      </c>
      <c r="H232" s="1" t="s">
        <v>24</v>
      </c>
      <c r="I232">
        <v>0.172153</v>
      </c>
      <c r="J232">
        <v>21.091376</v>
      </c>
      <c r="K232" s="1" t="s">
        <v>1500</v>
      </c>
      <c r="L232" s="1" t="s">
        <v>1496</v>
      </c>
      <c r="M232" s="1" t="s">
        <v>105</v>
      </c>
      <c r="N232" s="1" t="s">
        <v>24</v>
      </c>
      <c r="O232" s="1" t="str">
        <f>INT(Matrice1!$P232/12) &amp; " ans et " &amp; MOD(Matrice1!$P232,12) &amp; " mois"</f>
        <v>9 ans et 8 mois</v>
      </c>
      <c r="P232">
        <v>116</v>
      </c>
      <c r="Q232" s="1" t="s">
        <v>14</v>
      </c>
      <c r="R232" s="4">
        <f>Matrice1!$S232/1440</f>
        <v>0.33750000000000002</v>
      </c>
      <c r="S232">
        <v>486</v>
      </c>
      <c r="T232">
        <v>92.96</v>
      </c>
      <c r="U232">
        <v>5</v>
      </c>
      <c r="V232" s="8">
        <f>IF(Matrice1!$Q232="Pro Monde",10%,IF(AND(Matrice1!$R232&gt;12,Matrice1!$O232&gt;5),70%,IF(AND(OR(Matrice1!$R232&gt;=4,Matrice1!$R232&lt;=12,Matrice1!$O232&lt;5,(OR(Matrice1!$Q232="Premium ")))),45%,0%)))</f>
        <v>0.1</v>
      </c>
      <c r="W232">
        <f>Matrice1!$T232* (Matrice1!$V232/100)</f>
        <v>9.2960000000000001E-2</v>
      </c>
    </row>
    <row r="233" spans="1:23" x14ac:dyDescent="0.3">
      <c r="A233" s="1" t="s">
        <v>805</v>
      </c>
      <c r="B233" s="2">
        <v>45214</v>
      </c>
      <c r="C233" s="3">
        <v>0.71319444444444446</v>
      </c>
      <c r="D233" s="1" t="s">
        <v>828</v>
      </c>
      <c r="E233">
        <v>25</v>
      </c>
      <c r="F233" s="1" t="s">
        <v>807</v>
      </c>
      <c r="G233" s="1" t="s">
        <v>828</v>
      </c>
      <c r="H233" s="1" t="s">
        <v>24</v>
      </c>
      <c r="I233">
        <v>0.172153</v>
      </c>
      <c r="J233">
        <v>21.091376</v>
      </c>
      <c r="K233" s="1" t="s">
        <v>1500</v>
      </c>
      <c r="L233" s="1" t="s">
        <v>1496</v>
      </c>
      <c r="M233" s="1" t="s">
        <v>129</v>
      </c>
      <c r="N233" s="1" t="s">
        <v>24</v>
      </c>
      <c r="O233" s="1" t="str">
        <f>INT(Matrice1!$P233/12) &amp; " ans et " &amp; MOD(Matrice1!$P233,12) &amp; " mois"</f>
        <v>6 ans et 11 mois</v>
      </c>
      <c r="P233">
        <v>83</v>
      </c>
      <c r="Q233" s="1" t="s">
        <v>19</v>
      </c>
      <c r="R233" s="4">
        <f>Matrice1!$S233/1440</f>
        <v>8.7499999999999994E-2</v>
      </c>
      <c r="S233">
        <v>126</v>
      </c>
      <c r="T233">
        <v>67.17</v>
      </c>
      <c r="U233">
        <v>1</v>
      </c>
      <c r="V233" s="8">
        <f>IF(Matrice1!$Q233="Pro Monde",10%,IF(AND(Matrice1!$R233&gt;12,Matrice1!$O233&gt;5),70%,IF(AND(OR(Matrice1!$R233&gt;=4,Matrice1!$R233&lt;=12,Matrice1!$O233&lt;5,(OR(Matrice1!$Q233="Premium ")))),45%,0%)))</f>
        <v>0.45</v>
      </c>
      <c r="W233">
        <f>Matrice1!$T233* (Matrice1!$V233/100)</f>
        <v>0.30226500000000006</v>
      </c>
    </row>
    <row r="234" spans="1:23" x14ac:dyDescent="0.3">
      <c r="A234" s="1" t="s">
        <v>805</v>
      </c>
      <c r="B234" s="2">
        <v>45214</v>
      </c>
      <c r="C234" s="3">
        <v>0.71319444444444446</v>
      </c>
      <c r="D234" s="1" t="s">
        <v>828</v>
      </c>
      <c r="E234">
        <v>25</v>
      </c>
      <c r="F234" s="1" t="s">
        <v>807</v>
      </c>
      <c r="G234" s="1" t="s">
        <v>828</v>
      </c>
      <c r="H234" s="1" t="s">
        <v>24</v>
      </c>
      <c r="I234">
        <v>0.172153</v>
      </c>
      <c r="J234">
        <v>21.091376</v>
      </c>
      <c r="K234" s="1" t="s">
        <v>1500</v>
      </c>
      <c r="L234" s="1" t="s">
        <v>1496</v>
      </c>
      <c r="M234" s="1" t="s">
        <v>141</v>
      </c>
      <c r="N234" s="1" t="s">
        <v>24</v>
      </c>
      <c r="O234" s="1" t="str">
        <f>INT(Matrice1!$P234/12) &amp; " ans et " &amp; MOD(Matrice1!$P234,12) &amp; " mois"</f>
        <v>7 ans et 3 mois</v>
      </c>
      <c r="P234">
        <v>87</v>
      </c>
      <c r="Q234" s="1" t="s">
        <v>14</v>
      </c>
      <c r="R234" s="4">
        <f>Matrice1!$S234/1440</f>
        <v>0.30694444444444446</v>
      </c>
      <c r="S234">
        <v>442</v>
      </c>
      <c r="T234">
        <v>22.39</v>
      </c>
      <c r="U234">
        <v>3</v>
      </c>
      <c r="V234" s="8">
        <f>IF(Matrice1!$Q234="Pro Monde",10%,IF(AND(Matrice1!$R234&gt;12,Matrice1!$O234&gt;5),70%,IF(AND(OR(Matrice1!$R234&gt;=4,Matrice1!$R234&lt;=12,Matrice1!$O234&lt;5,(OR(Matrice1!$Q234="Premium ")))),45%,0%)))</f>
        <v>0.1</v>
      </c>
      <c r="W234">
        <f>Matrice1!$T234* (Matrice1!$V234/100)</f>
        <v>2.239E-2</v>
      </c>
    </row>
    <row r="235" spans="1:23" x14ac:dyDescent="0.3">
      <c r="A235" s="1" t="s">
        <v>805</v>
      </c>
      <c r="B235" s="2">
        <v>45214</v>
      </c>
      <c r="C235" s="3">
        <v>0.71319444444444446</v>
      </c>
      <c r="D235" s="1" t="s">
        <v>828</v>
      </c>
      <c r="E235">
        <v>25</v>
      </c>
      <c r="F235" s="1" t="s">
        <v>807</v>
      </c>
      <c r="G235" s="1" t="s">
        <v>828</v>
      </c>
      <c r="H235" s="1" t="s">
        <v>24</v>
      </c>
      <c r="I235">
        <v>0.172153</v>
      </c>
      <c r="J235">
        <v>21.091376</v>
      </c>
      <c r="K235" s="1" t="s">
        <v>1500</v>
      </c>
      <c r="L235" s="1" t="s">
        <v>1496</v>
      </c>
      <c r="M235" s="1" t="s">
        <v>184</v>
      </c>
      <c r="N235" s="1" t="s">
        <v>24</v>
      </c>
      <c r="O235" s="1" t="str">
        <f>INT(Matrice1!$P235/12) &amp; " ans et " &amp; MOD(Matrice1!$P235,12) &amp; " mois"</f>
        <v>9 ans et 5 mois</v>
      </c>
      <c r="P235">
        <v>113</v>
      </c>
      <c r="Q235" s="1" t="s">
        <v>11</v>
      </c>
      <c r="R235" s="4">
        <f>Matrice1!$S235/1440</f>
        <v>0.17083333333333334</v>
      </c>
      <c r="S235">
        <v>246</v>
      </c>
      <c r="T235">
        <v>29.18</v>
      </c>
      <c r="U235">
        <v>2</v>
      </c>
      <c r="V235" s="8">
        <f>IF(Matrice1!$Q235="Pro Monde",10%,IF(AND(Matrice1!$R235&gt;12,Matrice1!$O235&gt;5),70%,IF(AND(OR(Matrice1!$R235&gt;=4,Matrice1!$R235&lt;=12,Matrice1!$O235&lt;5,(OR(Matrice1!$Q235="Premium ")))),45%,0%)))</f>
        <v>0.45</v>
      </c>
      <c r="W235">
        <f>Matrice1!$T235* (Matrice1!$V235/100)</f>
        <v>0.13131000000000001</v>
      </c>
    </row>
    <row r="236" spans="1:23" x14ac:dyDescent="0.3">
      <c r="A236" s="1" t="s">
        <v>805</v>
      </c>
      <c r="B236" s="2">
        <v>45214</v>
      </c>
      <c r="C236" s="3">
        <v>0.71319444444444446</v>
      </c>
      <c r="D236" s="1" t="s">
        <v>828</v>
      </c>
      <c r="E236">
        <v>25</v>
      </c>
      <c r="F236" s="1" t="s">
        <v>807</v>
      </c>
      <c r="G236" s="1" t="s">
        <v>828</v>
      </c>
      <c r="H236" s="1" t="s">
        <v>24</v>
      </c>
      <c r="I236">
        <v>0.172153</v>
      </c>
      <c r="J236">
        <v>21.091376</v>
      </c>
      <c r="K236" s="1" t="s">
        <v>1500</v>
      </c>
      <c r="L236" s="1" t="s">
        <v>1496</v>
      </c>
      <c r="M236" s="1" t="s">
        <v>198</v>
      </c>
      <c r="N236" s="1" t="s">
        <v>24</v>
      </c>
      <c r="O236" s="1" t="str">
        <f>INT(Matrice1!$P236/12) &amp; " ans et " &amp; MOD(Matrice1!$P236,12) &amp; " mois"</f>
        <v>5 ans et 7 mois</v>
      </c>
      <c r="P236">
        <v>67</v>
      </c>
      <c r="Q236" s="1" t="s">
        <v>11</v>
      </c>
      <c r="R236" s="4">
        <f>Matrice1!$S236/1440</f>
        <v>0.1673611111111111</v>
      </c>
      <c r="S236">
        <v>241</v>
      </c>
      <c r="T236">
        <v>47.72</v>
      </c>
      <c r="U236">
        <v>0</v>
      </c>
      <c r="V236" s="8">
        <f>IF(Matrice1!$Q236="Pro Monde",10%,IF(AND(Matrice1!$R236&gt;12,Matrice1!$O236&gt;5),70%,IF(AND(OR(Matrice1!$R236&gt;=4,Matrice1!$R236&lt;=12,Matrice1!$O236&lt;5,(OR(Matrice1!$Q236="Premium ")))),45%,0%)))</f>
        <v>0.45</v>
      </c>
      <c r="W236">
        <f>Matrice1!$T236* (Matrice1!$V236/100)</f>
        <v>0.21474000000000001</v>
      </c>
    </row>
    <row r="237" spans="1:23" x14ac:dyDescent="0.3">
      <c r="A237" s="1" t="s">
        <v>805</v>
      </c>
      <c r="B237" s="2">
        <v>45214</v>
      </c>
      <c r="C237" s="3">
        <v>0.71319444444444446</v>
      </c>
      <c r="D237" s="1" t="s">
        <v>828</v>
      </c>
      <c r="E237">
        <v>25</v>
      </c>
      <c r="F237" s="1" t="s">
        <v>807</v>
      </c>
      <c r="G237" s="1" t="s">
        <v>828</v>
      </c>
      <c r="H237" s="1" t="s">
        <v>24</v>
      </c>
      <c r="I237">
        <v>0.172153</v>
      </c>
      <c r="J237">
        <v>21.091376</v>
      </c>
      <c r="K237" s="1" t="s">
        <v>1500</v>
      </c>
      <c r="L237" s="1" t="s">
        <v>1496</v>
      </c>
      <c r="M237" s="1" t="s">
        <v>217</v>
      </c>
      <c r="N237" s="1" t="s">
        <v>24</v>
      </c>
      <c r="O237" s="1" t="str">
        <f>INT(Matrice1!$P237/12) &amp; " ans et " &amp; MOD(Matrice1!$P237,12) &amp; " mois"</f>
        <v>7 ans et 0 mois</v>
      </c>
      <c r="P237">
        <v>84</v>
      </c>
      <c r="Q237" s="1" t="s">
        <v>11</v>
      </c>
      <c r="R237" s="4">
        <f>Matrice1!$S237/1440</f>
        <v>0.26874999999999999</v>
      </c>
      <c r="S237">
        <v>387</v>
      </c>
      <c r="T237">
        <v>58.1</v>
      </c>
      <c r="U237">
        <v>3</v>
      </c>
      <c r="V237" s="8">
        <f>IF(Matrice1!$Q237="Pro Monde",10%,IF(AND(Matrice1!$R237&gt;12,Matrice1!$O237&gt;5),70%,IF(AND(OR(Matrice1!$R237&gt;=4,Matrice1!$R237&lt;=12,Matrice1!$O237&lt;5,(OR(Matrice1!$Q237="Premium ")))),45%,0%)))</f>
        <v>0.45</v>
      </c>
      <c r="W237">
        <f>Matrice1!$T237* (Matrice1!$V237/100)</f>
        <v>0.26145000000000002</v>
      </c>
    </row>
    <row r="238" spans="1:23" x14ac:dyDescent="0.3">
      <c r="A238" s="1" t="s">
        <v>805</v>
      </c>
      <c r="B238" s="2">
        <v>45214</v>
      </c>
      <c r="C238" s="3">
        <v>0.71319444444444446</v>
      </c>
      <c r="D238" s="1" t="s">
        <v>828</v>
      </c>
      <c r="E238">
        <v>25</v>
      </c>
      <c r="F238" s="1" t="s">
        <v>807</v>
      </c>
      <c r="G238" s="1" t="s">
        <v>828</v>
      </c>
      <c r="H238" s="1" t="s">
        <v>24</v>
      </c>
      <c r="I238">
        <v>0.172153</v>
      </c>
      <c r="J238">
        <v>21.091376</v>
      </c>
      <c r="K238" s="1" t="s">
        <v>1500</v>
      </c>
      <c r="L238" s="1" t="s">
        <v>1496</v>
      </c>
      <c r="M238" s="1" t="s">
        <v>223</v>
      </c>
      <c r="N238" s="1" t="s">
        <v>24</v>
      </c>
      <c r="O238" s="1" t="str">
        <f>INT(Matrice1!$P238/12) &amp; " ans et " &amp; MOD(Matrice1!$P238,12) &amp; " mois"</f>
        <v>4 ans et 10 mois</v>
      </c>
      <c r="P238">
        <v>58</v>
      </c>
      <c r="Q238" s="1" t="s">
        <v>19</v>
      </c>
      <c r="R238" s="4">
        <f>Matrice1!$S238/1440</f>
        <v>0.28125</v>
      </c>
      <c r="S238">
        <v>405</v>
      </c>
      <c r="T238">
        <v>18.39</v>
      </c>
      <c r="U238">
        <v>0</v>
      </c>
      <c r="V238" s="8">
        <f>IF(Matrice1!$Q238="Pro Monde",10%,IF(AND(Matrice1!$R238&gt;12,Matrice1!$O238&gt;5),70%,IF(AND(OR(Matrice1!$R238&gt;=4,Matrice1!$R238&lt;=12,Matrice1!$O238&lt;5,(OR(Matrice1!$Q238="Premium ")))),45%,0%)))</f>
        <v>0.45</v>
      </c>
      <c r="W238">
        <f>Matrice1!$T238* (Matrice1!$V238/100)</f>
        <v>8.2755000000000009E-2</v>
      </c>
    </row>
    <row r="239" spans="1:23" x14ac:dyDescent="0.3">
      <c r="A239" s="1" t="s">
        <v>805</v>
      </c>
      <c r="B239" s="2">
        <v>45214</v>
      </c>
      <c r="C239" s="3">
        <v>0.71319444444444446</v>
      </c>
      <c r="D239" s="1" t="s">
        <v>828</v>
      </c>
      <c r="E239">
        <v>25</v>
      </c>
      <c r="F239" s="1" t="s">
        <v>807</v>
      </c>
      <c r="G239" s="1" t="s">
        <v>828</v>
      </c>
      <c r="H239" s="1" t="s">
        <v>24</v>
      </c>
      <c r="I239">
        <v>0.172153</v>
      </c>
      <c r="J239">
        <v>21.091376</v>
      </c>
      <c r="K239" s="1" t="s">
        <v>1500</v>
      </c>
      <c r="L239" s="1" t="s">
        <v>1496</v>
      </c>
      <c r="M239" s="1" t="s">
        <v>232</v>
      </c>
      <c r="N239" s="1" t="s">
        <v>24</v>
      </c>
      <c r="O239" s="1" t="str">
        <f>INT(Matrice1!$P239/12) &amp; " ans et " &amp; MOD(Matrice1!$P239,12) &amp; " mois"</f>
        <v>6 ans et 2 mois</v>
      </c>
      <c r="P239">
        <v>74</v>
      </c>
      <c r="Q239" s="1" t="s">
        <v>11</v>
      </c>
      <c r="R239" s="4">
        <f>Matrice1!$S239/1440</f>
        <v>0.14791666666666667</v>
      </c>
      <c r="S239">
        <v>213</v>
      </c>
      <c r="T239">
        <v>35.54</v>
      </c>
      <c r="U239">
        <v>3</v>
      </c>
      <c r="V239" s="8">
        <f>IF(Matrice1!$Q239="Pro Monde",10%,IF(AND(Matrice1!$R239&gt;12,Matrice1!$O239&gt;5),70%,IF(AND(OR(Matrice1!$R239&gt;=4,Matrice1!$R239&lt;=12,Matrice1!$O239&lt;5,(OR(Matrice1!$Q239="Premium ")))),45%,0%)))</f>
        <v>0.45</v>
      </c>
      <c r="W239">
        <f>Matrice1!$T239* (Matrice1!$V239/100)</f>
        <v>0.15993000000000002</v>
      </c>
    </row>
    <row r="240" spans="1:23" x14ac:dyDescent="0.3">
      <c r="A240" s="1" t="s">
        <v>805</v>
      </c>
      <c r="B240" s="2">
        <v>45214</v>
      </c>
      <c r="C240" s="3">
        <v>0.71319444444444446</v>
      </c>
      <c r="D240" s="1" t="s">
        <v>828</v>
      </c>
      <c r="E240">
        <v>25</v>
      </c>
      <c r="F240" s="1" t="s">
        <v>807</v>
      </c>
      <c r="G240" s="1" t="s">
        <v>828</v>
      </c>
      <c r="H240" s="1" t="s">
        <v>24</v>
      </c>
      <c r="I240">
        <v>0.172153</v>
      </c>
      <c r="J240">
        <v>21.091376</v>
      </c>
      <c r="K240" s="1" t="s">
        <v>1500</v>
      </c>
      <c r="L240" s="1" t="s">
        <v>1496</v>
      </c>
      <c r="M240" s="1" t="s">
        <v>234</v>
      </c>
      <c r="N240" s="1" t="s">
        <v>24</v>
      </c>
      <c r="O240" s="1" t="str">
        <f>INT(Matrice1!$P240/12) &amp; " ans et " &amp; MOD(Matrice1!$P240,12) &amp; " mois"</f>
        <v>10 ans et 0 mois</v>
      </c>
      <c r="P240">
        <v>120</v>
      </c>
      <c r="Q240" s="1" t="s">
        <v>22</v>
      </c>
      <c r="R240" s="4">
        <f>Matrice1!$S240/1440</f>
        <v>0.15555555555555556</v>
      </c>
      <c r="S240">
        <v>224</v>
      </c>
      <c r="T240">
        <v>69.36</v>
      </c>
      <c r="U240">
        <v>0</v>
      </c>
      <c r="V240" s="8">
        <f>IF(Matrice1!$Q240="Pro Monde",10%,IF(AND(Matrice1!$R240&gt;12,Matrice1!$O240&gt;5),70%,IF(AND(OR(Matrice1!$R240&gt;=4,Matrice1!$R240&lt;=12,Matrice1!$O240&lt;5,(OR(Matrice1!$Q240="Premium ")))),45%,0%)))</f>
        <v>0.45</v>
      </c>
      <c r="W240">
        <f>Matrice1!$T240* (Matrice1!$V240/100)</f>
        <v>0.31212000000000001</v>
      </c>
    </row>
    <row r="241" spans="1:23" x14ac:dyDescent="0.3">
      <c r="A241" s="1" t="s">
        <v>805</v>
      </c>
      <c r="B241" s="2">
        <v>45214</v>
      </c>
      <c r="C241" s="3">
        <v>0.71319444444444446</v>
      </c>
      <c r="D241" s="1" t="s">
        <v>828</v>
      </c>
      <c r="E241">
        <v>25</v>
      </c>
      <c r="F241" s="1" t="s">
        <v>807</v>
      </c>
      <c r="G241" s="1" t="s">
        <v>828</v>
      </c>
      <c r="H241" s="1" t="s">
        <v>24</v>
      </c>
      <c r="I241">
        <v>0.172153</v>
      </c>
      <c r="J241">
        <v>21.091376</v>
      </c>
      <c r="K241" s="1" t="s">
        <v>1500</v>
      </c>
      <c r="L241" s="1" t="s">
        <v>1496</v>
      </c>
      <c r="M241" s="1" t="s">
        <v>245</v>
      </c>
      <c r="N241" s="1" t="s">
        <v>24</v>
      </c>
      <c r="O241" s="1" t="str">
        <f>INT(Matrice1!$P241/12) &amp; " ans et " &amp; MOD(Matrice1!$P241,12) &amp; " mois"</f>
        <v>5 ans et 0 mois</v>
      </c>
      <c r="P241">
        <v>60</v>
      </c>
      <c r="Q241" s="1" t="s">
        <v>22</v>
      </c>
      <c r="R241" s="4">
        <f>Matrice1!$S241/1440</f>
        <v>3.7499999999999999E-2</v>
      </c>
      <c r="S241">
        <v>54</v>
      </c>
      <c r="T241">
        <v>67.180000000000007</v>
      </c>
      <c r="U241">
        <v>3</v>
      </c>
      <c r="V241" s="8">
        <f>IF(Matrice1!$Q241="Pro Monde",10%,IF(AND(Matrice1!$R241&gt;12,Matrice1!$O241&gt;5),70%,IF(AND(OR(Matrice1!$R241&gt;=4,Matrice1!$R241&lt;=12,Matrice1!$O241&lt;5,(OR(Matrice1!$Q241="Premium ")))),45%,0%)))</f>
        <v>0.45</v>
      </c>
      <c r="W241">
        <f>Matrice1!$T241* (Matrice1!$V241/100)</f>
        <v>0.30231000000000008</v>
      </c>
    </row>
    <row r="242" spans="1:23" x14ac:dyDescent="0.3">
      <c r="A242" s="1" t="s">
        <v>805</v>
      </c>
      <c r="B242" s="2">
        <v>45214</v>
      </c>
      <c r="C242" s="3">
        <v>0.71319444444444446</v>
      </c>
      <c r="D242" s="1" t="s">
        <v>828</v>
      </c>
      <c r="E242">
        <v>25</v>
      </c>
      <c r="F242" s="1" t="s">
        <v>807</v>
      </c>
      <c r="G242" s="1" t="s">
        <v>828</v>
      </c>
      <c r="H242" s="1" t="s">
        <v>24</v>
      </c>
      <c r="I242">
        <v>0.172153</v>
      </c>
      <c r="J242">
        <v>21.091376</v>
      </c>
      <c r="K242" s="1" t="s">
        <v>1500</v>
      </c>
      <c r="L242" s="1" t="s">
        <v>1496</v>
      </c>
      <c r="M242" s="1" t="s">
        <v>300</v>
      </c>
      <c r="N242" s="1" t="s">
        <v>24</v>
      </c>
      <c r="O242" s="1" t="str">
        <f>INT(Matrice1!$P242/12) &amp; " ans et " &amp; MOD(Matrice1!$P242,12) &amp; " mois"</f>
        <v>0 ans et 10 mois</v>
      </c>
      <c r="P242">
        <v>10</v>
      </c>
      <c r="Q242" s="1" t="s">
        <v>19</v>
      </c>
      <c r="R242" s="4">
        <f>Matrice1!$S242/1440</f>
        <v>6.458333333333334E-2</v>
      </c>
      <c r="S242">
        <v>93</v>
      </c>
      <c r="T242">
        <v>78.12</v>
      </c>
      <c r="U242">
        <v>4</v>
      </c>
      <c r="V242" s="8">
        <f>IF(Matrice1!$Q242="Pro Monde",10%,IF(AND(Matrice1!$R242&gt;12,Matrice1!$O242&gt;5),70%,IF(AND(OR(Matrice1!$R242&gt;=4,Matrice1!$R242&lt;=12,Matrice1!$O242&lt;5,(OR(Matrice1!$Q242="Premium ")))),45%,0%)))</f>
        <v>0.45</v>
      </c>
      <c r="W242">
        <f>Matrice1!$T242* (Matrice1!$V242/100)</f>
        <v>0.35154000000000007</v>
      </c>
    </row>
    <row r="243" spans="1:23" x14ac:dyDescent="0.3">
      <c r="A243" s="1" t="s">
        <v>805</v>
      </c>
      <c r="B243" s="2">
        <v>45214</v>
      </c>
      <c r="C243" s="3">
        <v>0.71319444444444446</v>
      </c>
      <c r="D243" s="1" t="s">
        <v>828</v>
      </c>
      <c r="E243">
        <v>25</v>
      </c>
      <c r="F243" s="1" t="s">
        <v>807</v>
      </c>
      <c r="G243" s="1" t="s">
        <v>828</v>
      </c>
      <c r="H243" s="1" t="s">
        <v>24</v>
      </c>
      <c r="I243">
        <v>0.172153</v>
      </c>
      <c r="J243">
        <v>21.091376</v>
      </c>
      <c r="K243" s="1" t="s">
        <v>1500</v>
      </c>
      <c r="L243" s="1" t="s">
        <v>1496</v>
      </c>
      <c r="M243" s="1" t="s">
        <v>347</v>
      </c>
      <c r="N243" s="1" t="s">
        <v>24</v>
      </c>
      <c r="O243" s="1" t="str">
        <f>INT(Matrice1!$P243/12) &amp; " ans et " &amp; MOD(Matrice1!$P243,12) &amp; " mois"</f>
        <v>4 ans et 2 mois</v>
      </c>
      <c r="P243">
        <v>50</v>
      </c>
      <c r="Q243" s="1" t="s">
        <v>14</v>
      </c>
      <c r="R243" s="4">
        <f>Matrice1!$S243/1440</f>
        <v>0.2986111111111111</v>
      </c>
      <c r="S243">
        <v>430</v>
      </c>
      <c r="T243">
        <v>20.8</v>
      </c>
      <c r="U243">
        <v>2</v>
      </c>
      <c r="V243" s="8">
        <f>IF(Matrice1!$Q243="Pro Monde",10%,IF(AND(Matrice1!$R243&gt;12,Matrice1!$O243&gt;5),70%,IF(AND(OR(Matrice1!$R243&gt;=4,Matrice1!$R243&lt;=12,Matrice1!$O243&lt;5,(OR(Matrice1!$Q243="Premium ")))),45%,0%)))</f>
        <v>0.1</v>
      </c>
      <c r="W243">
        <f>Matrice1!$T243* (Matrice1!$V243/100)</f>
        <v>2.0800000000000003E-2</v>
      </c>
    </row>
    <row r="244" spans="1:23" x14ac:dyDescent="0.3">
      <c r="A244" s="1" t="s">
        <v>805</v>
      </c>
      <c r="B244" s="2">
        <v>45214</v>
      </c>
      <c r="C244" s="3">
        <v>0.71319444444444446</v>
      </c>
      <c r="D244" s="1" t="s">
        <v>828</v>
      </c>
      <c r="E244">
        <v>25</v>
      </c>
      <c r="F244" s="1" t="s">
        <v>807</v>
      </c>
      <c r="G244" s="1" t="s">
        <v>828</v>
      </c>
      <c r="H244" s="1" t="s">
        <v>24</v>
      </c>
      <c r="I244">
        <v>0.172153</v>
      </c>
      <c r="J244">
        <v>21.091376</v>
      </c>
      <c r="K244" s="1" t="s">
        <v>1500</v>
      </c>
      <c r="L244" s="1" t="s">
        <v>1496</v>
      </c>
      <c r="M244" s="1" t="s">
        <v>365</v>
      </c>
      <c r="N244" s="1" t="s">
        <v>24</v>
      </c>
      <c r="O244" s="1" t="str">
        <f>INT(Matrice1!$P244/12) &amp; " ans et " &amp; MOD(Matrice1!$P244,12) &amp; " mois"</f>
        <v>5 ans et 9 mois</v>
      </c>
      <c r="P244">
        <v>69</v>
      </c>
      <c r="Q244" s="1" t="s">
        <v>14</v>
      </c>
      <c r="R244" s="4">
        <f>Matrice1!$S244/1440</f>
        <v>5.2777777777777778E-2</v>
      </c>
      <c r="S244">
        <v>76</v>
      </c>
      <c r="T244">
        <v>91.8</v>
      </c>
      <c r="U244">
        <v>5</v>
      </c>
      <c r="V244" s="8">
        <f>IF(Matrice1!$Q244="Pro Monde",10%,IF(AND(Matrice1!$R244&gt;12,Matrice1!$O244&gt;5),70%,IF(AND(OR(Matrice1!$R244&gt;=4,Matrice1!$R244&lt;=12,Matrice1!$O244&lt;5,(OR(Matrice1!$Q244="Premium ")))),45%,0%)))</f>
        <v>0.1</v>
      </c>
      <c r="W244">
        <f>Matrice1!$T244* (Matrice1!$V244/100)</f>
        <v>9.1799999999999993E-2</v>
      </c>
    </row>
    <row r="245" spans="1:23" x14ac:dyDescent="0.3">
      <c r="A245" s="1" t="s">
        <v>805</v>
      </c>
      <c r="B245" s="2">
        <v>45214</v>
      </c>
      <c r="C245" s="3">
        <v>0.71319444444444446</v>
      </c>
      <c r="D245" s="1" t="s">
        <v>828</v>
      </c>
      <c r="E245">
        <v>25</v>
      </c>
      <c r="F245" s="1" t="s">
        <v>807</v>
      </c>
      <c r="G245" s="1" t="s">
        <v>828</v>
      </c>
      <c r="H245" s="1" t="s">
        <v>24</v>
      </c>
      <c r="I245">
        <v>0.172153</v>
      </c>
      <c r="J245">
        <v>21.091376</v>
      </c>
      <c r="K245" s="1" t="s">
        <v>1500</v>
      </c>
      <c r="L245" s="1" t="s">
        <v>1496</v>
      </c>
      <c r="M245" s="1" t="s">
        <v>368</v>
      </c>
      <c r="N245" s="1" t="s">
        <v>24</v>
      </c>
      <c r="O245" s="1" t="str">
        <f>INT(Matrice1!$P245/12) &amp; " ans et " &amp; MOD(Matrice1!$P245,12) &amp; " mois"</f>
        <v>3 ans et 5 mois</v>
      </c>
      <c r="P245">
        <v>41</v>
      </c>
      <c r="Q245" s="1" t="s">
        <v>14</v>
      </c>
      <c r="R245" s="4">
        <f>Matrice1!$S245/1440</f>
        <v>0.14305555555555555</v>
      </c>
      <c r="S245">
        <v>206</v>
      </c>
      <c r="T245">
        <v>83.16</v>
      </c>
      <c r="U245">
        <v>2</v>
      </c>
      <c r="V245" s="8">
        <f>IF(Matrice1!$Q245="Pro Monde",10%,IF(AND(Matrice1!$R245&gt;12,Matrice1!$O245&gt;5),70%,IF(AND(OR(Matrice1!$R245&gt;=4,Matrice1!$R245&lt;=12,Matrice1!$O245&lt;5,(OR(Matrice1!$Q245="Premium ")))),45%,0%)))</f>
        <v>0.1</v>
      </c>
      <c r="W245">
        <f>Matrice1!$T245* (Matrice1!$V245/100)</f>
        <v>8.3159999999999998E-2</v>
      </c>
    </row>
    <row r="246" spans="1:23" x14ac:dyDescent="0.3">
      <c r="A246" s="1" t="s">
        <v>805</v>
      </c>
      <c r="B246" s="2">
        <v>45214</v>
      </c>
      <c r="C246" s="3">
        <v>0.71319444444444446</v>
      </c>
      <c r="D246" s="1" t="s">
        <v>828</v>
      </c>
      <c r="E246">
        <v>25</v>
      </c>
      <c r="F246" s="1" t="s">
        <v>807</v>
      </c>
      <c r="G246" s="1" t="s">
        <v>828</v>
      </c>
      <c r="H246" s="1" t="s">
        <v>24</v>
      </c>
      <c r="I246">
        <v>0.172153</v>
      </c>
      <c r="J246">
        <v>21.091376</v>
      </c>
      <c r="K246" s="1" t="s">
        <v>1500</v>
      </c>
      <c r="L246" s="1" t="s">
        <v>1496</v>
      </c>
      <c r="M246" s="1" t="s">
        <v>427</v>
      </c>
      <c r="N246" s="1" t="s">
        <v>24</v>
      </c>
      <c r="O246" s="1" t="str">
        <f>INT(Matrice1!$P246/12) &amp; " ans et " &amp; MOD(Matrice1!$P246,12) &amp; " mois"</f>
        <v>6 ans et 2 mois</v>
      </c>
      <c r="P246">
        <v>74</v>
      </c>
      <c r="Q246" s="1" t="s">
        <v>22</v>
      </c>
      <c r="R246" s="4">
        <f>Matrice1!$S246/1440</f>
        <v>0.17569444444444443</v>
      </c>
      <c r="S246">
        <v>253</v>
      </c>
      <c r="T246">
        <v>36.94</v>
      </c>
      <c r="U246">
        <v>5</v>
      </c>
      <c r="V246" s="8">
        <f>IF(Matrice1!$Q246="Pro Monde",10%,IF(AND(Matrice1!$R246&gt;12,Matrice1!$O246&gt;5),70%,IF(AND(OR(Matrice1!$R246&gt;=4,Matrice1!$R246&lt;=12,Matrice1!$O246&lt;5,(OR(Matrice1!$Q246="Premium ")))),45%,0%)))</f>
        <v>0.45</v>
      </c>
      <c r="W246">
        <f>Matrice1!$T246* (Matrice1!$V246/100)</f>
        <v>0.16623000000000002</v>
      </c>
    </row>
    <row r="247" spans="1:23" x14ac:dyDescent="0.3">
      <c r="A247" s="1" t="s">
        <v>805</v>
      </c>
      <c r="B247" s="2">
        <v>45214</v>
      </c>
      <c r="C247" s="3">
        <v>0.71319444444444446</v>
      </c>
      <c r="D247" s="1" t="s">
        <v>828</v>
      </c>
      <c r="E247">
        <v>25</v>
      </c>
      <c r="F247" s="1" t="s">
        <v>807</v>
      </c>
      <c r="G247" s="1" t="s">
        <v>828</v>
      </c>
      <c r="H247" s="1" t="s">
        <v>24</v>
      </c>
      <c r="I247">
        <v>0.172153</v>
      </c>
      <c r="J247">
        <v>21.091376</v>
      </c>
      <c r="K247" s="1" t="s">
        <v>1500</v>
      </c>
      <c r="L247" s="1" t="s">
        <v>1496</v>
      </c>
      <c r="M247" s="1" t="s">
        <v>454</v>
      </c>
      <c r="N247" s="1" t="s">
        <v>24</v>
      </c>
      <c r="O247" s="1" t="str">
        <f>INT(Matrice1!$P247/12) &amp; " ans et " &amp; MOD(Matrice1!$P247,12) &amp; " mois"</f>
        <v>4 ans et 6 mois</v>
      </c>
      <c r="P247">
        <v>54</v>
      </c>
      <c r="Q247" s="1" t="s">
        <v>19</v>
      </c>
      <c r="R247" s="4">
        <f>Matrice1!$S247/1440</f>
        <v>0.3125</v>
      </c>
      <c r="S247">
        <v>450</v>
      </c>
      <c r="T247">
        <v>90.85</v>
      </c>
      <c r="U247">
        <v>1</v>
      </c>
      <c r="V247" s="8">
        <f>IF(Matrice1!$Q247="Pro Monde",10%,IF(AND(Matrice1!$R247&gt;12,Matrice1!$O247&gt;5),70%,IF(AND(OR(Matrice1!$R247&gt;=4,Matrice1!$R247&lt;=12,Matrice1!$O247&lt;5,(OR(Matrice1!$Q247="Premium ")))),45%,0%)))</f>
        <v>0.45</v>
      </c>
      <c r="W247">
        <f>Matrice1!$T247* (Matrice1!$V247/100)</f>
        <v>0.40882500000000005</v>
      </c>
    </row>
    <row r="248" spans="1:23" x14ac:dyDescent="0.3">
      <c r="A248" s="1" t="s">
        <v>805</v>
      </c>
      <c r="B248" s="2">
        <v>45214</v>
      </c>
      <c r="C248" s="3">
        <v>0.71319444444444446</v>
      </c>
      <c r="D248" s="1" t="s">
        <v>828</v>
      </c>
      <c r="E248">
        <v>25</v>
      </c>
      <c r="F248" s="1" t="s">
        <v>807</v>
      </c>
      <c r="G248" s="1" t="s">
        <v>828</v>
      </c>
      <c r="H248" s="1" t="s">
        <v>24</v>
      </c>
      <c r="I248">
        <v>0.172153</v>
      </c>
      <c r="J248">
        <v>21.091376</v>
      </c>
      <c r="K248" s="1" t="s">
        <v>1500</v>
      </c>
      <c r="L248" s="1" t="s">
        <v>1496</v>
      </c>
      <c r="M248" s="1" t="s">
        <v>455</v>
      </c>
      <c r="N248" s="1" t="s">
        <v>24</v>
      </c>
      <c r="O248" s="1" t="str">
        <f>INT(Matrice1!$P248/12) &amp; " ans et " &amp; MOD(Matrice1!$P248,12) &amp; " mois"</f>
        <v>2 ans et 8 mois</v>
      </c>
      <c r="P248">
        <v>32</v>
      </c>
      <c r="Q248" s="1" t="s">
        <v>22</v>
      </c>
      <c r="R248" s="4">
        <f>Matrice1!$S248/1440</f>
        <v>0.3298611111111111</v>
      </c>
      <c r="S248">
        <v>475</v>
      </c>
      <c r="T248">
        <v>36.54</v>
      </c>
      <c r="U248">
        <v>3</v>
      </c>
      <c r="V248" s="8">
        <f>IF(Matrice1!$Q248="Pro Monde",10%,IF(AND(Matrice1!$R248&gt;12,Matrice1!$O248&gt;5),70%,IF(AND(OR(Matrice1!$R248&gt;=4,Matrice1!$R248&lt;=12,Matrice1!$O248&lt;5,(OR(Matrice1!$Q248="Premium ")))),45%,0%)))</f>
        <v>0.45</v>
      </c>
      <c r="W248">
        <f>Matrice1!$T248* (Matrice1!$V248/100)</f>
        <v>0.16443000000000002</v>
      </c>
    </row>
    <row r="249" spans="1:23" x14ac:dyDescent="0.3">
      <c r="A249" s="1" t="s">
        <v>805</v>
      </c>
      <c r="B249" s="2">
        <v>45214</v>
      </c>
      <c r="C249" s="3">
        <v>0.71319444444444446</v>
      </c>
      <c r="D249" s="1" t="s">
        <v>828</v>
      </c>
      <c r="E249">
        <v>25</v>
      </c>
      <c r="F249" s="1" t="s">
        <v>807</v>
      </c>
      <c r="G249" s="1" t="s">
        <v>828</v>
      </c>
      <c r="H249" s="1" t="s">
        <v>24</v>
      </c>
      <c r="I249">
        <v>0.172153</v>
      </c>
      <c r="J249">
        <v>21.091376</v>
      </c>
      <c r="K249" s="1" t="s">
        <v>1500</v>
      </c>
      <c r="L249" s="1" t="s">
        <v>1496</v>
      </c>
      <c r="M249" s="1" t="s">
        <v>561</v>
      </c>
      <c r="N249" s="1" t="s">
        <v>24</v>
      </c>
      <c r="O249" s="1" t="str">
        <f>INT(Matrice1!$P249/12) &amp; " ans et " &amp; MOD(Matrice1!$P249,12) &amp; " mois"</f>
        <v>2 ans et 10 mois</v>
      </c>
      <c r="P249">
        <v>34</v>
      </c>
      <c r="Q249" s="1" t="s">
        <v>19</v>
      </c>
      <c r="R249" s="4">
        <f>Matrice1!$S249/1440</f>
        <v>2.4305555555555556E-2</v>
      </c>
      <c r="S249">
        <v>35</v>
      </c>
      <c r="T249">
        <v>76.86</v>
      </c>
      <c r="U249">
        <v>1</v>
      </c>
      <c r="V249" s="8">
        <f>IF(Matrice1!$Q249="Pro Monde",10%,IF(AND(Matrice1!$R249&gt;12,Matrice1!$O249&gt;5),70%,IF(AND(OR(Matrice1!$R249&gt;=4,Matrice1!$R249&lt;=12,Matrice1!$O249&lt;5,(OR(Matrice1!$Q249="Premium ")))),45%,0%)))</f>
        <v>0.45</v>
      </c>
      <c r="W249">
        <f>Matrice1!$T249* (Matrice1!$V249/100)</f>
        <v>0.34587000000000001</v>
      </c>
    </row>
    <row r="250" spans="1:23" x14ac:dyDescent="0.3">
      <c r="A250" s="1" t="s">
        <v>854</v>
      </c>
      <c r="B250" s="2">
        <v>45222</v>
      </c>
      <c r="C250" s="3">
        <v>0.42708333333333331</v>
      </c>
      <c r="D250" s="1" t="s">
        <v>892</v>
      </c>
      <c r="E250">
        <v>82</v>
      </c>
      <c r="F250" s="1" t="s">
        <v>807</v>
      </c>
      <c r="G250" s="1" t="s">
        <v>892</v>
      </c>
      <c r="H250" s="1" t="s">
        <v>26</v>
      </c>
      <c r="I250">
        <v>-4.4697000000000001E-2</v>
      </c>
      <c r="J250">
        <v>22.943373000000001</v>
      </c>
      <c r="K250" s="1" t="s">
        <v>1500</v>
      </c>
      <c r="L250" s="1" t="s">
        <v>1499</v>
      </c>
      <c r="M250" s="1" t="s">
        <v>25</v>
      </c>
      <c r="N250" s="1" t="s">
        <v>26</v>
      </c>
      <c r="O250" s="1" t="str">
        <f>INT(Matrice1!$P250/12) &amp; " ans et " &amp; MOD(Matrice1!$P250,12) &amp; " mois"</f>
        <v>8 ans et 3 mois</v>
      </c>
      <c r="P250">
        <v>99</v>
      </c>
      <c r="Q250" s="1" t="s">
        <v>11</v>
      </c>
      <c r="R250" s="4">
        <f>Matrice1!$S250/1440</f>
        <v>0.31041666666666667</v>
      </c>
      <c r="S250">
        <v>447</v>
      </c>
      <c r="T250">
        <v>38.1</v>
      </c>
      <c r="U250">
        <v>3</v>
      </c>
      <c r="V250" s="8">
        <f>IF(Matrice1!$Q250="Pro Monde",10%,IF(AND(Matrice1!$R250&gt;12,Matrice1!$O250&gt;5),70%,IF(AND(OR(Matrice1!$R250&gt;=4,Matrice1!$R250&lt;=12,Matrice1!$O250&lt;5,(OR(Matrice1!$Q250="Premium ")))),45%,0%)))</f>
        <v>0.45</v>
      </c>
      <c r="W250">
        <f>Matrice1!$T250* (Matrice1!$V250/100)</f>
        <v>0.17145000000000002</v>
      </c>
    </row>
    <row r="251" spans="1:23" x14ac:dyDescent="0.3">
      <c r="A251" s="1" t="s">
        <v>854</v>
      </c>
      <c r="B251" s="2">
        <v>45222</v>
      </c>
      <c r="C251" s="3">
        <v>0.42708333333333331</v>
      </c>
      <c r="D251" s="1" t="s">
        <v>892</v>
      </c>
      <c r="E251">
        <v>82</v>
      </c>
      <c r="F251" s="1" t="s">
        <v>807</v>
      </c>
      <c r="G251" s="1" t="s">
        <v>892</v>
      </c>
      <c r="H251" s="1" t="s">
        <v>26</v>
      </c>
      <c r="I251">
        <v>-4.4697000000000001E-2</v>
      </c>
      <c r="J251">
        <v>22.943373000000001</v>
      </c>
      <c r="K251" s="1" t="s">
        <v>1500</v>
      </c>
      <c r="L251" s="1" t="s">
        <v>1499</v>
      </c>
      <c r="M251" s="1" t="s">
        <v>42</v>
      </c>
      <c r="N251" s="1" t="s">
        <v>26</v>
      </c>
      <c r="O251" s="1" t="str">
        <f>INT(Matrice1!$P251/12) &amp; " ans et " &amp; MOD(Matrice1!$P251,12) &amp; " mois"</f>
        <v>9 ans et 4 mois</v>
      </c>
      <c r="P251">
        <v>112</v>
      </c>
      <c r="Q251" s="1" t="s">
        <v>11</v>
      </c>
      <c r="R251" s="4">
        <f>Matrice1!$S251/1440</f>
        <v>0.31944444444444442</v>
      </c>
      <c r="S251">
        <v>460</v>
      </c>
      <c r="T251">
        <v>55.47</v>
      </c>
      <c r="U251">
        <v>4</v>
      </c>
      <c r="V251" s="8">
        <f>IF(Matrice1!$Q251="Pro Monde",10%,IF(AND(Matrice1!$R251&gt;12,Matrice1!$O251&gt;5),70%,IF(AND(OR(Matrice1!$R251&gt;=4,Matrice1!$R251&lt;=12,Matrice1!$O251&lt;5,(OR(Matrice1!$Q251="Premium ")))),45%,0%)))</f>
        <v>0.45</v>
      </c>
      <c r="W251">
        <f>Matrice1!$T251* (Matrice1!$V251/100)</f>
        <v>0.24961500000000003</v>
      </c>
    </row>
    <row r="252" spans="1:23" x14ac:dyDescent="0.3">
      <c r="A252" s="1" t="s">
        <v>854</v>
      </c>
      <c r="B252" s="2">
        <v>45222</v>
      </c>
      <c r="C252" s="3">
        <v>0.42708333333333331</v>
      </c>
      <c r="D252" s="1" t="s">
        <v>892</v>
      </c>
      <c r="E252">
        <v>82</v>
      </c>
      <c r="F252" s="1" t="s">
        <v>807</v>
      </c>
      <c r="G252" s="1" t="s">
        <v>892</v>
      </c>
      <c r="H252" s="1" t="s">
        <v>26</v>
      </c>
      <c r="I252">
        <v>-4.4697000000000001E-2</v>
      </c>
      <c r="J252">
        <v>22.943373000000001</v>
      </c>
      <c r="K252" s="1" t="s">
        <v>1500</v>
      </c>
      <c r="L252" s="1" t="s">
        <v>1499</v>
      </c>
      <c r="M252" s="1" t="s">
        <v>49</v>
      </c>
      <c r="N252" s="1" t="s">
        <v>26</v>
      </c>
      <c r="O252" s="1" t="str">
        <f>INT(Matrice1!$P252/12) &amp; " ans et " &amp; MOD(Matrice1!$P252,12) &amp; " mois"</f>
        <v>0 ans et 7 mois</v>
      </c>
      <c r="P252">
        <v>7</v>
      </c>
      <c r="Q252" s="1" t="s">
        <v>11</v>
      </c>
      <c r="R252" s="4">
        <f>Matrice1!$S252/1440</f>
        <v>0.14305555555555555</v>
      </c>
      <c r="S252">
        <v>206</v>
      </c>
      <c r="T252">
        <v>78.09</v>
      </c>
      <c r="U252">
        <v>3</v>
      </c>
      <c r="V252" s="8">
        <f>IF(Matrice1!$Q252="Pro Monde",10%,IF(AND(Matrice1!$R252&gt;12,Matrice1!$O252&gt;5),70%,IF(AND(OR(Matrice1!$R252&gt;=4,Matrice1!$R252&lt;=12,Matrice1!$O252&lt;5,(OR(Matrice1!$Q252="Premium ")))),45%,0%)))</f>
        <v>0.45</v>
      </c>
      <c r="W252">
        <f>Matrice1!$T252* (Matrice1!$V252/100)</f>
        <v>0.35140500000000008</v>
      </c>
    </row>
    <row r="253" spans="1:23" x14ac:dyDescent="0.3">
      <c r="A253" s="1" t="s">
        <v>854</v>
      </c>
      <c r="B253" s="2">
        <v>45222</v>
      </c>
      <c r="C253" s="3">
        <v>0.42708333333333331</v>
      </c>
      <c r="D253" s="1" t="s">
        <v>892</v>
      </c>
      <c r="E253">
        <v>82</v>
      </c>
      <c r="F253" s="1" t="s">
        <v>807</v>
      </c>
      <c r="G253" s="1" t="s">
        <v>892</v>
      </c>
      <c r="H253" s="1" t="s">
        <v>26</v>
      </c>
      <c r="I253">
        <v>-4.4697000000000001E-2</v>
      </c>
      <c r="J253">
        <v>22.943373000000001</v>
      </c>
      <c r="K253" s="1" t="s">
        <v>1500</v>
      </c>
      <c r="L253" s="1" t="s">
        <v>1499</v>
      </c>
      <c r="M253" s="1" t="s">
        <v>54</v>
      </c>
      <c r="N253" s="1" t="s">
        <v>26</v>
      </c>
      <c r="O253" s="1" t="str">
        <f>INT(Matrice1!$P253/12) &amp; " ans et " &amp; MOD(Matrice1!$P253,12) &amp; " mois"</f>
        <v>4 ans et 11 mois</v>
      </c>
      <c r="P253">
        <v>59</v>
      </c>
      <c r="Q253" s="1" t="s">
        <v>22</v>
      </c>
      <c r="R253" s="4">
        <f>Matrice1!$S253/1440</f>
        <v>0.31527777777777777</v>
      </c>
      <c r="S253">
        <v>454</v>
      </c>
      <c r="T253">
        <v>10.47</v>
      </c>
      <c r="U253">
        <v>5</v>
      </c>
      <c r="V253" s="8">
        <f>IF(Matrice1!$Q253="Pro Monde",10%,IF(AND(Matrice1!$R253&gt;12,Matrice1!$O253&gt;5),70%,IF(AND(OR(Matrice1!$R253&gt;=4,Matrice1!$R253&lt;=12,Matrice1!$O253&lt;5,(OR(Matrice1!$Q253="Premium ")))),45%,0%)))</f>
        <v>0.45</v>
      </c>
      <c r="W253">
        <f>Matrice1!$T253* (Matrice1!$V253/100)</f>
        <v>4.7115000000000011E-2</v>
      </c>
    </row>
    <row r="254" spans="1:23" x14ac:dyDescent="0.3">
      <c r="A254" s="1" t="s">
        <v>854</v>
      </c>
      <c r="B254" s="2">
        <v>45222</v>
      </c>
      <c r="C254" s="3">
        <v>0.42708333333333331</v>
      </c>
      <c r="D254" s="1" t="s">
        <v>892</v>
      </c>
      <c r="E254">
        <v>82</v>
      </c>
      <c r="F254" s="1" t="s">
        <v>807</v>
      </c>
      <c r="G254" s="1" t="s">
        <v>892</v>
      </c>
      <c r="H254" s="1" t="s">
        <v>26</v>
      </c>
      <c r="I254">
        <v>-4.4697000000000001E-2</v>
      </c>
      <c r="J254">
        <v>22.943373000000001</v>
      </c>
      <c r="K254" s="1" t="s">
        <v>1500</v>
      </c>
      <c r="L254" s="1" t="s">
        <v>1499</v>
      </c>
      <c r="M254" s="1" t="s">
        <v>100</v>
      </c>
      <c r="N254" s="1" t="s">
        <v>26</v>
      </c>
      <c r="O254" s="1" t="str">
        <f>INT(Matrice1!$P254/12) &amp; " ans et " &amp; MOD(Matrice1!$P254,12) &amp; " mois"</f>
        <v>7 ans et 2 mois</v>
      </c>
      <c r="P254">
        <v>86</v>
      </c>
      <c r="Q254" s="1" t="s">
        <v>14</v>
      </c>
      <c r="R254" s="4">
        <f>Matrice1!$S254/1440</f>
        <v>0.17499999999999999</v>
      </c>
      <c r="S254">
        <v>252</v>
      </c>
      <c r="T254">
        <v>96.5</v>
      </c>
      <c r="U254">
        <v>5</v>
      </c>
      <c r="V254" s="8">
        <f>IF(Matrice1!$Q254="Pro Monde",10%,IF(AND(Matrice1!$R254&gt;12,Matrice1!$O254&gt;5),70%,IF(AND(OR(Matrice1!$R254&gt;=4,Matrice1!$R254&lt;=12,Matrice1!$O254&lt;5,(OR(Matrice1!$Q254="Premium ")))),45%,0%)))</f>
        <v>0.1</v>
      </c>
      <c r="W254">
        <f>Matrice1!$T254* (Matrice1!$V254/100)</f>
        <v>9.6500000000000002E-2</v>
      </c>
    </row>
    <row r="255" spans="1:23" x14ac:dyDescent="0.3">
      <c r="A255" s="1" t="s">
        <v>854</v>
      </c>
      <c r="B255" s="2">
        <v>45222</v>
      </c>
      <c r="C255" s="3">
        <v>0.42708333333333331</v>
      </c>
      <c r="D255" s="1" t="s">
        <v>892</v>
      </c>
      <c r="E255">
        <v>82</v>
      </c>
      <c r="F255" s="1" t="s">
        <v>807</v>
      </c>
      <c r="G255" s="1" t="s">
        <v>892</v>
      </c>
      <c r="H255" s="1" t="s">
        <v>26</v>
      </c>
      <c r="I255">
        <v>-4.4697000000000001E-2</v>
      </c>
      <c r="J255">
        <v>22.943373000000001</v>
      </c>
      <c r="K255" s="1" t="s">
        <v>1500</v>
      </c>
      <c r="L255" s="1" t="s">
        <v>1499</v>
      </c>
      <c r="M255" s="1" t="s">
        <v>114</v>
      </c>
      <c r="N255" s="1" t="s">
        <v>26</v>
      </c>
      <c r="O255" s="1" t="str">
        <f>INT(Matrice1!$P255/12) &amp; " ans et " &amp; MOD(Matrice1!$P255,12) &amp; " mois"</f>
        <v>3 ans et 0 mois</v>
      </c>
      <c r="P255">
        <v>36</v>
      </c>
      <c r="Q255" s="1" t="s">
        <v>19</v>
      </c>
      <c r="R255" s="4">
        <f>Matrice1!$S255/1440</f>
        <v>0.17152777777777778</v>
      </c>
      <c r="S255">
        <v>247</v>
      </c>
      <c r="T255">
        <v>24.53</v>
      </c>
      <c r="U255">
        <v>2</v>
      </c>
      <c r="V255" s="8">
        <f>IF(Matrice1!$Q255="Pro Monde",10%,IF(AND(Matrice1!$R255&gt;12,Matrice1!$O255&gt;5),70%,IF(AND(OR(Matrice1!$R255&gt;=4,Matrice1!$R255&lt;=12,Matrice1!$O255&lt;5,(OR(Matrice1!$Q255="Premium ")))),45%,0%)))</f>
        <v>0.45</v>
      </c>
      <c r="W255">
        <f>Matrice1!$T255* (Matrice1!$V255/100)</f>
        <v>0.11038500000000002</v>
      </c>
    </row>
    <row r="256" spans="1:23" x14ac:dyDescent="0.3">
      <c r="A256" s="1" t="s">
        <v>854</v>
      </c>
      <c r="B256" s="2">
        <v>45222</v>
      </c>
      <c r="C256" s="3">
        <v>0.42708333333333331</v>
      </c>
      <c r="D256" s="1" t="s">
        <v>892</v>
      </c>
      <c r="E256">
        <v>82</v>
      </c>
      <c r="F256" s="1" t="s">
        <v>807</v>
      </c>
      <c r="G256" s="1" t="s">
        <v>892</v>
      </c>
      <c r="H256" s="1" t="s">
        <v>26</v>
      </c>
      <c r="I256">
        <v>-4.4697000000000001E-2</v>
      </c>
      <c r="J256">
        <v>22.943373000000001</v>
      </c>
      <c r="K256" s="1" t="s">
        <v>1500</v>
      </c>
      <c r="L256" s="1" t="s">
        <v>1499</v>
      </c>
      <c r="M256" s="1" t="s">
        <v>122</v>
      </c>
      <c r="N256" s="1" t="s">
        <v>26</v>
      </c>
      <c r="O256" s="1" t="str">
        <f>INT(Matrice1!$P256/12) &amp; " ans et " &amp; MOD(Matrice1!$P256,12) &amp; " mois"</f>
        <v>6 ans et 9 mois</v>
      </c>
      <c r="P256">
        <v>81</v>
      </c>
      <c r="Q256" s="1" t="s">
        <v>11</v>
      </c>
      <c r="R256" s="4">
        <f>Matrice1!$S256/1440</f>
        <v>9.5138888888888884E-2</v>
      </c>
      <c r="S256">
        <v>137</v>
      </c>
      <c r="T256">
        <v>89.05</v>
      </c>
      <c r="U256">
        <v>0</v>
      </c>
      <c r="V256" s="8">
        <f>IF(Matrice1!$Q256="Pro Monde",10%,IF(AND(Matrice1!$R256&gt;12,Matrice1!$O256&gt;5),70%,IF(AND(OR(Matrice1!$R256&gt;=4,Matrice1!$R256&lt;=12,Matrice1!$O256&lt;5,(OR(Matrice1!$Q256="Premium ")))),45%,0%)))</f>
        <v>0.45</v>
      </c>
      <c r="W256">
        <f>Matrice1!$T256* (Matrice1!$V256/100)</f>
        <v>0.40072500000000005</v>
      </c>
    </row>
    <row r="257" spans="1:23" x14ac:dyDescent="0.3">
      <c r="A257" s="1" t="s">
        <v>854</v>
      </c>
      <c r="B257" s="2">
        <v>45222</v>
      </c>
      <c r="C257" s="3">
        <v>0.42708333333333331</v>
      </c>
      <c r="D257" s="1" t="s">
        <v>892</v>
      </c>
      <c r="E257">
        <v>82</v>
      </c>
      <c r="F257" s="1" t="s">
        <v>807</v>
      </c>
      <c r="G257" s="1" t="s">
        <v>892</v>
      </c>
      <c r="H257" s="1" t="s">
        <v>26</v>
      </c>
      <c r="I257">
        <v>-4.4697000000000001E-2</v>
      </c>
      <c r="J257">
        <v>22.943373000000001</v>
      </c>
      <c r="K257" s="1" t="s">
        <v>1500</v>
      </c>
      <c r="L257" s="1" t="s">
        <v>1499</v>
      </c>
      <c r="M257" s="1" t="s">
        <v>132</v>
      </c>
      <c r="N257" s="1" t="s">
        <v>26</v>
      </c>
      <c r="O257" s="1" t="str">
        <f>INT(Matrice1!$P257/12) &amp; " ans et " &amp; MOD(Matrice1!$P257,12) &amp; " mois"</f>
        <v>6 ans et 11 mois</v>
      </c>
      <c r="P257">
        <v>83</v>
      </c>
      <c r="Q257" s="1" t="s">
        <v>11</v>
      </c>
      <c r="R257" s="4">
        <f>Matrice1!$S257/1440</f>
        <v>0.19722222222222222</v>
      </c>
      <c r="S257">
        <v>284</v>
      </c>
      <c r="T257">
        <v>73.7</v>
      </c>
      <c r="U257">
        <v>0</v>
      </c>
      <c r="V257" s="8">
        <f>IF(Matrice1!$Q257="Pro Monde",10%,IF(AND(Matrice1!$R257&gt;12,Matrice1!$O257&gt;5),70%,IF(AND(OR(Matrice1!$R257&gt;=4,Matrice1!$R257&lt;=12,Matrice1!$O257&lt;5,(OR(Matrice1!$Q257="Premium ")))),45%,0%)))</f>
        <v>0.45</v>
      </c>
      <c r="W257">
        <f>Matrice1!$T257* (Matrice1!$V257/100)</f>
        <v>0.33165000000000006</v>
      </c>
    </row>
    <row r="258" spans="1:23" x14ac:dyDescent="0.3">
      <c r="A258" s="1" t="s">
        <v>854</v>
      </c>
      <c r="B258" s="2">
        <v>45222</v>
      </c>
      <c r="C258" s="3">
        <v>0.42708333333333331</v>
      </c>
      <c r="D258" s="1" t="s">
        <v>892</v>
      </c>
      <c r="E258">
        <v>82</v>
      </c>
      <c r="F258" s="1" t="s">
        <v>807</v>
      </c>
      <c r="G258" s="1" t="s">
        <v>892</v>
      </c>
      <c r="H258" s="1" t="s">
        <v>26</v>
      </c>
      <c r="I258">
        <v>-4.4697000000000001E-2</v>
      </c>
      <c r="J258">
        <v>22.943373000000001</v>
      </c>
      <c r="K258" s="1" t="s">
        <v>1500</v>
      </c>
      <c r="L258" s="1" t="s">
        <v>1499</v>
      </c>
      <c r="M258" s="1" t="s">
        <v>145</v>
      </c>
      <c r="N258" s="1" t="s">
        <v>26</v>
      </c>
      <c r="O258" s="1" t="str">
        <f>INT(Matrice1!$P258/12) &amp; " ans et " &amp; MOD(Matrice1!$P258,12) &amp; " mois"</f>
        <v>7 ans et 4 mois</v>
      </c>
      <c r="P258">
        <v>88</v>
      </c>
      <c r="Q258" s="1" t="s">
        <v>22</v>
      </c>
      <c r="R258" s="4">
        <f>Matrice1!$S258/1440</f>
        <v>0.22152777777777777</v>
      </c>
      <c r="S258">
        <v>319</v>
      </c>
      <c r="T258">
        <v>56.18</v>
      </c>
      <c r="U258">
        <v>0</v>
      </c>
      <c r="V258" s="8">
        <f>IF(Matrice1!$Q258="Pro Monde",10%,IF(AND(Matrice1!$R258&gt;12,Matrice1!$O258&gt;5),70%,IF(AND(OR(Matrice1!$R258&gt;=4,Matrice1!$R258&lt;=12,Matrice1!$O258&lt;5,(OR(Matrice1!$Q258="Premium ")))),45%,0%)))</f>
        <v>0.45</v>
      </c>
      <c r="W258">
        <f>Matrice1!$T258* (Matrice1!$V258/100)</f>
        <v>0.25281000000000003</v>
      </c>
    </row>
    <row r="259" spans="1:23" x14ac:dyDescent="0.3">
      <c r="A259" s="1" t="s">
        <v>854</v>
      </c>
      <c r="B259" s="2">
        <v>45222</v>
      </c>
      <c r="C259" s="3">
        <v>0.42708333333333331</v>
      </c>
      <c r="D259" s="1" t="s">
        <v>892</v>
      </c>
      <c r="E259">
        <v>82</v>
      </c>
      <c r="F259" s="1" t="s">
        <v>807</v>
      </c>
      <c r="G259" s="1" t="s">
        <v>892</v>
      </c>
      <c r="H259" s="1" t="s">
        <v>26</v>
      </c>
      <c r="I259">
        <v>-4.4697000000000001E-2</v>
      </c>
      <c r="J259">
        <v>22.943373000000001</v>
      </c>
      <c r="K259" s="1" t="s">
        <v>1500</v>
      </c>
      <c r="L259" s="1" t="s">
        <v>1499</v>
      </c>
      <c r="M259" s="1" t="s">
        <v>149</v>
      </c>
      <c r="N259" s="1" t="s">
        <v>26</v>
      </c>
      <c r="O259" s="1" t="str">
        <f>INT(Matrice1!$P259/12) &amp; " ans et " &amp; MOD(Matrice1!$P259,12) &amp; " mois"</f>
        <v>0 ans et 1 mois</v>
      </c>
      <c r="P259">
        <v>1</v>
      </c>
      <c r="Q259" s="1" t="s">
        <v>19</v>
      </c>
      <c r="R259" s="4">
        <f>Matrice1!$S259/1440</f>
        <v>0.16458333333333333</v>
      </c>
      <c r="S259">
        <v>237</v>
      </c>
      <c r="T259">
        <v>58.7</v>
      </c>
      <c r="U259">
        <v>4</v>
      </c>
      <c r="V259" s="8">
        <f>IF(Matrice1!$Q259="Pro Monde",10%,IF(AND(Matrice1!$R259&gt;12,Matrice1!$O259&gt;5),70%,IF(AND(OR(Matrice1!$R259&gt;=4,Matrice1!$R259&lt;=12,Matrice1!$O259&lt;5,(OR(Matrice1!$Q259="Premium ")))),45%,0%)))</f>
        <v>0.45</v>
      </c>
      <c r="W259">
        <f>Matrice1!$T259* (Matrice1!$V259/100)</f>
        <v>0.26415000000000005</v>
      </c>
    </row>
    <row r="260" spans="1:23" x14ac:dyDescent="0.3">
      <c r="A260" s="1" t="s">
        <v>854</v>
      </c>
      <c r="B260" s="2">
        <v>45222</v>
      </c>
      <c r="C260" s="3">
        <v>0.42708333333333331</v>
      </c>
      <c r="D260" s="1" t="s">
        <v>892</v>
      </c>
      <c r="E260">
        <v>82</v>
      </c>
      <c r="F260" s="1" t="s">
        <v>807</v>
      </c>
      <c r="G260" s="1" t="s">
        <v>892</v>
      </c>
      <c r="H260" s="1" t="s">
        <v>26</v>
      </c>
      <c r="I260">
        <v>-4.4697000000000001E-2</v>
      </c>
      <c r="J260">
        <v>22.943373000000001</v>
      </c>
      <c r="K260" s="1" t="s">
        <v>1500</v>
      </c>
      <c r="L260" s="1" t="s">
        <v>1499</v>
      </c>
      <c r="M260" s="1" t="s">
        <v>162</v>
      </c>
      <c r="N260" s="1" t="s">
        <v>26</v>
      </c>
      <c r="O260" s="1" t="str">
        <f>INT(Matrice1!$P260/12) &amp; " ans et " &amp; MOD(Matrice1!$P260,12) &amp; " mois"</f>
        <v>7 ans et 4 mois</v>
      </c>
      <c r="P260">
        <v>88</v>
      </c>
      <c r="Q260" s="1" t="s">
        <v>11</v>
      </c>
      <c r="R260" s="4">
        <f>Matrice1!$S260/1440</f>
        <v>0.16111111111111112</v>
      </c>
      <c r="S260">
        <v>232</v>
      </c>
      <c r="T260">
        <v>40.94</v>
      </c>
      <c r="U260">
        <v>2</v>
      </c>
      <c r="V260" s="8">
        <f>IF(Matrice1!$Q260="Pro Monde",10%,IF(AND(Matrice1!$R260&gt;12,Matrice1!$O260&gt;5),70%,IF(AND(OR(Matrice1!$R260&gt;=4,Matrice1!$R260&lt;=12,Matrice1!$O260&lt;5,(OR(Matrice1!$Q260="Premium ")))),45%,0%)))</f>
        <v>0.45</v>
      </c>
      <c r="W260">
        <f>Matrice1!$T260* (Matrice1!$V260/100)</f>
        <v>0.18423</v>
      </c>
    </row>
    <row r="261" spans="1:23" x14ac:dyDescent="0.3">
      <c r="A261" s="1" t="s">
        <v>854</v>
      </c>
      <c r="B261" s="2">
        <v>45222</v>
      </c>
      <c r="C261" s="3">
        <v>0.42708333333333331</v>
      </c>
      <c r="D261" s="1" t="s">
        <v>892</v>
      </c>
      <c r="E261">
        <v>82</v>
      </c>
      <c r="F261" s="1" t="s">
        <v>807</v>
      </c>
      <c r="G261" s="1" t="s">
        <v>892</v>
      </c>
      <c r="H261" s="1" t="s">
        <v>26</v>
      </c>
      <c r="I261">
        <v>-4.4697000000000001E-2</v>
      </c>
      <c r="J261">
        <v>22.943373000000001</v>
      </c>
      <c r="K261" s="1" t="s">
        <v>1500</v>
      </c>
      <c r="L261" s="1" t="s">
        <v>1499</v>
      </c>
      <c r="M261" s="1" t="s">
        <v>228</v>
      </c>
      <c r="N261" s="1" t="s">
        <v>26</v>
      </c>
      <c r="O261" s="1" t="str">
        <f>INT(Matrice1!$P261/12) &amp; " ans et " &amp; MOD(Matrice1!$P261,12) &amp; " mois"</f>
        <v>3 ans et 4 mois</v>
      </c>
      <c r="P261">
        <v>40</v>
      </c>
      <c r="Q261" s="1" t="s">
        <v>22</v>
      </c>
      <c r="R261" s="4">
        <f>Matrice1!$S261/1440</f>
        <v>0.15208333333333332</v>
      </c>
      <c r="S261">
        <v>219</v>
      </c>
      <c r="T261">
        <v>53.98</v>
      </c>
      <c r="U261">
        <v>2</v>
      </c>
      <c r="V261" s="8">
        <f>IF(Matrice1!$Q261="Pro Monde",10%,IF(AND(Matrice1!$R261&gt;12,Matrice1!$O261&gt;5),70%,IF(AND(OR(Matrice1!$R261&gt;=4,Matrice1!$R261&lt;=12,Matrice1!$O261&lt;5,(OR(Matrice1!$Q261="Premium ")))),45%,0%)))</f>
        <v>0.45</v>
      </c>
      <c r="W261">
        <f>Matrice1!$T261* (Matrice1!$V261/100)</f>
        <v>0.24291000000000001</v>
      </c>
    </row>
    <row r="262" spans="1:23" x14ac:dyDescent="0.3">
      <c r="A262" s="1" t="s">
        <v>854</v>
      </c>
      <c r="B262" s="2">
        <v>45222</v>
      </c>
      <c r="C262" s="3">
        <v>0.42708333333333331</v>
      </c>
      <c r="D262" s="1" t="s">
        <v>892</v>
      </c>
      <c r="E262">
        <v>82</v>
      </c>
      <c r="F262" s="1" t="s">
        <v>807</v>
      </c>
      <c r="G262" s="1" t="s">
        <v>892</v>
      </c>
      <c r="H262" s="1" t="s">
        <v>26</v>
      </c>
      <c r="I262">
        <v>-4.4697000000000001E-2</v>
      </c>
      <c r="J262">
        <v>22.943373000000001</v>
      </c>
      <c r="K262" s="1" t="s">
        <v>1500</v>
      </c>
      <c r="L262" s="1" t="s">
        <v>1499</v>
      </c>
      <c r="M262" s="1" t="s">
        <v>233</v>
      </c>
      <c r="N262" s="1" t="s">
        <v>26</v>
      </c>
      <c r="O262" s="1" t="str">
        <f>INT(Matrice1!$P262/12) &amp; " ans et " &amp; MOD(Matrice1!$P262,12) &amp; " mois"</f>
        <v>1 ans et 9 mois</v>
      </c>
      <c r="P262">
        <v>21</v>
      </c>
      <c r="Q262" s="1" t="s">
        <v>22</v>
      </c>
      <c r="R262" s="4">
        <f>Matrice1!$S262/1440</f>
        <v>7.4305555555555555E-2</v>
      </c>
      <c r="S262">
        <v>107</v>
      </c>
      <c r="T262">
        <v>30.97</v>
      </c>
      <c r="U262">
        <v>4</v>
      </c>
      <c r="V262" s="8">
        <f>IF(Matrice1!$Q262="Pro Monde",10%,IF(AND(Matrice1!$R262&gt;12,Matrice1!$O262&gt;5),70%,IF(AND(OR(Matrice1!$R262&gt;=4,Matrice1!$R262&lt;=12,Matrice1!$O262&lt;5,(OR(Matrice1!$Q262="Premium ")))),45%,0%)))</f>
        <v>0.45</v>
      </c>
      <c r="W262">
        <f>Matrice1!$T262* (Matrice1!$V262/100)</f>
        <v>0.13936500000000002</v>
      </c>
    </row>
    <row r="263" spans="1:23" x14ac:dyDescent="0.3">
      <c r="A263" s="1" t="s">
        <v>854</v>
      </c>
      <c r="B263" s="2">
        <v>45222</v>
      </c>
      <c r="C263" s="3">
        <v>0.42708333333333331</v>
      </c>
      <c r="D263" s="1" t="s">
        <v>892</v>
      </c>
      <c r="E263">
        <v>82</v>
      </c>
      <c r="F263" s="1" t="s">
        <v>807</v>
      </c>
      <c r="G263" s="1" t="s">
        <v>892</v>
      </c>
      <c r="H263" s="1" t="s">
        <v>26</v>
      </c>
      <c r="I263">
        <v>-4.4697000000000001E-2</v>
      </c>
      <c r="J263">
        <v>22.943373000000001</v>
      </c>
      <c r="K263" s="1" t="s">
        <v>1500</v>
      </c>
      <c r="L263" s="1" t="s">
        <v>1499</v>
      </c>
      <c r="M263" s="1" t="s">
        <v>275</v>
      </c>
      <c r="N263" s="1" t="s">
        <v>26</v>
      </c>
      <c r="O263" s="1" t="str">
        <f>INT(Matrice1!$P263/12) &amp; " ans et " &amp; MOD(Matrice1!$P263,12) &amp; " mois"</f>
        <v>5 ans et 11 mois</v>
      </c>
      <c r="P263">
        <v>71</v>
      </c>
      <c r="Q263" s="1" t="s">
        <v>19</v>
      </c>
      <c r="R263" s="4">
        <f>Matrice1!$S263/1440</f>
        <v>0.25277777777777777</v>
      </c>
      <c r="S263">
        <v>364</v>
      </c>
      <c r="T263">
        <v>39.58</v>
      </c>
      <c r="U263">
        <v>1</v>
      </c>
      <c r="V263" s="8">
        <f>IF(Matrice1!$Q263="Pro Monde",10%,IF(AND(Matrice1!$R263&gt;12,Matrice1!$O263&gt;5),70%,IF(AND(OR(Matrice1!$R263&gt;=4,Matrice1!$R263&lt;=12,Matrice1!$O263&lt;5,(OR(Matrice1!$Q263="Premium ")))),45%,0%)))</f>
        <v>0.45</v>
      </c>
      <c r="W263">
        <f>Matrice1!$T263* (Matrice1!$V263/100)</f>
        <v>0.17811000000000002</v>
      </c>
    </row>
    <row r="264" spans="1:23" x14ac:dyDescent="0.3">
      <c r="A264" s="1" t="s">
        <v>854</v>
      </c>
      <c r="B264" s="2">
        <v>45222</v>
      </c>
      <c r="C264" s="3">
        <v>0.42708333333333331</v>
      </c>
      <c r="D264" s="1" t="s">
        <v>892</v>
      </c>
      <c r="E264">
        <v>82</v>
      </c>
      <c r="F264" s="1" t="s">
        <v>807</v>
      </c>
      <c r="G264" s="1" t="s">
        <v>892</v>
      </c>
      <c r="H264" s="1" t="s">
        <v>26</v>
      </c>
      <c r="I264">
        <v>-4.4697000000000001E-2</v>
      </c>
      <c r="J264">
        <v>22.943373000000001</v>
      </c>
      <c r="K264" s="1" t="s">
        <v>1500</v>
      </c>
      <c r="L264" s="1" t="s">
        <v>1499</v>
      </c>
      <c r="M264" s="1" t="s">
        <v>323</v>
      </c>
      <c r="N264" s="1" t="s">
        <v>26</v>
      </c>
      <c r="O264" s="1" t="str">
        <f>INT(Matrice1!$P264/12) &amp; " ans et " &amp; MOD(Matrice1!$P264,12) &amp; " mois"</f>
        <v>4 ans et 0 mois</v>
      </c>
      <c r="P264">
        <v>48</v>
      </c>
      <c r="Q264" s="1" t="s">
        <v>22</v>
      </c>
      <c r="R264" s="4">
        <f>Matrice1!$S264/1440</f>
        <v>1.0416666666666666E-2</v>
      </c>
      <c r="S264">
        <v>15</v>
      </c>
      <c r="T264">
        <v>50.67</v>
      </c>
      <c r="U264">
        <v>1</v>
      </c>
      <c r="V264" s="8">
        <f>IF(Matrice1!$Q264="Pro Monde",10%,IF(AND(Matrice1!$R264&gt;12,Matrice1!$O264&gt;5),70%,IF(AND(OR(Matrice1!$R264&gt;=4,Matrice1!$R264&lt;=12,Matrice1!$O264&lt;5,(OR(Matrice1!$Q264="Premium ")))),45%,0%)))</f>
        <v>0.45</v>
      </c>
      <c r="W264">
        <f>Matrice1!$T264* (Matrice1!$V264/100)</f>
        <v>0.22801500000000002</v>
      </c>
    </row>
    <row r="265" spans="1:23" x14ac:dyDescent="0.3">
      <c r="A265" s="1" t="s">
        <v>854</v>
      </c>
      <c r="B265" s="2">
        <v>45222</v>
      </c>
      <c r="C265" s="3">
        <v>0.42708333333333331</v>
      </c>
      <c r="D265" s="1" t="s">
        <v>892</v>
      </c>
      <c r="E265">
        <v>82</v>
      </c>
      <c r="F265" s="1" t="s">
        <v>807</v>
      </c>
      <c r="G265" s="1" t="s">
        <v>892</v>
      </c>
      <c r="H265" s="1" t="s">
        <v>26</v>
      </c>
      <c r="I265">
        <v>-4.4697000000000001E-2</v>
      </c>
      <c r="J265">
        <v>22.943373000000001</v>
      </c>
      <c r="K265" s="1" t="s">
        <v>1500</v>
      </c>
      <c r="L265" s="1" t="s">
        <v>1499</v>
      </c>
      <c r="M265" s="1" t="s">
        <v>328</v>
      </c>
      <c r="N265" s="1" t="s">
        <v>26</v>
      </c>
      <c r="O265" s="1" t="str">
        <f>INT(Matrice1!$P265/12) &amp; " ans et " &amp; MOD(Matrice1!$P265,12) &amp; " mois"</f>
        <v>9 ans et 11 mois</v>
      </c>
      <c r="P265">
        <v>119</v>
      </c>
      <c r="Q265" s="1" t="s">
        <v>14</v>
      </c>
      <c r="R265" s="4">
        <f>Matrice1!$S265/1440</f>
        <v>0.2388888888888889</v>
      </c>
      <c r="S265">
        <v>344</v>
      </c>
      <c r="T265">
        <v>10.28</v>
      </c>
      <c r="U265">
        <v>0</v>
      </c>
      <c r="V265" s="8">
        <f>IF(Matrice1!$Q265="Pro Monde",10%,IF(AND(Matrice1!$R265&gt;12,Matrice1!$O265&gt;5),70%,IF(AND(OR(Matrice1!$R265&gt;=4,Matrice1!$R265&lt;=12,Matrice1!$O265&lt;5,(OR(Matrice1!$Q265="Premium ")))),45%,0%)))</f>
        <v>0.1</v>
      </c>
      <c r="W265">
        <f>Matrice1!$T265* (Matrice1!$V265/100)</f>
        <v>1.0279999999999999E-2</v>
      </c>
    </row>
    <row r="266" spans="1:23" x14ac:dyDescent="0.3">
      <c r="A266" s="1" t="s">
        <v>854</v>
      </c>
      <c r="B266" s="2">
        <v>45222</v>
      </c>
      <c r="C266" s="3">
        <v>0.42708333333333331</v>
      </c>
      <c r="D266" s="1" t="s">
        <v>892</v>
      </c>
      <c r="E266">
        <v>82</v>
      </c>
      <c r="F266" s="1" t="s">
        <v>807</v>
      </c>
      <c r="G266" s="1" t="s">
        <v>892</v>
      </c>
      <c r="H266" s="1" t="s">
        <v>26</v>
      </c>
      <c r="I266">
        <v>-4.4697000000000001E-2</v>
      </c>
      <c r="J266">
        <v>22.943373000000001</v>
      </c>
      <c r="K266" s="1" t="s">
        <v>1500</v>
      </c>
      <c r="L266" s="1" t="s">
        <v>1499</v>
      </c>
      <c r="M266" s="1" t="s">
        <v>338</v>
      </c>
      <c r="N266" s="1" t="s">
        <v>26</v>
      </c>
      <c r="O266" s="1" t="str">
        <f>INT(Matrice1!$P266/12) &amp; " ans et " &amp; MOD(Matrice1!$P266,12) &amp; " mois"</f>
        <v>6 ans et 9 mois</v>
      </c>
      <c r="P266">
        <v>81</v>
      </c>
      <c r="Q266" s="1" t="s">
        <v>14</v>
      </c>
      <c r="R266" s="4">
        <f>Matrice1!$S266/1440</f>
        <v>0.20694444444444443</v>
      </c>
      <c r="S266">
        <v>298</v>
      </c>
      <c r="T266">
        <v>53.61</v>
      </c>
      <c r="U266">
        <v>2</v>
      </c>
      <c r="V266" s="8">
        <f>IF(Matrice1!$Q266="Pro Monde",10%,IF(AND(Matrice1!$R266&gt;12,Matrice1!$O266&gt;5),70%,IF(AND(OR(Matrice1!$R266&gt;=4,Matrice1!$R266&lt;=12,Matrice1!$O266&lt;5,(OR(Matrice1!$Q266="Premium ")))),45%,0%)))</f>
        <v>0.1</v>
      </c>
      <c r="W266">
        <f>Matrice1!$T266* (Matrice1!$V266/100)</f>
        <v>5.3609999999999998E-2</v>
      </c>
    </row>
    <row r="267" spans="1:23" x14ac:dyDescent="0.3">
      <c r="A267" s="1" t="s">
        <v>854</v>
      </c>
      <c r="B267" s="2">
        <v>45222</v>
      </c>
      <c r="C267" s="3">
        <v>0.42708333333333331</v>
      </c>
      <c r="D267" s="1" t="s">
        <v>892</v>
      </c>
      <c r="E267">
        <v>82</v>
      </c>
      <c r="F267" s="1" t="s">
        <v>807</v>
      </c>
      <c r="G267" s="1" t="s">
        <v>892</v>
      </c>
      <c r="H267" s="1" t="s">
        <v>26</v>
      </c>
      <c r="I267">
        <v>-4.4697000000000001E-2</v>
      </c>
      <c r="J267">
        <v>22.943373000000001</v>
      </c>
      <c r="K267" s="1" t="s">
        <v>1500</v>
      </c>
      <c r="L267" s="1" t="s">
        <v>1499</v>
      </c>
      <c r="M267" s="1" t="s">
        <v>345</v>
      </c>
      <c r="N267" s="1" t="s">
        <v>26</v>
      </c>
      <c r="O267" s="1" t="str">
        <f>INT(Matrice1!$P267/12) &amp; " ans et " &amp; MOD(Matrice1!$P267,12) &amp; " mois"</f>
        <v>2 ans et 1 mois</v>
      </c>
      <c r="P267">
        <v>25</v>
      </c>
      <c r="Q267" s="1" t="s">
        <v>14</v>
      </c>
      <c r="R267" s="4">
        <f>Matrice1!$S267/1440</f>
        <v>0.15138888888888888</v>
      </c>
      <c r="S267">
        <v>218</v>
      </c>
      <c r="T267">
        <v>68.790000000000006</v>
      </c>
      <c r="U267">
        <v>0</v>
      </c>
      <c r="V267" s="8">
        <f>IF(Matrice1!$Q267="Pro Monde",10%,IF(AND(Matrice1!$R267&gt;12,Matrice1!$O267&gt;5),70%,IF(AND(OR(Matrice1!$R267&gt;=4,Matrice1!$R267&lt;=12,Matrice1!$O267&lt;5,(OR(Matrice1!$Q267="Premium ")))),45%,0%)))</f>
        <v>0.1</v>
      </c>
      <c r="W267">
        <f>Matrice1!$T267* (Matrice1!$V267/100)</f>
        <v>6.8790000000000004E-2</v>
      </c>
    </row>
    <row r="268" spans="1:23" x14ac:dyDescent="0.3">
      <c r="A268" s="1" t="s">
        <v>854</v>
      </c>
      <c r="B268" s="2">
        <v>45222</v>
      </c>
      <c r="C268" s="3">
        <v>0.42708333333333331</v>
      </c>
      <c r="D268" s="1" t="s">
        <v>892</v>
      </c>
      <c r="E268">
        <v>82</v>
      </c>
      <c r="F268" s="1" t="s">
        <v>807</v>
      </c>
      <c r="G268" s="1" t="s">
        <v>892</v>
      </c>
      <c r="H268" s="1" t="s">
        <v>26</v>
      </c>
      <c r="I268">
        <v>-4.4697000000000001E-2</v>
      </c>
      <c r="J268">
        <v>22.943373000000001</v>
      </c>
      <c r="K268" s="1" t="s">
        <v>1500</v>
      </c>
      <c r="L268" s="1" t="s">
        <v>1499</v>
      </c>
      <c r="M268" s="1" t="s">
        <v>452</v>
      </c>
      <c r="N268" s="1" t="s">
        <v>26</v>
      </c>
      <c r="O268" s="1" t="str">
        <f>INT(Matrice1!$P268/12) &amp; " ans et " &amp; MOD(Matrice1!$P268,12) &amp; " mois"</f>
        <v>3 ans et 9 mois</v>
      </c>
      <c r="P268">
        <v>45</v>
      </c>
      <c r="Q268" s="1" t="s">
        <v>22</v>
      </c>
      <c r="R268" s="4">
        <f>Matrice1!$S268/1440</f>
        <v>0.24722222222222223</v>
      </c>
      <c r="S268">
        <v>356</v>
      </c>
      <c r="T268">
        <v>33.76</v>
      </c>
      <c r="U268">
        <v>0</v>
      </c>
      <c r="V268" s="8">
        <f>IF(Matrice1!$Q268="Pro Monde",10%,IF(AND(Matrice1!$R268&gt;12,Matrice1!$O268&gt;5),70%,IF(AND(OR(Matrice1!$R268&gt;=4,Matrice1!$R268&lt;=12,Matrice1!$O268&lt;5,(OR(Matrice1!$Q268="Premium ")))),45%,0%)))</f>
        <v>0.45</v>
      </c>
      <c r="W268">
        <f>Matrice1!$T268* (Matrice1!$V268/100)</f>
        <v>0.15192</v>
      </c>
    </row>
    <row r="269" spans="1:23" x14ac:dyDescent="0.3">
      <c r="A269" s="1" t="s">
        <v>854</v>
      </c>
      <c r="B269" s="2">
        <v>45222</v>
      </c>
      <c r="C269" s="3">
        <v>0.42708333333333331</v>
      </c>
      <c r="D269" s="1" t="s">
        <v>892</v>
      </c>
      <c r="E269">
        <v>82</v>
      </c>
      <c r="F269" s="1" t="s">
        <v>807</v>
      </c>
      <c r="G269" s="1" t="s">
        <v>892</v>
      </c>
      <c r="H269" s="1" t="s">
        <v>26</v>
      </c>
      <c r="I269">
        <v>-4.4697000000000001E-2</v>
      </c>
      <c r="J269">
        <v>22.943373000000001</v>
      </c>
      <c r="K269" s="1" t="s">
        <v>1500</v>
      </c>
      <c r="L269" s="1" t="s">
        <v>1499</v>
      </c>
      <c r="M269" s="1" t="s">
        <v>491</v>
      </c>
      <c r="N269" s="1" t="s">
        <v>26</v>
      </c>
      <c r="O269" s="1" t="str">
        <f>INT(Matrice1!$P269/12) &amp; " ans et " &amp; MOD(Matrice1!$P269,12) &amp; " mois"</f>
        <v>7 ans et 11 mois</v>
      </c>
      <c r="P269">
        <v>95</v>
      </c>
      <c r="Q269" s="1" t="s">
        <v>14</v>
      </c>
      <c r="R269" s="4">
        <f>Matrice1!$S269/1440</f>
        <v>8.819444444444445E-2</v>
      </c>
      <c r="S269">
        <v>127</v>
      </c>
      <c r="T269">
        <v>94.9</v>
      </c>
      <c r="U269">
        <v>4</v>
      </c>
      <c r="V269" s="8">
        <f>IF(Matrice1!$Q269="Pro Monde",10%,IF(AND(Matrice1!$R269&gt;12,Matrice1!$O269&gt;5),70%,IF(AND(OR(Matrice1!$R269&gt;=4,Matrice1!$R269&lt;=12,Matrice1!$O269&lt;5,(OR(Matrice1!$Q269="Premium ")))),45%,0%)))</f>
        <v>0.1</v>
      </c>
      <c r="W269">
        <f>Matrice1!$T269* (Matrice1!$V269/100)</f>
        <v>9.4900000000000012E-2</v>
      </c>
    </row>
    <row r="270" spans="1:23" x14ac:dyDescent="0.3">
      <c r="A270" s="1" t="s">
        <v>854</v>
      </c>
      <c r="B270" s="2">
        <v>45222</v>
      </c>
      <c r="C270" s="3">
        <v>0.42708333333333331</v>
      </c>
      <c r="D270" s="1" t="s">
        <v>892</v>
      </c>
      <c r="E270">
        <v>82</v>
      </c>
      <c r="F270" s="1" t="s">
        <v>807</v>
      </c>
      <c r="G270" s="1" t="s">
        <v>892</v>
      </c>
      <c r="H270" s="1" t="s">
        <v>26</v>
      </c>
      <c r="I270">
        <v>-4.4697000000000001E-2</v>
      </c>
      <c r="J270">
        <v>22.943373000000001</v>
      </c>
      <c r="K270" s="1" t="s">
        <v>1500</v>
      </c>
      <c r="L270" s="1" t="s">
        <v>1499</v>
      </c>
      <c r="M270" s="1" t="s">
        <v>527</v>
      </c>
      <c r="N270" s="1" t="s">
        <v>26</v>
      </c>
      <c r="O270" s="1" t="str">
        <f>INT(Matrice1!$P270/12) &amp; " ans et " &amp; MOD(Matrice1!$P270,12) &amp; " mois"</f>
        <v>10 ans et 0 mois</v>
      </c>
      <c r="P270">
        <v>120</v>
      </c>
      <c r="Q270" s="1" t="s">
        <v>11</v>
      </c>
      <c r="R270" s="4">
        <f>Matrice1!$S270/1440</f>
        <v>0.27152777777777776</v>
      </c>
      <c r="S270">
        <v>391</v>
      </c>
      <c r="T270">
        <v>67.77</v>
      </c>
      <c r="U270">
        <v>4</v>
      </c>
      <c r="V270" s="8">
        <f>IF(Matrice1!$Q270="Pro Monde",10%,IF(AND(Matrice1!$R270&gt;12,Matrice1!$O270&gt;5),70%,IF(AND(OR(Matrice1!$R270&gt;=4,Matrice1!$R270&lt;=12,Matrice1!$O270&lt;5,(OR(Matrice1!$Q270="Premium ")))),45%,0%)))</f>
        <v>0.45</v>
      </c>
      <c r="W270">
        <f>Matrice1!$T270* (Matrice1!$V270/100)</f>
        <v>0.30496500000000004</v>
      </c>
    </row>
    <row r="271" spans="1:23" x14ac:dyDescent="0.3">
      <c r="A271" s="1" t="s">
        <v>805</v>
      </c>
      <c r="B271" s="2">
        <v>45217</v>
      </c>
      <c r="C271" s="3">
        <v>0.96875</v>
      </c>
      <c r="D271" s="1" t="s">
        <v>842</v>
      </c>
      <c r="E271">
        <v>97</v>
      </c>
      <c r="F271" s="1" t="s">
        <v>810</v>
      </c>
      <c r="G271" s="1" t="s">
        <v>842</v>
      </c>
      <c r="H271" s="1" t="s">
        <v>29</v>
      </c>
      <c r="I271">
        <v>-10.059846</v>
      </c>
      <c r="J271">
        <v>14.375757999999999</v>
      </c>
      <c r="K271" s="1" t="s">
        <v>1498</v>
      </c>
      <c r="L271" s="1" t="s">
        <v>1499</v>
      </c>
      <c r="M271" s="1" t="s">
        <v>28</v>
      </c>
      <c r="N271" s="1" t="s">
        <v>29</v>
      </c>
      <c r="O271" s="1" t="str">
        <f>INT(Matrice1!$P271/12) &amp; " ans et " &amp; MOD(Matrice1!$P271,12) &amp; " mois"</f>
        <v>8 ans et 3 mois</v>
      </c>
      <c r="P271">
        <v>99</v>
      </c>
      <c r="Q271" s="1" t="s">
        <v>19</v>
      </c>
      <c r="R271" s="4">
        <f>Matrice1!$S271/1440</f>
        <v>0.25624999999999998</v>
      </c>
      <c r="S271">
        <v>369</v>
      </c>
      <c r="T271">
        <v>67.209999999999994</v>
      </c>
      <c r="U271">
        <v>3</v>
      </c>
      <c r="V271" s="8">
        <f>IF(Matrice1!$Q271="Pro Monde",10%,IF(AND(Matrice1!$R271&gt;12,Matrice1!$O271&gt;5),70%,IF(AND(OR(Matrice1!$R271&gt;=4,Matrice1!$R271&lt;=12,Matrice1!$O271&lt;5,(OR(Matrice1!$Q271="Premium ")))),45%,0%)))</f>
        <v>0.45</v>
      </c>
      <c r="W271">
        <f>Matrice1!$T271* (Matrice1!$V271/100)</f>
        <v>0.30244500000000002</v>
      </c>
    </row>
    <row r="272" spans="1:23" x14ac:dyDescent="0.3">
      <c r="A272" s="1" t="s">
        <v>805</v>
      </c>
      <c r="B272" s="2">
        <v>45217</v>
      </c>
      <c r="C272" s="3">
        <v>0.96875</v>
      </c>
      <c r="D272" s="1" t="s">
        <v>842</v>
      </c>
      <c r="E272">
        <v>97</v>
      </c>
      <c r="F272" s="1" t="s">
        <v>810</v>
      </c>
      <c r="G272" s="1" t="s">
        <v>842</v>
      </c>
      <c r="H272" s="1" t="s">
        <v>29</v>
      </c>
      <c r="I272">
        <v>-10.059846</v>
      </c>
      <c r="J272">
        <v>14.375757999999999</v>
      </c>
      <c r="K272" s="1" t="s">
        <v>1498</v>
      </c>
      <c r="L272" s="1" t="s">
        <v>1499</v>
      </c>
      <c r="M272" s="1" t="s">
        <v>45</v>
      </c>
      <c r="N272" s="1" t="s">
        <v>29</v>
      </c>
      <c r="O272" s="1" t="str">
        <f>INT(Matrice1!$P272/12) &amp; " ans et " &amp; MOD(Matrice1!$P272,12) &amp; " mois"</f>
        <v>6 ans et 6 mois</v>
      </c>
      <c r="P272">
        <v>78</v>
      </c>
      <c r="Q272" s="1" t="s">
        <v>19</v>
      </c>
      <c r="R272" s="4">
        <f>Matrice1!$S272/1440</f>
        <v>0.21666666666666667</v>
      </c>
      <c r="S272">
        <v>312</v>
      </c>
      <c r="T272">
        <v>85.74</v>
      </c>
      <c r="U272">
        <v>2</v>
      </c>
      <c r="V272" s="8">
        <f>IF(Matrice1!$Q272="Pro Monde",10%,IF(AND(Matrice1!$R272&gt;12,Matrice1!$O272&gt;5),70%,IF(AND(OR(Matrice1!$R272&gt;=4,Matrice1!$R272&lt;=12,Matrice1!$O272&lt;5,(OR(Matrice1!$Q272="Premium ")))),45%,0%)))</f>
        <v>0.45</v>
      </c>
      <c r="W272">
        <f>Matrice1!$T272* (Matrice1!$V272/100)</f>
        <v>0.38583000000000001</v>
      </c>
    </row>
    <row r="273" spans="1:23" x14ac:dyDescent="0.3">
      <c r="A273" s="1" t="s">
        <v>805</v>
      </c>
      <c r="B273" s="2">
        <v>45217</v>
      </c>
      <c r="C273" s="3">
        <v>0.96875</v>
      </c>
      <c r="D273" s="1" t="s">
        <v>842</v>
      </c>
      <c r="E273">
        <v>97</v>
      </c>
      <c r="F273" s="1" t="s">
        <v>810</v>
      </c>
      <c r="G273" s="1" t="s">
        <v>842</v>
      </c>
      <c r="H273" s="1" t="s">
        <v>29</v>
      </c>
      <c r="I273">
        <v>-10.059846</v>
      </c>
      <c r="J273">
        <v>14.375757999999999</v>
      </c>
      <c r="K273" s="1" t="s">
        <v>1498</v>
      </c>
      <c r="L273" s="1" t="s">
        <v>1499</v>
      </c>
      <c r="M273" s="1" t="s">
        <v>47</v>
      </c>
      <c r="N273" s="1" t="s">
        <v>29</v>
      </c>
      <c r="O273" s="1" t="str">
        <f>INT(Matrice1!$P273/12) &amp; " ans et " &amp; MOD(Matrice1!$P273,12) &amp; " mois"</f>
        <v>1 ans et 2 mois</v>
      </c>
      <c r="P273">
        <v>14</v>
      </c>
      <c r="Q273" s="1" t="s">
        <v>11</v>
      </c>
      <c r="R273" s="4">
        <f>Matrice1!$S273/1440</f>
        <v>5.2083333333333336E-2</v>
      </c>
      <c r="S273">
        <v>75</v>
      </c>
      <c r="T273">
        <v>55.67</v>
      </c>
      <c r="U273">
        <v>3</v>
      </c>
      <c r="V273" s="8">
        <f>IF(Matrice1!$Q273="Pro Monde",10%,IF(AND(Matrice1!$R273&gt;12,Matrice1!$O273&gt;5),70%,IF(AND(OR(Matrice1!$R273&gt;=4,Matrice1!$R273&lt;=12,Matrice1!$O273&lt;5,(OR(Matrice1!$Q273="Premium ")))),45%,0%)))</f>
        <v>0.45</v>
      </c>
      <c r="W273">
        <f>Matrice1!$T273* (Matrice1!$V273/100)</f>
        <v>0.25051500000000004</v>
      </c>
    </row>
    <row r="274" spans="1:23" x14ac:dyDescent="0.3">
      <c r="A274" s="1" t="s">
        <v>805</v>
      </c>
      <c r="B274" s="2">
        <v>45217</v>
      </c>
      <c r="C274" s="3">
        <v>0.96875</v>
      </c>
      <c r="D274" s="1" t="s">
        <v>842</v>
      </c>
      <c r="E274">
        <v>97</v>
      </c>
      <c r="F274" s="1" t="s">
        <v>810</v>
      </c>
      <c r="G274" s="1" t="s">
        <v>842</v>
      </c>
      <c r="H274" s="1" t="s">
        <v>29</v>
      </c>
      <c r="I274">
        <v>-10.059846</v>
      </c>
      <c r="J274">
        <v>14.375757999999999</v>
      </c>
      <c r="K274" s="1" t="s">
        <v>1498</v>
      </c>
      <c r="L274" s="1" t="s">
        <v>1499</v>
      </c>
      <c r="M274" s="1" t="s">
        <v>70</v>
      </c>
      <c r="N274" s="1" t="s">
        <v>29</v>
      </c>
      <c r="O274" s="1" t="str">
        <f>INT(Matrice1!$P274/12) &amp; " ans et " &amp; MOD(Matrice1!$P274,12) &amp; " mois"</f>
        <v>8 ans et 10 mois</v>
      </c>
      <c r="P274">
        <v>106</v>
      </c>
      <c r="Q274" s="1" t="s">
        <v>19</v>
      </c>
      <c r="R274" s="4">
        <f>Matrice1!$S274/1440</f>
        <v>0.27777777777777779</v>
      </c>
      <c r="S274">
        <v>400</v>
      </c>
      <c r="T274">
        <v>70.02</v>
      </c>
      <c r="U274">
        <v>4</v>
      </c>
      <c r="V274" s="8">
        <f>IF(Matrice1!$Q274="Pro Monde",10%,IF(AND(Matrice1!$R274&gt;12,Matrice1!$O274&gt;5),70%,IF(AND(OR(Matrice1!$R274&gt;=4,Matrice1!$R274&lt;=12,Matrice1!$O274&lt;5,(OR(Matrice1!$Q274="Premium ")))),45%,0%)))</f>
        <v>0.45</v>
      </c>
      <c r="W274">
        <f>Matrice1!$T274* (Matrice1!$V274/100)</f>
        <v>0.31509000000000004</v>
      </c>
    </row>
    <row r="275" spans="1:23" x14ac:dyDescent="0.3">
      <c r="A275" s="1" t="s">
        <v>805</v>
      </c>
      <c r="B275" s="2">
        <v>45217</v>
      </c>
      <c r="C275" s="3">
        <v>0.96875</v>
      </c>
      <c r="D275" s="1" t="s">
        <v>842</v>
      </c>
      <c r="E275">
        <v>97</v>
      </c>
      <c r="F275" s="1" t="s">
        <v>810</v>
      </c>
      <c r="G275" s="1" t="s">
        <v>842</v>
      </c>
      <c r="H275" s="1" t="s">
        <v>29</v>
      </c>
      <c r="I275">
        <v>-10.059846</v>
      </c>
      <c r="J275">
        <v>14.375757999999999</v>
      </c>
      <c r="K275" s="1" t="s">
        <v>1498</v>
      </c>
      <c r="L275" s="1" t="s">
        <v>1499</v>
      </c>
      <c r="M275" s="1" t="s">
        <v>71</v>
      </c>
      <c r="N275" s="1" t="s">
        <v>29</v>
      </c>
      <c r="O275" s="1" t="str">
        <f>INT(Matrice1!$P275/12) &amp; " ans et " &amp; MOD(Matrice1!$P275,12) &amp; " mois"</f>
        <v>6 ans et 0 mois</v>
      </c>
      <c r="P275">
        <v>72</v>
      </c>
      <c r="Q275" s="1" t="s">
        <v>19</v>
      </c>
      <c r="R275" s="4">
        <f>Matrice1!$S275/1440</f>
        <v>0.23055555555555557</v>
      </c>
      <c r="S275">
        <v>332</v>
      </c>
      <c r="T275">
        <v>83.36</v>
      </c>
      <c r="U275">
        <v>4</v>
      </c>
      <c r="V275" s="8">
        <f>IF(Matrice1!$Q275="Pro Monde",10%,IF(AND(Matrice1!$R275&gt;12,Matrice1!$O275&gt;5),70%,IF(AND(OR(Matrice1!$R275&gt;=4,Matrice1!$R275&lt;=12,Matrice1!$O275&lt;5,(OR(Matrice1!$Q275="Premium ")))),45%,0%)))</f>
        <v>0.45</v>
      </c>
      <c r="W275">
        <f>Matrice1!$T275* (Matrice1!$V275/100)</f>
        <v>0.37512000000000006</v>
      </c>
    </row>
    <row r="276" spans="1:23" x14ac:dyDescent="0.3">
      <c r="A276" s="1" t="s">
        <v>805</v>
      </c>
      <c r="B276" s="2">
        <v>45217</v>
      </c>
      <c r="C276" s="3">
        <v>0.96875</v>
      </c>
      <c r="D276" s="1" t="s">
        <v>842</v>
      </c>
      <c r="E276">
        <v>97</v>
      </c>
      <c r="F276" s="1" t="s">
        <v>810</v>
      </c>
      <c r="G276" s="1" t="s">
        <v>842</v>
      </c>
      <c r="H276" s="1" t="s">
        <v>29</v>
      </c>
      <c r="I276">
        <v>-10.059846</v>
      </c>
      <c r="J276">
        <v>14.375757999999999</v>
      </c>
      <c r="K276" s="1" t="s">
        <v>1498</v>
      </c>
      <c r="L276" s="1" t="s">
        <v>1499</v>
      </c>
      <c r="M276" s="1" t="s">
        <v>112</v>
      </c>
      <c r="N276" s="1" t="s">
        <v>29</v>
      </c>
      <c r="O276" s="1" t="str">
        <f>INT(Matrice1!$P276/12) &amp; " ans et " &amp; MOD(Matrice1!$P276,12) &amp; " mois"</f>
        <v>4 ans et 9 mois</v>
      </c>
      <c r="P276">
        <v>57</v>
      </c>
      <c r="Q276" s="1" t="s">
        <v>19</v>
      </c>
      <c r="R276" s="4">
        <f>Matrice1!$S276/1440</f>
        <v>0.14444444444444443</v>
      </c>
      <c r="S276">
        <v>208</v>
      </c>
      <c r="T276">
        <v>85.66</v>
      </c>
      <c r="U276">
        <v>5</v>
      </c>
      <c r="V276" s="8">
        <f>IF(Matrice1!$Q276="Pro Monde",10%,IF(AND(Matrice1!$R276&gt;12,Matrice1!$O276&gt;5),70%,IF(AND(OR(Matrice1!$R276&gt;=4,Matrice1!$R276&lt;=12,Matrice1!$O276&lt;5,(OR(Matrice1!$Q276="Premium ")))),45%,0%)))</f>
        <v>0.45</v>
      </c>
      <c r="W276">
        <f>Matrice1!$T276* (Matrice1!$V276/100)</f>
        <v>0.38547000000000003</v>
      </c>
    </row>
    <row r="277" spans="1:23" x14ac:dyDescent="0.3">
      <c r="A277" s="1" t="s">
        <v>805</v>
      </c>
      <c r="B277" s="2">
        <v>45217</v>
      </c>
      <c r="C277" s="3">
        <v>0.96875</v>
      </c>
      <c r="D277" s="1" t="s">
        <v>842</v>
      </c>
      <c r="E277">
        <v>97</v>
      </c>
      <c r="F277" s="1" t="s">
        <v>810</v>
      </c>
      <c r="G277" s="1" t="s">
        <v>842</v>
      </c>
      <c r="H277" s="1" t="s">
        <v>29</v>
      </c>
      <c r="I277">
        <v>-10.059846</v>
      </c>
      <c r="J277">
        <v>14.375757999999999</v>
      </c>
      <c r="K277" s="1" t="s">
        <v>1498</v>
      </c>
      <c r="L277" s="1" t="s">
        <v>1499</v>
      </c>
      <c r="M277" s="1" t="s">
        <v>163</v>
      </c>
      <c r="N277" s="1" t="s">
        <v>29</v>
      </c>
      <c r="O277" s="1" t="str">
        <f>INT(Matrice1!$P277/12) &amp; " ans et " &amp; MOD(Matrice1!$P277,12) &amp; " mois"</f>
        <v>5 ans et 7 mois</v>
      </c>
      <c r="P277">
        <v>67</v>
      </c>
      <c r="Q277" s="1" t="s">
        <v>22</v>
      </c>
      <c r="R277" s="4">
        <f>Matrice1!$S277/1440</f>
        <v>0.18333333333333332</v>
      </c>
      <c r="S277">
        <v>264</v>
      </c>
      <c r="T277">
        <v>97.89</v>
      </c>
      <c r="U277">
        <v>1</v>
      </c>
      <c r="V277" s="8">
        <f>IF(Matrice1!$Q277="Pro Monde",10%,IF(AND(Matrice1!$R277&gt;12,Matrice1!$O277&gt;5),70%,IF(AND(OR(Matrice1!$R277&gt;=4,Matrice1!$R277&lt;=12,Matrice1!$O277&lt;5,(OR(Matrice1!$Q277="Premium ")))),45%,0%)))</f>
        <v>0.45</v>
      </c>
      <c r="W277">
        <f>Matrice1!$T277* (Matrice1!$V277/100)</f>
        <v>0.44050500000000004</v>
      </c>
    </row>
    <row r="278" spans="1:23" x14ac:dyDescent="0.3">
      <c r="A278" s="1" t="s">
        <v>805</v>
      </c>
      <c r="B278" s="2">
        <v>45217</v>
      </c>
      <c r="C278" s="3">
        <v>0.96875</v>
      </c>
      <c r="D278" s="1" t="s">
        <v>842</v>
      </c>
      <c r="E278">
        <v>97</v>
      </c>
      <c r="F278" s="1" t="s">
        <v>810</v>
      </c>
      <c r="G278" s="1" t="s">
        <v>842</v>
      </c>
      <c r="H278" s="1" t="s">
        <v>29</v>
      </c>
      <c r="I278">
        <v>-10.059846</v>
      </c>
      <c r="J278">
        <v>14.375757999999999</v>
      </c>
      <c r="K278" s="1" t="s">
        <v>1498</v>
      </c>
      <c r="L278" s="1" t="s">
        <v>1499</v>
      </c>
      <c r="M278" s="1" t="s">
        <v>173</v>
      </c>
      <c r="N278" s="1" t="s">
        <v>29</v>
      </c>
      <c r="O278" s="1" t="str">
        <f>INT(Matrice1!$P278/12) &amp; " ans et " &amp; MOD(Matrice1!$P278,12) &amp; " mois"</f>
        <v>0 ans et 7 mois</v>
      </c>
      <c r="P278">
        <v>7</v>
      </c>
      <c r="Q278" s="1" t="s">
        <v>11</v>
      </c>
      <c r="R278" s="4">
        <f>Matrice1!$S278/1440</f>
        <v>0.21041666666666667</v>
      </c>
      <c r="S278">
        <v>303</v>
      </c>
      <c r="T278">
        <v>60.95</v>
      </c>
      <c r="U278">
        <v>0</v>
      </c>
      <c r="V278" s="8">
        <f>IF(Matrice1!$Q278="Pro Monde",10%,IF(AND(Matrice1!$R278&gt;12,Matrice1!$O278&gt;5),70%,IF(AND(OR(Matrice1!$R278&gt;=4,Matrice1!$R278&lt;=12,Matrice1!$O278&lt;5,(OR(Matrice1!$Q278="Premium ")))),45%,0%)))</f>
        <v>0.45</v>
      </c>
      <c r="W278">
        <f>Matrice1!$T278* (Matrice1!$V278/100)</f>
        <v>0.27427500000000005</v>
      </c>
    </row>
    <row r="279" spans="1:23" x14ac:dyDescent="0.3">
      <c r="A279" s="1" t="s">
        <v>805</v>
      </c>
      <c r="B279" s="2">
        <v>45217</v>
      </c>
      <c r="C279" s="3">
        <v>0.96875</v>
      </c>
      <c r="D279" s="1" t="s">
        <v>842</v>
      </c>
      <c r="E279">
        <v>97</v>
      </c>
      <c r="F279" s="1" t="s">
        <v>810</v>
      </c>
      <c r="G279" s="1" t="s">
        <v>842</v>
      </c>
      <c r="H279" s="1" t="s">
        <v>29</v>
      </c>
      <c r="I279">
        <v>-10.059846</v>
      </c>
      <c r="J279">
        <v>14.375757999999999</v>
      </c>
      <c r="K279" s="1" t="s">
        <v>1498</v>
      </c>
      <c r="L279" s="1" t="s">
        <v>1499</v>
      </c>
      <c r="M279" s="1" t="s">
        <v>238</v>
      </c>
      <c r="N279" s="1" t="s">
        <v>29</v>
      </c>
      <c r="O279" s="1" t="str">
        <f>INT(Matrice1!$P279/12) &amp; " ans et " &amp; MOD(Matrice1!$P279,12) &amp; " mois"</f>
        <v>5 ans et 11 mois</v>
      </c>
      <c r="P279">
        <v>71</v>
      </c>
      <c r="Q279" s="1" t="s">
        <v>11</v>
      </c>
      <c r="R279" s="4">
        <f>Matrice1!$S279/1440</f>
        <v>1.0416666666666666E-2</v>
      </c>
      <c r="S279">
        <v>15</v>
      </c>
      <c r="T279">
        <v>25.46</v>
      </c>
      <c r="U279">
        <v>5</v>
      </c>
      <c r="V279" s="8">
        <f>IF(Matrice1!$Q279="Pro Monde",10%,IF(AND(Matrice1!$R279&gt;12,Matrice1!$O279&gt;5),70%,IF(AND(OR(Matrice1!$R279&gt;=4,Matrice1!$R279&lt;=12,Matrice1!$O279&lt;5,(OR(Matrice1!$Q279="Premium ")))),45%,0%)))</f>
        <v>0.45</v>
      </c>
      <c r="W279">
        <f>Matrice1!$T279* (Matrice1!$V279/100)</f>
        <v>0.11457000000000002</v>
      </c>
    </row>
    <row r="280" spans="1:23" x14ac:dyDescent="0.3">
      <c r="A280" s="1" t="s">
        <v>805</v>
      </c>
      <c r="B280" s="2">
        <v>45217</v>
      </c>
      <c r="C280" s="3">
        <v>0.96875</v>
      </c>
      <c r="D280" s="1" t="s">
        <v>842</v>
      </c>
      <c r="E280">
        <v>97</v>
      </c>
      <c r="F280" s="1" t="s">
        <v>810</v>
      </c>
      <c r="G280" s="1" t="s">
        <v>842</v>
      </c>
      <c r="H280" s="1" t="s">
        <v>29</v>
      </c>
      <c r="I280">
        <v>-10.059846</v>
      </c>
      <c r="J280">
        <v>14.375757999999999</v>
      </c>
      <c r="K280" s="1" t="s">
        <v>1498</v>
      </c>
      <c r="L280" s="1" t="s">
        <v>1499</v>
      </c>
      <c r="M280" s="1" t="s">
        <v>246</v>
      </c>
      <c r="N280" s="1" t="s">
        <v>29</v>
      </c>
      <c r="O280" s="1" t="str">
        <f>INT(Matrice1!$P280/12) &amp; " ans et " &amp; MOD(Matrice1!$P280,12) &amp; " mois"</f>
        <v>0 ans et 4 mois</v>
      </c>
      <c r="P280">
        <v>4</v>
      </c>
      <c r="Q280" s="1" t="s">
        <v>19</v>
      </c>
      <c r="R280" s="4">
        <f>Matrice1!$S280/1440</f>
        <v>0.12638888888888888</v>
      </c>
      <c r="S280">
        <v>182</v>
      </c>
      <c r="T280">
        <v>89.56</v>
      </c>
      <c r="U280">
        <v>4</v>
      </c>
      <c r="V280" s="8">
        <f>IF(Matrice1!$Q280="Pro Monde",10%,IF(AND(Matrice1!$R280&gt;12,Matrice1!$O280&gt;5),70%,IF(AND(OR(Matrice1!$R280&gt;=4,Matrice1!$R280&lt;=12,Matrice1!$O280&lt;5,(OR(Matrice1!$Q280="Premium ")))),45%,0%)))</f>
        <v>0.45</v>
      </c>
      <c r="W280">
        <f>Matrice1!$T280* (Matrice1!$V280/100)</f>
        <v>0.40302000000000004</v>
      </c>
    </row>
    <row r="281" spans="1:23" x14ac:dyDescent="0.3">
      <c r="A281" s="1" t="s">
        <v>805</v>
      </c>
      <c r="B281" s="2">
        <v>45217</v>
      </c>
      <c r="C281" s="3">
        <v>0.96875</v>
      </c>
      <c r="D281" s="1" t="s">
        <v>842</v>
      </c>
      <c r="E281">
        <v>97</v>
      </c>
      <c r="F281" s="1" t="s">
        <v>810</v>
      </c>
      <c r="G281" s="1" t="s">
        <v>842</v>
      </c>
      <c r="H281" s="1" t="s">
        <v>29</v>
      </c>
      <c r="I281">
        <v>-10.059846</v>
      </c>
      <c r="J281">
        <v>14.375757999999999</v>
      </c>
      <c r="K281" s="1" t="s">
        <v>1498</v>
      </c>
      <c r="L281" s="1" t="s">
        <v>1499</v>
      </c>
      <c r="M281" s="1" t="s">
        <v>249</v>
      </c>
      <c r="N281" s="1" t="s">
        <v>29</v>
      </c>
      <c r="O281" s="1" t="str">
        <f>INT(Matrice1!$P281/12) &amp; " ans et " &amp; MOD(Matrice1!$P281,12) &amp; " mois"</f>
        <v>7 ans et 5 mois</v>
      </c>
      <c r="P281">
        <v>89</v>
      </c>
      <c r="Q281" s="1" t="s">
        <v>22</v>
      </c>
      <c r="R281" s="4">
        <f>Matrice1!$S281/1440</f>
        <v>4.8611111111111112E-3</v>
      </c>
      <c r="S281">
        <v>7</v>
      </c>
      <c r="T281">
        <v>53.39</v>
      </c>
      <c r="U281">
        <v>3</v>
      </c>
      <c r="V281" s="8">
        <f>IF(Matrice1!$Q281="Pro Monde",10%,IF(AND(Matrice1!$R281&gt;12,Matrice1!$O281&gt;5),70%,IF(AND(OR(Matrice1!$R281&gt;=4,Matrice1!$R281&lt;=12,Matrice1!$O281&lt;5,(OR(Matrice1!$Q281="Premium ")))),45%,0%)))</f>
        <v>0.45</v>
      </c>
      <c r="W281">
        <f>Matrice1!$T281* (Matrice1!$V281/100)</f>
        <v>0.24025500000000002</v>
      </c>
    </row>
    <row r="282" spans="1:23" x14ac:dyDescent="0.3">
      <c r="A282" s="1" t="s">
        <v>805</v>
      </c>
      <c r="B282" s="2">
        <v>45217</v>
      </c>
      <c r="C282" s="3">
        <v>0.96875</v>
      </c>
      <c r="D282" s="1" t="s">
        <v>842</v>
      </c>
      <c r="E282">
        <v>97</v>
      </c>
      <c r="F282" s="1" t="s">
        <v>810</v>
      </c>
      <c r="G282" s="1" t="s">
        <v>842</v>
      </c>
      <c r="H282" s="1" t="s">
        <v>29</v>
      </c>
      <c r="I282">
        <v>-10.059846</v>
      </c>
      <c r="J282">
        <v>14.375757999999999</v>
      </c>
      <c r="K282" s="1" t="s">
        <v>1498</v>
      </c>
      <c r="L282" s="1" t="s">
        <v>1499</v>
      </c>
      <c r="M282" s="1" t="s">
        <v>256</v>
      </c>
      <c r="N282" s="1" t="s">
        <v>29</v>
      </c>
      <c r="O282" s="1" t="str">
        <f>INT(Matrice1!$P282/12) &amp; " ans et " &amp; MOD(Matrice1!$P282,12) &amp; " mois"</f>
        <v>4 ans et 4 mois</v>
      </c>
      <c r="P282">
        <v>52</v>
      </c>
      <c r="Q282" s="1" t="s">
        <v>14</v>
      </c>
      <c r="R282" s="4">
        <f>Matrice1!$S282/1440</f>
        <v>0.16250000000000001</v>
      </c>
      <c r="S282">
        <v>234</v>
      </c>
      <c r="T282">
        <v>62.87</v>
      </c>
      <c r="U282">
        <v>0</v>
      </c>
      <c r="V282" s="8">
        <f>IF(Matrice1!$Q282="Pro Monde",10%,IF(AND(Matrice1!$R282&gt;12,Matrice1!$O282&gt;5),70%,IF(AND(OR(Matrice1!$R282&gt;=4,Matrice1!$R282&lt;=12,Matrice1!$O282&lt;5,(OR(Matrice1!$Q282="Premium ")))),45%,0%)))</f>
        <v>0.1</v>
      </c>
      <c r="W282">
        <f>Matrice1!$T282* (Matrice1!$V282/100)</f>
        <v>6.2869999999999995E-2</v>
      </c>
    </row>
    <row r="283" spans="1:23" x14ac:dyDescent="0.3">
      <c r="A283" s="1" t="s">
        <v>805</v>
      </c>
      <c r="B283" s="2">
        <v>45217</v>
      </c>
      <c r="C283" s="3">
        <v>0.96875</v>
      </c>
      <c r="D283" s="1" t="s">
        <v>842</v>
      </c>
      <c r="E283">
        <v>97</v>
      </c>
      <c r="F283" s="1" t="s">
        <v>810</v>
      </c>
      <c r="G283" s="1" t="s">
        <v>842</v>
      </c>
      <c r="H283" s="1" t="s">
        <v>29</v>
      </c>
      <c r="I283">
        <v>-10.059846</v>
      </c>
      <c r="J283">
        <v>14.375757999999999</v>
      </c>
      <c r="K283" s="1" t="s">
        <v>1498</v>
      </c>
      <c r="L283" s="1" t="s">
        <v>1499</v>
      </c>
      <c r="M283" s="1" t="s">
        <v>264</v>
      </c>
      <c r="N283" s="1" t="s">
        <v>29</v>
      </c>
      <c r="O283" s="1" t="str">
        <f>INT(Matrice1!$P283/12) &amp; " ans et " &amp; MOD(Matrice1!$P283,12) &amp; " mois"</f>
        <v>7 ans et 7 mois</v>
      </c>
      <c r="P283">
        <v>91</v>
      </c>
      <c r="Q283" s="1" t="s">
        <v>19</v>
      </c>
      <c r="R283" s="4">
        <f>Matrice1!$S283/1440</f>
        <v>0.13055555555555556</v>
      </c>
      <c r="S283">
        <v>188</v>
      </c>
      <c r="T283">
        <v>65.78</v>
      </c>
      <c r="U283">
        <v>4</v>
      </c>
      <c r="V283" s="8">
        <f>IF(Matrice1!$Q283="Pro Monde",10%,IF(AND(Matrice1!$R283&gt;12,Matrice1!$O283&gt;5),70%,IF(AND(OR(Matrice1!$R283&gt;=4,Matrice1!$R283&lt;=12,Matrice1!$O283&lt;5,(OR(Matrice1!$Q283="Premium ")))),45%,0%)))</f>
        <v>0.45</v>
      </c>
      <c r="W283">
        <f>Matrice1!$T283* (Matrice1!$V283/100)</f>
        <v>0.29601000000000005</v>
      </c>
    </row>
    <row r="284" spans="1:23" x14ac:dyDescent="0.3">
      <c r="A284" s="1" t="s">
        <v>805</v>
      </c>
      <c r="B284" s="2">
        <v>45217</v>
      </c>
      <c r="C284" s="3">
        <v>0.96875</v>
      </c>
      <c r="D284" s="1" t="s">
        <v>842</v>
      </c>
      <c r="E284">
        <v>97</v>
      </c>
      <c r="F284" s="1" t="s">
        <v>810</v>
      </c>
      <c r="G284" s="1" t="s">
        <v>842</v>
      </c>
      <c r="H284" s="1" t="s">
        <v>29</v>
      </c>
      <c r="I284">
        <v>-10.059846</v>
      </c>
      <c r="J284">
        <v>14.375757999999999</v>
      </c>
      <c r="K284" s="1" t="s">
        <v>1498</v>
      </c>
      <c r="L284" s="1" t="s">
        <v>1499</v>
      </c>
      <c r="M284" s="1" t="s">
        <v>290</v>
      </c>
      <c r="N284" s="1" t="s">
        <v>29</v>
      </c>
      <c r="O284" s="1" t="str">
        <f>INT(Matrice1!$P284/12) &amp; " ans et " &amp; MOD(Matrice1!$P284,12) &amp; " mois"</f>
        <v>1 ans et 1 mois</v>
      </c>
      <c r="P284">
        <v>13</v>
      </c>
      <c r="Q284" s="1" t="s">
        <v>14</v>
      </c>
      <c r="R284" s="4">
        <f>Matrice1!$S284/1440</f>
        <v>0.24097222222222223</v>
      </c>
      <c r="S284">
        <v>347</v>
      </c>
      <c r="T284">
        <v>32.35</v>
      </c>
      <c r="U284">
        <v>2</v>
      </c>
      <c r="V284" s="8">
        <f>IF(Matrice1!$Q284="Pro Monde",10%,IF(AND(Matrice1!$R284&gt;12,Matrice1!$O284&gt;5),70%,IF(AND(OR(Matrice1!$R284&gt;=4,Matrice1!$R284&lt;=12,Matrice1!$O284&lt;5,(OR(Matrice1!$Q284="Premium ")))),45%,0%)))</f>
        <v>0.1</v>
      </c>
      <c r="W284">
        <f>Matrice1!$T284* (Matrice1!$V284/100)</f>
        <v>3.2350000000000004E-2</v>
      </c>
    </row>
    <row r="285" spans="1:23" x14ac:dyDescent="0.3">
      <c r="A285" s="1" t="s">
        <v>805</v>
      </c>
      <c r="B285" s="2">
        <v>45217</v>
      </c>
      <c r="C285" s="3">
        <v>0.96875</v>
      </c>
      <c r="D285" s="1" t="s">
        <v>842</v>
      </c>
      <c r="E285">
        <v>97</v>
      </c>
      <c r="F285" s="1" t="s">
        <v>810</v>
      </c>
      <c r="G285" s="1" t="s">
        <v>842</v>
      </c>
      <c r="H285" s="1" t="s">
        <v>29</v>
      </c>
      <c r="I285">
        <v>-10.059846</v>
      </c>
      <c r="J285">
        <v>14.375757999999999</v>
      </c>
      <c r="K285" s="1" t="s">
        <v>1498</v>
      </c>
      <c r="L285" s="1" t="s">
        <v>1499</v>
      </c>
      <c r="M285" s="1" t="s">
        <v>313</v>
      </c>
      <c r="N285" s="1" t="s">
        <v>29</v>
      </c>
      <c r="O285" s="1" t="str">
        <f>INT(Matrice1!$P285/12) &amp; " ans et " &amp; MOD(Matrice1!$P285,12) &amp; " mois"</f>
        <v>8 ans et 3 mois</v>
      </c>
      <c r="P285">
        <v>99</v>
      </c>
      <c r="Q285" s="1" t="s">
        <v>14</v>
      </c>
      <c r="R285" s="4">
        <f>Matrice1!$S285/1440</f>
        <v>0.22569444444444445</v>
      </c>
      <c r="S285">
        <v>325</v>
      </c>
      <c r="T285">
        <v>88.35</v>
      </c>
      <c r="U285">
        <v>4</v>
      </c>
      <c r="V285" s="8">
        <f>IF(Matrice1!$Q285="Pro Monde",10%,IF(AND(Matrice1!$R285&gt;12,Matrice1!$O285&gt;5),70%,IF(AND(OR(Matrice1!$R285&gt;=4,Matrice1!$R285&lt;=12,Matrice1!$O285&lt;5,(OR(Matrice1!$Q285="Premium ")))),45%,0%)))</f>
        <v>0.1</v>
      </c>
      <c r="W285">
        <f>Matrice1!$T285* (Matrice1!$V285/100)</f>
        <v>8.8349999999999998E-2</v>
      </c>
    </row>
    <row r="286" spans="1:23" x14ac:dyDescent="0.3">
      <c r="A286" s="1" t="s">
        <v>805</v>
      </c>
      <c r="B286" s="2">
        <v>45217</v>
      </c>
      <c r="C286" s="3">
        <v>0.96875</v>
      </c>
      <c r="D286" s="1" t="s">
        <v>842</v>
      </c>
      <c r="E286">
        <v>97</v>
      </c>
      <c r="F286" s="1" t="s">
        <v>810</v>
      </c>
      <c r="G286" s="1" t="s">
        <v>842</v>
      </c>
      <c r="H286" s="1" t="s">
        <v>29</v>
      </c>
      <c r="I286">
        <v>-10.059846</v>
      </c>
      <c r="J286">
        <v>14.375757999999999</v>
      </c>
      <c r="K286" s="1" t="s">
        <v>1498</v>
      </c>
      <c r="L286" s="1" t="s">
        <v>1499</v>
      </c>
      <c r="M286" s="1" t="s">
        <v>397</v>
      </c>
      <c r="N286" s="1" t="s">
        <v>29</v>
      </c>
      <c r="O286" s="1" t="str">
        <f>INT(Matrice1!$P286/12) &amp; " ans et " &amp; MOD(Matrice1!$P286,12) &amp; " mois"</f>
        <v>3 ans et 7 mois</v>
      </c>
      <c r="P286">
        <v>43</v>
      </c>
      <c r="Q286" s="1" t="s">
        <v>11</v>
      </c>
      <c r="R286" s="4">
        <f>Matrice1!$S286/1440</f>
        <v>0.33750000000000002</v>
      </c>
      <c r="S286">
        <v>486</v>
      </c>
      <c r="T286">
        <v>76.42</v>
      </c>
      <c r="U286">
        <v>1</v>
      </c>
      <c r="V286" s="8">
        <f>IF(Matrice1!$Q286="Pro Monde",10%,IF(AND(Matrice1!$R286&gt;12,Matrice1!$O286&gt;5),70%,IF(AND(OR(Matrice1!$R286&gt;=4,Matrice1!$R286&lt;=12,Matrice1!$O286&lt;5,(OR(Matrice1!$Q286="Premium ")))),45%,0%)))</f>
        <v>0.45</v>
      </c>
      <c r="W286">
        <f>Matrice1!$T286* (Matrice1!$V286/100)</f>
        <v>0.34389000000000003</v>
      </c>
    </row>
    <row r="287" spans="1:23" x14ac:dyDescent="0.3">
      <c r="A287" s="1" t="s">
        <v>805</v>
      </c>
      <c r="B287" s="2">
        <v>45217</v>
      </c>
      <c r="C287" s="3">
        <v>0.96875</v>
      </c>
      <c r="D287" s="1" t="s">
        <v>842</v>
      </c>
      <c r="E287">
        <v>97</v>
      </c>
      <c r="F287" s="1" t="s">
        <v>810</v>
      </c>
      <c r="G287" s="1" t="s">
        <v>842</v>
      </c>
      <c r="H287" s="1" t="s">
        <v>29</v>
      </c>
      <c r="I287">
        <v>-10.059846</v>
      </c>
      <c r="J287">
        <v>14.375757999999999</v>
      </c>
      <c r="K287" s="1" t="s">
        <v>1498</v>
      </c>
      <c r="L287" s="1" t="s">
        <v>1499</v>
      </c>
      <c r="M287" s="1" t="s">
        <v>423</v>
      </c>
      <c r="N287" s="1" t="s">
        <v>29</v>
      </c>
      <c r="O287" s="1" t="str">
        <f>INT(Matrice1!$P287/12) &amp; " ans et " &amp; MOD(Matrice1!$P287,12) &amp; " mois"</f>
        <v>1 ans et 1 mois</v>
      </c>
      <c r="P287">
        <v>13</v>
      </c>
      <c r="Q287" s="1" t="s">
        <v>19</v>
      </c>
      <c r="R287" s="4">
        <f>Matrice1!$S287/1440</f>
        <v>0.125</v>
      </c>
      <c r="S287">
        <v>180</v>
      </c>
      <c r="T287">
        <v>24.01</v>
      </c>
      <c r="U287">
        <v>0</v>
      </c>
      <c r="V287" s="8">
        <f>IF(Matrice1!$Q287="Pro Monde",10%,IF(AND(Matrice1!$R287&gt;12,Matrice1!$O287&gt;5),70%,IF(AND(OR(Matrice1!$R287&gt;=4,Matrice1!$R287&lt;=12,Matrice1!$O287&lt;5,(OR(Matrice1!$Q287="Premium ")))),45%,0%)))</f>
        <v>0.45</v>
      </c>
      <c r="W287">
        <f>Matrice1!$T287* (Matrice1!$V287/100)</f>
        <v>0.10804500000000002</v>
      </c>
    </row>
    <row r="288" spans="1:23" x14ac:dyDescent="0.3">
      <c r="A288" s="1" t="s">
        <v>805</v>
      </c>
      <c r="B288" s="2">
        <v>45217</v>
      </c>
      <c r="C288" s="3">
        <v>0.96875</v>
      </c>
      <c r="D288" s="1" t="s">
        <v>842</v>
      </c>
      <c r="E288">
        <v>97</v>
      </c>
      <c r="F288" s="1" t="s">
        <v>810</v>
      </c>
      <c r="G288" s="1" t="s">
        <v>842</v>
      </c>
      <c r="H288" s="1" t="s">
        <v>29</v>
      </c>
      <c r="I288">
        <v>-10.059846</v>
      </c>
      <c r="J288">
        <v>14.375757999999999</v>
      </c>
      <c r="K288" s="1" t="s">
        <v>1498</v>
      </c>
      <c r="L288" s="1" t="s">
        <v>1499</v>
      </c>
      <c r="M288" s="1" t="s">
        <v>461</v>
      </c>
      <c r="N288" s="1" t="s">
        <v>29</v>
      </c>
      <c r="O288" s="1" t="str">
        <f>INT(Matrice1!$P288/12) &amp; " ans et " &amp; MOD(Matrice1!$P288,12) &amp; " mois"</f>
        <v>0 ans et 1 mois</v>
      </c>
      <c r="P288">
        <v>1</v>
      </c>
      <c r="Q288" s="1" t="s">
        <v>11</v>
      </c>
      <c r="R288" s="4">
        <f>Matrice1!$S288/1440</f>
        <v>0.25555555555555554</v>
      </c>
      <c r="S288">
        <v>368</v>
      </c>
      <c r="T288">
        <v>35.17</v>
      </c>
      <c r="U288">
        <v>1</v>
      </c>
      <c r="V288" s="8">
        <f>IF(Matrice1!$Q288="Pro Monde",10%,IF(AND(Matrice1!$R288&gt;12,Matrice1!$O288&gt;5),70%,IF(AND(OR(Matrice1!$R288&gt;=4,Matrice1!$R288&lt;=12,Matrice1!$O288&lt;5,(OR(Matrice1!$Q288="Premium ")))),45%,0%)))</f>
        <v>0.45</v>
      </c>
      <c r="W288">
        <f>Matrice1!$T288* (Matrice1!$V288/100)</f>
        <v>0.15826500000000002</v>
      </c>
    </row>
    <row r="289" spans="1:23" x14ac:dyDescent="0.3">
      <c r="A289" s="1" t="s">
        <v>805</v>
      </c>
      <c r="B289" s="2">
        <v>45217</v>
      </c>
      <c r="C289" s="3">
        <v>0.96875</v>
      </c>
      <c r="D289" s="1" t="s">
        <v>842</v>
      </c>
      <c r="E289">
        <v>97</v>
      </c>
      <c r="F289" s="1" t="s">
        <v>810</v>
      </c>
      <c r="G289" s="1" t="s">
        <v>842</v>
      </c>
      <c r="H289" s="1" t="s">
        <v>29</v>
      </c>
      <c r="I289">
        <v>-10.059846</v>
      </c>
      <c r="J289">
        <v>14.375757999999999</v>
      </c>
      <c r="K289" s="1" t="s">
        <v>1498</v>
      </c>
      <c r="L289" s="1" t="s">
        <v>1499</v>
      </c>
      <c r="M289" s="1" t="s">
        <v>528</v>
      </c>
      <c r="N289" s="1" t="s">
        <v>29</v>
      </c>
      <c r="O289" s="1" t="str">
        <f>INT(Matrice1!$P289/12) &amp; " ans et " &amp; MOD(Matrice1!$P289,12) &amp; " mois"</f>
        <v>1 ans et 8 mois</v>
      </c>
      <c r="P289">
        <v>20</v>
      </c>
      <c r="Q289" s="1" t="s">
        <v>14</v>
      </c>
      <c r="R289" s="4">
        <f>Matrice1!$S289/1440</f>
        <v>6.458333333333334E-2</v>
      </c>
      <c r="S289">
        <v>93</v>
      </c>
      <c r="T289">
        <v>84.45</v>
      </c>
      <c r="U289">
        <v>0</v>
      </c>
      <c r="V289" s="8">
        <f>IF(Matrice1!$Q289="Pro Monde",10%,IF(AND(Matrice1!$R289&gt;12,Matrice1!$O289&gt;5),70%,IF(AND(OR(Matrice1!$R289&gt;=4,Matrice1!$R289&lt;=12,Matrice1!$O289&lt;5,(OR(Matrice1!$Q289="Premium ")))),45%,0%)))</f>
        <v>0.1</v>
      </c>
      <c r="W289">
        <f>Matrice1!$T289* (Matrice1!$V289/100)</f>
        <v>8.4450000000000011E-2</v>
      </c>
    </row>
    <row r="290" spans="1:23" x14ac:dyDescent="0.3">
      <c r="A290" s="1" t="s">
        <v>805</v>
      </c>
      <c r="B290" s="2">
        <v>45217</v>
      </c>
      <c r="C290" s="3">
        <v>0.96875</v>
      </c>
      <c r="D290" s="1" t="s">
        <v>842</v>
      </c>
      <c r="E290">
        <v>97</v>
      </c>
      <c r="F290" s="1" t="s">
        <v>810</v>
      </c>
      <c r="G290" s="1" t="s">
        <v>842</v>
      </c>
      <c r="H290" s="1" t="s">
        <v>29</v>
      </c>
      <c r="I290">
        <v>-10.059846</v>
      </c>
      <c r="J290">
        <v>14.375757999999999</v>
      </c>
      <c r="K290" s="1" t="s">
        <v>1498</v>
      </c>
      <c r="L290" s="1" t="s">
        <v>1499</v>
      </c>
      <c r="M290" s="1" t="s">
        <v>543</v>
      </c>
      <c r="N290" s="1" t="s">
        <v>29</v>
      </c>
      <c r="O290" s="1" t="str">
        <f>INT(Matrice1!$P290/12) &amp; " ans et " &amp; MOD(Matrice1!$P290,12) &amp; " mois"</f>
        <v>6 ans et 2 mois</v>
      </c>
      <c r="P290">
        <v>74</v>
      </c>
      <c r="Q290" s="1" t="s">
        <v>22</v>
      </c>
      <c r="R290" s="4">
        <f>Matrice1!$S290/1440</f>
        <v>0.22916666666666666</v>
      </c>
      <c r="S290">
        <v>330</v>
      </c>
      <c r="T290">
        <v>37.82</v>
      </c>
      <c r="U290">
        <v>5</v>
      </c>
      <c r="V290" s="8">
        <f>IF(Matrice1!$Q290="Pro Monde",10%,IF(AND(Matrice1!$R290&gt;12,Matrice1!$O290&gt;5),70%,IF(AND(OR(Matrice1!$R290&gt;=4,Matrice1!$R290&lt;=12,Matrice1!$O290&lt;5,(OR(Matrice1!$Q290="Premium ")))),45%,0%)))</f>
        <v>0.45</v>
      </c>
      <c r="W290">
        <f>Matrice1!$T290* (Matrice1!$V290/100)</f>
        <v>0.17019000000000001</v>
      </c>
    </row>
    <row r="291" spans="1:23" x14ac:dyDescent="0.3">
      <c r="A291" s="1" t="s">
        <v>805</v>
      </c>
      <c r="B291" s="2">
        <v>45217</v>
      </c>
      <c r="C291" s="3">
        <v>0.96875</v>
      </c>
      <c r="D291" s="1" t="s">
        <v>842</v>
      </c>
      <c r="E291">
        <v>97</v>
      </c>
      <c r="F291" s="1" t="s">
        <v>810</v>
      </c>
      <c r="G291" s="1" t="s">
        <v>842</v>
      </c>
      <c r="H291" s="1" t="s">
        <v>29</v>
      </c>
      <c r="I291">
        <v>-10.059846</v>
      </c>
      <c r="J291">
        <v>14.375757999999999</v>
      </c>
      <c r="K291" s="1" t="s">
        <v>1498</v>
      </c>
      <c r="L291" s="1" t="s">
        <v>1499</v>
      </c>
      <c r="M291" s="1" t="s">
        <v>551</v>
      </c>
      <c r="N291" s="1" t="s">
        <v>29</v>
      </c>
      <c r="O291" s="1" t="str">
        <f>INT(Matrice1!$P291/12) &amp; " ans et " &amp; MOD(Matrice1!$P291,12) &amp; " mois"</f>
        <v>3 ans et 0 mois</v>
      </c>
      <c r="P291">
        <v>36</v>
      </c>
      <c r="Q291" s="1" t="s">
        <v>22</v>
      </c>
      <c r="R291" s="4">
        <f>Matrice1!$S291/1440</f>
        <v>0.33819444444444446</v>
      </c>
      <c r="S291">
        <v>487</v>
      </c>
      <c r="T291">
        <v>45.02</v>
      </c>
      <c r="U291">
        <v>2</v>
      </c>
      <c r="V291" s="8">
        <f>IF(Matrice1!$Q291="Pro Monde",10%,IF(AND(Matrice1!$R291&gt;12,Matrice1!$O291&gt;5),70%,IF(AND(OR(Matrice1!$R291&gt;=4,Matrice1!$R291&lt;=12,Matrice1!$O291&lt;5,(OR(Matrice1!$Q291="Premium ")))),45%,0%)))</f>
        <v>0.45</v>
      </c>
      <c r="W291">
        <f>Matrice1!$T291* (Matrice1!$V291/100)</f>
        <v>0.20259000000000005</v>
      </c>
    </row>
    <row r="292" spans="1:23" x14ac:dyDescent="0.3">
      <c r="A292" s="1" t="s">
        <v>898</v>
      </c>
      <c r="B292" s="2">
        <v>45216</v>
      </c>
      <c r="C292" s="3">
        <v>0.90277777777777779</v>
      </c>
      <c r="D292" s="1" t="s">
        <v>929</v>
      </c>
      <c r="E292">
        <v>20</v>
      </c>
      <c r="F292" s="1" t="s">
        <v>812</v>
      </c>
      <c r="G292" s="1" t="s">
        <v>929</v>
      </c>
      <c r="H292" s="1" t="s">
        <v>51</v>
      </c>
      <c r="I292">
        <v>-4.2408359999999998</v>
      </c>
      <c r="J292">
        <v>26.210014000000001</v>
      </c>
      <c r="K292" s="1" t="s">
        <v>1498</v>
      </c>
      <c r="L292" s="1" t="s">
        <v>1499</v>
      </c>
      <c r="M292" s="1" t="s">
        <v>50</v>
      </c>
      <c r="N292" s="1" t="s">
        <v>51</v>
      </c>
      <c r="O292" s="1" t="str">
        <f>INT(Matrice1!$P292/12) &amp; " ans et " &amp; MOD(Matrice1!$P292,12) &amp; " mois"</f>
        <v>9 ans et 11 mois</v>
      </c>
      <c r="P292">
        <v>119</v>
      </c>
      <c r="Q292" s="1" t="s">
        <v>22</v>
      </c>
      <c r="R292" s="4">
        <f>Matrice1!$S292/1440</f>
        <v>0.15833333333333333</v>
      </c>
      <c r="S292">
        <v>228</v>
      </c>
      <c r="T292">
        <v>94.72</v>
      </c>
      <c r="U292">
        <v>3</v>
      </c>
      <c r="V292" s="8">
        <f>IF(Matrice1!$Q292="Pro Monde",10%,IF(AND(Matrice1!$R292&gt;12,Matrice1!$O292&gt;5),70%,IF(AND(OR(Matrice1!$R292&gt;=4,Matrice1!$R292&lt;=12,Matrice1!$O292&lt;5,(OR(Matrice1!$Q292="Premium ")))),45%,0%)))</f>
        <v>0.45</v>
      </c>
      <c r="W292">
        <f>Matrice1!$T292* (Matrice1!$V292/100)</f>
        <v>0.42624000000000006</v>
      </c>
    </row>
    <row r="293" spans="1:23" x14ac:dyDescent="0.3">
      <c r="A293" s="1" t="s">
        <v>898</v>
      </c>
      <c r="B293" s="2">
        <v>45216</v>
      </c>
      <c r="C293" s="3">
        <v>0.90277777777777779</v>
      </c>
      <c r="D293" s="1" t="s">
        <v>929</v>
      </c>
      <c r="E293">
        <v>20</v>
      </c>
      <c r="F293" s="1" t="s">
        <v>812</v>
      </c>
      <c r="G293" s="1" t="s">
        <v>929</v>
      </c>
      <c r="H293" s="1" t="s">
        <v>51</v>
      </c>
      <c r="I293">
        <v>-4.2408359999999998</v>
      </c>
      <c r="J293">
        <v>26.210014000000001</v>
      </c>
      <c r="K293" s="1" t="s">
        <v>1498</v>
      </c>
      <c r="L293" s="1" t="s">
        <v>1499</v>
      </c>
      <c r="M293" s="1" t="s">
        <v>80</v>
      </c>
      <c r="N293" s="1" t="s">
        <v>51</v>
      </c>
      <c r="O293" s="1" t="str">
        <f>INT(Matrice1!$P293/12) &amp; " ans et " &amp; MOD(Matrice1!$P293,12) &amp; " mois"</f>
        <v>9 ans et 4 mois</v>
      </c>
      <c r="P293">
        <v>112</v>
      </c>
      <c r="Q293" s="1" t="s">
        <v>14</v>
      </c>
      <c r="R293" s="4">
        <f>Matrice1!$S293/1440</f>
        <v>1.2500000000000001E-2</v>
      </c>
      <c r="S293">
        <v>18</v>
      </c>
      <c r="T293">
        <v>27.33</v>
      </c>
      <c r="U293">
        <v>5</v>
      </c>
      <c r="V293" s="8">
        <f>IF(Matrice1!$Q293="Pro Monde",10%,IF(AND(Matrice1!$R293&gt;12,Matrice1!$O293&gt;5),70%,IF(AND(OR(Matrice1!$R293&gt;=4,Matrice1!$R293&lt;=12,Matrice1!$O293&lt;5,(OR(Matrice1!$Q293="Premium ")))),45%,0%)))</f>
        <v>0.1</v>
      </c>
      <c r="W293">
        <f>Matrice1!$T293* (Matrice1!$V293/100)</f>
        <v>2.733E-2</v>
      </c>
    </row>
    <row r="294" spans="1:23" x14ac:dyDescent="0.3">
      <c r="A294" s="1" t="s">
        <v>898</v>
      </c>
      <c r="B294" s="2">
        <v>45216</v>
      </c>
      <c r="C294" s="3">
        <v>0.90277777777777779</v>
      </c>
      <c r="D294" s="1" t="s">
        <v>929</v>
      </c>
      <c r="E294">
        <v>20</v>
      </c>
      <c r="F294" s="1" t="s">
        <v>812</v>
      </c>
      <c r="G294" s="1" t="s">
        <v>929</v>
      </c>
      <c r="H294" s="1" t="s">
        <v>51</v>
      </c>
      <c r="I294">
        <v>-4.2408359999999998</v>
      </c>
      <c r="J294">
        <v>26.210014000000001</v>
      </c>
      <c r="K294" s="1" t="s">
        <v>1498</v>
      </c>
      <c r="L294" s="1" t="s">
        <v>1499</v>
      </c>
      <c r="M294" s="1" t="s">
        <v>83</v>
      </c>
      <c r="N294" s="1" t="s">
        <v>51</v>
      </c>
      <c r="O294" s="1" t="str">
        <f>INT(Matrice1!$P294/12) &amp; " ans et " &amp; MOD(Matrice1!$P294,12) &amp; " mois"</f>
        <v>3 ans et 11 mois</v>
      </c>
      <c r="P294">
        <v>47</v>
      </c>
      <c r="Q294" s="1" t="s">
        <v>19</v>
      </c>
      <c r="R294" s="4">
        <f>Matrice1!$S294/1440</f>
        <v>0.13819444444444445</v>
      </c>
      <c r="S294">
        <v>199</v>
      </c>
      <c r="T294">
        <v>23.19</v>
      </c>
      <c r="U294">
        <v>2</v>
      </c>
      <c r="V294" s="8">
        <f>IF(Matrice1!$Q294="Pro Monde",10%,IF(AND(Matrice1!$R294&gt;12,Matrice1!$O294&gt;5),70%,IF(AND(OR(Matrice1!$R294&gt;=4,Matrice1!$R294&lt;=12,Matrice1!$O294&lt;5,(OR(Matrice1!$Q294="Premium ")))),45%,0%)))</f>
        <v>0.45</v>
      </c>
      <c r="W294">
        <f>Matrice1!$T294* (Matrice1!$V294/100)</f>
        <v>0.10435500000000002</v>
      </c>
    </row>
    <row r="295" spans="1:23" x14ac:dyDescent="0.3">
      <c r="A295" s="1" t="s">
        <v>898</v>
      </c>
      <c r="B295" s="2">
        <v>45216</v>
      </c>
      <c r="C295" s="3">
        <v>0.90277777777777779</v>
      </c>
      <c r="D295" s="1" t="s">
        <v>929</v>
      </c>
      <c r="E295">
        <v>20</v>
      </c>
      <c r="F295" s="1" t="s">
        <v>812</v>
      </c>
      <c r="G295" s="1" t="s">
        <v>929</v>
      </c>
      <c r="H295" s="1" t="s">
        <v>51</v>
      </c>
      <c r="I295">
        <v>-4.2408359999999998</v>
      </c>
      <c r="J295">
        <v>26.210014000000001</v>
      </c>
      <c r="K295" s="1" t="s">
        <v>1498</v>
      </c>
      <c r="L295" s="1" t="s">
        <v>1499</v>
      </c>
      <c r="M295" s="1" t="s">
        <v>86</v>
      </c>
      <c r="N295" s="1" t="s">
        <v>51</v>
      </c>
      <c r="O295" s="1" t="str">
        <f>INT(Matrice1!$P295/12) &amp; " ans et " &amp; MOD(Matrice1!$P295,12) &amp; " mois"</f>
        <v>6 ans et 10 mois</v>
      </c>
      <c r="P295">
        <v>82</v>
      </c>
      <c r="Q295" s="1" t="s">
        <v>19</v>
      </c>
      <c r="R295" s="4">
        <f>Matrice1!$S295/1440</f>
        <v>9.166666666666666E-2</v>
      </c>
      <c r="S295">
        <v>132</v>
      </c>
      <c r="T295">
        <v>50.14</v>
      </c>
      <c r="U295">
        <v>5</v>
      </c>
      <c r="V295" s="8">
        <f>IF(Matrice1!$Q295="Pro Monde",10%,IF(AND(Matrice1!$R295&gt;12,Matrice1!$O295&gt;5),70%,IF(AND(OR(Matrice1!$R295&gt;=4,Matrice1!$R295&lt;=12,Matrice1!$O295&lt;5,(OR(Matrice1!$Q295="Premium ")))),45%,0%)))</f>
        <v>0.45</v>
      </c>
      <c r="W295">
        <f>Matrice1!$T295* (Matrice1!$V295/100)</f>
        <v>0.22563000000000002</v>
      </c>
    </row>
    <row r="296" spans="1:23" x14ac:dyDescent="0.3">
      <c r="A296" s="1" t="s">
        <v>898</v>
      </c>
      <c r="B296" s="2">
        <v>45216</v>
      </c>
      <c r="C296" s="3">
        <v>0.90277777777777779</v>
      </c>
      <c r="D296" s="1" t="s">
        <v>929</v>
      </c>
      <c r="E296">
        <v>20</v>
      </c>
      <c r="F296" s="1" t="s">
        <v>812</v>
      </c>
      <c r="G296" s="1" t="s">
        <v>929</v>
      </c>
      <c r="H296" s="1" t="s">
        <v>51</v>
      </c>
      <c r="I296">
        <v>-4.2408359999999998</v>
      </c>
      <c r="J296">
        <v>26.210014000000001</v>
      </c>
      <c r="K296" s="1" t="s">
        <v>1498</v>
      </c>
      <c r="L296" s="1" t="s">
        <v>1499</v>
      </c>
      <c r="M296" s="1" t="s">
        <v>94</v>
      </c>
      <c r="N296" s="1" t="s">
        <v>51</v>
      </c>
      <c r="O296" s="1" t="str">
        <f>INT(Matrice1!$P296/12) &amp; " ans et " &amp; MOD(Matrice1!$P296,12) &amp; " mois"</f>
        <v>9 ans et 3 mois</v>
      </c>
      <c r="P296">
        <v>111</v>
      </c>
      <c r="Q296" s="1" t="s">
        <v>11</v>
      </c>
      <c r="R296" s="4">
        <f>Matrice1!$S296/1440</f>
        <v>7.1527777777777773E-2</v>
      </c>
      <c r="S296">
        <v>103</v>
      </c>
      <c r="T296">
        <v>32.06</v>
      </c>
      <c r="U296">
        <v>0</v>
      </c>
      <c r="V296" s="8">
        <f>IF(Matrice1!$Q296="Pro Monde",10%,IF(AND(Matrice1!$R296&gt;12,Matrice1!$O296&gt;5),70%,IF(AND(OR(Matrice1!$R296&gt;=4,Matrice1!$R296&lt;=12,Matrice1!$O296&lt;5,(OR(Matrice1!$Q296="Premium ")))),45%,0%)))</f>
        <v>0.45</v>
      </c>
      <c r="W296">
        <f>Matrice1!$T296* (Matrice1!$V296/100)</f>
        <v>0.14427000000000004</v>
      </c>
    </row>
    <row r="297" spans="1:23" x14ac:dyDescent="0.3">
      <c r="A297" s="1" t="s">
        <v>898</v>
      </c>
      <c r="B297" s="2">
        <v>45216</v>
      </c>
      <c r="C297" s="3">
        <v>0.90277777777777779</v>
      </c>
      <c r="D297" s="1" t="s">
        <v>929</v>
      </c>
      <c r="E297">
        <v>20</v>
      </c>
      <c r="F297" s="1" t="s">
        <v>812</v>
      </c>
      <c r="G297" s="1" t="s">
        <v>929</v>
      </c>
      <c r="H297" s="1" t="s">
        <v>51</v>
      </c>
      <c r="I297">
        <v>-4.2408359999999998</v>
      </c>
      <c r="J297">
        <v>26.210014000000001</v>
      </c>
      <c r="K297" s="1" t="s">
        <v>1498</v>
      </c>
      <c r="L297" s="1" t="s">
        <v>1499</v>
      </c>
      <c r="M297" s="1" t="s">
        <v>116</v>
      </c>
      <c r="N297" s="1" t="s">
        <v>51</v>
      </c>
      <c r="O297" s="1" t="str">
        <f>INT(Matrice1!$P297/12) &amp; " ans et " &amp; MOD(Matrice1!$P297,12) &amp; " mois"</f>
        <v>1 ans et 0 mois</v>
      </c>
      <c r="P297">
        <v>12</v>
      </c>
      <c r="Q297" s="1" t="s">
        <v>11</v>
      </c>
      <c r="R297" s="4">
        <f>Matrice1!$S297/1440</f>
        <v>0.14444444444444443</v>
      </c>
      <c r="S297">
        <v>208</v>
      </c>
      <c r="T297">
        <v>16.29</v>
      </c>
      <c r="U297">
        <v>4</v>
      </c>
      <c r="V297" s="8">
        <f>IF(Matrice1!$Q297="Pro Monde",10%,IF(AND(Matrice1!$R297&gt;12,Matrice1!$O297&gt;5),70%,IF(AND(OR(Matrice1!$R297&gt;=4,Matrice1!$R297&lt;=12,Matrice1!$O297&lt;5,(OR(Matrice1!$Q297="Premium ")))),45%,0%)))</f>
        <v>0.45</v>
      </c>
      <c r="W297">
        <f>Matrice1!$T297* (Matrice1!$V297/100)</f>
        <v>7.3305000000000009E-2</v>
      </c>
    </row>
    <row r="298" spans="1:23" x14ac:dyDescent="0.3">
      <c r="A298" s="1" t="s">
        <v>898</v>
      </c>
      <c r="B298" s="2">
        <v>45216</v>
      </c>
      <c r="C298" s="3">
        <v>0.90277777777777779</v>
      </c>
      <c r="D298" s="1" t="s">
        <v>929</v>
      </c>
      <c r="E298">
        <v>20</v>
      </c>
      <c r="F298" s="1" t="s">
        <v>812</v>
      </c>
      <c r="G298" s="1" t="s">
        <v>929</v>
      </c>
      <c r="H298" s="1" t="s">
        <v>51</v>
      </c>
      <c r="I298">
        <v>-4.2408359999999998</v>
      </c>
      <c r="J298">
        <v>26.210014000000001</v>
      </c>
      <c r="K298" s="1" t="s">
        <v>1498</v>
      </c>
      <c r="L298" s="1" t="s">
        <v>1499</v>
      </c>
      <c r="M298" s="1" t="s">
        <v>158</v>
      </c>
      <c r="N298" s="1" t="s">
        <v>51</v>
      </c>
      <c r="O298" s="1" t="str">
        <f>INT(Matrice1!$P298/12) &amp; " ans et " &amp; MOD(Matrice1!$P298,12) &amp; " mois"</f>
        <v>9 ans et 1 mois</v>
      </c>
      <c r="P298">
        <v>109</v>
      </c>
      <c r="Q298" s="1" t="s">
        <v>14</v>
      </c>
      <c r="R298" s="4">
        <f>Matrice1!$S298/1440</f>
        <v>0.33333333333333331</v>
      </c>
      <c r="S298">
        <v>480</v>
      </c>
      <c r="T298">
        <v>31.36</v>
      </c>
      <c r="U298">
        <v>0</v>
      </c>
      <c r="V298" s="8">
        <f>IF(Matrice1!$Q298="Pro Monde",10%,IF(AND(Matrice1!$R298&gt;12,Matrice1!$O298&gt;5),70%,IF(AND(OR(Matrice1!$R298&gt;=4,Matrice1!$R298&lt;=12,Matrice1!$O298&lt;5,(OR(Matrice1!$Q298="Premium ")))),45%,0%)))</f>
        <v>0.1</v>
      </c>
      <c r="W298">
        <f>Matrice1!$T298* (Matrice1!$V298/100)</f>
        <v>3.1359999999999999E-2</v>
      </c>
    </row>
    <row r="299" spans="1:23" x14ac:dyDescent="0.3">
      <c r="A299" s="1" t="s">
        <v>898</v>
      </c>
      <c r="B299" s="2">
        <v>45216</v>
      </c>
      <c r="C299" s="3">
        <v>0.90277777777777779</v>
      </c>
      <c r="D299" s="1" t="s">
        <v>929</v>
      </c>
      <c r="E299">
        <v>20</v>
      </c>
      <c r="F299" s="1" t="s">
        <v>812</v>
      </c>
      <c r="G299" s="1" t="s">
        <v>929</v>
      </c>
      <c r="H299" s="1" t="s">
        <v>51</v>
      </c>
      <c r="I299">
        <v>-4.2408359999999998</v>
      </c>
      <c r="J299">
        <v>26.210014000000001</v>
      </c>
      <c r="K299" s="1" t="s">
        <v>1498</v>
      </c>
      <c r="L299" s="1" t="s">
        <v>1499</v>
      </c>
      <c r="M299" s="1" t="s">
        <v>195</v>
      </c>
      <c r="N299" s="1" t="s">
        <v>51</v>
      </c>
      <c r="O299" s="1" t="str">
        <f>INT(Matrice1!$P299/12) &amp; " ans et " &amp; MOD(Matrice1!$P299,12) &amp; " mois"</f>
        <v>5 ans et 6 mois</v>
      </c>
      <c r="P299">
        <v>66</v>
      </c>
      <c r="Q299" s="1" t="s">
        <v>22</v>
      </c>
      <c r="R299" s="4">
        <f>Matrice1!$S299/1440</f>
        <v>0.26874999999999999</v>
      </c>
      <c r="S299">
        <v>387</v>
      </c>
      <c r="T299">
        <v>82.94</v>
      </c>
      <c r="U299">
        <v>3</v>
      </c>
      <c r="V299" s="8">
        <f>IF(Matrice1!$Q299="Pro Monde",10%,IF(AND(Matrice1!$R299&gt;12,Matrice1!$O299&gt;5),70%,IF(AND(OR(Matrice1!$R299&gt;=4,Matrice1!$R299&lt;=12,Matrice1!$O299&lt;5,(OR(Matrice1!$Q299="Premium ")))),45%,0%)))</f>
        <v>0.45</v>
      </c>
      <c r="W299">
        <f>Matrice1!$T299* (Matrice1!$V299/100)</f>
        <v>0.37323000000000001</v>
      </c>
    </row>
    <row r="300" spans="1:23" x14ac:dyDescent="0.3">
      <c r="A300" s="1" t="s">
        <v>898</v>
      </c>
      <c r="B300" s="2">
        <v>45216</v>
      </c>
      <c r="C300" s="3">
        <v>0.90277777777777779</v>
      </c>
      <c r="D300" s="1" t="s">
        <v>929</v>
      </c>
      <c r="E300">
        <v>20</v>
      </c>
      <c r="F300" s="1" t="s">
        <v>812</v>
      </c>
      <c r="G300" s="1" t="s">
        <v>929</v>
      </c>
      <c r="H300" s="1" t="s">
        <v>51</v>
      </c>
      <c r="I300">
        <v>-4.2408359999999998</v>
      </c>
      <c r="J300">
        <v>26.210014000000001</v>
      </c>
      <c r="K300" s="1" t="s">
        <v>1498</v>
      </c>
      <c r="L300" s="1" t="s">
        <v>1499</v>
      </c>
      <c r="M300" s="1" t="s">
        <v>259</v>
      </c>
      <c r="N300" s="1" t="s">
        <v>51</v>
      </c>
      <c r="O300" s="1" t="str">
        <f>INT(Matrice1!$P300/12) &amp; " ans et " &amp; MOD(Matrice1!$P300,12) &amp; " mois"</f>
        <v>4 ans et 3 mois</v>
      </c>
      <c r="P300">
        <v>51</v>
      </c>
      <c r="Q300" s="1" t="s">
        <v>14</v>
      </c>
      <c r="R300" s="4">
        <f>Matrice1!$S300/1440</f>
        <v>0.23333333333333334</v>
      </c>
      <c r="S300">
        <v>336</v>
      </c>
      <c r="T300">
        <v>65.47</v>
      </c>
      <c r="U300">
        <v>1</v>
      </c>
      <c r="V300" s="8">
        <f>IF(Matrice1!$Q300="Pro Monde",10%,IF(AND(Matrice1!$R300&gt;12,Matrice1!$O300&gt;5),70%,IF(AND(OR(Matrice1!$R300&gt;=4,Matrice1!$R300&lt;=12,Matrice1!$O300&lt;5,(OR(Matrice1!$Q300="Premium ")))),45%,0%)))</f>
        <v>0.1</v>
      </c>
      <c r="W300">
        <f>Matrice1!$T300* (Matrice1!$V300/100)</f>
        <v>6.547E-2</v>
      </c>
    </row>
    <row r="301" spans="1:23" x14ac:dyDescent="0.3">
      <c r="A301" s="1" t="s">
        <v>898</v>
      </c>
      <c r="B301" s="2">
        <v>45216</v>
      </c>
      <c r="C301" s="3">
        <v>0.90277777777777779</v>
      </c>
      <c r="D301" s="1" t="s">
        <v>929</v>
      </c>
      <c r="E301">
        <v>20</v>
      </c>
      <c r="F301" s="1" t="s">
        <v>812</v>
      </c>
      <c r="G301" s="1" t="s">
        <v>929</v>
      </c>
      <c r="H301" s="1" t="s">
        <v>51</v>
      </c>
      <c r="I301">
        <v>-4.2408359999999998</v>
      </c>
      <c r="J301">
        <v>26.210014000000001</v>
      </c>
      <c r="K301" s="1" t="s">
        <v>1498</v>
      </c>
      <c r="L301" s="1" t="s">
        <v>1499</v>
      </c>
      <c r="M301" s="1" t="s">
        <v>279</v>
      </c>
      <c r="N301" s="1" t="s">
        <v>51</v>
      </c>
      <c r="O301" s="1" t="str">
        <f>INT(Matrice1!$P301/12) &amp; " ans et " &amp; MOD(Matrice1!$P301,12) &amp; " mois"</f>
        <v>4 ans et 9 mois</v>
      </c>
      <c r="P301">
        <v>57</v>
      </c>
      <c r="Q301" s="1" t="s">
        <v>22</v>
      </c>
      <c r="R301" s="4">
        <f>Matrice1!$S301/1440</f>
        <v>0.30208333333333331</v>
      </c>
      <c r="S301">
        <v>435</v>
      </c>
      <c r="T301">
        <v>56.88</v>
      </c>
      <c r="U301">
        <v>4</v>
      </c>
      <c r="V301" s="8">
        <f>IF(Matrice1!$Q301="Pro Monde",10%,IF(AND(Matrice1!$R301&gt;12,Matrice1!$O301&gt;5),70%,IF(AND(OR(Matrice1!$R301&gt;=4,Matrice1!$R301&lt;=12,Matrice1!$O301&lt;5,(OR(Matrice1!$Q301="Premium ")))),45%,0%)))</f>
        <v>0.45</v>
      </c>
      <c r="W301">
        <f>Matrice1!$T301* (Matrice1!$V301/100)</f>
        <v>0.25596000000000002</v>
      </c>
    </row>
    <row r="302" spans="1:23" x14ac:dyDescent="0.3">
      <c r="A302" s="1" t="s">
        <v>898</v>
      </c>
      <c r="B302" s="2">
        <v>45216</v>
      </c>
      <c r="C302" s="3">
        <v>0.90277777777777779</v>
      </c>
      <c r="D302" s="1" t="s">
        <v>929</v>
      </c>
      <c r="E302">
        <v>20</v>
      </c>
      <c r="F302" s="1" t="s">
        <v>812</v>
      </c>
      <c r="G302" s="1" t="s">
        <v>929</v>
      </c>
      <c r="H302" s="1" t="s">
        <v>51</v>
      </c>
      <c r="I302">
        <v>-4.2408359999999998</v>
      </c>
      <c r="J302">
        <v>26.210014000000001</v>
      </c>
      <c r="K302" s="1" t="s">
        <v>1498</v>
      </c>
      <c r="L302" s="1" t="s">
        <v>1499</v>
      </c>
      <c r="M302" s="1" t="s">
        <v>283</v>
      </c>
      <c r="N302" s="1" t="s">
        <v>51</v>
      </c>
      <c r="O302" s="1" t="str">
        <f>INT(Matrice1!$P302/12) &amp; " ans et " &amp; MOD(Matrice1!$P302,12) &amp; " mois"</f>
        <v>3 ans et 0 mois</v>
      </c>
      <c r="P302">
        <v>36</v>
      </c>
      <c r="Q302" s="1" t="s">
        <v>19</v>
      </c>
      <c r="R302" s="4">
        <f>Matrice1!$S302/1440</f>
        <v>0.34097222222222223</v>
      </c>
      <c r="S302">
        <v>491</v>
      </c>
      <c r="T302">
        <v>12.13</v>
      </c>
      <c r="U302">
        <v>4</v>
      </c>
      <c r="V302" s="8">
        <f>IF(Matrice1!$Q302="Pro Monde",10%,IF(AND(Matrice1!$R302&gt;12,Matrice1!$O302&gt;5),70%,IF(AND(OR(Matrice1!$R302&gt;=4,Matrice1!$R302&lt;=12,Matrice1!$O302&lt;5,(OR(Matrice1!$Q302="Premium ")))),45%,0%)))</f>
        <v>0.45</v>
      </c>
      <c r="W302">
        <f>Matrice1!$T302* (Matrice1!$V302/100)</f>
        <v>5.4585000000000009E-2</v>
      </c>
    </row>
    <row r="303" spans="1:23" x14ac:dyDescent="0.3">
      <c r="A303" s="1" t="s">
        <v>898</v>
      </c>
      <c r="B303" s="2">
        <v>45216</v>
      </c>
      <c r="C303" s="3">
        <v>0.90277777777777779</v>
      </c>
      <c r="D303" s="1" t="s">
        <v>929</v>
      </c>
      <c r="E303">
        <v>20</v>
      </c>
      <c r="F303" s="1" t="s">
        <v>812</v>
      </c>
      <c r="G303" s="1" t="s">
        <v>929</v>
      </c>
      <c r="H303" s="1" t="s">
        <v>51</v>
      </c>
      <c r="I303">
        <v>-4.2408359999999998</v>
      </c>
      <c r="J303">
        <v>26.210014000000001</v>
      </c>
      <c r="K303" s="1" t="s">
        <v>1498</v>
      </c>
      <c r="L303" s="1" t="s">
        <v>1499</v>
      </c>
      <c r="M303" s="1" t="s">
        <v>372</v>
      </c>
      <c r="N303" s="1" t="s">
        <v>51</v>
      </c>
      <c r="O303" s="1" t="str">
        <f>INT(Matrice1!$P303/12) &amp; " ans et " &amp; MOD(Matrice1!$P303,12) &amp; " mois"</f>
        <v>9 ans et 0 mois</v>
      </c>
      <c r="P303">
        <v>108</v>
      </c>
      <c r="Q303" s="1" t="s">
        <v>22</v>
      </c>
      <c r="R303" s="4">
        <f>Matrice1!$S303/1440</f>
        <v>8.5416666666666669E-2</v>
      </c>
      <c r="S303">
        <v>123</v>
      </c>
      <c r="T303">
        <v>83.1</v>
      </c>
      <c r="U303">
        <v>1</v>
      </c>
      <c r="V303" s="8">
        <f>IF(Matrice1!$Q303="Pro Monde",10%,IF(AND(Matrice1!$R303&gt;12,Matrice1!$O303&gt;5),70%,IF(AND(OR(Matrice1!$R303&gt;=4,Matrice1!$R303&lt;=12,Matrice1!$O303&lt;5,(OR(Matrice1!$Q303="Premium ")))),45%,0%)))</f>
        <v>0.45</v>
      </c>
      <c r="W303">
        <f>Matrice1!$T303* (Matrice1!$V303/100)</f>
        <v>0.37395</v>
      </c>
    </row>
    <row r="304" spans="1:23" x14ac:dyDescent="0.3">
      <c r="A304" s="1" t="s">
        <v>898</v>
      </c>
      <c r="B304" s="2">
        <v>45216</v>
      </c>
      <c r="C304" s="3">
        <v>0.90277777777777779</v>
      </c>
      <c r="D304" s="1" t="s">
        <v>929</v>
      </c>
      <c r="E304">
        <v>20</v>
      </c>
      <c r="F304" s="1" t="s">
        <v>812</v>
      </c>
      <c r="G304" s="1" t="s">
        <v>929</v>
      </c>
      <c r="H304" s="1" t="s">
        <v>51</v>
      </c>
      <c r="I304">
        <v>-4.2408359999999998</v>
      </c>
      <c r="J304">
        <v>26.210014000000001</v>
      </c>
      <c r="K304" s="1" t="s">
        <v>1498</v>
      </c>
      <c r="L304" s="1" t="s">
        <v>1499</v>
      </c>
      <c r="M304" s="1" t="s">
        <v>375</v>
      </c>
      <c r="N304" s="1" t="s">
        <v>51</v>
      </c>
      <c r="O304" s="1" t="str">
        <f>INT(Matrice1!$P304/12) &amp; " ans et " &amp; MOD(Matrice1!$P304,12) &amp; " mois"</f>
        <v>7 ans et 4 mois</v>
      </c>
      <c r="P304">
        <v>88</v>
      </c>
      <c r="Q304" s="1" t="s">
        <v>22</v>
      </c>
      <c r="R304" s="4">
        <f>Matrice1!$S304/1440</f>
        <v>0.10694444444444444</v>
      </c>
      <c r="S304">
        <v>154</v>
      </c>
      <c r="T304">
        <v>62.62</v>
      </c>
      <c r="U304">
        <v>5</v>
      </c>
      <c r="V304" s="8">
        <f>IF(Matrice1!$Q304="Pro Monde",10%,IF(AND(Matrice1!$R304&gt;12,Matrice1!$O304&gt;5),70%,IF(AND(OR(Matrice1!$R304&gt;=4,Matrice1!$R304&lt;=12,Matrice1!$O304&lt;5,(OR(Matrice1!$Q304="Premium ")))),45%,0%)))</f>
        <v>0.45</v>
      </c>
      <c r="W304">
        <f>Matrice1!$T304* (Matrice1!$V304/100)</f>
        <v>0.28179000000000004</v>
      </c>
    </row>
    <row r="305" spans="1:23" x14ac:dyDescent="0.3">
      <c r="A305" s="1" t="s">
        <v>898</v>
      </c>
      <c r="B305" s="2">
        <v>45216</v>
      </c>
      <c r="C305" s="3">
        <v>0.90277777777777779</v>
      </c>
      <c r="D305" s="1" t="s">
        <v>929</v>
      </c>
      <c r="E305">
        <v>20</v>
      </c>
      <c r="F305" s="1" t="s">
        <v>812</v>
      </c>
      <c r="G305" s="1" t="s">
        <v>929</v>
      </c>
      <c r="H305" s="1" t="s">
        <v>51</v>
      </c>
      <c r="I305">
        <v>-4.2408359999999998</v>
      </c>
      <c r="J305">
        <v>26.210014000000001</v>
      </c>
      <c r="K305" s="1" t="s">
        <v>1498</v>
      </c>
      <c r="L305" s="1" t="s">
        <v>1499</v>
      </c>
      <c r="M305" s="1" t="s">
        <v>382</v>
      </c>
      <c r="N305" s="1" t="s">
        <v>51</v>
      </c>
      <c r="O305" s="1" t="str">
        <f>INT(Matrice1!$P305/12) &amp; " ans et " &amp; MOD(Matrice1!$P305,12) &amp; " mois"</f>
        <v>7 ans et 2 mois</v>
      </c>
      <c r="P305">
        <v>86</v>
      </c>
      <c r="Q305" s="1" t="s">
        <v>14</v>
      </c>
      <c r="R305" s="4">
        <f>Matrice1!$S305/1440</f>
        <v>0.13333333333333333</v>
      </c>
      <c r="S305">
        <v>192</v>
      </c>
      <c r="T305">
        <v>26.26</v>
      </c>
      <c r="U305">
        <v>1</v>
      </c>
      <c r="V305" s="8">
        <f>IF(Matrice1!$Q305="Pro Monde",10%,IF(AND(Matrice1!$R305&gt;12,Matrice1!$O305&gt;5),70%,IF(AND(OR(Matrice1!$R305&gt;=4,Matrice1!$R305&lt;=12,Matrice1!$O305&lt;5,(OR(Matrice1!$Q305="Premium ")))),45%,0%)))</f>
        <v>0.1</v>
      </c>
      <c r="W305">
        <f>Matrice1!$T305* (Matrice1!$V305/100)</f>
        <v>2.6260000000000002E-2</v>
      </c>
    </row>
    <row r="306" spans="1:23" x14ac:dyDescent="0.3">
      <c r="A306" s="1" t="s">
        <v>898</v>
      </c>
      <c r="B306" s="2">
        <v>45216</v>
      </c>
      <c r="C306" s="3">
        <v>0.90277777777777779</v>
      </c>
      <c r="D306" s="1" t="s">
        <v>929</v>
      </c>
      <c r="E306">
        <v>20</v>
      </c>
      <c r="F306" s="1" t="s">
        <v>812</v>
      </c>
      <c r="G306" s="1" t="s">
        <v>929</v>
      </c>
      <c r="H306" s="1" t="s">
        <v>51</v>
      </c>
      <c r="I306">
        <v>-4.2408359999999998</v>
      </c>
      <c r="J306">
        <v>26.210014000000001</v>
      </c>
      <c r="K306" s="1" t="s">
        <v>1498</v>
      </c>
      <c r="L306" s="1" t="s">
        <v>1499</v>
      </c>
      <c r="M306" s="1" t="s">
        <v>435</v>
      </c>
      <c r="N306" s="1" t="s">
        <v>51</v>
      </c>
      <c r="O306" s="1" t="str">
        <f>INT(Matrice1!$P306/12) &amp; " ans et " &amp; MOD(Matrice1!$P306,12) &amp; " mois"</f>
        <v>0 ans et 7 mois</v>
      </c>
      <c r="P306">
        <v>7</v>
      </c>
      <c r="Q306" s="1" t="s">
        <v>14</v>
      </c>
      <c r="R306" s="4">
        <f>Matrice1!$S306/1440</f>
        <v>0.24097222222222223</v>
      </c>
      <c r="S306">
        <v>347</v>
      </c>
      <c r="T306">
        <v>41.84</v>
      </c>
      <c r="U306">
        <v>2</v>
      </c>
      <c r="V306" s="8">
        <f>IF(Matrice1!$Q306="Pro Monde",10%,IF(AND(Matrice1!$R306&gt;12,Matrice1!$O306&gt;5),70%,IF(AND(OR(Matrice1!$R306&gt;=4,Matrice1!$R306&lt;=12,Matrice1!$O306&lt;5,(OR(Matrice1!$Q306="Premium ")))),45%,0%)))</f>
        <v>0.1</v>
      </c>
      <c r="W306">
        <f>Matrice1!$T306* (Matrice1!$V306/100)</f>
        <v>4.1840000000000002E-2</v>
      </c>
    </row>
    <row r="307" spans="1:23" x14ac:dyDescent="0.3">
      <c r="A307" s="1" t="s">
        <v>898</v>
      </c>
      <c r="B307" s="2">
        <v>45216</v>
      </c>
      <c r="C307" s="3">
        <v>0.90277777777777779</v>
      </c>
      <c r="D307" s="1" t="s">
        <v>929</v>
      </c>
      <c r="E307">
        <v>20</v>
      </c>
      <c r="F307" s="1" t="s">
        <v>812</v>
      </c>
      <c r="G307" s="1" t="s">
        <v>929</v>
      </c>
      <c r="H307" s="1" t="s">
        <v>51</v>
      </c>
      <c r="I307">
        <v>-4.2408359999999998</v>
      </c>
      <c r="J307">
        <v>26.210014000000001</v>
      </c>
      <c r="K307" s="1" t="s">
        <v>1498</v>
      </c>
      <c r="L307" s="1" t="s">
        <v>1499</v>
      </c>
      <c r="M307" s="1" t="s">
        <v>437</v>
      </c>
      <c r="N307" s="1" t="s">
        <v>51</v>
      </c>
      <c r="O307" s="1" t="str">
        <f>INT(Matrice1!$P307/12) &amp; " ans et " &amp; MOD(Matrice1!$P307,12) &amp; " mois"</f>
        <v>3 ans et 5 mois</v>
      </c>
      <c r="P307">
        <v>41</v>
      </c>
      <c r="Q307" s="1" t="s">
        <v>19</v>
      </c>
      <c r="R307" s="4">
        <f>Matrice1!$S307/1440</f>
        <v>0.2951388888888889</v>
      </c>
      <c r="S307">
        <v>425</v>
      </c>
      <c r="T307">
        <v>42.33</v>
      </c>
      <c r="U307">
        <v>3</v>
      </c>
      <c r="V307" s="8">
        <f>IF(Matrice1!$Q307="Pro Monde",10%,IF(AND(Matrice1!$R307&gt;12,Matrice1!$O307&gt;5),70%,IF(AND(OR(Matrice1!$R307&gt;=4,Matrice1!$R307&lt;=12,Matrice1!$O307&lt;5,(OR(Matrice1!$Q307="Premium ")))),45%,0%)))</f>
        <v>0.45</v>
      </c>
      <c r="W307">
        <f>Matrice1!$T307* (Matrice1!$V307/100)</f>
        <v>0.19048500000000002</v>
      </c>
    </row>
    <row r="308" spans="1:23" x14ac:dyDescent="0.3">
      <c r="A308" s="1" t="s">
        <v>898</v>
      </c>
      <c r="B308" s="2">
        <v>45216</v>
      </c>
      <c r="C308" s="3">
        <v>0.90277777777777779</v>
      </c>
      <c r="D308" s="1" t="s">
        <v>929</v>
      </c>
      <c r="E308">
        <v>20</v>
      </c>
      <c r="F308" s="1" t="s">
        <v>812</v>
      </c>
      <c r="G308" s="1" t="s">
        <v>929</v>
      </c>
      <c r="H308" s="1" t="s">
        <v>51</v>
      </c>
      <c r="I308">
        <v>-4.2408359999999998</v>
      </c>
      <c r="J308">
        <v>26.210014000000001</v>
      </c>
      <c r="K308" s="1" t="s">
        <v>1498</v>
      </c>
      <c r="L308" s="1" t="s">
        <v>1499</v>
      </c>
      <c r="M308" s="1" t="s">
        <v>445</v>
      </c>
      <c r="N308" s="1" t="s">
        <v>51</v>
      </c>
      <c r="O308" s="1" t="str">
        <f>INT(Matrice1!$P308/12) &amp; " ans et " &amp; MOD(Matrice1!$P308,12) &amp; " mois"</f>
        <v>6 ans et 11 mois</v>
      </c>
      <c r="P308">
        <v>83</v>
      </c>
      <c r="Q308" s="1" t="s">
        <v>11</v>
      </c>
      <c r="R308" s="4">
        <f>Matrice1!$S308/1440</f>
        <v>7.2916666666666671E-2</v>
      </c>
      <c r="S308">
        <v>105</v>
      </c>
      <c r="T308">
        <v>20.46</v>
      </c>
      <c r="U308">
        <v>1</v>
      </c>
      <c r="V308" s="8">
        <f>IF(Matrice1!$Q308="Pro Monde",10%,IF(AND(Matrice1!$R308&gt;12,Matrice1!$O308&gt;5),70%,IF(AND(OR(Matrice1!$R308&gt;=4,Matrice1!$R308&lt;=12,Matrice1!$O308&lt;5,(OR(Matrice1!$Q308="Premium ")))),45%,0%)))</f>
        <v>0.45</v>
      </c>
      <c r="W308">
        <f>Matrice1!$T308* (Matrice1!$V308/100)</f>
        <v>9.2070000000000013E-2</v>
      </c>
    </row>
    <row r="309" spans="1:23" x14ac:dyDescent="0.3">
      <c r="A309" s="1" t="s">
        <v>898</v>
      </c>
      <c r="B309" s="2">
        <v>45216</v>
      </c>
      <c r="C309" s="3">
        <v>0.90277777777777779</v>
      </c>
      <c r="D309" s="1" t="s">
        <v>929</v>
      </c>
      <c r="E309">
        <v>20</v>
      </c>
      <c r="F309" s="1" t="s">
        <v>812</v>
      </c>
      <c r="G309" s="1" t="s">
        <v>929</v>
      </c>
      <c r="H309" s="1" t="s">
        <v>51</v>
      </c>
      <c r="I309">
        <v>-4.2408359999999998</v>
      </c>
      <c r="J309">
        <v>26.210014000000001</v>
      </c>
      <c r="K309" s="1" t="s">
        <v>1498</v>
      </c>
      <c r="L309" s="1" t="s">
        <v>1499</v>
      </c>
      <c r="M309" s="1" t="s">
        <v>456</v>
      </c>
      <c r="N309" s="1" t="s">
        <v>51</v>
      </c>
      <c r="O309" s="1" t="str">
        <f>INT(Matrice1!$P309/12) &amp; " ans et " &amp; MOD(Matrice1!$P309,12) &amp; " mois"</f>
        <v>3 ans et 5 mois</v>
      </c>
      <c r="P309">
        <v>41</v>
      </c>
      <c r="Q309" s="1" t="s">
        <v>22</v>
      </c>
      <c r="R309" s="4">
        <f>Matrice1!$S309/1440</f>
        <v>0.28055555555555556</v>
      </c>
      <c r="S309">
        <v>404</v>
      </c>
      <c r="T309">
        <v>98.67</v>
      </c>
      <c r="U309">
        <v>5</v>
      </c>
      <c r="V309" s="8">
        <f>IF(Matrice1!$Q309="Pro Monde",10%,IF(AND(Matrice1!$R309&gt;12,Matrice1!$O309&gt;5),70%,IF(AND(OR(Matrice1!$R309&gt;=4,Matrice1!$R309&lt;=12,Matrice1!$O309&lt;5,(OR(Matrice1!$Q309="Premium ")))),45%,0%)))</f>
        <v>0.45</v>
      </c>
      <c r="W309">
        <f>Matrice1!$T309* (Matrice1!$V309/100)</f>
        <v>0.44401500000000005</v>
      </c>
    </row>
    <row r="310" spans="1:23" x14ac:dyDescent="0.3">
      <c r="A310" s="1" t="s">
        <v>898</v>
      </c>
      <c r="B310" s="2">
        <v>45216</v>
      </c>
      <c r="C310" s="3">
        <v>0.90277777777777779</v>
      </c>
      <c r="D310" s="1" t="s">
        <v>929</v>
      </c>
      <c r="E310">
        <v>20</v>
      </c>
      <c r="F310" s="1" t="s">
        <v>812</v>
      </c>
      <c r="G310" s="1" t="s">
        <v>929</v>
      </c>
      <c r="H310" s="1" t="s">
        <v>51</v>
      </c>
      <c r="I310">
        <v>-4.2408359999999998</v>
      </c>
      <c r="J310">
        <v>26.210014000000001</v>
      </c>
      <c r="K310" s="1" t="s">
        <v>1498</v>
      </c>
      <c r="L310" s="1" t="s">
        <v>1499</v>
      </c>
      <c r="M310" s="1" t="s">
        <v>468</v>
      </c>
      <c r="N310" s="1" t="s">
        <v>51</v>
      </c>
      <c r="O310" s="1" t="str">
        <f>INT(Matrice1!$P310/12) &amp; " ans et " &amp; MOD(Matrice1!$P310,12) &amp; " mois"</f>
        <v>5 ans et 1 mois</v>
      </c>
      <c r="P310">
        <v>61</v>
      </c>
      <c r="Q310" s="1" t="s">
        <v>14</v>
      </c>
      <c r="R310" s="4">
        <f>Matrice1!$S310/1440</f>
        <v>0.25138888888888888</v>
      </c>
      <c r="S310">
        <v>362</v>
      </c>
      <c r="T310">
        <v>75.03</v>
      </c>
      <c r="U310">
        <v>0</v>
      </c>
      <c r="V310" s="8">
        <f>IF(Matrice1!$Q310="Pro Monde",10%,IF(AND(Matrice1!$R310&gt;12,Matrice1!$O310&gt;5),70%,IF(AND(OR(Matrice1!$R310&gt;=4,Matrice1!$R310&lt;=12,Matrice1!$O310&lt;5,(OR(Matrice1!$Q310="Premium ")))),45%,0%)))</f>
        <v>0.1</v>
      </c>
      <c r="W310">
        <f>Matrice1!$T310* (Matrice1!$V310/100)</f>
        <v>7.5029999999999999E-2</v>
      </c>
    </row>
    <row r="311" spans="1:23" x14ac:dyDescent="0.3">
      <c r="A311" s="1" t="s">
        <v>898</v>
      </c>
      <c r="B311" s="2">
        <v>45216</v>
      </c>
      <c r="C311" s="3">
        <v>0.90277777777777779</v>
      </c>
      <c r="D311" s="1" t="s">
        <v>929</v>
      </c>
      <c r="E311">
        <v>20</v>
      </c>
      <c r="F311" s="1" t="s">
        <v>812</v>
      </c>
      <c r="G311" s="1" t="s">
        <v>929</v>
      </c>
      <c r="H311" s="1" t="s">
        <v>51</v>
      </c>
      <c r="I311">
        <v>-4.2408359999999998</v>
      </c>
      <c r="J311">
        <v>26.210014000000001</v>
      </c>
      <c r="K311" s="1" t="s">
        <v>1498</v>
      </c>
      <c r="L311" s="1" t="s">
        <v>1499</v>
      </c>
      <c r="M311" s="1" t="s">
        <v>501</v>
      </c>
      <c r="N311" s="1" t="s">
        <v>51</v>
      </c>
      <c r="O311" s="1" t="str">
        <f>INT(Matrice1!$P311/12) &amp; " ans et " &amp; MOD(Matrice1!$P311,12) &amp; " mois"</f>
        <v>1 ans et 8 mois</v>
      </c>
      <c r="P311">
        <v>20</v>
      </c>
      <c r="Q311" s="1" t="s">
        <v>22</v>
      </c>
      <c r="R311" s="4">
        <f>Matrice1!$S311/1440</f>
        <v>0.15069444444444444</v>
      </c>
      <c r="S311">
        <v>217</v>
      </c>
      <c r="T311">
        <v>55.3</v>
      </c>
      <c r="U311">
        <v>4</v>
      </c>
      <c r="V311" s="8">
        <f>IF(Matrice1!$Q311="Pro Monde",10%,IF(AND(Matrice1!$R311&gt;12,Matrice1!$O311&gt;5),70%,IF(AND(OR(Matrice1!$R311&gt;=4,Matrice1!$R311&lt;=12,Matrice1!$O311&lt;5,(OR(Matrice1!$Q311="Premium ")))),45%,0%)))</f>
        <v>0.45</v>
      </c>
      <c r="W311">
        <f>Matrice1!$T311* (Matrice1!$V311/100)</f>
        <v>0.24885000000000002</v>
      </c>
    </row>
    <row r="312" spans="1:23" x14ac:dyDescent="0.3">
      <c r="A312" s="1" t="s">
        <v>898</v>
      </c>
      <c r="B312" s="2">
        <v>45216</v>
      </c>
      <c r="C312" s="3">
        <v>0.90277777777777779</v>
      </c>
      <c r="D312" s="1" t="s">
        <v>929</v>
      </c>
      <c r="E312">
        <v>20</v>
      </c>
      <c r="F312" s="1" t="s">
        <v>812</v>
      </c>
      <c r="G312" s="1" t="s">
        <v>929</v>
      </c>
      <c r="H312" s="1" t="s">
        <v>51</v>
      </c>
      <c r="I312">
        <v>-4.2408359999999998</v>
      </c>
      <c r="J312">
        <v>26.210014000000001</v>
      </c>
      <c r="K312" s="1" t="s">
        <v>1498</v>
      </c>
      <c r="L312" s="1" t="s">
        <v>1499</v>
      </c>
      <c r="M312" s="1" t="s">
        <v>504</v>
      </c>
      <c r="N312" s="1" t="s">
        <v>51</v>
      </c>
      <c r="O312" s="1" t="str">
        <f>INT(Matrice1!$P312/12) &amp; " ans et " &amp; MOD(Matrice1!$P312,12) &amp; " mois"</f>
        <v>7 ans et 4 mois</v>
      </c>
      <c r="P312">
        <v>88</v>
      </c>
      <c r="Q312" s="1" t="s">
        <v>11</v>
      </c>
      <c r="R312" s="4">
        <f>Matrice1!$S312/1440</f>
        <v>0.24930555555555556</v>
      </c>
      <c r="S312">
        <v>359</v>
      </c>
      <c r="T312">
        <v>71.19</v>
      </c>
      <c r="U312">
        <v>3</v>
      </c>
      <c r="V312" s="8">
        <f>IF(Matrice1!$Q312="Pro Monde",10%,IF(AND(Matrice1!$R312&gt;12,Matrice1!$O312&gt;5),70%,IF(AND(OR(Matrice1!$R312&gt;=4,Matrice1!$R312&lt;=12,Matrice1!$O312&lt;5,(OR(Matrice1!$Q312="Premium ")))),45%,0%)))</f>
        <v>0.45</v>
      </c>
      <c r="W312">
        <f>Matrice1!$T312* (Matrice1!$V312/100)</f>
        <v>0.320355</v>
      </c>
    </row>
    <row r="313" spans="1:23" x14ac:dyDescent="0.3">
      <c r="A313" s="1" t="s">
        <v>898</v>
      </c>
      <c r="B313" s="2">
        <v>45216</v>
      </c>
      <c r="C313" s="3">
        <v>0.90277777777777779</v>
      </c>
      <c r="D313" s="1" t="s">
        <v>929</v>
      </c>
      <c r="E313">
        <v>20</v>
      </c>
      <c r="F313" s="1" t="s">
        <v>812</v>
      </c>
      <c r="G313" s="1" t="s">
        <v>929</v>
      </c>
      <c r="H313" s="1" t="s">
        <v>51</v>
      </c>
      <c r="I313">
        <v>-4.2408359999999998</v>
      </c>
      <c r="J313">
        <v>26.210014000000001</v>
      </c>
      <c r="K313" s="1" t="s">
        <v>1498</v>
      </c>
      <c r="L313" s="1" t="s">
        <v>1499</v>
      </c>
      <c r="M313" s="1" t="s">
        <v>507</v>
      </c>
      <c r="N313" s="1" t="s">
        <v>51</v>
      </c>
      <c r="O313" s="1" t="str">
        <f>INT(Matrice1!$P313/12) &amp; " ans et " &amp; MOD(Matrice1!$P313,12) &amp; " mois"</f>
        <v>8 ans et 9 mois</v>
      </c>
      <c r="P313">
        <v>105</v>
      </c>
      <c r="Q313" s="1" t="s">
        <v>14</v>
      </c>
      <c r="R313" s="4">
        <f>Matrice1!$S313/1440</f>
        <v>0.20624999999999999</v>
      </c>
      <c r="S313">
        <v>297</v>
      </c>
      <c r="T313">
        <v>84.66</v>
      </c>
      <c r="U313">
        <v>2</v>
      </c>
      <c r="V313" s="8">
        <f>IF(Matrice1!$Q313="Pro Monde",10%,IF(AND(Matrice1!$R313&gt;12,Matrice1!$O313&gt;5),70%,IF(AND(OR(Matrice1!$R313&gt;=4,Matrice1!$R313&lt;=12,Matrice1!$O313&lt;5,(OR(Matrice1!$Q313="Premium ")))),45%,0%)))</f>
        <v>0.1</v>
      </c>
      <c r="W313">
        <f>Matrice1!$T313* (Matrice1!$V313/100)</f>
        <v>8.4659999999999999E-2</v>
      </c>
    </row>
    <row r="314" spans="1:23" x14ac:dyDescent="0.3">
      <c r="A314" s="1" t="s">
        <v>898</v>
      </c>
      <c r="B314" s="2">
        <v>45216</v>
      </c>
      <c r="C314" s="3">
        <v>0.90277777777777779</v>
      </c>
      <c r="D314" s="1" t="s">
        <v>929</v>
      </c>
      <c r="E314">
        <v>20</v>
      </c>
      <c r="F314" s="1" t="s">
        <v>812</v>
      </c>
      <c r="G314" s="1" t="s">
        <v>929</v>
      </c>
      <c r="H314" s="1" t="s">
        <v>51</v>
      </c>
      <c r="I314">
        <v>-4.2408359999999998</v>
      </c>
      <c r="J314">
        <v>26.210014000000001</v>
      </c>
      <c r="K314" s="1" t="s">
        <v>1498</v>
      </c>
      <c r="L314" s="1" t="s">
        <v>1499</v>
      </c>
      <c r="M314" s="1" t="s">
        <v>526</v>
      </c>
      <c r="N314" s="1" t="s">
        <v>51</v>
      </c>
      <c r="O314" s="1" t="str">
        <f>INT(Matrice1!$P314/12) &amp; " ans et " &amp; MOD(Matrice1!$P314,12) &amp; " mois"</f>
        <v>9 ans et 3 mois</v>
      </c>
      <c r="P314">
        <v>111</v>
      </c>
      <c r="Q314" s="1" t="s">
        <v>19</v>
      </c>
      <c r="R314" s="4">
        <f>Matrice1!$S314/1440</f>
        <v>5.2777777777777778E-2</v>
      </c>
      <c r="S314">
        <v>76</v>
      </c>
      <c r="T314">
        <v>38.19</v>
      </c>
      <c r="U314">
        <v>5</v>
      </c>
      <c r="V314" s="8">
        <f>IF(Matrice1!$Q314="Pro Monde",10%,IF(AND(Matrice1!$R314&gt;12,Matrice1!$O314&gt;5),70%,IF(AND(OR(Matrice1!$R314&gt;=4,Matrice1!$R314&lt;=12,Matrice1!$O314&lt;5,(OR(Matrice1!$Q314="Premium ")))),45%,0%)))</f>
        <v>0.45</v>
      </c>
      <c r="W314">
        <f>Matrice1!$T314* (Matrice1!$V314/100)</f>
        <v>0.17185500000000001</v>
      </c>
    </row>
    <row r="315" spans="1:23" x14ac:dyDescent="0.3">
      <c r="A315" s="1" t="s">
        <v>898</v>
      </c>
      <c r="B315" s="2">
        <v>45216</v>
      </c>
      <c r="C315" s="3">
        <v>0.90277777777777779</v>
      </c>
      <c r="D315" s="1" t="s">
        <v>929</v>
      </c>
      <c r="E315">
        <v>20</v>
      </c>
      <c r="F315" s="1" t="s">
        <v>812</v>
      </c>
      <c r="G315" s="1" t="s">
        <v>929</v>
      </c>
      <c r="H315" s="1" t="s">
        <v>51</v>
      </c>
      <c r="I315">
        <v>-4.2408359999999998</v>
      </c>
      <c r="J315">
        <v>26.210014000000001</v>
      </c>
      <c r="K315" s="1" t="s">
        <v>1498</v>
      </c>
      <c r="L315" s="1" t="s">
        <v>1499</v>
      </c>
      <c r="M315" s="1" t="s">
        <v>529</v>
      </c>
      <c r="N315" s="1" t="s">
        <v>51</v>
      </c>
      <c r="O315" s="1" t="str">
        <f>INT(Matrice1!$P315/12) &amp; " ans et " &amp; MOD(Matrice1!$P315,12) &amp; " mois"</f>
        <v>8 ans et 4 mois</v>
      </c>
      <c r="P315">
        <v>100</v>
      </c>
      <c r="Q315" s="1" t="s">
        <v>22</v>
      </c>
      <c r="R315" s="4">
        <f>Matrice1!$S315/1440</f>
        <v>0.16666666666666666</v>
      </c>
      <c r="S315">
        <v>240</v>
      </c>
      <c r="T315">
        <v>24.83</v>
      </c>
      <c r="U315">
        <v>4</v>
      </c>
      <c r="V315" s="8">
        <f>IF(Matrice1!$Q315="Pro Monde",10%,IF(AND(Matrice1!$R315&gt;12,Matrice1!$O315&gt;5),70%,IF(AND(OR(Matrice1!$R315&gt;=4,Matrice1!$R315&lt;=12,Matrice1!$O315&lt;5,(OR(Matrice1!$Q315="Premium ")))),45%,0%)))</f>
        <v>0.45</v>
      </c>
      <c r="W315">
        <f>Matrice1!$T315* (Matrice1!$V315/100)</f>
        <v>0.111735</v>
      </c>
    </row>
    <row r="316" spans="1:23" x14ac:dyDescent="0.3">
      <c r="A316" s="1" t="s">
        <v>898</v>
      </c>
      <c r="B316" s="2">
        <v>45216</v>
      </c>
      <c r="C316" s="3">
        <v>0.90277777777777779</v>
      </c>
      <c r="D316" s="1" t="s">
        <v>929</v>
      </c>
      <c r="E316">
        <v>20</v>
      </c>
      <c r="F316" s="1" t="s">
        <v>812</v>
      </c>
      <c r="G316" s="1" t="s">
        <v>929</v>
      </c>
      <c r="H316" s="1" t="s">
        <v>51</v>
      </c>
      <c r="I316">
        <v>-4.2408359999999998</v>
      </c>
      <c r="J316">
        <v>26.210014000000001</v>
      </c>
      <c r="K316" s="1" t="s">
        <v>1498</v>
      </c>
      <c r="L316" s="1" t="s">
        <v>1499</v>
      </c>
      <c r="M316" s="1" t="s">
        <v>531</v>
      </c>
      <c r="N316" s="1" t="s">
        <v>51</v>
      </c>
      <c r="O316" s="1" t="str">
        <f>INT(Matrice1!$P316/12) &amp; " ans et " &amp; MOD(Matrice1!$P316,12) &amp; " mois"</f>
        <v>1 ans et 7 mois</v>
      </c>
      <c r="P316">
        <v>19</v>
      </c>
      <c r="Q316" s="1" t="s">
        <v>19</v>
      </c>
      <c r="R316" s="4">
        <f>Matrice1!$S316/1440</f>
        <v>4.9305555555555554E-2</v>
      </c>
      <c r="S316">
        <v>71</v>
      </c>
      <c r="T316">
        <v>68.2</v>
      </c>
      <c r="U316">
        <v>0</v>
      </c>
      <c r="V316" s="8">
        <f>IF(Matrice1!$Q316="Pro Monde",10%,IF(AND(Matrice1!$R316&gt;12,Matrice1!$O316&gt;5),70%,IF(AND(OR(Matrice1!$R316&gt;=4,Matrice1!$R316&lt;=12,Matrice1!$O316&lt;5,(OR(Matrice1!$Q316="Premium ")))),45%,0%)))</f>
        <v>0.45</v>
      </c>
      <c r="W316">
        <f>Matrice1!$T316* (Matrice1!$V316/100)</f>
        <v>0.30690000000000006</v>
      </c>
    </row>
    <row r="317" spans="1:23" x14ac:dyDescent="0.3">
      <c r="A317" s="1" t="s">
        <v>898</v>
      </c>
      <c r="B317" s="2">
        <v>45216</v>
      </c>
      <c r="C317" s="3">
        <v>0.90277777777777779</v>
      </c>
      <c r="D317" s="1" t="s">
        <v>929</v>
      </c>
      <c r="E317">
        <v>20</v>
      </c>
      <c r="F317" s="1" t="s">
        <v>812</v>
      </c>
      <c r="G317" s="1" t="s">
        <v>929</v>
      </c>
      <c r="H317" s="1" t="s">
        <v>51</v>
      </c>
      <c r="I317">
        <v>-4.2408359999999998</v>
      </c>
      <c r="J317">
        <v>26.210014000000001</v>
      </c>
      <c r="K317" s="1" t="s">
        <v>1498</v>
      </c>
      <c r="L317" s="1" t="s">
        <v>1499</v>
      </c>
      <c r="M317" s="1" t="s">
        <v>537</v>
      </c>
      <c r="N317" s="1" t="s">
        <v>51</v>
      </c>
      <c r="O317" s="1" t="str">
        <f>INT(Matrice1!$P317/12) &amp; " ans et " &amp; MOD(Matrice1!$P317,12) &amp; " mois"</f>
        <v>8 ans et 6 mois</v>
      </c>
      <c r="P317">
        <v>102</v>
      </c>
      <c r="Q317" s="1" t="s">
        <v>22</v>
      </c>
      <c r="R317" s="4">
        <f>Matrice1!$S317/1440</f>
        <v>0.16666666666666666</v>
      </c>
      <c r="S317">
        <v>240</v>
      </c>
      <c r="T317">
        <v>12.52</v>
      </c>
      <c r="U317">
        <v>2</v>
      </c>
      <c r="V317" s="8">
        <f>IF(Matrice1!$Q317="Pro Monde",10%,IF(AND(Matrice1!$R317&gt;12,Matrice1!$O317&gt;5),70%,IF(AND(OR(Matrice1!$R317&gt;=4,Matrice1!$R317&lt;=12,Matrice1!$O317&lt;5,(OR(Matrice1!$Q317="Premium ")))),45%,0%)))</f>
        <v>0.45</v>
      </c>
      <c r="W317">
        <f>Matrice1!$T317* (Matrice1!$V317/100)</f>
        <v>5.6340000000000008E-2</v>
      </c>
    </row>
    <row r="318" spans="1:23" x14ac:dyDescent="0.3">
      <c r="A318" s="1" t="s">
        <v>854</v>
      </c>
      <c r="B318" s="2">
        <v>45216</v>
      </c>
      <c r="C318" s="3">
        <v>0.67361111111111116</v>
      </c>
      <c r="D318" s="1" t="s">
        <v>881</v>
      </c>
      <c r="E318">
        <v>117</v>
      </c>
      <c r="F318" s="1" t="s">
        <v>807</v>
      </c>
      <c r="G318" s="1" t="s">
        <v>881</v>
      </c>
      <c r="H318" s="1" t="s">
        <v>31</v>
      </c>
      <c r="I318">
        <v>-12.141233</v>
      </c>
      <c r="J318">
        <v>15.179043999999999</v>
      </c>
      <c r="K318" s="1" t="s">
        <v>1495</v>
      </c>
      <c r="L318" s="1" t="s">
        <v>1496</v>
      </c>
      <c r="M318" s="1" t="s">
        <v>30</v>
      </c>
      <c r="N318" s="1" t="s">
        <v>31</v>
      </c>
      <c r="O318" s="1" t="str">
        <f>INT(Matrice1!$P318/12) &amp; " ans et " &amp; MOD(Matrice1!$P318,12) &amp; " mois"</f>
        <v>9 ans et 5 mois</v>
      </c>
      <c r="P318">
        <v>113</v>
      </c>
      <c r="Q318" s="1" t="s">
        <v>22</v>
      </c>
      <c r="R318" s="4">
        <f>Matrice1!$S318/1440</f>
        <v>0.2638888888888889</v>
      </c>
      <c r="S318">
        <v>380</v>
      </c>
      <c r="T318">
        <v>12.11</v>
      </c>
      <c r="U318">
        <v>0</v>
      </c>
      <c r="V318" s="8">
        <f>IF(Matrice1!$Q318="Pro Monde",10%,IF(AND(Matrice1!$R318&gt;12,Matrice1!$O318&gt;5),70%,IF(AND(OR(Matrice1!$R318&gt;=4,Matrice1!$R318&lt;=12,Matrice1!$O318&lt;5,(OR(Matrice1!$Q318="Premium ")))),45%,0%)))</f>
        <v>0.45</v>
      </c>
      <c r="W318">
        <f>Matrice1!$T318* (Matrice1!$V318/100)</f>
        <v>5.4495000000000002E-2</v>
      </c>
    </row>
    <row r="319" spans="1:23" x14ac:dyDescent="0.3">
      <c r="A319" s="1" t="s">
        <v>854</v>
      </c>
      <c r="B319" s="2">
        <v>45216</v>
      </c>
      <c r="C319" s="3">
        <v>0.67361111111111116</v>
      </c>
      <c r="D319" s="1" t="s">
        <v>881</v>
      </c>
      <c r="E319">
        <v>117</v>
      </c>
      <c r="F319" s="1" t="s">
        <v>807</v>
      </c>
      <c r="G319" s="1" t="s">
        <v>881</v>
      </c>
      <c r="H319" s="1" t="s">
        <v>31</v>
      </c>
      <c r="I319">
        <v>-12.141233</v>
      </c>
      <c r="J319">
        <v>15.179043999999999</v>
      </c>
      <c r="K319" s="1" t="s">
        <v>1495</v>
      </c>
      <c r="L319" s="1" t="s">
        <v>1496</v>
      </c>
      <c r="M319" s="1" t="s">
        <v>48</v>
      </c>
      <c r="N319" s="1" t="s">
        <v>31</v>
      </c>
      <c r="O319" s="1" t="str">
        <f>INT(Matrice1!$P319/12) &amp; " ans et " &amp; MOD(Matrice1!$P319,12) &amp; " mois"</f>
        <v>7 ans et 7 mois</v>
      </c>
      <c r="P319">
        <v>91</v>
      </c>
      <c r="Q319" s="1" t="s">
        <v>14</v>
      </c>
      <c r="R319" s="4">
        <f>Matrice1!$S319/1440</f>
        <v>0.24861111111111112</v>
      </c>
      <c r="S319">
        <v>358</v>
      </c>
      <c r="T319">
        <v>21.14</v>
      </c>
      <c r="U319">
        <v>5</v>
      </c>
      <c r="V319" s="8">
        <f>IF(Matrice1!$Q319="Pro Monde",10%,IF(AND(Matrice1!$R319&gt;12,Matrice1!$O319&gt;5),70%,IF(AND(OR(Matrice1!$R319&gt;=4,Matrice1!$R319&lt;=12,Matrice1!$O319&lt;5,(OR(Matrice1!$Q319="Premium ")))),45%,0%)))</f>
        <v>0.1</v>
      </c>
      <c r="W319">
        <f>Matrice1!$T319* (Matrice1!$V319/100)</f>
        <v>2.1140000000000003E-2</v>
      </c>
    </row>
    <row r="320" spans="1:23" x14ac:dyDescent="0.3">
      <c r="A320" s="1" t="s">
        <v>854</v>
      </c>
      <c r="B320" s="2">
        <v>45216</v>
      </c>
      <c r="C320" s="3">
        <v>0.67361111111111116</v>
      </c>
      <c r="D320" s="1" t="s">
        <v>881</v>
      </c>
      <c r="E320">
        <v>117</v>
      </c>
      <c r="F320" s="1" t="s">
        <v>807</v>
      </c>
      <c r="G320" s="1" t="s">
        <v>881</v>
      </c>
      <c r="H320" s="1" t="s">
        <v>31</v>
      </c>
      <c r="I320">
        <v>-12.141233</v>
      </c>
      <c r="J320">
        <v>15.179043999999999</v>
      </c>
      <c r="K320" s="1" t="s">
        <v>1495</v>
      </c>
      <c r="L320" s="1" t="s">
        <v>1496</v>
      </c>
      <c r="M320" s="1" t="s">
        <v>81</v>
      </c>
      <c r="N320" s="1" t="s">
        <v>31</v>
      </c>
      <c r="O320" s="1" t="str">
        <f>INT(Matrice1!$P320/12) &amp; " ans et " &amp; MOD(Matrice1!$P320,12) &amp; " mois"</f>
        <v>2 ans et 3 mois</v>
      </c>
      <c r="P320">
        <v>27</v>
      </c>
      <c r="Q320" s="1" t="s">
        <v>19</v>
      </c>
      <c r="R320" s="4">
        <f>Matrice1!$S320/1440</f>
        <v>0.19097222222222221</v>
      </c>
      <c r="S320">
        <v>275</v>
      </c>
      <c r="T320">
        <v>80.069999999999993</v>
      </c>
      <c r="U320">
        <v>1</v>
      </c>
      <c r="V320" s="8">
        <f>IF(Matrice1!$Q320="Pro Monde",10%,IF(AND(Matrice1!$R320&gt;12,Matrice1!$O320&gt;5),70%,IF(AND(OR(Matrice1!$R320&gt;=4,Matrice1!$R320&lt;=12,Matrice1!$O320&lt;5,(OR(Matrice1!$Q320="Premium ")))),45%,0%)))</f>
        <v>0.45</v>
      </c>
      <c r="W320">
        <f>Matrice1!$T320* (Matrice1!$V320/100)</f>
        <v>0.360315</v>
      </c>
    </row>
    <row r="321" spans="1:23" x14ac:dyDescent="0.3">
      <c r="A321" s="1" t="s">
        <v>854</v>
      </c>
      <c r="B321" s="2">
        <v>45216</v>
      </c>
      <c r="C321" s="3">
        <v>0.67361111111111116</v>
      </c>
      <c r="D321" s="1" t="s">
        <v>881</v>
      </c>
      <c r="E321">
        <v>117</v>
      </c>
      <c r="F321" s="1" t="s">
        <v>807</v>
      </c>
      <c r="G321" s="1" t="s">
        <v>881</v>
      </c>
      <c r="H321" s="1" t="s">
        <v>31</v>
      </c>
      <c r="I321">
        <v>-12.141233</v>
      </c>
      <c r="J321">
        <v>15.179043999999999</v>
      </c>
      <c r="K321" s="1" t="s">
        <v>1495</v>
      </c>
      <c r="L321" s="1" t="s">
        <v>1496</v>
      </c>
      <c r="M321" s="1" t="s">
        <v>134</v>
      </c>
      <c r="N321" s="1" t="s">
        <v>31</v>
      </c>
      <c r="O321" s="1" t="str">
        <f>INT(Matrice1!$P321/12) &amp; " ans et " &amp; MOD(Matrice1!$P321,12) &amp; " mois"</f>
        <v>0 ans et 11 mois</v>
      </c>
      <c r="P321">
        <v>11</v>
      </c>
      <c r="Q321" s="1" t="s">
        <v>19</v>
      </c>
      <c r="R321" s="4">
        <f>Matrice1!$S321/1440</f>
        <v>0.27916666666666667</v>
      </c>
      <c r="S321">
        <v>402</v>
      </c>
      <c r="T321">
        <v>69.599999999999994</v>
      </c>
      <c r="U321">
        <v>5</v>
      </c>
      <c r="V321" s="8">
        <f>IF(Matrice1!$Q321="Pro Monde",10%,IF(AND(Matrice1!$R321&gt;12,Matrice1!$O321&gt;5),70%,IF(AND(OR(Matrice1!$R321&gt;=4,Matrice1!$R321&lt;=12,Matrice1!$O321&lt;5,(OR(Matrice1!$Q321="Premium ")))),45%,0%)))</f>
        <v>0.45</v>
      </c>
      <c r="W321">
        <f>Matrice1!$T321* (Matrice1!$V321/100)</f>
        <v>0.31320000000000003</v>
      </c>
    </row>
    <row r="322" spans="1:23" x14ac:dyDescent="0.3">
      <c r="A322" s="1" t="s">
        <v>854</v>
      </c>
      <c r="B322" s="2">
        <v>45216</v>
      </c>
      <c r="C322" s="3">
        <v>0.67361111111111116</v>
      </c>
      <c r="D322" s="1" t="s">
        <v>881</v>
      </c>
      <c r="E322">
        <v>117</v>
      </c>
      <c r="F322" s="1" t="s">
        <v>807</v>
      </c>
      <c r="G322" s="1" t="s">
        <v>881</v>
      </c>
      <c r="H322" s="1" t="s">
        <v>31</v>
      </c>
      <c r="I322">
        <v>-12.141233</v>
      </c>
      <c r="J322">
        <v>15.179043999999999</v>
      </c>
      <c r="K322" s="1" t="s">
        <v>1495</v>
      </c>
      <c r="L322" s="1" t="s">
        <v>1496</v>
      </c>
      <c r="M322" s="1" t="s">
        <v>152</v>
      </c>
      <c r="N322" s="1" t="s">
        <v>31</v>
      </c>
      <c r="O322" s="1" t="str">
        <f>INT(Matrice1!$P322/12) &amp; " ans et " &amp; MOD(Matrice1!$P322,12) &amp; " mois"</f>
        <v>7 ans et 3 mois</v>
      </c>
      <c r="P322">
        <v>87</v>
      </c>
      <c r="Q322" s="1" t="s">
        <v>14</v>
      </c>
      <c r="R322" s="4">
        <f>Matrice1!$S322/1440</f>
        <v>0.3125</v>
      </c>
      <c r="S322">
        <v>450</v>
      </c>
      <c r="T322">
        <v>64.3</v>
      </c>
      <c r="U322">
        <v>2</v>
      </c>
      <c r="V322" s="8">
        <f>IF(Matrice1!$Q322="Pro Monde",10%,IF(AND(Matrice1!$R322&gt;12,Matrice1!$O322&gt;5),70%,IF(AND(OR(Matrice1!$R322&gt;=4,Matrice1!$R322&lt;=12,Matrice1!$O322&lt;5,(OR(Matrice1!$Q322="Premium ")))),45%,0%)))</f>
        <v>0.1</v>
      </c>
      <c r="W322">
        <f>Matrice1!$T322* (Matrice1!$V322/100)</f>
        <v>6.4299999999999996E-2</v>
      </c>
    </row>
    <row r="323" spans="1:23" x14ac:dyDescent="0.3">
      <c r="A323" s="1" t="s">
        <v>854</v>
      </c>
      <c r="B323" s="2">
        <v>45216</v>
      </c>
      <c r="C323" s="3">
        <v>0.67361111111111116</v>
      </c>
      <c r="D323" s="1" t="s">
        <v>881</v>
      </c>
      <c r="E323">
        <v>117</v>
      </c>
      <c r="F323" s="1" t="s">
        <v>807</v>
      </c>
      <c r="G323" s="1" t="s">
        <v>881</v>
      </c>
      <c r="H323" s="1" t="s">
        <v>31</v>
      </c>
      <c r="I323">
        <v>-12.141233</v>
      </c>
      <c r="J323">
        <v>15.179043999999999</v>
      </c>
      <c r="K323" s="1" t="s">
        <v>1495</v>
      </c>
      <c r="L323" s="1" t="s">
        <v>1496</v>
      </c>
      <c r="M323" s="1" t="s">
        <v>171</v>
      </c>
      <c r="N323" s="1" t="s">
        <v>31</v>
      </c>
      <c r="O323" s="1" t="str">
        <f>INT(Matrice1!$P323/12) &amp; " ans et " &amp; MOD(Matrice1!$P323,12) &amp; " mois"</f>
        <v>7 ans et 9 mois</v>
      </c>
      <c r="P323">
        <v>93</v>
      </c>
      <c r="Q323" s="1" t="s">
        <v>19</v>
      </c>
      <c r="R323" s="4">
        <f>Matrice1!$S323/1440</f>
        <v>0.25347222222222221</v>
      </c>
      <c r="S323">
        <v>365</v>
      </c>
      <c r="T323">
        <v>72.319999999999993</v>
      </c>
      <c r="U323">
        <v>1</v>
      </c>
      <c r="V323" s="8">
        <f>IF(Matrice1!$Q323="Pro Monde",10%,IF(AND(Matrice1!$R323&gt;12,Matrice1!$O323&gt;5),70%,IF(AND(OR(Matrice1!$R323&gt;=4,Matrice1!$R323&lt;=12,Matrice1!$O323&lt;5,(OR(Matrice1!$Q323="Premium ")))),45%,0%)))</f>
        <v>0.45</v>
      </c>
      <c r="W323">
        <f>Matrice1!$T323* (Matrice1!$V323/100)</f>
        <v>0.32544000000000001</v>
      </c>
    </row>
    <row r="324" spans="1:23" x14ac:dyDescent="0.3">
      <c r="A324" s="1" t="s">
        <v>854</v>
      </c>
      <c r="B324" s="2">
        <v>45216</v>
      </c>
      <c r="C324" s="3">
        <v>0.67361111111111116</v>
      </c>
      <c r="D324" s="1" t="s">
        <v>881</v>
      </c>
      <c r="E324">
        <v>117</v>
      </c>
      <c r="F324" s="1" t="s">
        <v>807</v>
      </c>
      <c r="G324" s="1" t="s">
        <v>881</v>
      </c>
      <c r="H324" s="1" t="s">
        <v>31</v>
      </c>
      <c r="I324">
        <v>-12.141233</v>
      </c>
      <c r="J324">
        <v>15.179043999999999</v>
      </c>
      <c r="K324" s="1" t="s">
        <v>1495</v>
      </c>
      <c r="L324" s="1" t="s">
        <v>1496</v>
      </c>
      <c r="M324" s="1" t="s">
        <v>191</v>
      </c>
      <c r="N324" s="1" t="s">
        <v>31</v>
      </c>
      <c r="O324" s="1" t="str">
        <f>INT(Matrice1!$P324/12) &amp; " ans et " &amp; MOD(Matrice1!$P324,12) &amp; " mois"</f>
        <v>8 ans et 1 mois</v>
      </c>
      <c r="P324">
        <v>97</v>
      </c>
      <c r="Q324" s="1" t="s">
        <v>19</v>
      </c>
      <c r="R324" s="4">
        <f>Matrice1!$S324/1440</f>
        <v>0.33611111111111114</v>
      </c>
      <c r="S324">
        <v>484</v>
      </c>
      <c r="T324">
        <v>61.98</v>
      </c>
      <c r="U324">
        <v>1</v>
      </c>
      <c r="V324" s="8">
        <f>IF(Matrice1!$Q324="Pro Monde",10%,IF(AND(Matrice1!$R324&gt;12,Matrice1!$O324&gt;5),70%,IF(AND(OR(Matrice1!$R324&gt;=4,Matrice1!$R324&lt;=12,Matrice1!$O324&lt;5,(OR(Matrice1!$Q324="Premium ")))),45%,0%)))</f>
        <v>0.45</v>
      </c>
      <c r="W324">
        <f>Matrice1!$T324* (Matrice1!$V324/100)</f>
        <v>0.27890999999999999</v>
      </c>
    </row>
    <row r="325" spans="1:23" x14ac:dyDescent="0.3">
      <c r="A325" s="1" t="s">
        <v>854</v>
      </c>
      <c r="B325" s="2">
        <v>45216</v>
      </c>
      <c r="C325" s="3">
        <v>0.67361111111111116</v>
      </c>
      <c r="D325" s="1" t="s">
        <v>881</v>
      </c>
      <c r="E325">
        <v>117</v>
      </c>
      <c r="F325" s="1" t="s">
        <v>807</v>
      </c>
      <c r="G325" s="1" t="s">
        <v>881</v>
      </c>
      <c r="H325" s="1" t="s">
        <v>31</v>
      </c>
      <c r="I325">
        <v>-12.141233</v>
      </c>
      <c r="J325">
        <v>15.179043999999999</v>
      </c>
      <c r="K325" s="1" t="s">
        <v>1495</v>
      </c>
      <c r="L325" s="1" t="s">
        <v>1496</v>
      </c>
      <c r="M325" s="1" t="s">
        <v>206</v>
      </c>
      <c r="N325" s="1" t="s">
        <v>31</v>
      </c>
      <c r="O325" s="1" t="str">
        <f>INT(Matrice1!$P325/12) &amp; " ans et " &amp; MOD(Matrice1!$P325,12) &amp; " mois"</f>
        <v>5 ans et 2 mois</v>
      </c>
      <c r="P325">
        <v>62</v>
      </c>
      <c r="Q325" s="1" t="s">
        <v>11</v>
      </c>
      <c r="R325" s="4">
        <f>Matrice1!$S325/1440</f>
        <v>8.0555555555555561E-2</v>
      </c>
      <c r="S325">
        <v>116</v>
      </c>
      <c r="T325">
        <v>92.99</v>
      </c>
      <c r="U325">
        <v>5</v>
      </c>
      <c r="V325" s="8">
        <f>IF(Matrice1!$Q325="Pro Monde",10%,IF(AND(Matrice1!$R325&gt;12,Matrice1!$O325&gt;5),70%,IF(AND(OR(Matrice1!$R325&gt;=4,Matrice1!$R325&lt;=12,Matrice1!$O325&lt;5,(OR(Matrice1!$Q325="Premium ")))),45%,0%)))</f>
        <v>0.45</v>
      </c>
      <c r="W325">
        <f>Matrice1!$T325* (Matrice1!$V325/100)</f>
        <v>0.41845500000000002</v>
      </c>
    </row>
    <row r="326" spans="1:23" x14ac:dyDescent="0.3">
      <c r="A326" s="1" t="s">
        <v>854</v>
      </c>
      <c r="B326" s="2">
        <v>45216</v>
      </c>
      <c r="C326" s="3">
        <v>0.67361111111111116</v>
      </c>
      <c r="D326" s="1" t="s">
        <v>881</v>
      </c>
      <c r="E326">
        <v>117</v>
      </c>
      <c r="F326" s="1" t="s">
        <v>807</v>
      </c>
      <c r="G326" s="1" t="s">
        <v>881</v>
      </c>
      <c r="H326" s="1" t="s">
        <v>31</v>
      </c>
      <c r="I326">
        <v>-12.141233</v>
      </c>
      <c r="J326">
        <v>15.179043999999999</v>
      </c>
      <c r="K326" s="1" t="s">
        <v>1495</v>
      </c>
      <c r="L326" s="1" t="s">
        <v>1496</v>
      </c>
      <c r="M326" s="1" t="s">
        <v>212</v>
      </c>
      <c r="N326" s="1" t="s">
        <v>31</v>
      </c>
      <c r="O326" s="1" t="str">
        <f>INT(Matrice1!$P326/12) &amp; " ans et " &amp; MOD(Matrice1!$P326,12) &amp; " mois"</f>
        <v>4 ans et 4 mois</v>
      </c>
      <c r="P326">
        <v>52</v>
      </c>
      <c r="Q326" s="1" t="s">
        <v>22</v>
      </c>
      <c r="R326" s="4">
        <f>Matrice1!$S326/1440</f>
        <v>8.2638888888888887E-2</v>
      </c>
      <c r="S326">
        <v>119</v>
      </c>
      <c r="T326">
        <v>64.709999999999994</v>
      </c>
      <c r="U326">
        <v>4</v>
      </c>
      <c r="V326" s="8">
        <f>IF(Matrice1!$Q326="Pro Monde",10%,IF(AND(Matrice1!$R326&gt;12,Matrice1!$O326&gt;5),70%,IF(AND(OR(Matrice1!$R326&gt;=4,Matrice1!$R326&lt;=12,Matrice1!$O326&lt;5,(OR(Matrice1!$Q326="Premium ")))),45%,0%)))</f>
        <v>0.45</v>
      </c>
      <c r="W326">
        <f>Matrice1!$T326* (Matrice1!$V326/100)</f>
        <v>0.29119499999999998</v>
      </c>
    </row>
    <row r="327" spans="1:23" x14ac:dyDescent="0.3">
      <c r="A327" s="1" t="s">
        <v>854</v>
      </c>
      <c r="B327" s="2">
        <v>45216</v>
      </c>
      <c r="C327" s="3">
        <v>0.67361111111111116</v>
      </c>
      <c r="D327" s="1" t="s">
        <v>881</v>
      </c>
      <c r="E327">
        <v>117</v>
      </c>
      <c r="F327" s="1" t="s">
        <v>807</v>
      </c>
      <c r="G327" s="1" t="s">
        <v>881</v>
      </c>
      <c r="H327" s="1" t="s">
        <v>31</v>
      </c>
      <c r="I327">
        <v>-12.141233</v>
      </c>
      <c r="J327">
        <v>15.179043999999999</v>
      </c>
      <c r="K327" s="1" t="s">
        <v>1495</v>
      </c>
      <c r="L327" s="1" t="s">
        <v>1496</v>
      </c>
      <c r="M327" s="1" t="s">
        <v>236</v>
      </c>
      <c r="N327" s="1" t="s">
        <v>31</v>
      </c>
      <c r="O327" s="1" t="str">
        <f>INT(Matrice1!$P327/12) &amp; " ans et " &amp; MOD(Matrice1!$P327,12) &amp; " mois"</f>
        <v>4 ans et 0 mois</v>
      </c>
      <c r="P327">
        <v>48</v>
      </c>
      <c r="Q327" s="1" t="s">
        <v>19</v>
      </c>
      <c r="R327" s="4">
        <f>Matrice1!$S327/1440</f>
        <v>0.30277777777777776</v>
      </c>
      <c r="S327">
        <v>436</v>
      </c>
      <c r="T327">
        <v>15.17</v>
      </c>
      <c r="U327">
        <v>0</v>
      </c>
      <c r="V327" s="8">
        <f>IF(Matrice1!$Q327="Pro Monde",10%,IF(AND(Matrice1!$R327&gt;12,Matrice1!$O327&gt;5),70%,IF(AND(OR(Matrice1!$R327&gt;=4,Matrice1!$R327&lt;=12,Matrice1!$O327&lt;5,(OR(Matrice1!$Q327="Premium ")))),45%,0%)))</f>
        <v>0.45</v>
      </c>
      <c r="W327">
        <f>Matrice1!$T327* (Matrice1!$V327/100)</f>
        <v>6.8265000000000006E-2</v>
      </c>
    </row>
    <row r="328" spans="1:23" x14ac:dyDescent="0.3">
      <c r="A328" s="1" t="s">
        <v>854</v>
      </c>
      <c r="B328" s="2">
        <v>45216</v>
      </c>
      <c r="C328" s="3">
        <v>0.67361111111111116</v>
      </c>
      <c r="D328" s="1" t="s">
        <v>881</v>
      </c>
      <c r="E328">
        <v>117</v>
      </c>
      <c r="F328" s="1" t="s">
        <v>807</v>
      </c>
      <c r="G328" s="1" t="s">
        <v>881</v>
      </c>
      <c r="H328" s="1" t="s">
        <v>31</v>
      </c>
      <c r="I328">
        <v>-12.141233</v>
      </c>
      <c r="J328">
        <v>15.179043999999999</v>
      </c>
      <c r="K328" s="1" t="s">
        <v>1495</v>
      </c>
      <c r="L328" s="1" t="s">
        <v>1496</v>
      </c>
      <c r="M328" s="1" t="s">
        <v>244</v>
      </c>
      <c r="N328" s="1" t="s">
        <v>31</v>
      </c>
      <c r="O328" s="1" t="str">
        <f>INT(Matrice1!$P328/12) &amp; " ans et " &amp; MOD(Matrice1!$P328,12) &amp; " mois"</f>
        <v>0 ans et 6 mois</v>
      </c>
      <c r="P328">
        <v>6</v>
      </c>
      <c r="Q328" s="1" t="s">
        <v>14</v>
      </c>
      <c r="R328" s="4">
        <f>Matrice1!$S328/1440</f>
        <v>7.5694444444444439E-2</v>
      </c>
      <c r="S328">
        <v>109</v>
      </c>
      <c r="T328">
        <v>39.880000000000003</v>
      </c>
      <c r="U328">
        <v>4</v>
      </c>
      <c r="V328" s="8">
        <f>IF(Matrice1!$Q328="Pro Monde",10%,IF(AND(Matrice1!$R328&gt;12,Matrice1!$O328&gt;5),70%,IF(AND(OR(Matrice1!$R328&gt;=4,Matrice1!$R328&lt;=12,Matrice1!$O328&lt;5,(OR(Matrice1!$Q328="Premium ")))),45%,0%)))</f>
        <v>0.1</v>
      </c>
      <c r="W328">
        <f>Matrice1!$T328* (Matrice1!$V328/100)</f>
        <v>3.9880000000000006E-2</v>
      </c>
    </row>
    <row r="329" spans="1:23" x14ac:dyDescent="0.3">
      <c r="A329" s="1" t="s">
        <v>854</v>
      </c>
      <c r="B329" s="2">
        <v>45216</v>
      </c>
      <c r="C329" s="3">
        <v>0.67361111111111116</v>
      </c>
      <c r="D329" s="1" t="s">
        <v>881</v>
      </c>
      <c r="E329">
        <v>117</v>
      </c>
      <c r="F329" s="1" t="s">
        <v>807</v>
      </c>
      <c r="G329" s="1" t="s">
        <v>881</v>
      </c>
      <c r="H329" s="1" t="s">
        <v>31</v>
      </c>
      <c r="I329">
        <v>-12.141233</v>
      </c>
      <c r="J329">
        <v>15.179043999999999</v>
      </c>
      <c r="K329" s="1" t="s">
        <v>1495</v>
      </c>
      <c r="L329" s="1" t="s">
        <v>1496</v>
      </c>
      <c r="M329" s="1" t="s">
        <v>250</v>
      </c>
      <c r="N329" s="1" t="s">
        <v>31</v>
      </c>
      <c r="O329" s="1" t="str">
        <f>INT(Matrice1!$P329/12) &amp; " ans et " &amp; MOD(Matrice1!$P329,12) &amp; " mois"</f>
        <v>7 ans et 3 mois</v>
      </c>
      <c r="P329">
        <v>87</v>
      </c>
      <c r="Q329" s="1" t="s">
        <v>14</v>
      </c>
      <c r="R329" s="4">
        <f>Matrice1!$S329/1440</f>
        <v>0.1423611111111111</v>
      </c>
      <c r="S329">
        <v>205</v>
      </c>
      <c r="T329">
        <v>40.159999999999997</v>
      </c>
      <c r="U329">
        <v>5</v>
      </c>
      <c r="V329" s="8">
        <f>IF(Matrice1!$Q329="Pro Monde",10%,IF(AND(Matrice1!$R329&gt;12,Matrice1!$O329&gt;5),70%,IF(AND(OR(Matrice1!$R329&gt;=4,Matrice1!$R329&lt;=12,Matrice1!$O329&lt;5,(OR(Matrice1!$Q329="Premium ")))),45%,0%)))</f>
        <v>0.1</v>
      </c>
      <c r="W329">
        <f>Matrice1!$T329* (Matrice1!$V329/100)</f>
        <v>4.0159999999999994E-2</v>
      </c>
    </row>
    <row r="330" spans="1:23" x14ac:dyDescent="0.3">
      <c r="A330" s="1" t="s">
        <v>854</v>
      </c>
      <c r="B330" s="2">
        <v>45216</v>
      </c>
      <c r="C330" s="3">
        <v>0.67361111111111116</v>
      </c>
      <c r="D330" s="1" t="s">
        <v>881</v>
      </c>
      <c r="E330">
        <v>117</v>
      </c>
      <c r="F330" s="1" t="s">
        <v>807</v>
      </c>
      <c r="G330" s="1" t="s">
        <v>881</v>
      </c>
      <c r="H330" s="1" t="s">
        <v>31</v>
      </c>
      <c r="I330">
        <v>-12.141233</v>
      </c>
      <c r="J330">
        <v>15.179043999999999</v>
      </c>
      <c r="K330" s="1" t="s">
        <v>1495</v>
      </c>
      <c r="L330" s="1" t="s">
        <v>1496</v>
      </c>
      <c r="M330" s="1" t="s">
        <v>295</v>
      </c>
      <c r="N330" s="1" t="s">
        <v>31</v>
      </c>
      <c r="O330" s="1" t="str">
        <f>INT(Matrice1!$P330/12) &amp; " ans et " &amp; MOD(Matrice1!$P330,12) &amp; " mois"</f>
        <v>4 ans et 2 mois</v>
      </c>
      <c r="P330">
        <v>50</v>
      </c>
      <c r="Q330" s="1" t="s">
        <v>14</v>
      </c>
      <c r="R330" s="4">
        <f>Matrice1!$S330/1440</f>
        <v>7.4999999999999997E-2</v>
      </c>
      <c r="S330">
        <v>108</v>
      </c>
      <c r="T330">
        <v>43.81</v>
      </c>
      <c r="U330">
        <v>5</v>
      </c>
      <c r="V330" s="8">
        <f>IF(Matrice1!$Q330="Pro Monde",10%,IF(AND(Matrice1!$R330&gt;12,Matrice1!$O330&gt;5),70%,IF(AND(OR(Matrice1!$R330&gt;=4,Matrice1!$R330&lt;=12,Matrice1!$O330&lt;5,(OR(Matrice1!$Q330="Premium ")))),45%,0%)))</f>
        <v>0.1</v>
      </c>
      <c r="W330">
        <f>Matrice1!$T330* (Matrice1!$V330/100)</f>
        <v>4.3810000000000002E-2</v>
      </c>
    </row>
    <row r="331" spans="1:23" x14ac:dyDescent="0.3">
      <c r="A331" s="1" t="s">
        <v>854</v>
      </c>
      <c r="B331" s="2">
        <v>45216</v>
      </c>
      <c r="C331" s="3">
        <v>0.67361111111111116</v>
      </c>
      <c r="D331" s="1" t="s">
        <v>881</v>
      </c>
      <c r="E331">
        <v>117</v>
      </c>
      <c r="F331" s="1" t="s">
        <v>807</v>
      </c>
      <c r="G331" s="1" t="s">
        <v>881</v>
      </c>
      <c r="H331" s="1" t="s">
        <v>31</v>
      </c>
      <c r="I331">
        <v>-12.141233</v>
      </c>
      <c r="J331">
        <v>15.179043999999999</v>
      </c>
      <c r="K331" s="1" t="s">
        <v>1495</v>
      </c>
      <c r="L331" s="1" t="s">
        <v>1496</v>
      </c>
      <c r="M331" s="1" t="s">
        <v>308</v>
      </c>
      <c r="N331" s="1" t="s">
        <v>31</v>
      </c>
      <c r="O331" s="1" t="str">
        <f>INT(Matrice1!$P331/12) &amp; " ans et " &amp; MOD(Matrice1!$P331,12) &amp; " mois"</f>
        <v>1 ans et 9 mois</v>
      </c>
      <c r="P331">
        <v>21</v>
      </c>
      <c r="Q331" s="1" t="s">
        <v>14</v>
      </c>
      <c r="R331" s="4">
        <f>Matrice1!$S331/1440</f>
        <v>0.22222222222222221</v>
      </c>
      <c r="S331">
        <v>320</v>
      </c>
      <c r="T331">
        <v>64.97</v>
      </c>
      <c r="U331">
        <v>1</v>
      </c>
      <c r="V331" s="8">
        <f>IF(Matrice1!$Q331="Pro Monde",10%,IF(AND(Matrice1!$R331&gt;12,Matrice1!$O331&gt;5),70%,IF(AND(OR(Matrice1!$R331&gt;=4,Matrice1!$R331&lt;=12,Matrice1!$O331&lt;5,(OR(Matrice1!$Q331="Premium ")))),45%,0%)))</f>
        <v>0.1</v>
      </c>
      <c r="W331">
        <f>Matrice1!$T331* (Matrice1!$V331/100)</f>
        <v>6.497E-2</v>
      </c>
    </row>
    <row r="332" spans="1:23" x14ac:dyDescent="0.3">
      <c r="A332" s="1" t="s">
        <v>854</v>
      </c>
      <c r="B332" s="2">
        <v>45216</v>
      </c>
      <c r="C332" s="3">
        <v>0.67361111111111116</v>
      </c>
      <c r="D332" s="1" t="s">
        <v>881</v>
      </c>
      <c r="E332">
        <v>117</v>
      </c>
      <c r="F332" s="1" t="s">
        <v>807</v>
      </c>
      <c r="G332" s="1" t="s">
        <v>881</v>
      </c>
      <c r="H332" s="1" t="s">
        <v>31</v>
      </c>
      <c r="I332">
        <v>-12.141233</v>
      </c>
      <c r="J332">
        <v>15.179043999999999</v>
      </c>
      <c r="K332" s="1" t="s">
        <v>1495</v>
      </c>
      <c r="L332" s="1" t="s">
        <v>1496</v>
      </c>
      <c r="M332" s="1" t="s">
        <v>322</v>
      </c>
      <c r="N332" s="1" t="s">
        <v>31</v>
      </c>
      <c r="O332" s="1" t="str">
        <f>INT(Matrice1!$P332/12) &amp; " ans et " &amp; MOD(Matrice1!$P332,12) &amp; " mois"</f>
        <v>7 ans et 5 mois</v>
      </c>
      <c r="P332">
        <v>89</v>
      </c>
      <c r="Q332" s="1" t="s">
        <v>19</v>
      </c>
      <c r="R332" s="4">
        <f>Matrice1!$S332/1440</f>
        <v>0.12152777777777778</v>
      </c>
      <c r="S332">
        <v>175</v>
      </c>
      <c r="T332">
        <v>32.369999999999997</v>
      </c>
      <c r="U332">
        <v>1</v>
      </c>
      <c r="V332" s="8">
        <f>IF(Matrice1!$Q332="Pro Monde",10%,IF(AND(Matrice1!$R332&gt;12,Matrice1!$O332&gt;5),70%,IF(AND(OR(Matrice1!$R332&gt;=4,Matrice1!$R332&lt;=12,Matrice1!$O332&lt;5,(OR(Matrice1!$Q332="Premium ")))),45%,0%)))</f>
        <v>0.45</v>
      </c>
      <c r="W332">
        <f>Matrice1!$T332* (Matrice1!$V332/100)</f>
        <v>0.14566500000000002</v>
      </c>
    </row>
    <row r="333" spans="1:23" x14ac:dyDescent="0.3">
      <c r="A333" s="1" t="s">
        <v>854</v>
      </c>
      <c r="B333" s="2">
        <v>45216</v>
      </c>
      <c r="C333" s="3">
        <v>0.67361111111111116</v>
      </c>
      <c r="D333" s="1" t="s">
        <v>881</v>
      </c>
      <c r="E333">
        <v>117</v>
      </c>
      <c r="F333" s="1" t="s">
        <v>807</v>
      </c>
      <c r="G333" s="1" t="s">
        <v>881</v>
      </c>
      <c r="H333" s="1" t="s">
        <v>31</v>
      </c>
      <c r="I333">
        <v>-12.141233</v>
      </c>
      <c r="J333">
        <v>15.179043999999999</v>
      </c>
      <c r="K333" s="1" t="s">
        <v>1495</v>
      </c>
      <c r="L333" s="1" t="s">
        <v>1496</v>
      </c>
      <c r="M333" s="1" t="s">
        <v>353</v>
      </c>
      <c r="N333" s="1" t="s">
        <v>31</v>
      </c>
      <c r="O333" s="1" t="str">
        <f>INT(Matrice1!$P333/12) &amp; " ans et " &amp; MOD(Matrice1!$P333,12) &amp; " mois"</f>
        <v>7 ans et 3 mois</v>
      </c>
      <c r="P333">
        <v>87</v>
      </c>
      <c r="Q333" s="1" t="s">
        <v>22</v>
      </c>
      <c r="R333" s="4">
        <f>Matrice1!$S333/1440</f>
        <v>0.34583333333333333</v>
      </c>
      <c r="S333">
        <v>498</v>
      </c>
      <c r="T333">
        <v>61.57</v>
      </c>
      <c r="U333">
        <v>0</v>
      </c>
      <c r="V333" s="8">
        <f>IF(Matrice1!$Q333="Pro Monde",10%,IF(AND(Matrice1!$R333&gt;12,Matrice1!$O333&gt;5),70%,IF(AND(OR(Matrice1!$R333&gt;=4,Matrice1!$R333&lt;=12,Matrice1!$O333&lt;5,(OR(Matrice1!$Q333="Premium ")))),45%,0%)))</f>
        <v>0.45</v>
      </c>
      <c r="W333">
        <f>Matrice1!$T333* (Matrice1!$V333/100)</f>
        <v>0.27706500000000006</v>
      </c>
    </row>
    <row r="334" spans="1:23" x14ac:dyDescent="0.3">
      <c r="A334" s="1" t="s">
        <v>854</v>
      </c>
      <c r="B334" s="2">
        <v>45216</v>
      </c>
      <c r="C334" s="3">
        <v>0.67361111111111116</v>
      </c>
      <c r="D334" s="1" t="s">
        <v>881</v>
      </c>
      <c r="E334">
        <v>117</v>
      </c>
      <c r="F334" s="1" t="s">
        <v>807</v>
      </c>
      <c r="G334" s="1" t="s">
        <v>881</v>
      </c>
      <c r="H334" s="1" t="s">
        <v>31</v>
      </c>
      <c r="I334">
        <v>-12.141233</v>
      </c>
      <c r="J334">
        <v>15.179043999999999</v>
      </c>
      <c r="K334" s="1" t="s">
        <v>1495</v>
      </c>
      <c r="L334" s="1" t="s">
        <v>1496</v>
      </c>
      <c r="M334" s="1" t="s">
        <v>422</v>
      </c>
      <c r="N334" s="1" t="s">
        <v>31</v>
      </c>
      <c r="O334" s="1" t="str">
        <f>INT(Matrice1!$P334/12) &amp; " ans et " &amp; MOD(Matrice1!$P334,12) &amp; " mois"</f>
        <v>5 ans et 3 mois</v>
      </c>
      <c r="P334">
        <v>63</v>
      </c>
      <c r="Q334" s="1" t="s">
        <v>19</v>
      </c>
      <c r="R334" s="4">
        <f>Matrice1!$S334/1440</f>
        <v>0.18263888888888888</v>
      </c>
      <c r="S334">
        <v>263</v>
      </c>
      <c r="T334">
        <v>53.87</v>
      </c>
      <c r="U334">
        <v>4</v>
      </c>
      <c r="V334" s="8">
        <f>IF(Matrice1!$Q334="Pro Monde",10%,IF(AND(Matrice1!$R334&gt;12,Matrice1!$O334&gt;5),70%,IF(AND(OR(Matrice1!$R334&gt;=4,Matrice1!$R334&lt;=12,Matrice1!$O334&lt;5,(OR(Matrice1!$Q334="Premium ")))),45%,0%)))</f>
        <v>0.45</v>
      </c>
      <c r="W334">
        <f>Matrice1!$T334* (Matrice1!$V334/100)</f>
        <v>0.24241500000000002</v>
      </c>
    </row>
    <row r="335" spans="1:23" x14ac:dyDescent="0.3">
      <c r="A335" s="1" t="s">
        <v>854</v>
      </c>
      <c r="B335" s="2">
        <v>45216</v>
      </c>
      <c r="C335" s="3">
        <v>0.67361111111111116</v>
      </c>
      <c r="D335" s="1" t="s">
        <v>881</v>
      </c>
      <c r="E335">
        <v>117</v>
      </c>
      <c r="F335" s="1" t="s">
        <v>807</v>
      </c>
      <c r="G335" s="1" t="s">
        <v>881</v>
      </c>
      <c r="H335" s="1" t="s">
        <v>31</v>
      </c>
      <c r="I335">
        <v>-12.141233</v>
      </c>
      <c r="J335">
        <v>15.179043999999999</v>
      </c>
      <c r="K335" s="1" t="s">
        <v>1495</v>
      </c>
      <c r="L335" s="1" t="s">
        <v>1496</v>
      </c>
      <c r="M335" s="1" t="s">
        <v>431</v>
      </c>
      <c r="N335" s="1" t="s">
        <v>31</v>
      </c>
      <c r="O335" s="1" t="str">
        <f>INT(Matrice1!$P335/12) &amp; " ans et " &amp; MOD(Matrice1!$P335,12) &amp; " mois"</f>
        <v>2 ans et 11 mois</v>
      </c>
      <c r="P335">
        <v>35</v>
      </c>
      <c r="Q335" s="1" t="s">
        <v>14</v>
      </c>
      <c r="R335" s="4">
        <f>Matrice1!$S335/1440</f>
        <v>0.34444444444444444</v>
      </c>
      <c r="S335">
        <v>496</v>
      </c>
      <c r="T335">
        <v>19.78</v>
      </c>
      <c r="U335">
        <v>5</v>
      </c>
      <c r="V335" s="8">
        <f>IF(Matrice1!$Q335="Pro Monde",10%,IF(AND(Matrice1!$R335&gt;12,Matrice1!$O335&gt;5),70%,IF(AND(OR(Matrice1!$R335&gt;=4,Matrice1!$R335&lt;=12,Matrice1!$O335&lt;5,(OR(Matrice1!$Q335="Premium ")))),45%,0%)))</f>
        <v>0.1</v>
      </c>
      <c r="W335">
        <f>Matrice1!$T335* (Matrice1!$V335/100)</f>
        <v>1.9780000000000002E-2</v>
      </c>
    </row>
    <row r="336" spans="1:23" x14ac:dyDescent="0.3">
      <c r="A336" s="1" t="s">
        <v>854</v>
      </c>
      <c r="B336" s="2">
        <v>45216</v>
      </c>
      <c r="C336" s="3">
        <v>0.67361111111111116</v>
      </c>
      <c r="D336" s="1" t="s">
        <v>881</v>
      </c>
      <c r="E336">
        <v>117</v>
      </c>
      <c r="F336" s="1" t="s">
        <v>807</v>
      </c>
      <c r="G336" s="1" t="s">
        <v>881</v>
      </c>
      <c r="H336" s="1" t="s">
        <v>31</v>
      </c>
      <c r="I336">
        <v>-12.141233</v>
      </c>
      <c r="J336">
        <v>15.179043999999999</v>
      </c>
      <c r="K336" s="1" t="s">
        <v>1495</v>
      </c>
      <c r="L336" s="1" t="s">
        <v>1496</v>
      </c>
      <c r="M336" s="1" t="s">
        <v>460</v>
      </c>
      <c r="N336" s="1" t="s">
        <v>31</v>
      </c>
      <c r="O336" s="1" t="str">
        <f>INT(Matrice1!$P336/12) &amp; " ans et " &amp; MOD(Matrice1!$P336,12) &amp; " mois"</f>
        <v>0 ans et 6 mois</v>
      </c>
      <c r="P336">
        <v>6</v>
      </c>
      <c r="Q336" s="1" t="s">
        <v>11</v>
      </c>
      <c r="R336" s="4">
        <f>Matrice1!$S336/1440</f>
        <v>0.25138888888888888</v>
      </c>
      <c r="S336">
        <v>362</v>
      </c>
      <c r="T336">
        <v>75.739999999999995</v>
      </c>
      <c r="U336">
        <v>4</v>
      </c>
      <c r="V336" s="8">
        <f>IF(Matrice1!$Q336="Pro Monde",10%,IF(AND(Matrice1!$R336&gt;12,Matrice1!$O336&gt;5),70%,IF(AND(OR(Matrice1!$R336&gt;=4,Matrice1!$R336&lt;=12,Matrice1!$O336&lt;5,(OR(Matrice1!$Q336="Premium ")))),45%,0%)))</f>
        <v>0.45</v>
      </c>
      <c r="W336">
        <f>Matrice1!$T336* (Matrice1!$V336/100)</f>
        <v>0.34083000000000002</v>
      </c>
    </row>
    <row r="337" spans="1:23" x14ac:dyDescent="0.3">
      <c r="A337" s="1" t="s">
        <v>854</v>
      </c>
      <c r="B337" s="2">
        <v>45216</v>
      </c>
      <c r="C337" s="3">
        <v>0.67361111111111116</v>
      </c>
      <c r="D337" s="1" t="s">
        <v>881</v>
      </c>
      <c r="E337">
        <v>117</v>
      </c>
      <c r="F337" s="1" t="s">
        <v>807</v>
      </c>
      <c r="G337" s="1" t="s">
        <v>881</v>
      </c>
      <c r="H337" s="1" t="s">
        <v>31</v>
      </c>
      <c r="I337">
        <v>-12.141233</v>
      </c>
      <c r="J337">
        <v>15.179043999999999</v>
      </c>
      <c r="K337" s="1" t="s">
        <v>1495</v>
      </c>
      <c r="L337" s="1" t="s">
        <v>1496</v>
      </c>
      <c r="M337" s="1" t="s">
        <v>477</v>
      </c>
      <c r="N337" s="1" t="s">
        <v>31</v>
      </c>
      <c r="O337" s="1" t="str">
        <f>INT(Matrice1!$P337/12) &amp; " ans et " &amp; MOD(Matrice1!$P337,12) &amp; " mois"</f>
        <v>3 ans et 11 mois</v>
      </c>
      <c r="P337">
        <v>47</v>
      </c>
      <c r="Q337" s="1" t="s">
        <v>14</v>
      </c>
      <c r="R337" s="4">
        <f>Matrice1!$S337/1440</f>
        <v>0.10347222222222222</v>
      </c>
      <c r="S337">
        <v>149</v>
      </c>
      <c r="T337">
        <v>28.35</v>
      </c>
      <c r="U337">
        <v>1</v>
      </c>
      <c r="V337" s="8">
        <f>IF(Matrice1!$Q337="Pro Monde",10%,IF(AND(Matrice1!$R337&gt;12,Matrice1!$O337&gt;5),70%,IF(AND(OR(Matrice1!$R337&gt;=4,Matrice1!$R337&lt;=12,Matrice1!$O337&lt;5,(OR(Matrice1!$Q337="Premium ")))),45%,0%)))</f>
        <v>0.1</v>
      </c>
      <c r="W337">
        <f>Matrice1!$T337* (Matrice1!$V337/100)</f>
        <v>2.8350000000000004E-2</v>
      </c>
    </row>
    <row r="338" spans="1:23" x14ac:dyDescent="0.3">
      <c r="A338" s="1" t="s">
        <v>854</v>
      </c>
      <c r="B338" s="2">
        <v>45216</v>
      </c>
      <c r="C338" s="3">
        <v>0.67361111111111116</v>
      </c>
      <c r="D338" s="1" t="s">
        <v>881</v>
      </c>
      <c r="E338">
        <v>117</v>
      </c>
      <c r="F338" s="1" t="s">
        <v>807</v>
      </c>
      <c r="G338" s="1" t="s">
        <v>881</v>
      </c>
      <c r="H338" s="1" t="s">
        <v>31</v>
      </c>
      <c r="I338">
        <v>-12.141233</v>
      </c>
      <c r="J338">
        <v>15.179043999999999</v>
      </c>
      <c r="K338" s="1" t="s">
        <v>1495</v>
      </c>
      <c r="L338" s="1" t="s">
        <v>1496</v>
      </c>
      <c r="M338" s="1" t="s">
        <v>535</v>
      </c>
      <c r="N338" s="1" t="s">
        <v>31</v>
      </c>
      <c r="O338" s="1" t="str">
        <f>INT(Matrice1!$P338/12) &amp; " ans et " &amp; MOD(Matrice1!$P338,12) &amp; " mois"</f>
        <v>4 ans et 10 mois</v>
      </c>
      <c r="P338">
        <v>58</v>
      </c>
      <c r="Q338" s="1" t="s">
        <v>11</v>
      </c>
      <c r="R338" s="4">
        <f>Matrice1!$S338/1440</f>
        <v>0.33680555555555558</v>
      </c>
      <c r="S338">
        <v>485</v>
      </c>
      <c r="T338">
        <v>64.290000000000006</v>
      </c>
      <c r="U338">
        <v>4</v>
      </c>
      <c r="V338" s="8">
        <f>IF(Matrice1!$Q338="Pro Monde",10%,IF(AND(Matrice1!$R338&gt;12,Matrice1!$O338&gt;5),70%,IF(AND(OR(Matrice1!$R338&gt;=4,Matrice1!$R338&lt;=12,Matrice1!$O338&lt;5,(OR(Matrice1!$Q338="Premium ")))),45%,0%)))</f>
        <v>0.45</v>
      </c>
      <c r="W338">
        <f>Matrice1!$T338* (Matrice1!$V338/100)</f>
        <v>0.28930500000000003</v>
      </c>
    </row>
    <row r="339" spans="1:23" x14ac:dyDescent="0.3">
      <c r="A339" s="1" t="s">
        <v>854</v>
      </c>
      <c r="B339" s="2">
        <v>45216</v>
      </c>
      <c r="C339" s="3">
        <v>0.67361111111111116</v>
      </c>
      <c r="D339" s="1" t="s">
        <v>881</v>
      </c>
      <c r="E339">
        <v>117</v>
      </c>
      <c r="F339" s="1" t="s">
        <v>807</v>
      </c>
      <c r="G339" s="1" t="s">
        <v>881</v>
      </c>
      <c r="H339" s="1" t="s">
        <v>31</v>
      </c>
      <c r="I339">
        <v>-12.141233</v>
      </c>
      <c r="J339">
        <v>15.179043999999999</v>
      </c>
      <c r="K339" s="1" t="s">
        <v>1495</v>
      </c>
      <c r="L339" s="1" t="s">
        <v>1496</v>
      </c>
      <c r="M339" s="1" t="s">
        <v>541</v>
      </c>
      <c r="N339" s="1" t="s">
        <v>31</v>
      </c>
      <c r="O339" s="1" t="str">
        <f>INT(Matrice1!$P339/12) &amp; " ans et " &amp; MOD(Matrice1!$P339,12) &amp; " mois"</f>
        <v>0 ans et 9 mois</v>
      </c>
      <c r="P339">
        <v>9</v>
      </c>
      <c r="Q339" s="1" t="s">
        <v>22</v>
      </c>
      <c r="R339" s="4">
        <f>Matrice1!$S339/1440</f>
        <v>0.15763888888888888</v>
      </c>
      <c r="S339">
        <v>227</v>
      </c>
      <c r="T339">
        <v>63.74</v>
      </c>
      <c r="U339">
        <v>3</v>
      </c>
      <c r="V339" s="8">
        <f>IF(Matrice1!$Q339="Pro Monde",10%,IF(AND(Matrice1!$R339&gt;12,Matrice1!$O339&gt;5),70%,IF(AND(OR(Matrice1!$R339&gt;=4,Matrice1!$R339&lt;=12,Matrice1!$O339&lt;5,(OR(Matrice1!$Q339="Premium ")))),45%,0%)))</f>
        <v>0.45</v>
      </c>
      <c r="W339">
        <f>Matrice1!$T339* (Matrice1!$V339/100)</f>
        <v>0.28683000000000003</v>
      </c>
    </row>
    <row r="340" spans="1:23" x14ac:dyDescent="0.3">
      <c r="A340" s="1" t="s">
        <v>854</v>
      </c>
      <c r="B340" s="2">
        <v>45216</v>
      </c>
      <c r="C340" s="3">
        <v>0.67361111111111116</v>
      </c>
      <c r="D340" s="1" t="s">
        <v>881</v>
      </c>
      <c r="E340">
        <v>117</v>
      </c>
      <c r="F340" s="1" t="s">
        <v>807</v>
      </c>
      <c r="G340" s="1" t="s">
        <v>881</v>
      </c>
      <c r="H340" s="1" t="s">
        <v>31</v>
      </c>
      <c r="I340">
        <v>-12.141233</v>
      </c>
      <c r="J340">
        <v>15.179043999999999</v>
      </c>
      <c r="K340" s="1" t="s">
        <v>1495</v>
      </c>
      <c r="L340" s="1" t="s">
        <v>1496</v>
      </c>
      <c r="M340" s="1" t="s">
        <v>555</v>
      </c>
      <c r="N340" s="1" t="s">
        <v>31</v>
      </c>
      <c r="O340" s="1" t="str">
        <f>INT(Matrice1!$P340/12) &amp; " ans et " &amp; MOD(Matrice1!$P340,12) &amp; " mois"</f>
        <v>1 ans et 0 mois</v>
      </c>
      <c r="P340">
        <v>12</v>
      </c>
      <c r="Q340" s="1" t="s">
        <v>22</v>
      </c>
      <c r="R340" s="4">
        <f>Matrice1!$S340/1440</f>
        <v>9.583333333333334E-2</v>
      </c>
      <c r="S340">
        <v>138</v>
      </c>
      <c r="T340">
        <v>17</v>
      </c>
      <c r="U340">
        <v>2</v>
      </c>
      <c r="V340" s="8">
        <f>IF(Matrice1!$Q340="Pro Monde",10%,IF(AND(Matrice1!$R340&gt;12,Matrice1!$O340&gt;5),70%,IF(AND(OR(Matrice1!$R340&gt;=4,Matrice1!$R340&lt;=12,Matrice1!$O340&lt;5,(OR(Matrice1!$Q340="Premium ")))),45%,0%)))</f>
        <v>0.45</v>
      </c>
      <c r="W340">
        <f>Matrice1!$T340* (Matrice1!$V340/100)</f>
        <v>7.6500000000000012E-2</v>
      </c>
    </row>
    <row r="341" spans="1:23" x14ac:dyDescent="0.3">
      <c r="A341" s="1" t="s">
        <v>854</v>
      </c>
      <c r="B341" s="2">
        <v>45216</v>
      </c>
      <c r="C341" s="3">
        <v>0.67361111111111116</v>
      </c>
      <c r="D341" s="1" t="s">
        <v>881</v>
      </c>
      <c r="E341">
        <v>117</v>
      </c>
      <c r="F341" s="1" t="s">
        <v>807</v>
      </c>
      <c r="G341" s="1" t="s">
        <v>881</v>
      </c>
      <c r="H341" s="1" t="s">
        <v>31</v>
      </c>
      <c r="I341">
        <v>-12.141233</v>
      </c>
      <c r="J341">
        <v>15.179043999999999</v>
      </c>
      <c r="K341" s="1" t="s">
        <v>1495</v>
      </c>
      <c r="L341" s="1" t="s">
        <v>1496</v>
      </c>
      <c r="M341" s="1" t="s">
        <v>566</v>
      </c>
      <c r="N341" s="1" t="s">
        <v>31</v>
      </c>
      <c r="O341" s="1" t="str">
        <f>INT(Matrice1!$P341/12) &amp; " ans et " &amp; MOD(Matrice1!$P341,12) &amp; " mois"</f>
        <v>4 ans et 9 mois</v>
      </c>
      <c r="P341">
        <v>57</v>
      </c>
      <c r="Q341" s="1" t="s">
        <v>19</v>
      </c>
      <c r="R341" s="4">
        <f>Matrice1!$S341/1440</f>
        <v>0.31041666666666667</v>
      </c>
      <c r="S341">
        <v>447</v>
      </c>
      <c r="T341">
        <v>23.27</v>
      </c>
      <c r="U341">
        <v>3</v>
      </c>
      <c r="V341" s="8">
        <f>IF(Matrice1!$Q341="Pro Monde",10%,IF(AND(Matrice1!$R341&gt;12,Matrice1!$O341&gt;5),70%,IF(AND(OR(Matrice1!$R341&gt;=4,Matrice1!$R341&lt;=12,Matrice1!$O341&lt;5,(OR(Matrice1!$Q341="Premium ")))),45%,0%)))</f>
        <v>0.45</v>
      </c>
      <c r="W341">
        <f>Matrice1!$T341* (Matrice1!$V341/100)</f>
        <v>0.10471500000000002</v>
      </c>
    </row>
    <row r="342" spans="1:23" x14ac:dyDescent="0.3">
      <c r="A342" s="1" t="s">
        <v>1073</v>
      </c>
      <c r="B342" s="2">
        <v>45221</v>
      </c>
      <c r="C342" s="3">
        <v>0.37638888888888888</v>
      </c>
      <c r="D342" s="1" t="s">
        <v>1096</v>
      </c>
      <c r="E342">
        <v>59</v>
      </c>
      <c r="F342" s="1" t="s">
        <v>812</v>
      </c>
      <c r="G342" s="1" t="s">
        <v>1096</v>
      </c>
      <c r="H342" s="1" t="s">
        <v>78</v>
      </c>
      <c r="I342">
        <v>-8.4824669999999998</v>
      </c>
      <c r="J342">
        <v>21.897777999999999</v>
      </c>
      <c r="K342" s="1" t="s">
        <v>1495</v>
      </c>
      <c r="L342" s="1" t="s">
        <v>1496</v>
      </c>
      <c r="M342" s="1" t="s">
        <v>77</v>
      </c>
      <c r="N342" s="1" t="s">
        <v>78</v>
      </c>
      <c r="O342" s="1" t="str">
        <f>INT(Matrice1!$P342/12) &amp; " ans et " &amp; MOD(Matrice1!$P342,12) &amp; " mois"</f>
        <v>6 ans et 9 mois</v>
      </c>
      <c r="P342">
        <v>81</v>
      </c>
      <c r="Q342" s="1" t="s">
        <v>14</v>
      </c>
      <c r="R342" s="4">
        <f>Matrice1!$S342/1440</f>
        <v>0.10694444444444444</v>
      </c>
      <c r="S342">
        <v>154</v>
      </c>
      <c r="T342">
        <v>19.47</v>
      </c>
      <c r="U342">
        <v>3</v>
      </c>
      <c r="V342" s="8">
        <f>IF(Matrice1!$Q342="Pro Monde",10%,IF(AND(Matrice1!$R342&gt;12,Matrice1!$O342&gt;5),70%,IF(AND(OR(Matrice1!$R342&gt;=4,Matrice1!$R342&lt;=12,Matrice1!$O342&lt;5,(OR(Matrice1!$Q342="Premium ")))),45%,0%)))</f>
        <v>0.1</v>
      </c>
      <c r="W342">
        <f>Matrice1!$T342* (Matrice1!$V342/100)</f>
        <v>1.9469999999999998E-2</v>
      </c>
    </row>
    <row r="343" spans="1:23" x14ac:dyDescent="0.3">
      <c r="A343" s="1" t="s">
        <v>1073</v>
      </c>
      <c r="B343" s="2">
        <v>45221</v>
      </c>
      <c r="C343" s="3">
        <v>0.37638888888888888</v>
      </c>
      <c r="D343" s="1" t="s">
        <v>1096</v>
      </c>
      <c r="E343">
        <v>59</v>
      </c>
      <c r="F343" s="1" t="s">
        <v>812</v>
      </c>
      <c r="G343" s="1" t="s">
        <v>1096</v>
      </c>
      <c r="H343" s="1" t="s">
        <v>78</v>
      </c>
      <c r="I343">
        <v>-8.4824669999999998</v>
      </c>
      <c r="J343">
        <v>21.897777999999999</v>
      </c>
      <c r="K343" s="1" t="s">
        <v>1495</v>
      </c>
      <c r="L343" s="1" t="s">
        <v>1496</v>
      </c>
      <c r="M343" s="1" t="s">
        <v>128</v>
      </c>
      <c r="N343" s="1" t="s">
        <v>78</v>
      </c>
      <c r="O343" s="1" t="str">
        <f>INT(Matrice1!$P343/12) &amp; " ans et " &amp; MOD(Matrice1!$P343,12) &amp; " mois"</f>
        <v>6 ans et 0 mois</v>
      </c>
      <c r="P343">
        <v>72</v>
      </c>
      <c r="Q343" s="1" t="s">
        <v>22</v>
      </c>
      <c r="R343" s="4">
        <f>Matrice1!$S343/1440</f>
        <v>3.5416666666666666E-2</v>
      </c>
      <c r="S343">
        <v>51</v>
      </c>
      <c r="T343">
        <v>95.09</v>
      </c>
      <c r="U343">
        <v>0</v>
      </c>
      <c r="V343" s="8">
        <f>IF(Matrice1!$Q343="Pro Monde",10%,IF(AND(Matrice1!$R343&gt;12,Matrice1!$O343&gt;5),70%,IF(AND(OR(Matrice1!$R343&gt;=4,Matrice1!$R343&lt;=12,Matrice1!$O343&lt;5,(OR(Matrice1!$Q343="Premium ")))),45%,0%)))</f>
        <v>0.45</v>
      </c>
      <c r="W343">
        <f>Matrice1!$T343* (Matrice1!$V343/100)</f>
        <v>0.42790500000000009</v>
      </c>
    </row>
    <row r="344" spans="1:23" x14ac:dyDescent="0.3">
      <c r="A344" s="1" t="s">
        <v>1073</v>
      </c>
      <c r="B344" s="2">
        <v>45221</v>
      </c>
      <c r="C344" s="3">
        <v>0.37638888888888888</v>
      </c>
      <c r="D344" s="1" t="s">
        <v>1096</v>
      </c>
      <c r="E344">
        <v>59</v>
      </c>
      <c r="F344" s="1" t="s">
        <v>812</v>
      </c>
      <c r="G344" s="1" t="s">
        <v>1096</v>
      </c>
      <c r="H344" s="1" t="s">
        <v>78</v>
      </c>
      <c r="I344">
        <v>-8.4824669999999998</v>
      </c>
      <c r="J344">
        <v>21.897777999999999</v>
      </c>
      <c r="K344" s="1" t="s">
        <v>1495</v>
      </c>
      <c r="L344" s="1" t="s">
        <v>1496</v>
      </c>
      <c r="M344" s="1" t="s">
        <v>205</v>
      </c>
      <c r="N344" s="1" t="s">
        <v>78</v>
      </c>
      <c r="O344" s="1" t="str">
        <f>INT(Matrice1!$P344/12) &amp; " ans et " &amp; MOD(Matrice1!$P344,12) &amp; " mois"</f>
        <v>7 ans et 5 mois</v>
      </c>
      <c r="P344">
        <v>89</v>
      </c>
      <c r="Q344" s="1" t="s">
        <v>14</v>
      </c>
      <c r="R344" s="4">
        <f>Matrice1!$S344/1440</f>
        <v>0.14097222222222222</v>
      </c>
      <c r="S344">
        <v>203</v>
      </c>
      <c r="T344">
        <v>80.680000000000007</v>
      </c>
      <c r="U344">
        <v>5</v>
      </c>
      <c r="V344" s="8">
        <f>IF(Matrice1!$Q344="Pro Monde",10%,IF(AND(Matrice1!$R344&gt;12,Matrice1!$O344&gt;5),70%,IF(AND(OR(Matrice1!$R344&gt;=4,Matrice1!$R344&lt;=12,Matrice1!$O344&lt;5,(OR(Matrice1!$Q344="Premium ")))),45%,0%)))</f>
        <v>0.1</v>
      </c>
      <c r="W344">
        <f>Matrice1!$T344* (Matrice1!$V344/100)</f>
        <v>8.0680000000000002E-2</v>
      </c>
    </row>
    <row r="345" spans="1:23" x14ac:dyDescent="0.3">
      <c r="A345" s="1" t="s">
        <v>1073</v>
      </c>
      <c r="B345" s="2">
        <v>45221</v>
      </c>
      <c r="C345" s="3">
        <v>0.37638888888888888</v>
      </c>
      <c r="D345" s="1" t="s">
        <v>1096</v>
      </c>
      <c r="E345">
        <v>59</v>
      </c>
      <c r="F345" s="1" t="s">
        <v>812</v>
      </c>
      <c r="G345" s="1" t="s">
        <v>1096</v>
      </c>
      <c r="H345" s="1" t="s">
        <v>78</v>
      </c>
      <c r="I345">
        <v>-8.4824669999999998</v>
      </c>
      <c r="J345">
        <v>21.897777999999999</v>
      </c>
      <c r="K345" s="1" t="s">
        <v>1495</v>
      </c>
      <c r="L345" s="1" t="s">
        <v>1496</v>
      </c>
      <c r="M345" s="1" t="s">
        <v>219</v>
      </c>
      <c r="N345" s="1" t="s">
        <v>78</v>
      </c>
      <c r="O345" s="1" t="str">
        <f>INT(Matrice1!$P345/12) &amp; " ans et " &amp; MOD(Matrice1!$P345,12) &amp; " mois"</f>
        <v>2 ans et 3 mois</v>
      </c>
      <c r="P345">
        <v>27</v>
      </c>
      <c r="Q345" s="1" t="s">
        <v>11</v>
      </c>
      <c r="R345" s="4">
        <f>Matrice1!$S345/1440</f>
        <v>0.25624999999999998</v>
      </c>
      <c r="S345">
        <v>369</v>
      </c>
      <c r="T345">
        <v>19.78</v>
      </c>
      <c r="U345">
        <v>1</v>
      </c>
      <c r="V345" s="8">
        <f>IF(Matrice1!$Q345="Pro Monde",10%,IF(AND(Matrice1!$R345&gt;12,Matrice1!$O345&gt;5),70%,IF(AND(OR(Matrice1!$R345&gt;=4,Matrice1!$R345&lt;=12,Matrice1!$O345&lt;5,(OR(Matrice1!$Q345="Premium ")))),45%,0%)))</f>
        <v>0.45</v>
      </c>
      <c r="W345">
        <f>Matrice1!$T345* (Matrice1!$V345/100)</f>
        <v>8.901000000000002E-2</v>
      </c>
    </row>
    <row r="346" spans="1:23" x14ac:dyDescent="0.3">
      <c r="A346" s="1" t="s">
        <v>1073</v>
      </c>
      <c r="B346" s="2">
        <v>45221</v>
      </c>
      <c r="C346" s="3">
        <v>0.37638888888888888</v>
      </c>
      <c r="D346" s="1" t="s">
        <v>1096</v>
      </c>
      <c r="E346">
        <v>59</v>
      </c>
      <c r="F346" s="1" t="s">
        <v>812</v>
      </c>
      <c r="G346" s="1" t="s">
        <v>1096</v>
      </c>
      <c r="H346" s="1" t="s">
        <v>78</v>
      </c>
      <c r="I346">
        <v>-8.4824669999999998</v>
      </c>
      <c r="J346">
        <v>21.897777999999999</v>
      </c>
      <c r="K346" s="1" t="s">
        <v>1495</v>
      </c>
      <c r="L346" s="1" t="s">
        <v>1496</v>
      </c>
      <c r="M346" s="1" t="s">
        <v>287</v>
      </c>
      <c r="N346" s="1" t="s">
        <v>78</v>
      </c>
      <c r="O346" s="1" t="str">
        <f>INT(Matrice1!$P346/12) &amp; " ans et " &amp; MOD(Matrice1!$P346,12) &amp; " mois"</f>
        <v>9 ans et 0 mois</v>
      </c>
      <c r="P346">
        <v>108</v>
      </c>
      <c r="Q346" s="1" t="s">
        <v>11</v>
      </c>
      <c r="R346" s="4">
        <f>Matrice1!$S346/1440</f>
        <v>0.22430555555555556</v>
      </c>
      <c r="S346">
        <v>323</v>
      </c>
      <c r="T346">
        <v>58.54</v>
      </c>
      <c r="U346">
        <v>2</v>
      </c>
      <c r="V346" s="8">
        <f>IF(Matrice1!$Q346="Pro Monde",10%,IF(AND(Matrice1!$R346&gt;12,Matrice1!$O346&gt;5),70%,IF(AND(OR(Matrice1!$R346&gt;=4,Matrice1!$R346&lt;=12,Matrice1!$O346&lt;5,(OR(Matrice1!$Q346="Premium ")))),45%,0%)))</f>
        <v>0.45</v>
      </c>
      <c r="W346">
        <f>Matrice1!$T346* (Matrice1!$V346/100)</f>
        <v>0.26343000000000005</v>
      </c>
    </row>
    <row r="347" spans="1:23" x14ac:dyDescent="0.3">
      <c r="A347" s="1" t="s">
        <v>1073</v>
      </c>
      <c r="B347" s="2">
        <v>45221</v>
      </c>
      <c r="C347" s="3">
        <v>0.37638888888888888</v>
      </c>
      <c r="D347" s="1" t="s">
        <v>1096</v>
      </c>
      <c r="E347">
        <v>59</v>
      </c>
      <c r="F347" s="1" t="s">
        <v>812</v>
      </c>
      <c r="G347" s="1" t="s">
        <v>1096</v>
      </c>
      <c r="H347" s="1" t="s">
        <v>78</v>
      </c>
      <c r="I347">
        <v>-8.4824669999999998</v>
      </c>
      <c r="J347">
        <v>21.897777999999999</v>
      </c>
      <c r="K347" s="1" t="s">
        <v>1495</v>
      </c>
      <c r="L347" s="1" t="s">
        <v>1496</v>
      </c>
      <c r="M347" s="1" t="s">
        <v>325</v>
      </c>
      <c r="N347" s="1" t="s">
        <v>78</v>
      </c>
      <c r="O347" s="1" t="str">
        <f>INT(Matrice1!$P347/12) &amp; " ans et " &amp; MOD(Matrice1!$P347,12) &amp; " mois"</f>
        <v>0 ans et 8 mois</v>
      </c>
      <c r="P347">
        <v>8</v>
      </c>
      <c r="Q347" s="1" t="s">
        <v>19</v>
      </c>
      <c r="R347" s="4">
        <f>Matrice1!$S347/1440</f>
        <v>8.3333333333333329E-2</v>
      </c>
      <c r="S347">
        <v>120</v>
      </c>
      <c r="T347">
        <v>88.29</v>
      </c>
      <c r="U347">
        <v>5</v>
      </c>
      <c r="V347" s="8">
        <f>IF(Matrice1!$Q347="Pro Monde",10%,IF(AND(Matrice1!$R347&gt;12,Matrice1!$O347&gt;5),70%,IF(AND(OR(Matrice1!$R347&gt;=4,Matrice1!$R347&lt;=12,Matrice1!$O347&lt;5,(OR(Matrice1!$Q347="Premium ")))),45%,0%)))</f>
        <v>0.45</v>
      </c>
      <c r="W347">
        <f>Matrice1!$T347* (Matrice1!$V347/100)</f>
        <v>0.39730500000000007</v>
      </c>
    </row>
    <row r="348" spans="1:23" x14ac:dyDescent="0.3">
      <c r="A348" s="1" t="s">
        <v>1073</v>
      </c>
      <c r="B348" s="2">
        <v>45221</v>
      </c>
      <c r="C348" s="3">
        <v>0.37638888888888888</v>
      </c>
      <c r="D348" s="1" t="s">
        <v>1096</v>
      </c>
      <c r="E348">
        <v>59</v>
      </c>
      <c r="F348" s="1" t="s">
        <v>812</v>
      </c>
      <c r="G348" s="1" t="s">
        <v>1096</v>
      </c>
      <c r="H348" s="1" t="s">
        <v>78</v>
      </c>
      <c r="I348">
        <v>-8.4824669999999998</v>
      </c>
      <c r="J348">
        <v>21.897777999999999</v>
      </c>
      <c r="K348" s="1" t="s">
        <v>1495</v>
      </c>
      <c r="L348" s="1" t="s">
        <v>1496</v>
      </c>
      <c r="M348" s="1" t="s">
        <v>349</v>
      </c>
      <c r="N348" s="1" t="s">
        <v>78</v>
      </c>
      <c r="O348" s="1" t="str">
        <f>INT(Matrice1!$P348/12) &amp; " ans et " &amp; MOD(Matrice1!$P348,12) &amp; " mois"</f>
        <v>3 ans et 5 mois</v>
      </c>
      <c r="P348">
        <v>41</v>
      </c>
      <c r="Q348" s="1" t="s">
        <v>14</v>
      </c>
      <c r="R348" s="4">
        <f>Matrice1!$S348/1440</f>
        <v>0.32916666666666666</v>
      </c>
      <c r="S348">
        <v>474</v>
      </c>
      <c r="T348">
        <v>54.03</v>
      </c>
      <c r="U348">
        <v>4</v>
      </c>
      <c r="V348" s="8">
        <f>IF(Matrice1!$Q348="Pro Monde",10%,IF(AND(Matrice1!$R348&gt;12,Matrice1!$O348&gt;5),70%,IF(AND(OR(Matrice1!$R348&gt;=4,Matrice1!$R348&lt;=12,Matrice1!$O348&lt;5,(OR(Matrice1!$Q348="Premium ")))),45%,0%)))</f>
        <v>0.1</v>
      </c>
      <c r="W348">
        <f>Matrice1!$T348* (Matrice1!$V348/100)</f>
        <v>5.4030000000000002E-2</v>
      </c>
    </row>
    <row r="349" spans="1:23" x14ac:dyDescent="0.3">
      <c r="A349" s="1" t="s">
        <v>1073</v>
      </c>
      <c r="B349" s="2">
        <v>45221</v>
      </c>
      <c r="C349" s="3">
        <v>0.37638888888888888</v>
      </c>
      <c r="D349" s="1" t="s">
        <v>1096</v>
      </c>
      <c r="E349">
        <v>59</v>
      </c>
      <c r="F349" s="1" t="s">
        <v>812</v>
      </c>
      <c r="G349" s="1" t="s">
        <v>1096</v>
      </c>
      <c r="H349" s="1" t="s">
        <v>78</v>
      </c>
      <c r="I349">
        <v>-8.4824669999999998</v>
      </c>
      <c r="J349">
        <v>21.897777999999999</v>
      </c>
      <c r="K349" s="1" t="s">
        <v>1495</v>
      </c>
      <c r="L349" s="1" t="s">
        <v>1496</v>
      </c>
      <c r="M349" s="1" t="s">
        <v>356</v>
      </c>
      <c r="N349" s="1" t="s">
        <v>78</v>
      </c>
      <c r="O349" s="1" t="str">
        <f>INT(Matrice1!$P349/12) &amp; " ans et " &amp; MOD(Matrice1!$P349,12) &amp; " mois"</f>
        <v>1 ans et 5 mois</v>
      </c>
      <c r="P349">
        <v>17</v>
      </c>
      <c r="Q349" s="1" t="s">
        <v>22</v>
      </c>
      <c r="R349" s="4">
        <f>Matrice1!$S349/1440</f>
        <v>0.33541666666666664</v>
      </c>
      <c r="S349">
        <v>483</v>
      </c>
      <c r="T349">
        <v>77.08</v>
      </c>
      <c r="U349">
        <v>0</v>
      </c>
      <c r="V349" s="8">
        <f>IF(Matrice1!$Q349="Pro Monde",10%,IF(AND(Matrice1!$R349&gt;12,Matrice1!$O349&gt;5),70%,IF(AND(OR(Matrice1!$R349&gt;=4,Matrice1!$R349&lt;=12,Matrice1!$O349&lt;5,(OR(Matrice1!$Q349="Premium ")))),45%,0%)))</f>
        <v>0.45</v>
      </c>
      <c r="W349">
        <f>Matrice1!$T349* (Matrice1!$V349/100)</f>
        <v>0.34686000000000006</v>
      </c>
    </row>
    <row r="350" spans="1:23" x14ac:dyDescent="0.3">
      <c r="A350" s="1" t="s">
        <v>1073</v>
      </c>
      <c r="B350" s="2">
        <v>45221</v>
      </c>
      <c r="C350" s="3">
        <v>0.37638888888888888</v>
      </c>
      <c r="D350" s="1" t="s">
        <v>1096</v>
      </c>
      <c r="E350">
        <v>59</v>
      </c>
      <c r="F350" s="1" t="s">
        <v>812</v>
      </c>
      <c r="G350" s="1" t="s">
        <v>1096</v>
      </c>
      <c r="H350" s="1" t="s">
        <v>78</v>
      </c>
      <c r="I350">
        <v>-8.4824669999999998</v>
      </c>
      <c r="J350">
        <v>21.897777999999999</v>
      </c>
      <c r="K350" s="1" t="s">
        <v>1495</v>
      </c>
      <c r="L350" s="1" t="s">
        <v>1496</v>
      </c>
      <c r="M350" s="1" t="s">
        <v>377</v>
      </c>
      <c r="N350" s="1" t="s">
        <v>78</v>
      </c>
      <c r="O350" s="1" t="str">
        <f>INT(Matrice1!$P350/12) &amp; " ans et " &amp; MOD(Matrice1!$P350,12) &amp; " mois"</f>
        <v>1 ans et 7 mois</v>
      </c>
      <c r="P350">
        <v>19</v>
      </c>
      <c r="Q350" s="1" t="s">
        <v>19</v>
      </c>
      <c r="R350" s="4">
        <f>Matrice1!$S350/1440</f>
        <v>0.21180555555555555</v>
      </c>
      <c r="S350">
        <v>305</v>
      </c>
      <c r="T350">
        <v>81.11</v>
      </c>
      <c r="U350">
        <v>1</v>
      </c>
      <c r="V350" s="8">
        <f>IF(Matrice1!$Q350="Pro Monde",10%,IF(AND(Matrice1!$R350&gt;12,Matrice1!$O350&gt;5),70%,IF(AND(OR(Matrice1!$R350&gt;=4,Matrice1!$R350&lt;=12,Matrice1!$O350&lt;5,(OR(Matrice1!$Q350="Premium ")))),45%,0%)))</f>
        <v>0.45</v>
      </c>
      <c r="W350">
        <f>Matrice1!$T350* (Matrice1!$V350/100)</f>
        <v>0.36499500000000001</v>
      </c>
    </row>
    <row r="351" spans="1:23" x14ac:dyDescent="0.3">
      <c r="A351" s="1" t="s">
        <v>1073</v>
      </c>
      <c r="B351" s="2">
        <v>45221</v>
      </c>
      <c r="C351" s="3">
        <v>0.37638888888888888</v>
      </c>
      <c r="D351" s="1" t="s">
        <v>1096</v>
      </c>
      <c r="E351">
        <v>59</v>
      </c>
      <c r="F351" s="1" t="s">
        <v>812</v>
      </c>
      <c r="G351" s="1" t="s">
        <v>1096</v>
      </c>
      <c r="H351" s="1" t="s">
        <v>78</v>
      </c>
      <c r="I351">
        <v>-8.4824669999999998</v>
      </c>
      <c r="J351">
        <v>21.897777999999999</v>
      </c>
      <c r="K351" s="1" t="s">
        <v>1495</v>
      </c>
      <c r="L351" s="1" t="s">
        <v>1496</v>
      </c>
      <c r="M351" s="1" t="s">
        <v>386</v>
      </c>
      <c r="N351" s="1" t="s">
        <v>78</v>
      </c>
      <c r="O351" s="1" t="str">
        <f>INT(Matrice1!$P351/12) &amp; " ans et " &amp; MOD(Matrice1!$P351,12) &amp; " mois"</f>
        <v>7 ans et 6 mois</v>
      </c>
      <c r="P351">
        <v>90</v>
      </c>
      <c r="Q351" s="1" t="s">
        <v>22</v>
      </c>
      <c r="R351" s="4">
        <f>Matrice1!$S351/1440</f>
        <v>0.23819444444444443</v>
      </c>
      <c r="S351">
        <v>343</v>
      </c>
      <c r="T351">
        <v>82.05</v>
      </c>
      <c r="U351">
        <v>1</v>
      </c>
      <c r="V351" s="8">
        <f>IF(Matrice1!$Q351="Pro Monde",10%,IF(AND(Matrice1!$R351&gt;12,Matrice1!$O351&gt;5),70%,IF(AND(OR(Matrice1!$R351&gt;=4,Matrice1!$R351&lt;=12,Matrice1!$O351&lt;5,(OR(Matrice1!$Q351="Premium ")))),45%,0%)))</f>
        <v>0.45</v>
      </c>
      <c r="W351">
        <f>Matrice1!$T351* (Matrice1!$V351/100)</f>
        <v>0.36922500000000003</v>
      </c>
    </row>
    <row r="352" spans="1:23" x14ac:dyDescent="0.3">
      <c r="A352" s="1" t="s">
        <v>1073</v>
      </c>
      <c r="B352" s="2">
        <v>45221</v>
      </c>
      <c r="C352" s="3">
        <v>0.37638888888888888</v>
      </c>
      <c r="D352" s="1" t="s">
        <v>1096</v>
      </c>
      <c r="E352">
        <v>59</v>
      </c>
      <c r="F352" s="1" t="s">
        <v>812</v>
      </c>
      <c r="G352" s="1" t="s">
        <v>1096</v>
      </c>
      <c r="H352" s="1" t="s">
        <v>78</v>
      </c>
      <c r="I352">
        <v>-8.4824669999999998</v>
      </c>
      <c r="J352">
        <v>21.897777999999999</v>
      </c>
      <c r="K352" s="1" t="s">
        <v>1495</v>
      </c>
      <c r="L352" s="1" t="s">
        <v>1496</v>
      </c>
      <c r="M352" s="1" t="s">
        <v>426</v>
      </c>
      <c r="N352" s="1" t="s">
        <v>78</v>
      </c>
      <c r="O352" s="1" t="str">
        <f>INT(Matrice1!$P352/12) &amp; " ans et " &amp; MOD(Matrice1!$P352,12) &amp; " mois"</f>
        <v>7 ans et 6 mois</v>
      </c>
      <c r="P352">
        <v>90</v>
      </c>
      <c r="Q352" s="1" t="s">
        <v>19</v>
      </c>
      <c r="R352" s="4">
        <f>Matrice1!$S352/1440</f>
        <v>0.15</v>
      </c>
      <c r="S352">
        <v>216</v>
      </c>
      <c r="T352">
        <v>45.58</v>
      </c>
      <c r="U352">
        <v>0</v>
      </c>
      <c r="V352" s="8">
        <f>IF(Matrice1!$Q352="Pro Monde",10%,IF(AND(Matrice1!$R352&gt;12,Matrice1!$O352&gt;5),70%,IF(AND(OR(Matrice1!$R352&gt;=4,Matrice1!$R352&lt;=12,Matrice1!$O352&lt;5,(OR(Matrice1!$Q352="Premium ")))),45%,0%)))</f>
        <v>0.45</v>
      </c>
      <c r="W352">
        <f>Matrice1!$T352* (Matrice1!$V352/100)</f>
        <v>0.20511000000000001</v>
      </c>
    </row>
    <row r="353" spans="1:23" x14ac:dyDescent="0.3">
      <c r="A353" s="1" t="s">
        <v>1073</v>
      </c>
      <c r="B353" s="2">
        <v>45221</v>
      </c>
      <c r="C353" s="3">
        <v>0.37638888888888888</v>
      </c>
      <c r="D353" s="1" t="s">
        <v>1096</v>
      </c>
      <c r="E353">
        <v>59</v>
      </c>
      <c r="F353" s="1" t="s">
        <v>812</v>
      </c>
      <c r="G353" s="1" t="s">
        <v>1096</v>
      </c>
      <c r="H353" s="1" t="s">
        <v>78</v>
      </c>
      <c r="I353">
        <v>-8.4824669999999998</v>
      </c>
      <c r="J353">
        <v>21.897777999999999</v>
      </c>
      <c r="K353" s="1" t="s">
        <v>1495</v>
      </c>
      <c r="L353" s="1" t="s">
        <v>1496</v>
      </c>
      <c r="M353" s="1" t="s">
        <v>442</v>
      </c>
      <c r="N353" s="1" t="s">
        <v>78</v>
      </c>
      <c r="O353" s="1" t="str">
        <f>INT(Matrice1!$P353/12) &amp; " ans et " &amp; MOD(Matrice1!$P353,12) &amp; " mois"</f>
        <v>8 ans et 8 mois</v>
      </c>
      <c r="P353">
        <v>104</v>
      </c>
      <c r="Q353" s="1" t="s">
        <v>14</v>
      </c>
      <c r="R353" s="4">
        <f>Matrice1!$S353/1440</f>
        <v>4.1666666666666664E-2</v>
      </c>
      <c r="S353">
        <v>60</v>
      </c>
      <c r="T353">
        <v>45.51</v>
      </c>
      <c r="U353">
        <v>1</v>
      </c>
      <c r="V353" s="8">
        <f>IF(Matrice1!$Q353="Pro Monde",10%,IF(AND(Matrice1!$R353&gt;12,Matrice1!$O353&gt;5),70%,IF(AND(OR(Matrice1!$R353&gt;=4,Matrice1!$R353&lt;=12,Matrice1!$O353&lt;5,(OR(Matrice1!$Q353="Premium ")))),45%,0%)))</f>
        <v>0.1</v>
      </c>
      <c r="W353">
        <f>Matrice1!$T353* (Matrice1!$V353/100)</f>
        <v>4.5510000000000002E-2</v>
      </c>
    </row>
    <row r="354" spans="1:23" x14ac:dyDescent="0.3">
      <c r="A354" s="1" t="s">
        <v>1073</v>
      </c>
      <c r="B354" s="2">
        <v>45221</v>
      </c>
      <c r="C354" s="3">
        <v>0.37638888888888888</v>
      </c>
      <c r="D354" s="1" t="s">
        <v>1096</v>
      </c>
      <c r="E354">
        <v>59</v>
      </c>
      <c r="F354" s="1" t="s">
        <v>812</v>
      </c>
      <c r="G354" s="1" t="s">
        <v>1096</v>
      </c>
      <c r="H354" s="1" t="s">
        <v>78</v>
      </c>
      <c r="I354">
        <v>-8.4824669999999998</v>
      </c>
      <c r="J354">
        <v>21.897777999999999</v>
      </c>
      <c r="K354" s="1" t="s">
        <v>1495</v>
      </c>
      <c r="L354" s="1" t="s">
        <v>1496</v>
      </c>
      <c r="M354" s="1" t="s">
        <v>489</v>
      </c>
      <c r="N354" s="1" t="s">
        <v>78</v>
      </c>
      <c r="O354" s="1" t="str">
        <f>INT(Matrice1!$P354/12) &amp; " ans et " &amp; MOD(Matrice1!$P354,12) &amp; " mois"</f>
        <v>3 ans et 7 mois</v>
      </c>
      <c r="P354">
        <v>43</v>
      </c>
      <c r="Q354" s="1" t="s">
        <v>22</v>
      </c>
      <c r="R354" s="4">
        <f>Matrice1!$S354/1440</f>
        <v>1.8055555555555554E-2</v>
      </c>
      <c r="S354">
        <v>26</v>
      </c>
      <c r="T354">
        <v>25.85</v>
      </c>
      <c r="U354">
        <v>1</v>
      </c>
      <c r="V354" s="8">
        <f>IF(Matrice1!$Q354="Pro Monde",10%,IF(AND(Matrice1!$R354&gt;12,Matrice1!$O354&gt;5),70%,IF(AND(OR(Matrice1!$R354&gt;=4,Matrice1!$R354&lt;=12,Matrice1!$O354&lt;5,(OR(Matrice1!$Q354="Premium ")))),45%,0%)))</f>
        <v>0.45</v>
      </c>
      <c r="W354">
        <f>Matrice1!$T354* (Matrice1!$V354/100)</f>
        <v>0.11632500000000003</v>
      </c>
    </row>
    <row r="355" spans="1:23" x14ac:dyDescent="0.3">
      <c r="A355" s="1" t="s">
        <v>1073</v>
      </c>
      <c r="B355" s="2">
        <v>45221</v>
      </c>
      <c r="C355" s="3">
        <v>0.37638888888888888</v>
      </c>
      <c r="D355" s="1" t="s">
        <v>1096</v>
      </c>
      <c r="E355">
        <v>59</v>
      </c>
      <c r="F355" s="1" t="s">
        <v>812</v>
      </c>
      <c r="G355" s="1" t="s">
        <v>1096</v>
      </c>
      <c r="H355" s="1" t="s">
        <v>78</v>
      </c>
      <c r="I355">
        <v>-8.4824669999999998</v>
      </c>
      <c r="J355">
        <v>21.897777999999999</v>
      </c>
      <c r="K355" s="1" t="s">
        <v>1495</v>
      </c>
      <c r="L355" s="1" t="s">
        <v>1496</v>
      </c>
      <c r="M355" s="1" t="s">
        <v>536</v>
      </c>
      <c r="N355" s="1" t="s">
        <v>78</v>
      </c>
      <c r="O355" s="1" t="str">
        <f>INT(Matrice1!$P355/12) &amp; " ans et " &amp; MOD(Matrice1!$P355,12) &amp; " mois"</f>
        <v>7 ans et 9 mois</v>
      </c>
      <c r="P355">
        <v>93</v>
      </c>
      <c r="Q355" s="1" t="s">
        <v>14</v>
      </c>
      <c r="R355" s="4">
        <f>Matrice1!$S355/1440</f>
        <v>0.10625</v>
      </c>
      <c r="S355">
        <v>153</v>
      </c>
      <c r="T355">
        <v>86.19</v>
      </c>
      <c r="U355">
        <v>0</v>
      </c>
      <c r="V355" s="8">
        <f>IF(Matrice1!$Q355="Pro Monde",10%,IF(AND(Matrice1!$R355&gt;12,Matrice1!$O355&gt;5),70%,IF(AND(OR(Matrice1!$R355&gt;=4,Matrice1!$R355&lt;=12,Matrice1!$O355&lt;5,(OR(Matrice1!$Q355="Premium ")))),45%,0%)))</f>
        <v>0.1</v>
      </c>
      <c r="W355">
        <f>Matrice1!$T355* (Matrice1!$V355/100)</f>
        <v>8.6190000000000003E-2</v>
      </c>
    </row>
    <row r="356" spans="1:23" x14ac:dyDescent="0.3">
      <c r="A356" s="1" t="s">
        <v>1073</v>
      </c>
      <c r="B356" s="2">
        <v>45221</v>
      </c>
      <c r="C356" s="3">
        <v>0.37638888888888888</v>
      </c>
      <c r="D356" s="1" t="s">
        <v>1096</v>
      </c>
      <c r="E356">
        <v>59</v>
      </c>
      <c r="F356" s="1" t="s">
        <v>812</v>
      </c>
      <c r="G356" s="1" t="s">
        <v>1096</v>
      </c>
      <c r="H356" s="1" t="s">
        <v>78</v>
      </c>
      <c r="I356">
        <v>-8.4824669999999998</v>
      </c>
      <c r="J356">
        <v>21.897777999999999</v>
      </c>
      <c r="K356" s="1" t="s">
        <v>1495</v>
      </c>
      <c r="L356" s="1" t="s">
        <v>1496</v>
      </c>
      <c r="M356" s="1" t="s">
        <v>559</v>
      </c>
      <c r="N356" s="1" t="s">
        <v>78</v>
      </c>
      <c r="O356" s="1" t="str">
        <f>INT(Matrice1!$P356/12) &amp; " ans et " &amp; MOD(Matrice1!$P356,12) &amp; " mois"</f>
        <v>8 ans et 3 mois</v>
      </c>
      <c r="P356">
        <v>99</v>
      </c>
      <c r="Q356" s="1" t="s">
        <v>14</v>
      </c>
      <c r="R356" s="4">
        <f>Matrice1!$S356/1440</f>
        <v>2.9166666666666667E-2</v>
      </c>
      <c r="S356">
        <v>42</v>
      </c>
      <c r="T356">
        <v>98.77</v>
      </c>
      <c r="U356">
        <v>3</v>
      </c>
      <c r="V356" s="8">
        <f>IF(Matrice1!$Q356="Pro Monde",10%,IF(AND(Matrice1!$R356&gt;12,Matrice1!$O356&gt;5),70%,IF(AND(OR(Matrice1!$R356&gt;=4,Matrice1!$R356&lt;=12,Matrice1!$O356&lt;5,(OR(Matrice1!$Q356="Premium ")))),45%,0%)))</f>
        <v>0.1</v>
      </c>
      <c r="W356">
        <f>Matrice1!$T356* (Matrice1!$V356/100)</f>
        <v>9.8769999999999997E-2</v>
      </c>
    </row>
    <row r="357" spans="1:23" x14ac:dyDescent="0.3">
      <c r="A357" s="1" t="s">
        <v>1073</v>
      </c>
      <c r="B357" s="2">
        <v>45221</v>
      </c>
      <c r="C357" s="3">
        <v>0.37638888888888888</v>
      </c>
      <c r="D357" s="1" t="s">
        <v>1096</v>
      </c>
      <c r="E357">
        <v>59</v>
      </c>
      <c r="F357" s="1" t="s">
        <v>812</v>
      </c>
      <c r="G357" s="1" t="s">
        <v>1096</v>
      </c>
      <c r="H357" s="1" t="s">
        <v>78</v>
      </c>
      <c r="I357">
        <v>-8.4824669999999998</v>
      </c>
      <c r="J357">
        <v>21.897777999999999</v>
      </c>
      <c r="K357" s="1" t="s">
        <v>1495</v>
      </c>
      <c r="L357" s="1" t="s">
        <v>1496</v>
      </c>
      <c r="M357" s="1" t="s">
        <v>563</v>
      </c>
      <c r="N357" s="1" t="s">
        <v>78</v>
      </c>
      <c r="O357" s="1" t="str">
        <f>INT(Matrice1!$P357/12) &amp; " ans et " &amp; MOD(Matrice1!$P357,12) &amp; " mois"</f>
        <v>2 ans et 9 mois</v>
      </c>
      <c r="P357">
        <v>33</v>
      </c>
      <c r="Q357" s="1" t="s">
        <v>14</v>
      </c>
      <c r="R357" s="4">
        <f>Matrice1!$S357/1440</f>
        <v>0.14374999999999999</v>
      </c>
      <c r="S357">
        <v>207</v>
      </c>
      <c r="T357">
        <v>38.49</v>
      </c>
      <c r="U357">
        <v>4</v>
      </c>
      <c r="V357" s="8">
        <f>IF(Matrice1!$Q357="Pro Monde",10%,IF(AND(Matrice1!$R357&gt;12,Matrice1!$O357&gt;5),70%,IF(AND(OR(Matrice1!$R357&gt;=4,Matrice1!$R357&lt;=12,Matrice1!$O357&lt;5,(OR(Matrice1!$Q357="Premium ")))),45%,0%)))</f>
        <v>0.1</v>
      </c>
      <c r="W357">
        <f>Matrice1!$T357* (Matrice1!$V357/100)</f>
        <v>3.8490000000000003E-2</v>
      </c>
    </row>
    <row r="358" spans="1:23" x14ac:dyDescent="0.3">
      <c r="A358" s="1" t="s">
        <v>854</v>
      </c>
      <c r="B358" s="2">
        <v>45213</v>
      </c>
      <c r="C358" s="3">
        <v>0.94861111111111107</v>
      </c>
      <c r="D358" s="1" t="s">
        <v>874</v>
      </c>
      <c r="E358">
        <v>72</v>
      </c>
      <c r="F358" s="1" t="s">
        <v>810</v>
      </c>
      <c r="G358" s="1" t="s">
        <v>874</v>
      </c>
      <c r="H358" s="1" t="s">
        <v>35</v>
      </c>
      <c r="I358">
        <v>-2.7140689999999998</v>
      </c>
      <c r="J358">
        <v>22.222104000000002</v>
      </c>
      <c r="K358" s="1" t="s">
        <v>1498</v>
      </c>
      <c r="L358" s="1" t="s">
        <v>1508</v>
      </c>
      <c r="M358" s="1" t="s">
        <v>34</v>
      </c>
      <c r="N358" s="1" t="s">
        <v>35</v>
      </c>
      <c r="O358" s="1" t="str">
        <f>INT(Matrice1!$P358/12) &amp; " ans et " &amp; MOD(Matrice1!$P358,12) &amp; " mois"</f>
        <v>2 ans et 11 mois</v>
      </c>
      <c r="P358">
        <v>35</v>
      </c>
      <c r="Q358" s="1" t="s">
        <v>14</v>
      </c>
      <c r="R358" s="4">
        <f>Matrice1!$S358/1440</f>
        <v>0.32291666666666669</v>
      </c>
      <c r="S358">
        <v>465</v>
      </c>
      <c r="T358">
        <v>58.59</v>
      </c>
      <c r="U358">
        <v>5</v>
      </c>
      <c r="V358" s="8">
        <f>IF(Matrice1!$Q358="Pro Monde",10%,IF(AND(Matrice1!$R358&gt;12,Matrice1!$O358&gt;5),70%,IF(AND(OR(Matrice1!$R358&gt;=4,Matrice1!$R358&lt;=12,Matrice1!$O358&lt;5,(OR(Matrice1!$Q358="Premium ")))),45%,0%)))</f>
        <v>0.1</v>
      </c>
      <c r="W358">
        <f>Matrice1!$T358* (Matrice1!$V358/100)</f>
        <v>5.8590000000000003E-2</v>
      </c>
    </row>
    <row r="359" spans="1:23" x14ac:dyDescent="0.3">
      <c r="A359" s="1" t="s">
        <v>854</v>
      </c>
      <c r="B359" s="2">
        <v>45213</v>
      </c>
      <c r="C359" s="3">
        <v>0.94861111111111107</v>
      </c>
      <c r="D359" s="1" t="s">
        <v>874</v>
      </c>
      <c r="E359">
        <v>72</v>
      </c>
      <c r="F359" s="1" t="s">
        <v>810</v>
      </c>
      <c r="G359" s="1" t="s">
        <v>874</v>
      </c>
      <c r="H359" s="1" t="s">
        <v>35</v>
      </c>
      <c r="I359">
        <v>-2.7140689999999998</v>
      </c>
      <c r="J359">
        <v>22.222104000000002</v>
      </c>
      <c r="K359" s="1" t="s">
        <v>1498</v>
      </c>
      <c r="L359" s="1" t="s">
        <v>1508</v>
      </c>
      <c r="M359" s="1" t="s">
        <v>55</v>
      </c>
      <c r="N359" s="1" t="s">
        <v>35</v>
      </c>
      <c r="O359" s="1" t="str">
        <f>INT(Matrice1!$P359/12) &amp; " ans et " &amp; MOD(Matrice1!$P359,12) &amp; " mois"</f>
        <v>9 ans et 0 mois</v>
      </c>
      <c r="P359">
        <v>108</v>
      </c>
      <c r="Q359" s="1" t="s">
        <v>22</v>
      </c>
      <c r="R359" s="4">
        <f>Matrice1!$S359/1440</f>
        <v>0.19305555555555556</v>
      </c>
      <c r="S359">
        <v>278</v>
      </c>
      <c r="T359">
        <v>40.51</v>
      </c>
      <c r="U359">
        <v>3</v>
      </c>
      <c r="V359" s="8">
        <f>IF(Matrice1!$Q359="Pro Monde",10%,IF(AND(Matrice1!$R359&gt;12,Matrice1!$O359&gt;5),70%,IF(AND(OR(Matrice1!$R359&gt;=4,Matrice1!$R359&lt;=12,Matrice1!$O359&lt;5,(OR(Matrice1!$Q359="Premium ")))),45%,0%)))</f>
        <v>0.45</v>
      </c>
      <c r="W359">
        <f>Matrice1!$T359* (Matrice1!$V359/100)</f>
        <v>0.18229500000000001</v>
      </c>
    </row>
    <row r="360" spans="1:23" x14ac:dyDescent="0.3">
      <c r="A360" s="1" t="s">
        <v>854</v>
      </c>
      <c r="B360" s="2">
        <v>45213</v>
      </c>
      <c r="C360" s="3">
        <v>0.94861111111111107</v>
      </c>
      <c r="D360" s="1" t="s">
        <v>874</v>
      </c>
      <c r="E360">
        <v>72</v>
      </c>
      <c r="F360" s="1" t="s">
        <v>810</v>
      </c>
      <c r="G360" s="1" t="s">
        <v>874</v>
      </c>
      <c r="H360" s="1" t="s">
        <v>35</v>
      </c>
      <c r="I360">
        <v>-2.7140689999999998</v>
      </c>
      <c r="J360">
        <v>22.222104000000002</v>
      </c>
      <c r="K360" s="1" t="s">
        <v>1498</v>
      </c>
      <c r="L360" s="1" t="s">
        <v>1508</v>
      </c>
      <c r="M360" s="1" t="s">
        <v>90</v>
      </c>
      <c r="N360" s="1" t="s">
        <v>35</v>
      </c>
      <c r="O360" s="1" t="str">
        <f>INT(Matrice1!$P360/12) &amp; " ans et " &amp; MOD(Matrice1!$P360,12) &amp; " mois"</f>
        <v>4 ans et 10 mois</v>
      </c>
      <c r="P360">
        <v>58</v>
      </c>
      <c r="Q360" s="1" t="s">
        <v>19</v>
      </c>
      <c r="R360" s="4">
        <f>Matrice1!$S360/1440</f>
        <v>0.29375000000000001</v>
      </c>
      <c r="S360">
        <v>423</v>
      </c>
      <c r="T360">
        <v>80.459999999999994</v>
      </c>
      <c r="U360">
        <v>0</v>
      </c>
      <c r="V360" s="8">
        <f>IF(Matrice1!$Q360="Pro Monde",10%,IF(AND(Matrice1!$R360&gt;12,Matrice1!$O360&gt;5),70%,IF(AND(OR(Matrice1!$R360&gt;=4,Matrice1!$R360&lt;=12,Matrice1!$O360&lt;5,(OR(Matrice1!$Q360="Premium ")))),45%,0%)))</f>
        <v>0.45</v>
      </c>
      <c r="W360">
        <f>Matrice1!$T360* (Matrice1!$V360/100)</f>
        <v>0.36207</v>
      </c>
    </row>
    <row r="361" spans="1:23" x14ac:dyDescent="0.3">
      <c r="A361" s="1" t="s">
        <v>854</v>
      </c>
      <c r="B361" s="2">
        <v>45213</v>
      </c>
      <c r="C361" s="3">
        <v>0.94861111111111107</v>
      </c>
      <c r="D361" s="1" t="s">
        <v>874</v>
      </c>
      <c r="E361">
        <v>72</v>
      </c>
      <c r="F361" s="1" t="s">
        <v>810</v>
      </c>
      <c r="G361" s="1" t="s">
        <v>874</v>
      </c>
      <c r="H361" s="1" t="s">
        <v>35</v>
      </c>
      <c r="I361">
        <v>-2.7140689999999998</v>
      </c>
      <c r="J361">
        <v>22.222104000000002</v>
      </c>
      <c r="K361" s="1" t="s">
        <v>1498</v>
      </c>
      <c r="L361" s="1" t="s">
        <v>1508</v>
      </c>
      <c r="M361" s="1" t="s">
        <v>96</v>
      </c>
      <c r="N361" s="1" t="s">
        <v>35</v>
      </c>
      <c r="O361" s="1" t="str">
        <f>INT(Matrice1!$P361/12) &amp; " ans et " &amp; MOD(Matrice1!$P361,12) &amp; " mois"</f>
        <v>3 ans et 6 mois</v>
      </c>
      <c r="P361">
        <v>42</v>
      </c>
      <c r="Q361" s="1" t="s">
        <v>22</v>
      </c>
      <c r="R361" s="4">
        <f>Matrice1!$S361/1440</f>
        <v>0.2673611111111111</v>
      </c>
      <c r="S361">
        <v>385</v>
      </c>
      <c r="T361">
        <v>96.52</v>
      </c>
      <c r="U361">
        <v>1</v>
      </c>
      <c r="V361" s="8">
        <f>IF(Matrice1!$Q361="Pro Monde",10%,IF(AND(Matrice1!$R361&gt;12,Matrice1!$O361&gt;5),70%,IF(AND(OR(Matrice1!$R361&gt;=4,Matrice1!$R361&lt;=12,Matrice1!$O361&lt;5,(OR(Matrice1!$Q361="Premium ")))),45%,0%)))</f>
        <v>0.45</v>
      </c>
      <c r="W361">
        <f>Matrice1!$T361* (Matrice1!$V361/100)</f>
        <v>0.43434000000000006</v>
      </c>
    </row>
    <row r="362" spans="1:23" x14ac:dyDescent="0.3">
      <c r="A362" s="1" t="s">
        <v>854</v>
      </c>
      <c r="B362" s="2">
        <v>45213</v>
      </c>
      <c r="C362" s="3">
        <v>0.94861111111111107</v>
      </c>
      <c r="D362" s="1" t="s">
        <v>874</v>
      </c>
      <c r="E362">
        <v>72</v>
      </c>
      <c r="F362" s="1" t="s">
        <v>810</v>
      </c>
      <c r="G362" s="1" t="s">
        <v>874</v>
      </c>
      <c r="H362" s="1" t="s">
        <v>35</v>
      </c>
      <c r="I362">
        <v>-2.7140689999999998</v>
      </c>
      <c r="J362">
        <v>22.222104000000002</v>
      </c>
      <c r="K362" s="1" t="s">
        <v>1498</v>
      </c>
      <c r="L362" s="1" t="s">
        <v>1508</v>
      </c>
      <c r="M362" s="1" t="s">
        <v>98</v>
      </c>
      <c r="N362" s="1" t="s">
        <v>35</v>
      </c>
      <c r="O362" s="1" t="str">
        <f>INT(Matrice1!$P362/12) &amp; " ans et " &amp; MOD(Matrice1!$P362,12) &amp; " mois"</f>
        <v>8 ans et 7 mois</v>
      </c>
      <c r="P362">
        <v>103</v>
      </c>
      <c r="Q362" s="1" t="s">
        <v>19</v>
      </c>
      <c r="R362" s="4">
        <f>Matrice1!$S362/1440</f>
        <v>0.20833333333333334</v>
      </c>
      <c r="S362">
        <v>300</v>
      </c>
      <c r="T362">
        <v>13.76</v>
      </c>
      <c r="U362">
        <v>4</v>
      </c>
      <c r="V362" s="8">
        <f>IF(Matrice1!$Q362="Pro Monde",10%,IF(AND(Matrice1!$R362&gt;12,Matrice1!$O362&gt;5),70%,IF(AND(OR(Matrice1!$R362&gt;=4,Matrice1!$R362&lt;=12,Matrice1!$O362&lt;5,(OR(Matrice1!$Q362="Premium ")))),45%,0%)))</f>
        <v>0.45</v>
      </c>
      <c r="W362">
        <f>Matrice1!$T362* (Matrice1!$V362/100)</f>
        <v>6.192000000000001E-2</v>
      </c>
    </row>
    <row r="363" spans="1:23" x14ac:dyDescent="0.3">
      <c r="A363" s="1" t="s">
        <v>854</v>
      </c>
      <c r="B363" s="2">
        <v>45213</v>
      </c>
      <c r="C363" s="3">
        <v>0.94861111111111107</v>
      </c>
      <c r="D363" s="1" t="s">
        <v>874</v>
      </c>
      <c r="E363">
        <v>72</v>
      </c>
      <c r="F363" s="1" t="s">
        <v>810</v>
      </c>
      <c r="G363" s="1" t="s">
        <v>874</v>
      </c>
      <c r="H363" s="1" t="s">
        <v>35</v>
      </c>
      <c r="I363">
        <v>-2.7140689999999998</v>
      </c>
      <c r="J363">
        <v>22.222104000000002</v>
      </c>
      <c r="K363" s="1" t="s">
        <v>1498</v>
      </c>
      <c r="L363" s="1" t="s">
        <v>1508</v>
      </c>
      <c r="M363" s="1" t="s">
        <v>99</v>
      </c>
      <c r="N363" s="1" t="s">
        <v>35</v>
      </c>
      <c r="O363" s="1" t="str">
        <f>INT(Matrice1!$P363/12) &amp; " ans et " &amp; MOD(Matrice1!$P363,12) &amp; " mois"</f>
        <v>6 ans et 8 mois</v>
      </c>
      <c r="P363">
        <v>80</v>
      </c>
      <c r="Q363" s="1" t="s">
        <v>11</v>
      </c>
      <c r="R363" s="4">
        <f>Matrice1!$S363/1440</f>
        <v>8.4027777777777785E-2</v>
      </c>
      <c r="S363">
        <v>121</v>
      </c>
      <c r="T363">
        <v>83.14</v>
      </c>
      <c r="U363">
        <v>5</v>
      </c>
      <c r="V363" s="8">
        <f>IF(Matrice1!$Q363="Pro Monde",10%,IF(AND(Matrice1!$R363&gt;12,Matrice1!$O363&gt;5),70%,IF(AND(OR(Matrice1!$R363&gt;=4,Matrice1!$R363&lt;=12,Matrice1!$O363&lt;5,(OR(Matrice1!$Q363="Premium ")))),45%,0%)))</f>
        <v>0.45</v>
      </c>
      <c r="W363">
        <f>Matrice1!$T363* (Matrice1!$V363/100)</f>
        <v>0.37413000000000007</v>
      </c>
    </row>
    <row r="364" spans="1:23" x14ac:dyDescent="0.3">
      <c r="A364" s="1" t="s">
        <v>854</v>
      </c>
      <c r="B364" s="2">
        <v>45213</v>
      </c>
      <c r="C364" s="3">
        <v>0.94861111111111107</v>
      </c>
      <c r="D364" s="1" t="s">
        <v>874</v>
      </c>
      <c r="E364">
        <v>72</v>
      </c>
      <c r="F364" s="1" t="s">
        <v>810</v>
      </c>
      <c r="G364" s="1" t="s">
        <v>874</v>
      </c>
      <c r="H364" s="1" t="s">
        <v>35</v>
      </c>
      <c r="I364">
        <v>-2.7140689999999998</v>
      </c>
      <c r="J364">
        <v>22.222104000000002</v>
      </c>
      <c r="K364" s="1" t="s">
        <v>1498</v>
      </c>
      <c r="L364" s="1" t="s">
        <v>1508</v>
      </c>
      <c r="M364" s="1" t="s">
        <v>109</v>
      </c>
      <c r="N364" s="1" t="s">
        <v>35</v>
      </c>
      <c r="O364" s="1" t="str">
        <f>INT(Matrice1!$P364/12) &amp; " ans et " &amp; MOD(Matrice1!$P364,12) &amp; " mois"</f>
        <v>0 ans et 6 mois</v>
      </c>
      <c r="P364">
        <v>6</v>
      </c>
      <c r="Q364" s="1" t="s">
        <v>11</v>
      </c>
      <c r="R364" s="4">
        <f>Matrice1!$S364/1440</f>
        <v>0.1125</v>
      </c>
      <c r="S364">
        <v>162</v>
      </c>
      <c r="T364">
        <v>99.93</v>
      </c>
      <c r="U364">
        <v>0</v>
      </c>
      <c r="V364" s="8">
        <f>IF(Matrice1!$Q364="Pro Monde",10%,IF(AND(Matrice1!$R364&gt;12,Matrice1!$O364&gt;5),70%,IF(AND(OR(Matrice1!$R364&gt;=4,Matrice1!$R364&lt;=12,Matrice1!$O364&lt;5,(OR(Matrice1!$Q364="Premium ")))),45%,0%)))</f>
        <v>0.45</v>
      </c>
      <c r="W364">
        <f>Matrice1!$T364* (Matrice1!$V364/100)</f>
        <v>0.44968500000000006</v>
      </c>
    </row>
    <row r="365" spans="1:23" x14ac:dyDescent="0.3">
      <c r="A365" s="1" t="s">
        <v>854</v>
      </c>
      <c r="B365" s="2">
        <v>45213</v>
      </c>
      <c r="C365" s="3">
        <v>0.94861111111111107</v>
      </c>
      <c r="D365" s="1" t="s">
        <v>874</v>
      </c>
      <c r="E365">
        <v>72</v>
      </c>
      <c r="F365" s="1" t="s">
        <v>810</v>
      </c>
      <c r="G365" s="1" t="s">
        <v>874</v>
      </c>
      <c r="H365" s="1" t="s">
        <v>35</v>
      </c>
      <c r="I365">
        <v>-2.7140689999999998</v>
      </c>
      <c r="J365">
        <v>22.222104000000002</v>
      </c>
      <c r="K365" s="1" t="s">
        <v>1498</v>
      </c>
      <c r="L365" s="1" t="s">
        <v>1508</v>
      </c>
      <c r="M365" s="1" t="s">
        <v>110</v>
      </c>
      <c r="N365" s="1" t="s">
        <v>35</v>
      </c>
      <c r="O365" s="1" t="str">
        <f>INT(Matrice1!$P365/12) &amp; " ans et " &amp; MOD(Matrice1!$P365,12) &amp; " mois"</f>
        <v>7 ans et 2 mois</v>
      </c>
      <c r="P365">
        <v>86</v>
      </c>
      <c r="Q365" s="1" t="s">
        <v>14</v>
      </c>
      <c r="R365" s="4">
        <f>Matrice1!$S365/1440</f>
        <v>0.16458333333333333</v>
      </c>
      <c r="S365">
        <v>237</v>
      </c>
      <c r="T365">
        <v>85.82</v>
      </c>
      <c r="U365">
        <v>5</v>
      </c>
      <c r="V365" s="8">
        <f>IF(Matrice1!$Q365="Pro Monde",10%,IF(AND(Matrice1!$R365&gt;12,Matrice1!$O365&gt;5),70%,IF(AND(OR(Matrice1!$R365&gt;=4,Matrice1!$R365&lt;=12,Matrice1!$O365&lt;5,(OR(Matrice1!$Q365="Premium ")))),45%,0%)))</f>
        <v>0.1</v>
      </c>
      <c r="W365">
        <f>Matrice1!$T365* (Matrice1!$V365/100)</f>
        <v>8.5819999999999994E-2</v>
      </c>
    </row>
    <row r="366" spans="1:23" x14ac:dyDescent="0.3">
      <c r="A366" s="1" t="s">
        <v>854</v>
      </c>
      <c r="B366" s="2">
        <v>45213</v>
      </c>
      <c r="C366" s="3">
        <v>0.94861111111111107</v>
      </c>
      <c r="D366" s="1" t="s">
        <v>874</v>
      </c>
      <c r="E366">
        <v>72</v>
      </c>
      <c r="F366" s="1" t="s">
        <v>810</v>
      </c>
      <c r="G366" s="1" t="s">
        <v>874</v>
      </c>
      <c r="H366" s="1" t="s">
        <v>35</v>
      </c>
      <c r="I366">
        <v>-2.7140689999999998</v>
      </c>
      <c r="J366">
        <v>22.222104000000002</v>
      </c>
      <c r="K366" s="1" t="s">
        <v>1498</v>
      </c>
      <c r="L366" s="1" t="s">
        <v>1508</v>
      </c>
      <c r="M366" s="1" t="s">
        <v>124</v>
      </c>
      <c r="N366" s="1" t="s">
        <v>35</v>
      </c>
      <c r="O366" s="1" t="str">
        <f>INT(Matrice1!$P366/12) &amp; " ans et " &amp; MOD(Matrice1!$P366,12) &amp; " mois"</f>
        <v>8 ans et 3 mois</v>
      </c>
      <c r="P366">
        <v>99</v>
      </c>
      <c r="Q366" s="1" t="s">
        <v>22</v>
      </c>
      <c r="R366" s="4">
        <f>Matrice1!$S366/1440</f>
        <v>0.34236111111111112</v>
      </c>
      <c r="S366">
        <v>493</v>
      </c>
      <c r="T366">
        <v>55.43</v>
      </c>
      <c r="U366">
        <v>2</v>
      </c>
      <c r="V366" s="8">
        <f>IF(Matrice1!$Q366="Pro Monde",10%,IF(AND(Matrice1!$R366&gt;12,Matrice1!$O366&gt;5),70%,IF(AND(OR(Matrice1!$R366&gt;=4,Matrice1!$R366&lt;=12,Matrice1!$O366&lt;5,(OR(Matrice1!$Q366="Premium ")))),45%,0%)))</f>
        <v>0.45</v>
      </c>
      <c r="W366">
        <f>Matrice1!$T366* (Matrice1!$V366/100)</f>
        <v>0.24943500000000002</v>
      </c>
    </row>
    <row r="367" spans="1:23" x14ac:dyDescent="0.3">
      <c r="A367" s="1" t="s">
        <v>854</v>
      </c>
      <c r="B367" s="2">
        <v>45213</v>
      </c>
      <c r="C367" s="3">
        <v>0.94861111111111107</v>
      </c>
      <c r="D367" s="1" t="s">
        <v>874</v>
      </c>
      <c r="E367">
        <v>72</v>
      </c>
      <c r="F367" s="1" t="s">
        <v>810</v>
      </c>
      <c r="G367" s="1" t="s">
        <v>874</v>
      </c>
      <c r="H367" s="1" t="s">
        <v>35</v>
      </c>
      <c r="I367">
        <v>-2.7140689999999998</v>
      </c>
      <c r="J367">
        <v>22.222104000000002</v>
      </c>
      <c r="K367" s="1" t="s">
        <v>1498</v>
      </c>
      <c r="L367" s="1" t="s">
        <v>1508</v>
      </c>
      <c r="M367" s="1" t="s">
        <v>216</v>
      </c>
      <c r="N367" s="1" t="s">
        <v>35</v>
      </c>
      <c r="O367" s="1" t="str">
        <f>INT(Matrice1!$P367/12) &amp; " ans et " &amp; MOD(Matrice1!$P367,12) &amp; " mois"</f>
        <v>6 ans et 3 mois</v>
      </c>
      <c r="P367">
        <v>75</v>
      </c>
      <c r="Q367" s="1" t="s">
        <v>19</v>
      </c>
      <c r="R367" s="4">
        <f>Matrice1!$S367/1440</f>
        <v>0.19583333333333333</v>
      </c>
      <c r="S367">
        <v>282</v>
      </c>
      <c r="T367">
        <v>45.16</v>
      </c>
      <c r="U367">
        <v>5</v>
      </c>
      <c r="V367" s="8">
        <f>IF(Matrice1!$Q367="Pro Monde",10%,IF(AND(Matrice1!$R367&gt;12,Matrice1!$O367&gt;5),70%,IF(AND(OR(Matrice1!$R367&gt;=4,Matrice1!$R367&lt;=12,Matrice1!$O367&lt;5,(OR(Matrice1!$Q367="Premium ")))),45%,0%)))</f>
        <v>0.45</v>
      </c>
      <c r="W367">
        <f>Matrice1!$T367* (Matrice1!$V367/100)</f>
        <v>0.20322000000000001</v>
      </c>
    </row>
    <row r="368" spans="1:23" x14ac:dyDescent="0.3">
      <c r="A368" s="1" t="s">
        <v>854</v>
      </c>
      <c r="B368" s="2">
        <v>45213</v>
      </c>
      <c r="C368" s="3">
        <v>0.94861111111111107</v>
      </c>
      <c r="D368" s="1" t="s">
        <v>874</v>
      </c>
      <c r="E368">
        <v>72</v>
      </c>
      <c r="F368" s="1" t="s">
        <v>810</v>
      </c>
      <c r="G368" s="1" t="s">
        <v>874</v>
      </c>
      <c r="H368" s="1" t="s">
        <v>35</v>
      </c>
      <c r="I368">
        <v>-2.7140689999999998</v>
      </c>
      <c r="J368">
        <v>22.222104000000002</v>
      </c>
      <c r="K368" s="1" t="s">
        <v>1498</v>
      </c>
      <c r="L368" s="1" t="s">
        <v>1508</v>
      </c>
      <c r="M368" s="1" t="s">
        <v>242</v>
      </c>
      <c r="N368" s="1" t="s">
        <v>35</v>
      </c>
      <c r="O368" s="1" t="str">
        <f>INT(Matrice1!$P368/12) &amp; " ans et " &amp; MOD(Matrice1!$P368,12) &amp; " mois"</f>
        <v>2 ans et 3 mois</v>
      </c>
      <c r="P368">
        <v>27</v>
      </c>
      <c r="Q368" s="1" t="s">
        <v>11</v>
      </c>
      <c r="R368" s="4">
        <f>Matrice1!$S368/1440</f>
        <v>4.2361111111111113E-2</v>
      </c>
      <c r="S368">
        <v>61</v>
      </c>
      <c r="T368">
        <v>97.51</v>
      </c>
      <c r="U368">
        <v>5</v>
      </c>
      <c r="V368" s="8">
        <f>IF(Matrice1!$Q368="Pro Monde",10%,IF(AND(Matrice1!$R368&gt;12,Matrice1!$O368&gt;5),70%,IF(AND(OR(Matrice1!$R368&gt;=4,Matrice1!$R368&lt;=12,Matrice1!$O368&lt;5,(OR(Matrice1!$Q368="Premium ")))),45%,0%)))</f>
        <v>0.45</v>
      </c>
      <c r="W368">
        <f>Matrice1!$T368* (Matrice1!$V368/100)</f>
        <v>0.4387950000000001</v>
      </c>
    </row>
    <row r="369" spans="1:23" x14ac:dyDescent="0.3">
      <c r="A369" s="1" t="s">
        <v>854</v>
      </c>
      <c r="B369" s="2">
        <v>45213</v>
      </c>
      <c r="C369" s="3">
        <v>0.94861111111111107</v>
      </c>
      <c r="D369" s="1" t="s">
        <v>874</v>
      </c>
      <c r="E369">
        <v>72</v>
      </c>
      <c r="F369" s="1" t="s">
        <v>810</v>
      </c>
      <c r="G369" s="1" t="s">
        <v>874</v>
      </c>
      <c r="H369" s="1" t="s">
        <v>35</v>
      </c>
      <c r="I369">
        <v>-2.7140689999999998</v>
      </c>
      <c r="J369">
        <v>22.222104000000002</v>
      </c>
      <c r="K369" s="1" t="s">
        <v>1498</v>
      </c>
      <c r="L369" s="1" t="s">
        <v>1508</v>
      </c>
      <c r="M369" s="1" t="s">
        <v>268</v>
      </c>
      <c r="N369" s="1" t="s">
        <v>35</v>
      </c>
      <c r="O369" s="1" t="str">
        <f>INT(Matrice1!$P369/12) &amp; " ans et " &amp; MOD(Matrice1!$P369,12) &amp; " mois"</f>
        <v>7 ans et 2 mois</v>
      </c>
      <c r="P369">
        <v>86</v>
      </c>
      <c r="Q369" s="1" t="s">
        <v>11</v>
      </c>
      <c r="R369" s="4">
        <f>Matrice1!$S369/1440</f>
        <v>7.7083333333333337E-2</v>
      </c>
      <c r="S369">
        <v>111</v>
      </c>
      <c r="T369">
        <v>23.65</v>
      </c>
      <c r="U369">
        <v>0</v>
      </c>
      <c r="V369" s="8">
        <f>IF(Matrice1!$Q369="Pro Monde",10%,IF(AND(Matrice1!$R369&gt;12,Matrice1!$O369&gt;5),70%,IF(AND(OR(Matrice1!$R369&gt;=4,Matrice1!$R369&lt;=12,Matrice1!$O369&lt;5,(OR(Matrice1!$Q369="Premium ")))),45%,0%)))</f>
        <v>0.45</v>
      </c>
      <c r="W369">
        <f>Matrice1!$T369* (Matrice1!$V369/100)</f>
        <v>0.10642500000000001</v>
      </c>
    </row>
    <row r="370" spans="1:23" x14ac:dyDescent="0.3">
      <c r="A370" s="1" t="s">
        <v>854</v>
      </c>
      <c r="B370" s="2">
        <v>45213</v>
      </c>
      <c r="C370" s="3">
        <v>0.94861111111111107</v>
      </c>
      <c r="D370" s="1" t="s">
        <v>874</v>
      </c>
      <c r="E370">
        <v>72</v>
      </c>
      <c r="F370" s="1" t="s">
        <v>810</v>
      </c>
      <c r="G370" s="1" t="s">
        <v>874</v>
      </c>
      <c r="H370" s="1" t="s">
        <v>35</v>
      </c>
      <c r="I370">
        <v>-2.7140689999999998</v>
      </c>
      <c r="J370">
        <v>22.222104000000002</v>
      </c>
      <c r="K370" s="1" t="s">
        <v>1498</v>
      </c>
      <c r="L370" s="1" t="s">
        <v>1508</v>
      </c>
      <c r="M370" s="1" t="s">
        <v>307</v>
      </c>
      <c r="N370" s="1" t="s">
        <v>35</v>
      </c>
      <c r="O370" s="1" t="str">
        <f>INT(Matrice1!$P370/12) &amp; " ans et " &amp; MOD(Matrice1!$P370,12) &amp; " mois"</f>
        <v>6 ans et 1 mois</v>
      </c>
      <c r="P370">
        <v>73</v>
      </c>
      <c r="Q370" s="1" t="s">
        <v>22</v>
      </c>
      <c r="R370" s="4">
        <f>Matrice1!$S370/1440</f>
        <v>0.15625</v>
      </c>
      <c r="S370">
        <v>225</v>
      </c>
      <c r="T370">
        <v>45.86</v>
      </c>
      <c r="U370">
        <v>0</v>
      </c>
      <c r="V370" s="8">
        <f>IF(Matrice1!$Q370="Pro Monde",10%,IF(AND(Matrice1!$R370&gt;12,Matrice1!$O370&gt;5),70%,IF(AND(OR(Matrice1!$R370&gt;=4,Matrice1!$R370&lt;=12,Matrice1!$O370&lt;5,(OR(Matrice1!$Q370="Premium ")))),45%,0%)))</f>
        <v>0.45</v>
      </c>
      <c r="W370">
        <f>Matrice1!$T370* (Matrice1!$V370/100)</f>
        <v>0.20637000000000003</v>
      </c>
    </row>
    <row r="371" spans="1:23" x14ac:dyDescent="0.3">
      <c r="A371" s="1" t="s">
        <v>854</v>
      </c>
      <c r="B371" s="2">
        <v>45213</v>
      </c>
      <c r="C371" s="3">
        <v>0.94861111111111107</v>
      </c>
      <c r="D371" s="1" t="s">
        <v>874</v>
      </c>
      <c r="E371">
        <v>72</v>
      </c>
      <c r="F371" s="1" t="s">
        <v>810</v>
      </c>
      <c r="G371" s="1" t="s">
        <v>874</v>
      </c>
      <c r="H371" s="1" t="s">
        <v>35</v>
      </c>
      <c r="I371">
        <v>-2.7140689999999998</v>
      </c>
      <c r="J371">
        <v>22.222104000000002</v>
      </c>
      <c r="K371" s="1" t="s">
        <v>1498</v>
      </c>
      <c r="L371" s="1" t="s">
        <v>1508</v>
      </c>
      <c r="M371" s="1" t="s">
        <v>317</v>
      </c>
      <c r="N371" s="1" t="s">
        <v>35</v>
      </c>
      <c r="O371" s="1" t="str">
        <f>INT(Matrice1!$P371/12) &amp; " ans et " &amp; MOD(Matrice1!$P371,12) &amp; " mois"</f>
        <v>3 ans et 9 mois</v>
      </c>
      <c r="P371">
        <v>45</v>
      </c>
      <c r="Q371" s="1" t="s">
        <v>22</v>
      </c>
      <c r="R371" s="4">
        <f>Matrice1!$S371/1440</f>
        <v>2.9861111111111113E-2</v>
      </c>
      <c r="S371">
        <v>43</v>
      </c>
      <c r="T371">
        <v>12.31</v>
      </c>
      <c r="U371">
        <v>0</v>
      </c>
      <c r="V371" s="8">
        <f>IF(Matrice1!$Q371="Pro Monde",10%,IF(AND(Matrice1!$R371&gt;12,Matrice1!$O371&gt;5),70%,IF(AND(OR(Matrice1!$R371&gt;=4,Matrice1!$R371&lt;=12,Matrice1!$O371&lt;5,(OR(Matrice1!$Q371="Premium ")))),45%,0%)))</f>
        <v>0.45</v>
      </c>
      <c r="W371">
        <f>Matrice1!$T371* (Matrice1!$V371/100)</f>
        <v>5.5395000000000007E-2</v>
      </c>
    </row>
    <row r="372" spans="1:23" x14ac:dyDescent="0.3">
      <c r="A372" s="1" t="s">
        <v>854</v>
      </c>
      <c r="B372" s="2">
        <v>45213</v>
      </c>
      <c r="C372" s="3">
        <v>0.94861111111111107</v>
      </c>
      <c r="D372" s="1" t="s">
        <v>874</v>
      </c>
      <c r="E372">
        <v>72</v>
      </c>
      <c r="F372" s="1" t="s">
        <v>810</v>
      </c>
      <c r="G372" s="1" t="s">
        <v>874</v>
      </c>
      <c r="H372" s="1" t="s">
        <v>35</v>
      </c>
      <c r="I372">
        <v>-2.7140689999999998</v>
      </c>
      <c r="J372">
        <v>22.222104000000002</v>
      </c>
      <c r="K372" s="1" t="s">
        <v>1498</v>
      </c>
      <c r="L372" s="1" t="s">
        <v>1508</v>
      </c>
      <c r="M372" s="1" t="s">
        <v>319</v>
      </c>
      <c r="N372" s="1" t="s">
        <v>35</v>
      </c>
      <c r="O372" s="1" t="str">
        <f>INT(Matrice1!$P372/12) &amp; " ans et " &amp; MOD(Matrice1!$P372,12) &amp; " mois"</f>
        <v>7 ans et 7 mois</v>
      </c>
      <c r="P372">
        <v>91</v>
      </c>
      <c r="Q372" s="1" t="s">
        <v>22</v>
      </c>
      <c r="R372" s="4">
        <f>Matrice1!$S372/1440</f>
        <v>4.3749999999999997E-2</v>
      </c>
      <c r="S372">
        <v>63</v>
      </c>
      <c r="T372">
        <v>57.76</v>
      </c>
      <c r="U372">
        <v>5</v>
      </c>
      <c r="V372" s="8">
        <f>IF(Matrice1!$Q372="Pro Monde",10%,IF(AND(Matrice1!$R372&gt;12,Matrice1!$O372&gt;5),70%,IF(AND(OR(Matrice1!$R372&gt;=4,Matrice1!$R372&lt;=12,Matrice1!$O372&lt;5,(OR(Matrice1!$Q372="Premium ")))),45%,0%)))</f>
        <v>0.45</v>
      </c>
      <c r="W372">
        <f>Matrice1!$T372* (Matrice1!$V372/100)</f>
        <v>0.25992000000000004</v>
      </c>
    </row>
    <row r="373" spans="1:23" x14ac:dyDescent="0.3">
      <c r="A373" s="1" t="s">
        <v>854</v>
      </c>
      <c r="B373" s="2">
        <v>45213</v>
      </c>
      <c r="C373" s="3">
        <v>0.94861111111111107</v>
      </c>
      <c r="D373" s="1" t="s">
        <v>874</v>
      </c>
      <c r="E373">
        <v>72</v>
      </c>
      <c r="F373" s="1" t="s">
        <v>810</v>
      </c>
      <c r="G373" s="1" t="s">
        <v>874</v>
      </c>
      <c r="H373" s="1" t="s">
        <v>35</v>
      </c>
      <c r="I373">
        <v>-2.7140689999999998</v>
      </c>
      <c r="J373">
        <v>22.222104000000002</v>
      </c>
      <c r="K373" s="1" t="s">
        <v>1498</v>
      </c>
      <c r="L373" s="1" t="s">
        <v>1508</v>
      </c>
      <c r="M373" s="1" t="s">
        <v>373</v>
      </c>
      <c r="N373" s="1" t="s">
        <v>35</v>
      </c>
      <c r="O373" s="1" t="str">
        <f>INT(Matrice1!$P373/12) &amp; " ans et " &amp; MOD(Matrice1!$P373,12) &amp; " mois"</f>
        <v>2 ans et 5 mois</v>
      </c>
      <c r="P373">
        <v>29</v>
      </c>
      <c r="Q373" s="1" t="s">
        <v>14</v>
      </c>
      <c r="R373" s="4">
        <f>Matrice1!$S373/1440</f>
        <v>0.14097222222222222</v>
      </c>
      <c r="S373">
        <v>203</v>
      </c>
      <c r="T373">
        <v>53.97</v>
      </c>
      <c r="U373">
        <v>5</v>
      </c>
      <c r="V373" s="8">
        <f>IF(Matrice1!$Q373="Pro Monde",10%,IF(AND(Matrice1!$R373&gt;12,Matrice1!$O373&gt;5),70%,IF(AND(OR(Matrice1!$R373&gt;=4,Matrice1!$R373&lt;=12,Matrice1!$O373&lt;5,(OR(Matrice1!$Q373="Premium ")))),45%,0%)))</f>
        <v>0.1</v>
      </c>
      <c r="W373">
        <f>Matrice1!$T373* (Matrice1!$V373/100)</f>
        <v>5.3969999999999997E-2</v>
      </c>
    </row>
    <row r="374" spans="1:23" x14ac:dyDescent="0.3">
      <c r="A374" s="1" t="s">
        <v>854</v>
      </c>
      <c r="B374" s="2">
        <v>45213</v>
      </c>
      <c r="C374" s="3">
        <v>0.94861111111111107</v>
      </c>
      <c r="D374" s="1" t="s">
        <v>874</v>
      </c>
      <c r="E374">
        <v>72</v>
      </c>
      <c r="F374" s="1" t="s">
        <v>810</v>
      </c>
      <c r="G374" s="1" t="s">
        <v>874</v>
      </c>
      <c r="H374" s="1" t="s">
        <v>35</v>
      </c>
      <c r="I374">
        <v>-2.7140689999999998</v>
      </c>
      <c r="J374">
        <v>22.222104000000002</v>
      </c>
      <c r="K374" s="1" t="s">
        <v>1498</v>
      </c>
      <c r="L374" s="1" t="s">
        <v>1508</v>
      </c>
      <c r="M374" s="1" t="s">
        <v>391</v>
      </c>
      <c r="N374" s="1" t="s">
        <v>35</v>
      </c>
      <c r="O374" s="1" t="str">
        <f>INT(Matrice1!$P374/12) &amp; " ans et " &amp; MOD(Matrice1!$P374,12) &amp; " mois"</f>
        <v>5 ans et 5 mois</v>
      </c>
      <c r="P374">
        <v>65</v>
      </c>
      <c r="Q374" s="1" t="s">
        <v>19</v>
      </c>
      <c r="R374" s="4">
        <f>Matrice1!$S374/1440</f>
        <v>0.30694444444444446</v>
      </c>
      <c r="S374">
        <v>442</v>
      </c>
      <c r="T374">
        <v>60.62</v>
      </c>
      <c r="U374">
        <v>5</v>
      </c>
      <c r="V374" s="8">
        <f>IF(Matrice1!$Q374="Pro Monde",10%,IF(AND(Matrice1!$R374&gt;12,Matrice1!$O374&gt;5),70%,IF(AND(OR(Matrice1!$R374&gt;=4,Matrice1!$R374&lt;=12,Matrice1!$O374&lt;5,(OR(Matrice1!$Q374="Premium ")))),45%,0%)))</f>
        <v>0.45</v>
      </c>
      <c r="W374">
        <f>Matrice1!$T374* (Matrice1!$V374/100)</f>
        <v>0.27279000000000003</v>
      </c>
    </row>
    <row r="375" spans="1:23" x14ac:dyDescent="0.3">
      <c r="A375" s="1" t="s">
        <v>854</v>
      </c>
      <c r="B375" s="2">
        <v>45213</v>
      </c>
      <c r="C375" s="3">
        <v>0.94861111111111107</v>
      </c>
      <c r="D375" s="1" t="s">
        <v>874</v>
      </c>
      <c r="E375">
        <v>72</v>
      </c>
      <c r="F375" s="1" t="s">
        <v>810</v>
      </c>
      <c r="G375" s="1" t="s">
        <v>874</v>
      </c>
      <c r="H375" s="1" t="s">
        <v>35</v>
      </c>
      <c r="I375">
        <v>-2.7140689999999998</v>
      </c>
      <c r="J375">
        <v>22.222104000000002</v>
      </c>
      <c r="K375" s="1" t="s">
        <v>1498</v>
      </c>
      <c r="L375" s="1" t="s">
        <v>1508</v>
      </c>
      <c r="M375" s="1" t="s">
        <v>484</v>
      </c>
      <c r="N375" s="1" t="s">
        <v>35</v>
      </c>
      <c r="O375" s="1" t="str">
        <f>INT(Matrice1!$P375/12) &amp; " ans et " &amp; MOD(Matrice1!$P375,12) &amp; " mois"</f>
        <v>7 ans et 4 mois</v>
      </c>
      <c r="P375">
        <v>88</v>
      </c>
      <c r="Q375" s="1" t="s">
        <v>19</v>
      </c>
      <c r="R375" s="4">
        <f>Matrice1!$S375/1440</f>
        <v>0.32916666666666666</v>
      </c>
      <c r="S375">
        <v>474</v>
      </c>
      <c r="T375">
        <v>23.35</v>
      </c>
      <c r="U375">
        <v>5</v>
      </c>
      <c r="V375" s="8">
        <f>IF(Matrice1!$Q375="Pro Monde",10%,IF(AND(Matrice1!$R375&gt;12,Matrice1!$O375&gt;5),70%,IF(AND(OR(Matrice1!$R375&gt;=4,Matrice1!$R375&lt;=12,Matrice1!$O375&lt;5,(OR(Matrice1!$Q375="Premium ")))),45%,0%)))</f>
        <v>0.45</v>
      </c>
      <c r="W375">
        <f>Matrice1!$T375* (Matrice1!$V375/100)</f>
        <v>0.10507500000000002</v>
      </c>
    </row>
    <row r="376" spans="1:23" x14ac:dyDescent="0.3">
      <c r="A376" s="1" t="s">
        <v>854</v>
      </c>
      <c r="B376" s="2">
        <v>45213</v>
      </c>
      <c r="C376" s="3">
        <v>0.94861111111111107</v>
      </c>
      <c r="D376" s="1" t="s">
        <v>874</v>
      </c>
      <c r="E376">
        <v>72</v>
      </c>
      <c r="F376" s="1" t="s">
        <v>810</v>
      </c>
      <c r="G376" s="1" t="s">
        <v>874</v>
      </c>
      <c r="H376" s="1" t="s">
        <v>35</v>
      </c>
      <c r="I376">
        <v>-2.7140689999999998</v>
      </c>
      <c r="J376">
        <v>22.222104000000002</v>
      </c>
      <c r="K376" s="1" t="s">
        <v>1498</v>
      </c>
      <c r="L376" s="1" t="s">
        <v>1508</v>
      </c>
      <c r="M376" s="1" t="s">
        <v>506</v>
      </c>
      <c r="N376" s="1" t="s">
        <v>35</v>
      </c>
      <c r="O376" s="1" t="str">
        <f>INT(Matrice1!$P376/12) &amp; " ans et " &amp; MOD(Matrice1!$P376,12) &amp; " mois"</f>
        <v>6 ans et 8 mois</v>
      </c>
      <c r="P376">
        <v>80</v>
      </c>
      <c r="Q376" s="1" t="s">
        <v>14</v>
      </c>
      <c r="R376" s="4">
        <f>Matrice1!$S376/1440</f>
        <v>0.23541666666666666</v>
      </c>
      <c r="S376">
        <v>339</v>
      </c>
      <c r="T376">
        <v>59.87</v>
      </c>
      <c r="U376">
        <v>0</v>
      </c>
      <c r="V376" s="8">
        <f>IF(Matrice1!$Q376="Pro Monde",10%,IF(AND(Matrice1!$R376&gt;12,Matrice1!$O376&gt;5),70%,IF(AND(OR(Matrice1!$R376&gt;=4,Matrice1!$R376&lt;=12,Matrice1!$O376&lt;5,(OR(Matrice1!$Q376="Premium ")))),45%,0%)))</f>
        <v>0.1</v>
      </c>
      <c r="W376">
        <f>Matrice1!$T376* (Matrice1!$V376/100)</f>
        <v>5.987E-2</v>
      </c>
    </row>
    <row r="377" spans="1:23" x14ac:dyDescent="0.3">
      <c r="A377" s="1" t="s">
        <v>854</v>
      </c>
      <c r="B377" s="2">
        <v>45213</v>
      </c>
      <c r="C377" s="3">
        <v>0.94861111111111107</v>
      </c>
      <c r="D377" s="1" t="s">
        <v>874</v>
      </c>
      <c r="E377">
        <v>72</v>
      </c>
      <c r="F377" s="1" t="s">
        <v>810</v>
      </c>
      <c r="G377" s="1" t="s">
        <v>874</v>
      </c>
      <c r="H377" s="1" t="s">
        <v>35</v>
      </c>
      <c r="I377">
        <v>-2.7140689999999998</v>
      </c>
      <c r="J377">
        <v>22.222104000000002</v>
      </c>
      <c r="K377" s="1" t="s">
        <v>1498</v>
      </c>
      <c r="L377" s="1" t="s">
        <v>1508</v>
      </c>
      <c r="M377" s="1" t="s">
        <v>520</v>
      </c>
      <c r="N377" s="1" t="s">
        <v>35</v>
      </c>
      <c r="O377" s="1" t="str">
        <f>INT(Matrice1!$P377/12) &amp; " ans et " &amp; MOD(Matrice1!$P377,12) &amp; " mois"</f>
        <v>9 ans et 9 mois</v>
      </c>
      <c r="P377">
        <v>117</v>
      </c>
      <c r="Q377" s="1" t="s">
        <v>22</v>
      </c>
      <c r="R377" s="4">
        <f>Matrice1!$S377/1440</f>
        <v>2.7083333333333334E-2</v>
      </c>
      <c r="S377">
        <v>39</v>
      </c>
      <c r="T377">
        <v>26.53</v>
      </c>
      <c r="U377">
        <v>1</v>
      </c>
      <c r="V377" s="8">
        <f>IF(Matrice1!$Q377="Pro Monde",10%,IF(AND(Matrice1!$R377&gt;12,Matrice1!$O377&gt;5),70%,IF(AND(OR(Matrice1!$R377&gt;=4,Matrice1!$R377&lt;=12,Matrice1!$O377&lt;5,(OR(Matrice1!$Q377="Premium ")))),45%,0%)))</f>
        <v>0.45</v>
      </c>
      <c r="W377">
        <f>Matrice1!$T377* (Matrice1!$V377/100)</f>
        <v>0.11938500000000002</v>
      </c>
    </row>
    <row r="378" spans="1:23" x14ac:dyDescent="0.3">
      <c r="A378" s="1" t="s">
        <v>854</v>
      </c>
      <c r="B378" s="2">
        <v>45213</v>
      </c>
      <c r="C378" s="3">
        <v>0.94861111111111107</v>
      </c>
      <c r="D378" s="1" t="s">
        <v>874</v>
      </c>
      <c r="E378">
        <v>72</v>
      </c>
      <c r="F378" s="1" t="s">
        <v>810</v>
      </c>
      <c r="G378" s="1" t="s">
        <v>874</v>
      </c>
      <c r="H378" s="1" t="s">
        <v>35</v>
      </c>
      <c r="I378">
        <v>-2.7140689999999998</v>
      </c>
      <c r="J378">
        <v>22.222104000000002</v>
      </c>
      <c r="K378" s="1" t="s">
        <v>1498</v>
      </c>
      <c r="L378" s="1" t="s">
        <v>1508</v>
      </c>
      <c r="M378" s="1" t="s">
        <v>532</v>
      </c>
      <c r="N378" s="1" t="s">
        <v>35</v>
      </c>
      <c r="O378" s="1" t="str">
        <f>INT(Matrice1!$P378/12) &amp; " ans et " &amp; MOD(Matrice1!$P378,12) &amp; " mois"</f>
        <v>3 ans et 5 mois</v>
      </c>
      <c r="P378">
        <v>41</v>
      </c>
      <c r="Q378" s="1" t="s">
        <v>11</v>
      </c>
      <c r="R378" s="4">
        <f>Matrice1!$S378/1440</f>
        <v>0.26597222222222222</v>
      </c>
      <c r="S378">
        <v>383</v>
      </c>
      <c r="T378">
        <v>27.53</v>
      </c>
      <c r="U378">
        <v>4</v>
      </c>
      <c r="V378" s="8">
        <f>IF(Matrice1!$Q378="Pro Monde",10%,IF(AND(Matrice1!$R378&gt;12,Matrice1!$O378&gt;5),70%,IF(AND(OR(Matrice1!$R378&gt;=4,Matrice1!$R378&lt;=12,Matrice1!$O378&lt;5,(OR(Matrice1!$Q378="Premium ")))),45%,0%)))</f>
        <v>0.45</v>
      </c>
      <c r="W378">
        <f>Matrice1!$T378* (Matrice1!$V378/100)</f>
        <v>0.12388500000000002</v>
      </c>
    </row>
    <row r="379" spans="1:23" x14ac:dyDescent="0.3">
      <c r="A379" s="1" t="s">
        <v>854</v>
      </c>
      <c r="B379" s="2">
        <v>45213</v>
      </c>
      <c r="C379" s="3">
        <v>0.94861111111111107</v>
      </c>
      <c r="D379" s="1" t="s">
        <v>874</v>
      </c>
      <c r="E379">
        <v>72</v>
      </c>
      <c r="F379" s="1" t="s">
        <v>810</v>
      </c>
      <c r="G379" s="1" t="s">
        <v>874</v>
      </c>
      <c r="H379" s="1" t="s">
        <v>35</v>
      </c>
      <c r="I379">
        <v>-2.7140689999999998</v>
      </c>
      <c r="J379">
        <v>22.222104000000002</v>
      </c>
      <c r="K379" s="1" t="s">
        <v>1498</v>
      </c>
      <c r="L379" s="1" t="s">
        <v>1508</v>
      </c>
      <c r="M379" s="1" t="s">
        <v>564</v>
      </c>
      <c r="N379" s="1" t="s">
        <v>35</v>
      </c>
      <c r="O379" s="1" t="str">
        <f>INT(Matrice1!$P379/12) &amp; " ans et " &amp; MOD(Matrice1!$P379,12) &amp; " mois"</f>
        <v>8 ans et 2 mois</v>
      </c>
      <c r="P379">
        <v>98</v>
      </c>
      <c r="Q379" s="1" t="s">
        <v>14</v>
      </c>
      <c r="R379" s="4">
        <f>Matrice1!$S379/1440</f>
        <v>2.8472222222222222E-2</v>
      </c>
      <c r="S379">
        <v>41</v>
      </c>
      <c r="T379">
        <v>23.55</v>
      </c>
      <c r="U379">
        <v>1</v>
      </c>
      <c r="V379" s="8">
        <f>IF(Matrice1!$Q379="Pro Monde",10%,IF(AND(Matrice1!$R379&gt;12,Matrice1!$O379&gt;5),70%,IF(AND(OR(Matrice1!$R379&gt;=4,Matrice1!$R379&lt;=12,Matrice1!$O379&lt;5,(OR(Matrice1!$Q379="Premium ")))),45%,0%)))</f>
        <v>0.1</v>
      </c>
      <c r="W379">
        <f>Matrice1!$T379* (Matrice1!$V379/100)</f>
        <v>2.3550000000000001E-2</v>
      </c>
    </row>
    <row r="380" spans="1:23" x14ac:dyDescent="0.3">
      <c r="A380" s="1" t="s">
        <v>1133</v>
      </c>
      <c r="B380" s="2">
        <v>45222</v>
      </c>
      <c r="C380" s="3">
        <v>0.58472222222222225</v>
      </c>
      <c r="D380" s="1" t="s">
        <v>1155</v>
      </c>
      <c r="E380">
        <v>15</v>
      </c>
      <c r="F380" s="1" t="s">
        <v>812</v>
      </c>
      <c r="G380" s="1" t="s">
        <v>1155</v>
      </c>
      <c r="H380" s="1" t="s">
        <v>60</v>
      </c>
      <c r="I380">
        <v>-9.1215879999999991</v>
      </c>
      <c r="J380">
        <v>16.457916999999998</v>
      </c>
      <c r="K380" s="1" t="s">
        <v>1498</v>
      </c>
      <c r="L380" s="1" t="s">
        <v>1508</v>
      </c>
      <c r="M380" s="1" t="s">
        <v>59</v>
      </c>
      <c r="N380" s="1" t="s">
        <v>60</v>
      </c>
      <c r="O380" s="1" t="str">
        <f>INT(Matrice1!$P380/12) &amp; " ans et " &amp; MOD(Matrice1!$P380,12) &amp; " mois"</f>
        <v>1 ans et 2 mois</v>
      </c>
      <c r="P380">
        <v>14</v>
      </c>
      <c r="Q380" s="1" t="s">
        <v>14</v>
      </c>
      <c r="R380" s="4">
        <f>Matrice1!$S380/1440</f>
        <v>0.21944444444444444</v>
      </c>
      <c r="S380">
        <v>316</v>
      </c>
      <c r="T380">
        <v>62.34</v>
      </c>
      <c r="U380">
        <v>4</v>
      </c>
      <c r="V380" s="8">
        <f>IF(Matrice1!$Q380="Pro Monde",10%,IF(AND(Matrice1!$R380&gt;12,Matrice1!$O380&gt;5),70%,IF(AND(OR(Matrice1!$R380&gt;=4,Matrice1!$R380&lt;=12,Matrice1!$O380&lt;5,(OR(Matrice1!$Q380="Premium ")))),45%,0%)))</f>
        <v>0.1</v>
      </c>
      <c r="W380">
        <f>Matrice1!$T380* (Matrice1!$V380/100)</f>
        <v>6.2340000000000007E-2</v>
      </c>
    </row>
    <row r="381" spans="1:23" x14ac:dyDescent="0.3">
      <c r="A381" s="1" t="s">
        <v>1133</v>
      </c>
      <c r="B381" s="2">
        <v>45222</v>
      </c>
      <c r="C381" s="3">
        <v>0.58472222222222225</v>
      </c>
      <c r="D381" s="1" t="s">
        <v>1155</v>
      </c>
      <c r="E381">
        <v>15</v>
      </c>
      <c r="F381" s="1" t="s">
        <v>812</v>
      </c>
      <c r="G381" s="1" t="s">
        <v>1155</v>
      </c>
      <c r="H381" s="1" t="s">
        <v>60</v>
      </c>
      <c r="I381">
        <v>-9.1215879999999991</v>
      </c>
      <c r="J381">
        <v>16.457916999999998</v>
      </c>
      <c r="K381" s="1" t="s">
        <v>1498</v>
      </c>
      <c r="L381" s="1" t="s">
        <v>1508</v>
      </c>
      <c r="M381" s="1" t="s">
        <v>84</v>
      </c>
      <c r="N381" s="1" t="s">
        <v>60</v>
      </c>
      <c r="O381" s="1" t="str">
        <f>INT(Matrice1!$P381/12) &amp; " ans et " &amp; MOD(Matrice1!$P381,12) &amp; " mois"</f>
        <v>1 ans et 9 mois</v>
      </c>
      <c r="P381">
        <v>21</v>
      </c>
      <c r="Q381" s="1" t="s">
        <v>11</v>
      </c>
      <c r="R381" s="4">
        <f>Matrice1!$S381/1440</f>
        <v>0.25763888888888886</v>
      </c>
      <c r="S381">
        <v>371</v>
      </c>
      <c r="T381">
        <v>48.31</v>
      </c>
      <c r="U381">
        <v>0</v>
      </c>
      <c r="V381" s="8">
        <f>IF(Matrice1!$Q381="Pro Monde",10%,IF(AND(Matrice1!$R381&gt;12,Matrice1!$O381&gt;5),70%,IF(AND(OR(Matrice1!$R381&gt;=4,Matrice1!$R381&lt;=12,Matrice1!$O381&lt;5,(OR(Matrice1!$Q381="Premium ")))),45%,0%)))</f>
        <v>0.45</v>
      </c>
      <c r="W381">
        <f>Matrice1!$T381* (Matrice1!$V381/100)</f>
        <v>0.21739500000000003</v>
      </c>
    </row>
    <row r="382" spans="1:23" x14ac:dyDescent="0.3">
      <c r="A382" s="1" t="s">
        <v>1133</v>
      </c>
      <c r="B382" s="2">
        <v>45222</v>
      </c>
      <c r="C382" s="3">
        <v>0.58472222222222225</v>
      </c>
      <c r="D382" s="1" t="s">
        <v>1155</v>
      </c>
      <c r="E382">
        <v>15</v>
      </c>
      <c r="F382" s="1" t="s">
        <v>812</v>
      </c>
      <c r="G382" s="1" t="s">
        <v>1155</v>
      </c>
      <c r="H382" s="1" t="s">
        <v>60</v>
      </c>
      <c r="I382">
        <v>-9.1215879999999991</v>
      </c>
      <c r="J382">
        <v>16.457916999999998</v>
      </c>
      <c r="K382" s="1" t="s">
        <v>1498</v>
      </c>
      <c r="L382" s="1" t="s">
        <v>1508</v>
      </c>
      <c r="M382" s="1" t="s">
        <v>117</v>
      </c>
      <c r="N382" s="1" t="s">
        <v>60</v>
      </c>
      <c r="O382" s="1" t="str">
        <f>INT(Matrice1!$P382/12) &amp; " ans et " &amp; MOD(Matrice1!$P382,12) &amp; " mois"</f>
        <v>9 ans et 3 mois</v>
      </c>
      <c r="P382">
        <v>111</v>
      </c>
      <c r="Q382" s="1" t="s">
        <v>22</v>
      </c>
      <c r="R382" s="4">
        <f>Matrice1!$S382/1440</f>
        <v>0.22500000000000001</v>
      </c>
      <c r="S382">
        <v>324</v>
      </c>
      <c r="T382">
        <v>18.07</v>
      </c>
      <c r="U382">
        <v>2</v>
      </c>
      <c r="V382" s="8">
        <f>IF(Matrice1!$Q382="Pro Monde",10%,IF(AND(Matrice1!$R382&gt;12,Matrice1!$O382&gt;5),70%,IF(AND(OR(Matrice1!$R382&gt;=4,Matrice1!$R382&lt;=12,Matrice1!$O382&lt;5,(OR(Matrice1!$Q382="Premium ")))),45%,0%)))</f>
        <v>0.45</v>
      </c>
      <c r="W382">
        <f>Matrice1!$T382* (Matrice1!$V382/100)</f>
        <v>8.1315000000000012E-2</v>
      </c>
    </row>
    <row r="383" spans="1:23" x14ac:dyDescent="0.3">
      <c r="A383" s="1" t="s">
        <v>1133</v>
      </c>
      <c r="B383" s="2">
        <v>45222</v>
      </c>
      <c r="C383" s="3">
        <v>0.58472222222222225</v>
      </c>
      <c r="D383" s="1" t="s">
        <v>1155</v>
      </c>
      <c r="E383">
        <v>15</v>
      </c>
      <c r="F383" s="1" t="s">
        <v>812</v>
      </c>
      <c r="G383" s="1" t="s">
        <v>1155</v>
      </c>
      <c r="H383" s="1" t="s">
        <v>60</v>
      </c>
      <c r="I383">
        <v>-9.1215879999999991</v>
      </c>
      <c r="J383">
        <v>16.457916999999998</v>
      </c>
      <c r="K383" s="1" t="s">
        <v>1498</v>
      </c>
      <c r="L383" s="1" t="s">
        <v>1508</v>
      </c>
      <c r="M383" s="1" t="s">
        <v>164</v>
      </c>
      <c r="N383" s="1" t="s">
        <v>60</v>
      </c>
      <c r="O383" s="1" t="str">
        <f>INT(Matrice1!$P383/12) &amp; " ans et " &amp; MOD(Matrice1!$P383,12) &amp; " mois"</f>
        <v>5 ans et 0 mois</v>
      </c>
      <c r="P383">
        <v>60</v>
      </c>
      <c r="Q383" s="1" t="s">
        <v>19</v>
      </c>
      <c r="R383" s="4">
        <f>Matrice1!$S383/1440</f>
        <v>0.11666666666666667</v>
      </c>
      <c r="S383">
        <v>168</v>
      </c>
      <c r="T383">
        <v>67.650000000000006</v>
      </c>
      <c r="U383">
        <v>1</v>
      </c>
      <c r="V383" s="8">
        <f>IF(Matrice1!$Q383="Pro Monde",10%,IF(AND(Matrice1!$R383&gt;12,Matrice1!$O383&gt;5),70%,IF(AND(OR(Matrice1!$R383&gt;=4,Matrice1!$R383&lt;=12,Matrice1!$O383&lt;5,(OR(Matrice1!$Q383="Premium ")))),45%,0%)))</f>
        <v>0.45</v>
      </c>
      <c r="W383">
        <f>Matrice1!$T383* (Matrice1!$V383/100)</f>
        <v>0.30442500000000006</v>
      </c>
    </row>
    <row r="384" spans="1:23" x14ac:dyDescent="0.3">
      <c r="A384" s="1" t="s">
        <v>1133</v>
      </c>
      <c r="B384" s="2">
        <v>45222</v>
      </c>
      <c r="C384" s="3">
        <v>0.58472222222222225</v>
      </c>
      <c r="D384" s="1" t="s">
        <v>1155</v>
      </c>
      <c r="E384">
        <v>15</v>
      </c>
      <c r="F384" s="1" t="s">
        <v>812</v>
      </c>
      <c r="G384" s="1" t="s">
        <v>1155</v>
      </c>
      <c r="H384" s="1" t="s">
        <v>60</v>
      </c>
      <c r="I384">
        <v>-9.1215879999999991</v>
      </c>
      <c r="J384">
        <v>16.457916999999998</v>
      </c>
      <c r="K384" s="1" t="s">
        <v>1498</v>
      </c>
      <c r="L384" s="1" t="s">
        <v>1508</v>
      </c>
      <c r="M384" s="1" t="s">
        <v>201</v>
      </c>
      <c r="N384" s="1" t="s">
        <v>60</v>
      </c>
      <c r="O384" s="1" t="str">
        <f>INT(Matrice1!$P384/12) &amp; " ans et " &amp; MOD(Matrice1!$P384,12) &amp; " mois"</f>
        <v>3 ans et 6 mois</v>
      </c>
      <c r="P384">
        <v>42</v>
      </c>
      <c r="Q384" s="1" t="s">
        <v>14</v>
      </c>
      <c r="R384" s="4">
        <f>Matrice1!$S384/1440</f>
        <v>0.27013888888888887</v>
      </c>
      <c r="S384">
        <v>389</v>
      </c>
      <c r="T384">
        <v>80.08</v>
      </c>
      <c r="U384">
        <v>1</v>
      </c>
      <c r="V384" s="8">
        <f>IF(Matrice1!$Q384="Pro Monde",10%,IF(AND(Matrice1!$R384&gt;12,Matrice1!$O384&gt;5),70%,IF(AND(OR(Matrice1!$R384&gt;=4,Matrice1!$R384&lt;=12,Matrice1!$O384&lt;5,(OR(Matrice1!$Q384="Premium ")))),45%,0%)))</f>
        <v>0.1</v>
      </c>
      <c r="W384">
        <f>Matrice1!$T384* (Matrice1!$V384/100)</f>
        <v>8.0079999999999998E-2</v>
      </c>
    </row>
    <row r="385" spans="1:23" x14ac:dyDescent="0.3">
      <c r="A385" s="1" t="s">
        <v>1133</v>
      </c>
      <c r="B385" s="2">
        <v>45222</v>
      </c>
      <c r="C385" s="3">
        <v>0.58472222222222225</v>
      </c>
      <c r="D385" s="1" t="s">
        <v>1155</v>
      </c>
      <c r="E385">
        <v>15</v>
      </c>
      <c r="F385" s="1" t="s">
        <v>812</v>
      </c>
      <c r="G385" s="1" t="s">
        <v>1155</v>
      </c>
      <c r="H385" s="1" t="s">
        <v>60</v>
      </c>
      <c r="I385">
        <v>-9.1215879999999991</v>
      </c>
      <c r="J385">
        <v>16.457916999999998</v>
      </c>
      <c r="K385" s="1" t="s">
        <v>1498</v>
      </c>
      <c r="L385" s="1" t="s">
        <v>1508</v>
      </c>
      <c r="M385" s="1" t="s">
        <v>215</v>
      </c>
      <c r="N385" s="1" t="s">
        <v>60</v>
      </c>
      <c r="O385" s="1" t="str">
        <f>INT(Matrice1!$P385/12) &amp; " ans et " &amp; MOD(Matrice1!$P385,12) &amp; " mois"</f>
        <v>8 ans et 6 mois</v>
      </c>
      <c r="P385">
        <v>102</v>
      </c>
      <c r="Q385" s="1" t="s">
        <v>11</v>
      </c>
      <c r="R385" s="4">
        <f>Matrice1!$S385/1440</f>
        <v>0.27916666666666667</v>
      </c>
      <c r="S385">
        <v>402</v>
      </c>
      <c r="T385">
        <v>28.38</v>
      </c>
      <c r="U385">
        <v>5</v>
      </c>
      <c r="V385" s="8">
        <f>IF(Matrice1!$Q385="Pro Monde",10%,IF(AND(Matrice1!$R385&gt;12,Matrice1!$O385&gt;5),70%,IF(AND(OR(Matrice1!$R385&gt;=4,Matrice1!$R385&lt;=12,Matrice1!$O385&lt;5,(OR(Matrice1!$Q385="Premium ")))),45%,0%)))</f>
        <v>0.45</v>
      </c>
      <c r="W385">
        <f>Matrice1!$T385* (Matrice1!$V385/100)</f>
        <v>0.12771000000000002</v>
      </c>
    </row>
    <row r="386" spans="1:23" x14ac:dyDescent="0.3">
      <c r="A386" s="1" t="s">
        <v>1133</v>
      </c>
      <c r="B386" s="2">
        <v>45222</v>
      </c>
      <c r="C386" s="3">
        <v>0.58472222222222225</v>
      </c>
      <c r="D386" s="1" t="s">
        <v>1155</v>
      </c>
      <c r="E386">
        <v>15</v>
      </c>
      <c r="F386" s="1" t="s">
        <v>812</v>
      </c>
      <c r="G386" s="1" t="s">
        <v>1155</v>
      </c>
      <c r="H386" s="1" t="s">
        <v>60</v>
      </c>
      <c r="I386">
        <v>-9.1215879999999991</v>
      </c>
      <c r="J386">
        <v>16.457916999999998</v>
      </c>
      <c r="K386" s="1" t="s">
        <v>1498</v>
      </c>
      <c r="L386" s="1" t="s">
        <v>1508</v>
      </c>
      <c r="M386" s="1" t="s">
        <v>267</v>
      </c>
      <c r="N386" s="1" t="s">
        <v>60</v>
      </c>
      <c r="O386" s="1" t="str">
        <f>INT(Matrice1!$P386/12) &amp; " ans et " &amp; MOD(Matrice1!$P386,12) &amp; " mois"</f>
        <v>3 ans et 6 mois</v>
      </c>
      <c r="P386">
        <v>42</v>
      </c>
      <c r="Q386" s="1" t="s">
        <v>22</v>
      </c>
      <c r="R386" s="4">
        <f>Matrice1!$S386/1440</f>
        <v>0.31458333333333333</v>
      </c>
      <c r="S386">
        <v>453</v>
      </c>
      <c r="T386">
        <v>36.700000000000003</v>
      </c>
      <c r="U386">
        <v>4</v>
      </c>
      <c r="V386" s="8">
        <f>IF(Matrice1!$Q386="Pro Monde",10%,IF(AND(Matrice1!$R386&gt;12,Matrice1!$O386&gt;5),70%,IF(AND(OR(Matrice1!$R386&gt;=4,Matrice1!$R386&lt;=12,Matrice1!$O386&lt;5,(OR(Matrice1!$Q386="Premium ")))),45%,0%)))</f>
        <v>0.45</v>
      </c>
      <c r="W386">
        <f>Matrice1!$T386* (Matrice1!$V386/100)</f>
        <v>0.16515000000000002</v>
      </c>
    </row>
    <row r="387" spans="1:23" x14ac:dyDescent="0.3">
      <c r="A387" s="1" t="s">
        <v>1133</v>
      </c>
      <c r="B387" s="2">
        <v>45222</v>
      </c>
      <c r="C387" s="3">
        <v>0.58472222222222225</v>
      </c>
      <c r="D387" s="1" t="s">
        <v>1155</v>
      </c>
      <c r="E387">
        <v>15</v>
      </c>
      <c r="F387" s="1" t="s">
        <v>812</v>
      </c>
      <c r="G387" s="1" t="s">
        <v>1155</v>
      </c>
      <c r="H387" s="1" t="s">
        <v>60</v>
      </c>
      <c r="I387">
        <v>-9.1215879999999991</v>
      </c>
      <c r="J387">
        <v>16.457916999999998</v>
      </c>
      <c r="K387" s="1" t="s">
        <v>1498</v>
      </c>
      <c r="L387" s="1" t="s">
        <v>1508</v>
      </c>
      <c r="M387" s="1" t="s">
        <v>278</v>
      </c>
      <c r="N387" s="1" t="s">
        <v>60</v>
      </c>
      <c r="O387" s="1" t="str">
        <f>INT(Matrice1!$P387/12) &amp; " ans et " &amp; MOD(Matrice1!$P387,12) &amp; " mois"</f>
        <v>7 ans et 8 mois</v>
      </c>
      <c r="P387">
        <v>92</v>
      </c>
      <c r="Q387" s="1" t="s">
        <v>19</v>
      </c>
      <c r="R387" s="4">
        <f>Matrice1!$S387/1440</f>
        <v>0.32777777777777778</v>
      </c>
      <c r="S387">
        <v>472</v>
      </c>
      <c r="T387">
        <v>78.44</v>
      </c>
      <c r="U387">
        <v>1</v>
      </c>
      <c r="V387" s="8">
        <f>IF(Matrice1!$Q387="Pro Monde",10%,IF(AND(Matrice1!$R387&gt;12,Matrice1!$O387&gt;5),70%,IF(AND(OR(Matrice1!$R387&gt;=4,Matrice1!$R387&lt;=12,Matrice1!$O387&lt;5,(OR(Matrice1!$Q387="Premium ")))),45%,0%)))</f>
        <v>0.45</v>
      </c>
      <c r="W387">
        <f>Matrice1!$T387* (Matrice1!$V387/100)</f>
        <v>0.35298000000000002</v>
      </c>
    </row>
    <row r="388" spans="1:23" x14ac:dyDescent="0.3">
      <c r="A388" s="1" t="s">
        <v>1133</v>
      </c>
      <c r="B388" s="2">
        <v>45222</v>
      </c>
      <c r="C388" s="3">
        <v>0.58472222222222225</v>
      </c>
      <c r="D388" s="1" t="s">
        <v>1155</v>
      </c>
      <c r="E388">
        <v>15</v>
      </c>
      <c r="F388" s="1" t="s">
        <v>812</v>
      </c>
      <c r="G388" s="1" t="s">
        <v>1155</v>
      </c>
      <c r="H388" s="1" t="s">
        <v>60</v>
      </c>
      <c r="I388">
        <v>-9.1215879999999991</v>
      </c>
      <c r="J388">
        <v>16.457916999999998</v>
      </c>
      <c r="K388" s="1" t="s">
        <v>1498</v>
      </c>
      <c r="L388" s="1" t="s">
        <v>1508</v>
      </c>
      <c r="M388" s="1" t="s">
        <v>309</v>
      </c>
      <c r="N388" s="1" t="s">
        <v>60</v>
      </c>
      <c r="O388" s="1" t="str">
        <f>INT(Matrice1!$P388/12) &amp; " ans et " &amp; MOD(Matrice1!$P388,12) &amp; " mois"</f>
        <v>2 ans et 1 mois</v>
      </c>
      <c r="P388">
        <v>25</v>
      </c>
      <c r="Q388" s="1" t="s">
        <v>11</v>
      </c>
      <c r="R388" s="4">
        <f>Matrice1!$S388/1440</f>
        <v>0.32430555555555557</v>
      </c>
      <c r="S388">
        <v>467</v>
      </c>
      <c r="T388">
        <v>97.78</v>
      </c>
      <c r="U388">
        <v>3</v>
      </c>
      <c r="V388" s="8">
        <f>IF(Matrice1!$Q388="Pro Monde",10%,IF(AND(Matrice1!$R388&gt;12,Matrice1!$O388&gt;5),70%,IF(AND(OR(Matrice1!$R388&gt;=4,Matrice1!$R388&lt;=12,Matrice1!$O388&lt;5,(OR(Matrice1!$Q388="Premium ")))),45%,0%)))</f>
        <v>0.45</v>
      </c>
      <c r="W388">
        <f>Matrice1!$T388* (Matrice1!$V388/100)</f>
        <v>0.44001000000000007</v>
      </c>
    </row>
    <row r="389" spans="1:23" x14ac:dyDescent="0.3">
      <c r="A389" s="1" t="s">
        <v>1133</v>
      </c>
      <c r="B389" s="2">
        <v>45222</v>
      </c>
      <c r="C389" s="3">
        <v>0.58472222222222225</v>
      </c>
      <c r="D389" s="1" t="s">
        <v>1155</v>
      </c>
      <c r="E389">
        <v>15</v>
      </c>
      <c r="F389" s="1" t="s">
        <v>812</v>
      </c>
      <c r="G389" s="1" t="s">
        <v>1155</v>
      </c>
      <c r="H389" s="1" t="s">
        <v>60</v>
      </c>
      <c r="I389">
        <v>-9.1215879999999991</v>
      </c>
      <c r="J389">
        <v>16.457916999999998</v>
      </c>
      <c r="K389" s="1" t="s">
        <v>1498</v>
      </c>
      <c r="L389" s="1" t="s">
        <v>1508</v>
      </c>
      <c r="M389" s="1" t="s">
        <v>311</v>
      </c>
      <c r="N389" s="1" t="s">
        <v>60</v>
      </c>
      <c r="O389" s="1" t="str">
        <f>INT(Matrice1!$P389/12) &amp; " ans et " &amp; MOD(Matrice1!$P389,12) &amp; " mois"</f>
        <v>4 ans et 8 mois</v>
      </c>
      <c r="P389">
        <v>56</v>
      </c>
      <c r="Q389" s="1" t="s">
        <v>14</v>
      </c>
      <c r="R389" s="4">
        <f>Matrice1!$S389/1440</f>
        <v>3.8194444444444448E-2</v>
      </c>
      <c r="S389">
        <v>55</v>
      </c>
      <c r="T389">
        <v>82.56</v>
      </c>
      <c r="U389">
        <v>2</v>
      </c>
      <c r="V389" s="8">
        <f>IF(Matrice1!$Q389="Pro Monde",10%,IF(AND(Matrice1!$R389&gt;12,Matrice1!$O389&gt;5),70%,IF(AND(OR(Matrice1!$R389&gt;=4,Matrice1!$R389&lt;=12,Matrice1!$O389&lt;5,(OR(Matrice1!$Q389="Premium ")))),45%,0%)))</f>
        <v>0.1</v>
      </c>
      <c r="W389">
        <f>Matrice1!$T389* (Matrice1!$V389/100)</f>
        <v>8.2560000000000008E-2</v>
      </c>
    </row>
    <row r="390" spans="1:23" x14ac:dyDescent="0.3">
      <c r="A390" s="1" t="s">
        <v>1133</v>
      </c>
      <c r="B390" s="2">
        <v>45222</v>
      </c>
      <c r="C390" s="3">
        <v>0.58472222222222225</v>
      </c>
      <c r="D390" s="1" t="s">
        <v>1155</v>
      </c>
      <c r="E390">
        <v>15</v>
      </c>
      <c r="F390" s="1" t="s">
        <v>812</v>
      </c>
      <c r="G390" s="1" t="s">
        <v>1155</v>
      </c>
      <c r="H390" s="1" t="s">
        <v>60</v>
      </c>
      <c r="I390">
        <v>-9.1215879999999991</v>
      </c>
      <c r="J390">
        <v>16.457916999999998</v>
      </c>
      <c r="K390" s="1" t="s">
        <v>1498</v>
      </c>
      <c r="L390" s="1" t="s">
        <v>1508</v>
      </c>
      <c r="M390" s="1" t="s">
        <v>321</v>
      </c>
      <c r="N390" s="1" t="s">
        <v>60</v>
      </c>
      <c r="O390" s="1" t="str">
        <f>INT(Matrice1!$P390/12) &amp; " ans et " &amp; MOD(Matrice1!$P390,12) &amp; " mois"</f>
        <v>6 ans et 10 mois</v>
      </c>
      <c r="P390">
        <v>82</v>
      </c>
      <c r="Q390" s="1" t="s">
        <v>11</v>
      </c>
      <c r="R390" s="4">
        <f>Matrice1!$S390/1440</f>
        <v>2.2222222222222223E-2</v>
      </c>
      <c r="S390">
        <v>32</v>
      </c>
      <c r="T390">
        <v>77.63</v>
      </c>
      <c r="U390">
        <v>1</v>
      </c>
      <c r="V390" s="8">
        <f>IF(Matrice1!$Q390="Pro Monde",10%,IF(AND(Matrice1!$R390&gt;12,Matrice1!$O390&gt;5),70%,IF(AND(OR(Matrice1!$R390&gt;=4,Matrice1!$R390&lt;=12,Matrice1!$O390&lt;5,(OR(Matrice1!$Q390="Premium ")))),45%,0%)))</f>
        <v>0.45</v>
      </c>
      <c r="W390">
        <f>Matrice1!$T390* (Matrice1!$V390/100)</f>
        <v>0.34933500000000001</v>
      </c>
    </row>
    <row r="391" spans="1:23" x14ac:dyDescent="0.3">
      <c r="A391" s="1" t="s">
        <v>1133</v>
      </c>
      <c r="B391" s="2">
        <v>45222</v>
      </c>
      <c r="C391" s="3">
        <v>0.58472222222222225</v>
      </c>
      <c r="D391" s="1" t="s">
        <v>1155</v>
      </c>
      <c r="E391">
        <v>15</v>
      </c>
      <c r="F391" s="1" t="s">
        <v>812</v>
      </c>
      <c r="G391" s="1" t="s">
        <v>1155</v>
      </c>
      <c r="H391" s="1" t="s">
        <v>60</v>
      </c>
      <c r="I391">
        <v>-9.1215879999999991</v>
      </c>
      <c r="J391">
        <v>16.457916999999998</v>
      </c>
      <c r="K391" s="1" t="s">
        <v>1498</v>
      </c>
      <c r="L391" s="1" t="s">
        <v>1508</v>
      </c>
      <c r="M391" s="1" t="s">
        <v>366</v>
      </c>
      <c r="N391" s="1" t="s">
        <v>60</v>
      </c>
      <c r="O391" s="1" t="str">
        <f>INT(Matrice1!$P391/12) &amp; " ans et " &amp; MOD(Matrice1!$P391,12) &amp; " mois"</f>
        <v>9 ans et 2 mois</v>
      </c>
      <c r="P391">
        <v>110</v>
      </c>
      <c r="Q391" s="1" t="s">
        <v>11</v>
      </c>
      <c r="R391" s="4">
        <f>Matrice1!$S391/1440</f>
        <v>0.22291666666666668</v>
      </c>
      <c r="S391">
        <v>321</v>
      </c>
      <c r="T391">
        <v>81.569999999999993</v>
      </c>
      <c r="U391">
        <v>2</v>
      </c>
      <c r="V391" s="8">
        <f>IF(Matrice1!$Q391="Pro Monde",10%,IF(AND(Matrice1!$R391&gt;12,Matrice1!$O391&gt;5),70%,IF(AND(OR(Matrice1!$R391&gt;=4,Matrice1!$R391&lt;=12,Matrice1!$O391&lt;5,(OR(Matrice1!$Q391="Premium ")))),45%,0%)))</f>
        <v>0.45</v>
      </c>
      <c r="W391">
        <f>Matrice1!$T391* (Matrice1!$V391/100)</f>
        <v>0.36706500000000003</v>
      </c>
    </row>
    <row r="392" spans="1:23" x14ac:dyDescent="0.3">
      <c r="A392" s="1" t="s">
        <v>1133</v>
      </c>
      <c r="B392" s="2">
        <v>45222</v>
      </c>
      <c r="C392" s="3">
        <v>0.58472222222222225</v>
      </c>
      <c r="D392" s="1" t="s">
        <v>1155</v>
      </c>
      <c r="E392">
        <v>15</v>
      </c>
      <c r="F392" s="1" t="s">
        <v>812</v>
      </c>
      <c r="G392" s="1" t="s">
        <v>1155</v>
      </c>
      <c r="H392" s="1" t="s">
        <v>60</v>
      </c>
      <c r="I392">
        <v>-9.1215879999999991</v>
      </c>
      <c r="J392">
        <v>16.457916999999998</v>
      </c>
      <c r="K392" s="1" t="s">
        <v>1498</v>
      </c>
      <c r="L392" s="1" t="s">
        <v>1508</v>
      </c>
      <c r="M392" s="1" t="s">
        <v>406</v>
      </c>
      <c r="N392" s="1" t="s">
        <v>60</v>
      </c>
      <c r="O392" s="1" t="str">
        <f>INT(Matrice1!$P392/12) &amp; " ans et " &amp; MOD(Matrice1!$P392,12) &amp; " mois"</f>
        <v>1 ans et 1 mois</v>
      </c>
      <c r="P392">
        <v>13</v>
      </c>
      <c r="Q392" s="1" t="s">
        <v>22</v>
      </c>
      <c r="R392" s="4">
        <f>Matrice1!$S392/1440</f>
        <v>0.21527777777777779</v>
      </c>
      <c r="S392">
        <v>310</v>
      </c>
      <c r="T392">
        <v>65.599999999999994</v>
      </c>
      <c r="U392">
        <v>5</v>
      </c>
      <c r="V392" s="8">
        <f>IF(Matrice1!$Q392="Pro Monde",10%,IF(AND(Matrice1!$R392&gt;12,Matrice1!$O392&gt;5),70%,IF(AND(OR(Matrice1!$R392&gt;=4,Matrice1!$R392&lt;=12,Matrice1!$O392&lt;5,(OR(Matrice1!$Q392="Premium ")))),45%,0%)))</f>
        <v>0.45</v>
      </c>
      <c r="W392">
        <f>Matrice1!$T392* (Matrice1!$V392/100)</f>
        <v>0.29520000000000002</v>
      </c>
    </row>
    <row r="393" spans="1:23" x14ac:dyDescent="0.3">
      <c r="A393" s="1" t="s">
        <v>1133</v>
      </c>
      <c r="B393" s="2">
        <v>45222</v>
      </c>
      <c r="C393" s="3">
        <v>0.58472222222222225</v>
      </c>
      <c r="D393" s="1" t="s">
        <v>1155</v>
      </c>
      <c r="E393">
        <v>15</v>
      </c>
      <c r="F393" s="1" t="s">
        <v>812</v>
      </c>
      <c r="G393" s="1" t="s">
        <v>1155</v>
      </c>
      <c r="H393" s="1" t="s">
        <v>60</v>
      </c>
      <c r="I393">
        <v>-9.1215879999999991</v>
      </c>
      <c r="J393">
        <v>16.457916999999998</v>
      </c>
      <c r="K393" s="1" t="s">
        <v>1498</v>
      </c>
      <c r="L393" s="1" t="s">
        <v>1508</v>
      </c>
      <c r="M393" s="1" t="s">
        <v>436</v>
      </c>
      <c r="N393" s="1" t="s">
        <v>60</v>
      </c>
      <c r="O393" s="1" t="str">
        <f>INT(Matrice1!$P393/12) &amp; " ans et " &amp; MOD(Matrice1!$P393,12) &amp; " mois"</f>
        <v>1 ans et 10 mois</v>
      </c>
      <c r="P393">
        <v>22</v>
      </c>
      <c r="Q393" s="1" t="s">
        <v>14</v>
      </c>
      <c r="R393" s="4">
        <f>Matrice1!$S393/1440</f>
        <v>8.819444444444445E-2</v>
      </c>
      <c r="S393">
        <v>127</v>
      </c>
      <c r="T393">
        <v>49.06</v>
      </c>
      <c r="U393">
        <v>2</v>
      </c>
      <c r="V393" s="8">
        <f>IF(Matrice1!$Q393="Pro Monde",10%,IF(AND(Matrice1!$R393&gt;12,Matrice1!$O393&gt;5),70%,IF(AND(OR(Matrice1!$R393&gt;=4,Matrice1!$R393&lt;=12,Matrice1!$O393&lt;5,(OR(Matrice1!$Q393="Premium ")))),45%,0%)))</f>
        <v>0.1</v>
      </c>
      <c r="W393">
        <f>Matrice1!$T393* (Matrice1!$V393/100)</f>
        <v>4.9060000000000006E-2</v>
      </c>
    </row>
    <row r="394" spans="1:23" x14ac:dyDescent="0.3">
      <c r="A394" s="1" t="s">
        <v>1133</v>
      </c>
      <c r="B394" s="2">
        <v>45222</v>
      </c>
      <c r="C394" s="3">
        <v>0.58472222222222225</v>
      </c>
      <c r="D394" s="1" t="s">
        <v>1155</v>
      </c>
      <c r="E394">
        <v>15</v>
      </c>
      <c r="F394" s="1" t="s">
        <v>812</v>
      </c>
      <c r="G394" s="1" t="s">
        <v>1155</v>
      </c>
      <c r="H394" s="1" t="s">
        <v>60</v>
      </c>
      <c r="I394">
        <v>-9.1215879999999991</v>
      </c>
      <c r="J394">
        <v>16.457916999999998</v>
      </c>
      <c r="K394" s="1" t="s">
        <v>1498</v>
      </c>
      <c r="L394" s="1" t="s">
        <v>1508</v>
      </c>
      <c r="M394" s="1" t="s">
        <v>439</v>
      </c>
      <c r="N394" s="1" t="s">
        <v>60</v>
      </c>
      <c r="O394" s="1" t="str">
        <f>INT(Matrice1!$P394/12) &amp; " ans et " &amp; MOD(Matrice1!$P394,12) &amp; " mois"</f>
        <v>4 ans et 2 mois</v>
      </c>
      <c r="P394">
        <v>50</v>
      </c>
      <c r="Q394" s="1" t="s">
        <v>19</v>
      </c>
      <c r="R394" s="4">
        <f>Matrice1!$S394/1440</f>
        <v>0.30208333333333331</v>
      </c>
      <c r="S394">
        <v>435</v>
      </c>
      <c r="T394">
        <v>27.86</v>
      </c>
      <c r="U394">
        <v>3</v>
      </c>
      <c r="V394" s="8">
        <f>IF(Matrice1!$Q394="Pro Monde",10%,IF(AND(Matrice1!$R394&gt;12,Matrice1!$O394&gt;5),70%,IF(AND(OR(Matrice1!$R394&gt;=4,Matrice1!$R394&lt;=12,Matrice1!$O394&lt;5,(OR(Matrice1!$Q394="Premium ")))),45%,0%)))</f>
        <v>0.45</v>
      </c>
      <c r="W394">
        <f>Matrice1!$T394* (Matrice1!$V394/100)</f>
        <v>0.12537000000000001</v>
      </c>
    </row>
    <row r="395" spans="1:23" x14ac:dyDescent="0.3">
      <c r="A395" s="1" t="s">
        <v>1133</v>
      </c>
      <c r="B395" s="2">
        <v>45222</v>
      </c>
      <c r="C395" s="3">
        <v>0.58472222222222225</v>
      </c>
      <c r="D395" s="1" t="s">
        <v>1155</v>
      </c>
      <c r="E395">
        <v>15</v>
      </c>
      <c r="F395" s="1" t="s">
        <v>812</v>
      </c>
      <c r="G395" s="1" t="s">
        <v>1155</v>
      </c>
      <c r="H395" s="1" t="s">
        <v>60</v>
      </c>
      <c r="I395">
        <v>-9.1215879999999991</v>
      </c>
      <c r="J395">
        <v>16.457916999999998</v>
      </c>
      <c r="K395" s="1" t="s">
        <v>1498</v>
      </c>
      <c r="L395" s="1" t="s">
        <v>1508</v>
      </c>
      <c r="M395" s="1" t="s">
        <v>496</v>
      </c>
      <c r="N395" s="1" t="s">
        <v>60</v>
      </c>
      <c r="O395" s="1" t="str">
        <f>INT(Matrice1!$P395/12) &amp; " ans et " &amp; MOD(Matrice1!$P395,12) &amp; " mois"</f>
        <v>3 ans et 7 mois</v>
      </c>
      <c r="P395">
        <v>43</v>
      </c>
      <c r="Q395" s="1" t="s">
        <v>11</v>
      </c>
      <c r="R395" s="4">
        <f>Matrice1!$S395/1440</f>
        <v>0.13402777777777777</v>
      </c>
      <c r="S395">
        <v>193</v>
      </c>
      <c r="T395">
        <v>35.81</v>
      </c>
      <c r="U395">
        <v>0</v>
      </c>
      <c r="V395" s="8">
        <f>IF(Matrice1!$Q395="Pro Monde",10%,IF(AND(Matrice1!$R395&gt;12,Matrice1!$O395&gt;5),70%,IF(AND(OR(Matrice1!$R395&gt;=4,Matrice1!$R395&lt;=12,Matrice1!$O395&lt;5,(OR(Matrice1!$Q395="Premium ")))),45%,0%)))</f>
        <v>0.45</v>
      </c>
      <c r="W395">
        <f>Matrice1!$T395* (Matrice1!$V395/100)</f>
        <v>0.16114500000000004</v>
      </c>
    </row>
    <row r="396" spans="1:23" x14ac:dyDescent="0.3">
      <c r="A396" s="1" t="s">
        <v>1133</v>
      </c>
      <c r="B396" s="2">
        <v>45222</v>
      </c>
      <c r="C396" s="3">
        <v>0.58472222222222225</v>
      </c>
      <c r="D396" s="1" t="s">
        <v>1155</v>
      </c>
      <c r="E396">
        <v>15</v>
      </c>
      <c r="F396" s="1" t="s">
        <v>812</v>
      </c>
      <c r="G396" s="1" t="s">
        <v>1155</v>
      </c>
      <c r="H396" s="1" t="s">
        <v>60</v>
      </c>
      <c r="I396">
        <v>-9.1215879999999991</v>
      </c>
      <c r="J396">
        <v>16.457916999999998</v>
      </c>
      <c r="K396" s="1" t="s">
        <v>1498</v>
      </c>
      <c r="L396" s="1" t="s">
        <v>1508</v>
      </c>
      <c r="M396" s="1" t="s">
        <v>500</v>
      </c>
      <c r="N396" s="1" t="s">
        <v>60</v>
      </c>
      <c r="O396" s="1" t="str">
        <f>INT(Matrice1!$P396/12) &amp; " ans et " &amp; MOD(Matrice1!$P396,12) &amp; " mois"</f>
        <v>4 ans et 7 mois</v>
      </c>
      <c r="P396">
        <v>55</v>
      </c>
      <c r="Q396" s="1" t="s">
        <v>22</v>
      </c>
      <c r="R396" s="4">
        <f>Matrice1!$S396/1440</f>
        <v>0.34305555555555556</v>
      </c>
      <c r="S396">
        <v>494</v>
      </c>
      <c r="T396">
        <v>77.599999999999994</v>
      </c>
      <c r="U396">
        <v>4</v>
      </c>
      <c r="V396" s="8">
        <f>IF(Matrice1!$Q396="Pro Monde",10%,IF(AND(Matrice1!$R396&gt;12,Matrice1!$O396&gt;5),70%,IF(AND(OR(Matrice1!$R396&gt;=4,Matrice1!$R396&lt;=12,Matrice1!$O396&lt;5,(OR(Matrice1!$Q396="Premium ")))),45%,0%)))</f>
        <v>0.45</v>
      </c>
      <c r="W396">
        <f>Matrice1!$T396* (Matrice1!$V396/100)</f>
        <v>0.34920000000000001</v>
      </c>
    </row>
    <row r="397" spans="1:23" x14ac:dyDescent="0.3">
      <c r="A397" s="1" t="s">
        <v>1133</v>
      </c>
      <c r="B397" s="2">
        <v>45222</v>
      </c>
      <c r="C397" s="3">
        <v>0.58472222222222225</v>
      </c>
      <c r="D397" s="1" t="s">
        <v>1155</v>
      </c>
      <c r="E397">
        <v>15</v>
      </c>
      <c r="F397" s="1" t="s">
        <v>812</v>
      </c>
      <c r="G397" s="1" t="s">
        <v>1155</v>
      </c>
      <c r="H397" s="1" t="s">
        <v>60</v>
      </c>
      <c r="I397">
        <v>-9.1215879999999991</v>
      </c>
      <c r="J397">
        <v>16.457916999999998</v>
      </c>
      <c r="K397" s="1" t="s">
        <v>1498</v>
      </c>
      <c r="L397" s="1" t="s">
        <v>1508</v>
      </c>
      <c r="M397" s="1" t="s">
        <v>505</v>
      </c>
      <c r="N397" s="1" t="s">
        <v>60</v>
      </c>
      <c r="O397" s="1" t="str">
        <f>INT(Matrice1!$P397/12) &amp; " ans et " &amp; MOD(Matrice1!$P397,12) &amp; " mois"</f>
        <v>3 ans et 3 mois</v>
      </c>
      <c r="P397">
        <v>39</v>
      </c>
      <c r="Q397" s="1" t="s">
        <v>14</v>
      </c>
      <c r="R397" s="4">
        <f>Matrice1!$S397/1440</f>
        <v>3.7499999999999999E-2</v>
      </c>
      <c r="S397">
        <v>54</v>
      </c>
      <c r="T397">
        <v>88.84</v>
      </c>
      <c r="U397">
        <v>0</v>
      </c>
      <c r="V397" s="8">
        <f>IF(Matrice1!$Q397="Pro Monde",10%,IF(AND(Matrice1!$R397&gt;12,Matrice1!$O397&gt;5),70%,IF(AND(OR(Matrice1!$R397&gt;=4,Matrice1!$R397&lt;=12,Matrice1!$O397&lt;5,(OR(Matrice1!$Q397="Premium ")))),45%,0%)))</f>
        <v>0.1</v>
      </c>
      <c r="W397">
        <f>Matrice1!$T397* (Matrice1!$V397/100)</f>
        <v>8.8840000000000002E-2</v>
      </c>
    </row>
    <row r="398" spans="1:23" x14ac:dyDescent="0.3">
      <c r="A398" s="1" t="s">
        <v>1014</v>
      </c>
      <c r="B398" s="2">
        <v>45225</v>
      </c>
      <c r="C398" s="3">
        <v>0.21527777777777779</v>
      </c>
      <c r="D398" s="1" t="s">
        <v>1043</v>
      </c>
      <c r="E398">
        <v>41</v>
      </c>
      <c r="F398" s="1" t="s">
        <v>812</v>
      </c>
      <c r="G398" s="1" t="s">
        <v>1043</v>
      </c>
      <c r="H398" s="1" t="s">
        <v>44</v>
      </c>
      <c r="I398">
        <v>-4.9552579999999997</v>
      </c>
      <c r="J398">
        <v>22.008103999999999</v>
      </c>
      <c r="K398" s="1" t="s">
        <v>1498</v>
      </c>
      <c r="L398" s="1" t="s">
        <v>1499</v>
      </c>
      <c r="M398" s="1" t="s">
        <v>43</v>
      </c>
      <c r="N398" s="1" t="s">
        <v>44</v>
      </c>
      <c r="O398" s="1" t="str">
        <f>INT(Matrice1!$P398/12) &amp; " ans et " &amp; MOD(Matrice1!$P398,12) &amp; " mois"</f>
        <v>5 ans et 6 mois</v>
      </c>
      <c r="P398">
        <v>66</v>
      </c>
      <c r="Q398" s="1" t="s">
        <v>22</v>
      </c>
      <c r="R398" s="4">
        <f>Matrice1!$S398/1440</f>
        <v>0.1875</v>
      </c>
      <c r="S398">
        <v>270</v>
      </c>
      <c r="T398">
        <v>75.88</v>
      </c>
      <c r="U398">
        <v>3</v>
      </c>
      <c r="V398" s="8">
        <f>IF(Matrice1!$Q398="Pro Monde",10%,IF(AND(Matrice1!$R398&gt;12,Matrice1!$O398&gt;5),70%,IF(AND(OR(Matrice1!$R398&gt;=4,Matrice1!$R398&lt;=12,Matrice1!$O398&lt;5,(OR(Matrice1!$Q398="Premium ")))),45%,0%)))</f>
        <v>0.45</v>
      </c>
      <c r="W398">
        <f>Matrice1!$T398* (Matrice1!$V398/100)</f>
        <v>0.34146000000000004</v>
      </c>
    </row>
    <row r="399" spans="1:23" x14ac:dyDescent="0.3">
      <c r="A399" s="1" t="s">
        <v>1014</v>
      </c>
      <c r="B399" s="2">
        <v>45225</v>
      </c>
      <c r="C399" s="3">
        <v>0.21527777777777779</v>
      </c>
      <c r="D399" s="1" t="s">
        <v>1043</v>
      </c>
      <c r="E399">
        <v>41</v>
      </c>
      <c r="F399" s="1" t="s">
        <v>812</v>
      </c>
      <c r="G399" s="1" t="s">
        <v>1043</v>
      </c>
      <c r="H399" s="1" t="s">
        <v>44</v>
      </c>
      <c r="I399">
        <v>-4.9552579999999997</v>
      </c>
      <c r="J399">
        <v>22.008103999999999</v>
      </c>
      <c r="K399" s="1" t="s">
        <v>1498</v>
      </c>
      <c r="L399" s="1" t="s">
        <v>1499</v>
      </c>
      <c r="M399" s="1" t="s">
        <v>93</v>
      </c>
      <c r="N399" s="1" t="s">
        <v>44</v>
      </c>
      <c r="O399" s="1" t="str">
        <f>INT(Matrice1!$P399/12) &amp; " ans et " &amp; MOD(Matrice1!$P399,12) &amp; " mois"</f>
        <v>1 ans et 8 mois</v>
      </c>
      <c r="P399">
        <v>20</v>
      </c>
      <c r="Q399" s="1" t="s">
        <v>19</v>
      </c>
      <c r="R399" s="4">
        <f>Matrice1!$S399/1440</f>
        <v>1.8055555555555554E-2</v>
      </c>
      <c r="S399">
        <v>26</v>
      </c>
      <c r="T399">
        <v>25.14</v>
      </c>
      <c r="U399">
        <v>0</v>
      </c>
      <c r="V399" s="8">
        <f>IF(Matrice1!$Q399="Pro Monde",10%,IF(AND(Matrice1!$R399&gt;12,Matrice1!$O399&gt;5),70%,IF(AND(OR(Matrice1!$R399&gt;=4,Matrice1!$R399&lt;=12,Matrice1!$O399&lt;5,(OR(Matrice1!$Q399="Premium ")))),45%,0%)))</f>
        <v>0.45</v>
      </c>
      <c r="W399">
        <f>Matrice1!$T399* (Matrice1!$V399/100)</f>
        <v>0.11313000000000002</v>
      </c>
    </row>
    <row r="400" spans="1:23" x14ac:dyDescent="0.3">
      <c r="A400" s="1" t="s">
        <v>1014</v>
      </c>
      <c r="B400" s="2">
        <v>45225</v>
      </c>
      <c r="C400" s="3">
        <v>0.21527777777777779</v>
      </c>
      <c r="D400" s="1" t="s">
        <v>1043</v>
      </c>
      <c r="E400">
        <v>41</v>
      </c>
      <c r="F400" s="1" t="s">
        <v>812</v>
      </c>
      <c r="G400" s="1" t="s">
        <v>1043</v>
      </c>
      <c r="H400" s="1" t="s">
        <v>44</v>
      </c>
      <c r="I400">
        <v>-4.9552579999999997</v>
      </c>
      <c r="J400">
        <v>22.008103999999999</v>
      </c>
      <c r="K400" s="1" t="s">
        <v>1498</v>
      </c>
      <c r="L400" s="1" t="s">
        <v>1499</v>
      </c>
      <c r="M400" s="1" t="s">
        <v>103</v>
      </c>
      <c r="N400" s="1" t="s">
        <v>44</v>
      </c>
      <c r="O400" s="1" t="str">
        <f>INT(Matrice1!$P400/12) &amp; " ans et " &amp; MOD(Matrice1!$P400,12) &amp; " mois"</f>
        <v>4 ans et 2 mois</v>
      </c>
      <c r="P400">
        <v>50</v>
      </c>
      <c r="Q400" s="1" t="s">
        <v>19</v>
      </c>
      <c r="R400" s="4">
        <f>Matrice1!$S400/1440</f>
        <v>0.17916666666666667</v>
      </c>
      <c r="S400">
        <v>258</v>
      </c>
      <c r="T400">
        <v>25.06</v>
      </c>
      <c r="U400">
        <v>4</v>
      </c>
      <c r="V400" s="8">
        <f>IF(Matrice1!$Q400="Pro Monde",10%,IF(AND(Matrice1!$R400&gt;12,Matrice1!$O400&gt;5),70%,IF(AND(OR(Matrice1!$R400&gt;=4,Matrice1!$R400&lt;=12,Matrice1!$O400&lt;5,(OR(Matrice1!$Q400="Premium ")))),45%,0%)))</f>
        <v>0.45</v>
      </c>
      <c r="W400">
        <f>Matrice1!$T400* (Matrice1!$V400/100)</f>
        <v>0.11277000000000001</v>
      </c>
    </row>
    <row r="401" spans="1:23" x14ac:dyDescent="0.3">
      <c r="A401" s="1" t="s">
        <v>1014</v>
      </c>
      <c r="B401" s="2">
        <v>45225</v>
      </c>
      <c r="C401" s="3">
        <v>0.21527777777777779</v>
      </c>
      <c r="D401" s="1" t="s">
        <v>1043</v>
      </c>
      <c r="E401">
        <v>41</v>
      </c>
      <c r="F401" s="1" t="s">
        <v>812</v>
      </c>
      <c r="G401" s="1" t="s">
        <v>1043</v>
      </c>
      <c r="H401" s="1" t="s">
        <v>44</v>
      </c>
      <c r="I401">
        <v>-4.9552579999999997</v>
      </c>
      <c r="J401">
        <v>22.008103999999999</v>
      </c>
      <c r="K401" s="1" t="s">
        <v>1498</v>
      </c>
      <c r="L401" s="1" t="s">
        <v>1499</v>
      </c>
      <c r="M401" s="1" t="s">
        <v>104</v>
      </c>
      <c r="N401" s="1" t="s">
        <v>44</v>
      </c>
      <c r="O401" s="1" t="str">
        <f>INT(Matrice1!$P401/12) &amp; " ans et " &amp; MOD(Matrice1!$P401,12) &amp; " mois"</f>
        <v>2 ans et 6 mois</v>
      </c>
      <c r="P401">
        <v>30</v>
      </c>
      <c r="Q401" s="1" t="s">
        <v>11</v>
      </c>
      <c r="R401" s="4">
        <f>Matrice1!$S401/1440</f>
        <v>0.13680555555555557</v>
      </c>
      <c r="S401">
        <v>197</v>
      </c>
      <c r="T401">
        <v>15.42</v>
      </c>
      <c r="U401">
        <v>0</v>
      </c>
      <c r="V401" s="8">
        <f>IF(Matrice1!$Q401="Pro Monde",10%,IF(AND(Matrice1!$R401&gt;12,Matrice1!$O401&gt;5),70%,IF(AND(OR(Matrice1!$R401&gt;=4,Matrice1!$R401&lt;=12,Matrice1!$O401&lt;5,(OR(Matrice1!$Q401="Premium ")))),45%,0%)))</f>
        <v>0.45</v>
      </c>
      <c r="W401">
        <f>Matrice1!$T401* (Matrice1!$V401/100)</f>
        <v>6.9390000000000007E-2</v>
      </c>
    </row>
    <row r="402" spans="1:23" x14ac:dyDescent="0.3">
      <c r="A402" s="1" t="s">
        <v>1014</v>
      </c>
      <c r="B402" s="2">
        <v>45225</v>
      </c>
      <c r="C402" s="3">
        <v>0.21527777777777779</v>
      </c>
      <c r="D402" s="1" t="s">
        <v>1043</v>
      </c>
      <c r="E402">
        <v>41</v>
      </c>
      <c r="F402" s="1" t="s">
        <v>812</v>
      </c>
      <c r="G402" s="1" t="s">
        <v>1043</v>
      </c>
      <c r="H402" s="1" t="s">
        <v>44</v>
      </c>
      <c r="I402">
        <v>-4.9552579999999997</v>
      </c>
      <c r="J402">
        <v>22.008103999999999</v>
      </c>
      <c r="K402" s="1" t="s">
        <v>1498</v>
      </c>
      <c r="L402" s="1" t="s">
        <v>1499</v>
      </c>
      <c r="M402" s="1" t="s">
        <v>135</v>
      </c>
      <c r="N402" s="1" t="s">
        <v>44</v>
      </c>
      <c r="O402" s="1" t="str">
        <f>INT(Matrice1!$P402/12) &amp; " ans et " &amp; MOD(Matrice1!$P402,12) &amp; " mois"</f>
        <v>2 ans et 1 mois</v>
      </c>
      <c r="P402">
        <v>25</v>
      </c>
      <c r="Q402" s="1" t="s">
        <v>11</v>
      </c>
      <c r="R402" s="4">
        <f>Matrice1!$S402/1440</f>
        <v>4.4444444444444446E-2</v>
      </c>
      <c r="S402">
        <v>64</v>
      </c>
      <c r="T402">
        <v>38.950000000000003</v>
      </c>
      <c r="U402">
        <v>5</v>
      </c>
      <c r="V402" s="8">
        <f>IF(Matrice1!$Q402="Pro Monde",10%,IF(AND(Matrice1!$R402&gt;12,Matrice1!$O402&gt;5),70%,IF(AND(OR(Matrice1!$R402&gt;=4,Matrice1!$R402&lt;=12,Matrice1!$O402&lt;5,(OR(Matrice1!$Q402="Premium ")))),45%,0%)))</f>
        <v>0.45</v>
      </c>
      <c r="W402">
        <f>Matrice1!$T402* (Matrice1!$V402/100)</f>
        <v>0.17527500000000004</v>
      </c>
    </row>
    <row r="403" spans="1:23" x14ac:dyDescent="0.3">
      <c r="A403" s="1" t="s">
        <v>1014</v>
      </c>
      <c r="B403" s="2">
        <v>45225</v>
      </c>
      <c r="C403" s="3">
        <v>0.21527777777777779</v>
      </c>
      <c r="D403" s="1" t="s">
        <v>1043</v>
      </c>
      <c r="E403">
        <v>41</v>
      </c>
      <c r="F403" s="1" t="s">
        <v>812</v>
      </c>
      <c r="G403" s="1" t="s">
        <v>1043</v>
      </c>
      <c r="H403" s="1" t="s">
        <v>44</v>
      </c>
      <c r="I403">
        <v>-4.9552579999999997</v>
      </c>
      <c r="J403">
        <v>22.008103999999999</v>
      </c>
      <c r="K403" s="1" t="s">
        <v>1498</v>
      </c>
      <c r="L403" s="1" t="s">
        <v>1499</v>
      </c>
      <c r="M403" s="1" t="s">
        <v>138</v>
      </c>
      <c r="N403" s="1" t="s">
        <v>44</v>
      </c>
      <c r="O403" s="1" t="str">
        <f>INT(Matrice1!$P403/12) &amp; " ans et " &amp; MOD(Matrice1!$P403,12) &amp; " mois"</f>
        <v>5 ans et 10 mois</v>
      </c>
      <c r="P403">
        <v>70</v>
      </c>
      <c r="Q403" s="1" t="s">
        <v>14</v>
      </c>
      <c r="R403" s="4">
        <f>Matrice1!$S403/1440</f>
        <v>0.2013888888888889</v>
      </c>
      <c r="S403">
        <v>290</v>
      </c>
      <c r="T403">
        <v>96.31</v>
      </c>
      <c r="U403">
        <v>1</v>
      </c>
      <c r="V403" s="8">
        <f>IF(Matrice1!$Q403="Pro Monde",10%,IF(AND(Matrice1!$R403&gt;12,Matrice1!$O403&gt;5),70%,IF(AND(OR(Matrice1!$R403&gt;=4,Matrice1!$R403&lt;=12,Matrice1!$O403&lt;5,(OR(Matrice1!$Q403="Premium ")))),45%,0%)))</f>
        <v>0.1</v>
      </c>
      <c r="W403">
        <f>Matrice1!$T403* (Matrice1!$V403/100)</f>
        <v>9.6310000000000007E-2</v>
      </c>
    </row>
    <row r="404" spans="1:23" x14ac:dyDescent="0.3">
      <c r="A404" s="1" t="s">
        <v>1014</v>
      </c>
      <c r="B404" s="2">
        <v>45225</v>
      </c>
      <c r="C404" s="3">
        <v>0.21527777777777779</v>
      </c>
      <c r="D404" s="1" t="s">
        <v>1043</v>
      </c>
      <c r="E404">
        <v>41</v>
      </c>
      <c r="F404" s="1" t="s">
        <v>812</v>
      </c>
      <c r="G404" s="1" t="s">
        <v>1043</v>
      </c>
      <c r="H404" s="1" t="s">
        <v>44</v>
      </c>
      <c r="I404">
        <v>-4.9552579999999997</v>
      </c>
      <c r="J404">
        <v>22.008103999999999</v>
      </c>
      <c r="K404" s="1" t="s">
        <v>1498</v>
      </c>
      <c r="L404" s="1" t="s">
        <v>1499</v>
      </c>
      <c r="M404" s="1" t="s">
        <v>175</v>
      </c>
      <c r="N404" s="1" t="s">
        <v>44</v>
      </c>
      <c r="O404" s="1" t="str">
        <f>INT(Matrice1!$P404/12) &amp; " ans et " &amp; MOD(Matrice1!$P404,12) &amp; " mois"</f>
        <v>4 ans et 6 mois</v>
      </c>
      <c r="P404">
        <v>54</v>
      </c>
      <c r="Q404" s="1" t="s">
        <v>19</v>
      </c>
      <c r="R404" s="4">
        <f>Matrice1!$S404/1440</f>
        <v>6.8750000000000006E-2</v>
      </c>
      <c r="S404">
        <v>99</v>
      </c>
      <c r="T404">
        <v>39.58</v>
      </c>
      <c r="U404">
        <v>0</v>
      </c>
      <c r="V404" s="8">
        <f>IF(Matrice1!$Q404="Pro Monde",10%,IF(AND(Matrice1!$R404&gt;12,Matrice1!$O404&gt;5),70%,IF(AND(OR(Matrice1!$R404&gt;=4,Matrice1!$R404&lt;=12,Matrice1!$O404&lt;5,(OR(Matrice1!$Q404="Premium ")))),45%,0%)))</f>
        <v>0.45</v>
      </c>
      <c r="W404">
        <f>Matrice1!$T404* (Matrice1!$V404/100)</f>
        <v>0.17811000000000002</v>
      </c>
    </row>
    <row r="405" spans="1:23" x14ac:dyDescent="0.3">
      <c r="A405" s="1" t="s">
        <v>1014</v>
      </c>
      <c r="B405" s="2">
        <v>45225</v>
      </c>
      <c r="C405" s="3">
        <v>0.21527777777777779</v>
      </c>
      <c r="D405" s="1" t="s">
        <v>1043</v>
      </c>
      <c r="E405">
        <v>41</v>
      </c>
      <c r="F405" s="1" t="s">
        <v>812</v>
      </c>
      <c r="G405" s="1" t="s">
        <v>1043</v>
      </c>
      <c r="H405" s="1" t="s">
        <v>44</v>
      </c>
      <c r="I405">
        <v>-4.9552579999999997</v>
      </c>
      <c r="J405">
        <v>22.008103999999999</v>
      </c>
      <c r="K405" s="1" t="s">
        <v>1498</v>
      </c>
      <c r="L405" s="1" t="s">
        <v>1499</v>
      </c>
      <c r="M405" s="1" t="s">
        <v>178</v>
      </c>
      <c r="N405" s="1" t="s">
        <v>44</v>
      </c>
      <c r="O405" s="1" t="str">
        <f>INT(Matrice1!$P405/12) &amp; " ans et " &amp; MOD(Matrice1!$P405,12) &amp; " mois"</f>
        <v>3 ans et 5 mois</v>
      </c>
      <c r="P405">
        <v>41</v>
      </c>
      <c r="Q405" s="1" t="s">
        <v>11</v>
      </c>
      <c r="R405" s="4">
        <f>Matrice1!$S405/1440</f>
        <v>4.4444444444444446E-2</v>
      </c>
      <c r="S405">
        <v>64</v>
      </c>
      <c r="T405">
        <v>91.95</v>
      </c>
      <c r="U405">
        <v>1</v>
      </c>
      <c r="V405" s="8">
        <f>IF(Matrice1!$Q405="Pro Monde",10%,IF(AND(Matrice1!$R405&gt;12,Matrice1!$O405&gt;5),70%,IF(AND(OR(Matrice1!$R405&gt;=4,Matrice1!$R405&lt;=12,Matrice1!$O405&lt;5,(OR(Matrice1!$Q405="Premium ")))),45%,0%)))</f>
        <v>0.45</v>
      </c>
      <c r="W405">
        <f>Matrice1!$T405* (Matrice1!$V405/100)</f>
        <v>0.41377500000000006</v>
      </c>
    </row>
    <row r="406" spans="1:23" x14ac:dyDescent="0.3">
      <c r="A406" s="1" t="s">
        <v>1014</v>
      </c>
      <c r="B406" s="2">
        <v>45225</v>
      </c>
      <c r="C406" s="3">
        <v>0.21527777777777779</v>
      </c>
      <c r="D406" s="1" t="s">
        <v>1043</v>
      </c>
      <c r="E406">
        <v>41</v>
      </c>
      <c r="F406" s="1" t="s">
        <v>812</v>
      </c>
      <c r="G406" s="1" t="s">
        <v>1043</v>
      </c>
      <c r="H406" s="1" t="s">
        <v>44</v>
      </c>
      <c r="I406">
        <v>-4.9552579999999997</v>
      </c>
      <c r="J406">
        <v>22.008103999999999</v>
      </c>
      <c r="K406" s="1" t="s">
        <v>1498</v>
      </c>
      <c r="L406" s="1" t="s">
        <v>1499</v>
      </c>
      <c r="M406" s="1" t="s">
        <v>196</v>
      </c>
      <c r="N406" s="1" t="s">
        <v>44</v>
      </c>
      <c r="O406" s="1" t="str">
        <f>INT(Matrice1!$P406/12) &amp; " ans et " &amp; MOD(Matrice1!$P406,12) &amp; " mois"</f>
        <v>4 ans et 0 mois</v>
      </c>
      <c r="P406">
        <v>48</v>
      </c>
      <c r="Q406" s="1" t="s">
        <v>19</v>
      </c>
      <c r="R406" s="4">
        <f>Matrice1!$S406/1440</f>
        <v>0.2326388888888889</v>
      </c>
      <c r="S406">
        <v>335</v>
      </c>
      <c r="T406">
        <v>85.09</v>
      </c>
      <c r="U406">
        <v>3</v>
      </c>
      <c r="V406" s="8">
        <f>IF(Matrice1!$Q406="Pro Monde",10%,IF(AND(Matrice1!$R406&gt;12,Matrice1!$O406&gt;5),70%,IF(AND(OR(Matrice1!$R406&gt;=4,Matrice1!$R406&lt;=12,Matrice1!$O406&lt;5,(OR(Matrice1!$Q406="Premium ")))),45%,0%)))</f>
        <v>0.45</v>
      </c>
      <c r="W406">
        <f>Matrice1!$T406* (Matrice1!$V406/100)</f>
        <v>0.38290500000000005</v>
      </c>
    </row>
    <row r="407" spans="1:23" x14ac:dyDescent="0.3">
      <c r="A407" s="1" t="s">
        <v>1014</v>
      </c>
      <c r="B407" s="2">
        <v>45225</v>
      </c>
      <c r="C407" s="3">
        <v>0.21527777777777779</v>
      </c>
      <c r="D407" s="1" t="s">
        <v>1043</v>
      </c>
      <c r="E407">
        <v>41</v>
      </c>
      <c r="F407" s="1" t="s">
        <v>812</v>
      </c>
      <c r="G407" s="1" t="s">
        <v>1043</v>
      </c>
      <c r="H407" s="1" t="s">
        <v>44</v>
      </c>
      <c r="I407">
        <v>-4.9552579999999997</v>
      </c>
      <c r="J407">
        <v>22.008103999999999</v>
      </c>
      <c r="K407" s="1" t="s">
        <v>1498</v>
      </c>
      <c r="L407" s="1" t="s">
        <v>1499</v>
      </c>
      <c r="M407" s="1" t="s">
        <v>197</v>
      </c>
      <c r="N407" s="1" t="s">
        <v>44</v>
      </c>
      <c r="O407" s="1" t="str">
        <f>INT(Matrice1!$P407/12) &amp; " ans et " &amp; MOD(Matrice1!$P407,12) &amp; " mois"</f>
        <v>5 ans et 4 mois</v>
      </c>
      <c r="P407">
        <v>64</v>
      </c>
      <c r="Q407" s="1" t="s">
        <v>14</v>
      </c>
      <c r="R407" s="4">
        <f>Matrice1!$S407/1440</f>
        <v>4.1666666666666666E-3</v>
      </c>
      <c r="S407">
        <v>6</v>
      </c>
      <c r="T407">
        <v>40.58</v>
      </c>
      <c r="U407">
        <v>5</v>
      </c>
      <c r="V407" s="8">
        <f>IF(Matrice1!$Q407="Pro Monde",10%,IF(AND(Matrice1!$R407&gt;12,Matrice1!$O407&gt;5),70%,IF(AND(OR(Matrice1!$R407&gt;=4,Matrice1!$R407&lt;=12,Matrice1!$O407&lt;5,(OR(Matrice1!$Q407="Premium ")))),45%,0%)))</f>
        <v>0.1</v>
      </c>
      <c r="W407">
        <f>Matrice1!$T407* (Matrice1!$V407/100)</f>
        <v>4.0579999999999998E-2</v>
      </c>
    </row>
    <row r="408" spans="1:23" x14ac:dyDescent="0.3">
      <c r="A408" s="1" t="s">
        <v>1014</v>
      </c>
      <c r="B408" s="2">
        <v>45225</v>
      </c>
      <c r="C408" s="3">
        <v>0.21527777777777779</v>
      </c>
      <c r="D408" s="1" t="s">
        <v>1043</v>
      </c>
      <c r="E408">
        <v>41</v>
      </c>
      <c r="F408" s="1" t="s">
        <v>812</v>
      </c>
      <c r="G408" s="1" t="s">
        <v>1043</v>
      </c>
      <c r="H408" s="1" t="s">
        <v>44</v>
      </c>
      <c r="I408">
        <v>-4.9552579999999997</v>
      </c>
      <c r="J408">
        <v>22.008103999999999</v>
      </c>
      <c r="K408" s="1" t="s">
        <v>1498</v>
      </c>
      <c r="L408" s="1" t="s">
        <v>1499</v>
      </c>
      <c r="M408" s="1" t="s">
        <v>218</v>
      </c>
      <c r="N408" s="1" t="s">
        <v>44</v>
      </c>
      <c r="O408" s="1" t="str">
        <f>INT(Matrice1!$P408/12) &amp; " ans et " &amp; MOD(Matrice1!$P408,12) &amp; " mois"</f>
        <v>0 ans et 5 mois</v>
      </c>
      <c r="P408">
        <v>5</v>
      </c>
      <c r="Q408" s="1" t="s">
        <v>19</v>
      </c>
      <c r="R408" s="4">
        <f>Matrice1!$S408/1440</f>
        <v>0.16597222222222222</v>
      </c>
      <c r="S408">
        <v>239</v>
      </c>
      <c r="T408">
        <v>26.95</v>
      </c>
      <c r="U408">
        <v>2</v>
      </c>
      <c r="V408" s="8">
        <f>IF(Matrice1!$Q408="Pro Monde",10%,IF(AND(Matrice1!$R408&gt;12,Matrice1!$O408&gt;5),70%,IF(AND(OR(Matrice1!$R408&gt;=4,Matrice1!$R408&lt;=12,Matrice1!$O408&lt;5,(OR(Matrice1!$Q408="Premium ")))),45%,0%)))</f>
        <v>0.45</v>
      </c>
      <c r="W408">
        <f>Matrice1!$T408* (Matrice1!$V408/100)</f>
        <v>0.12127500000000001</v>
      </c>
    </row>
    <row r="409" spans="1:23" x14ac:dyDescent="0.3">
      <c r="A409" s="1" t="s">
        <v>1014</v>
      </c>
      <c r="B409" s="2">
        <v>45225</v>
      </c>
      <c r="C409" s="3">
        <v>0.21527777777777779</v>
      </c>
      <c r="D409" s="1" t="s">
        <v>1043</v>
      </c>
      <c r="E409">
        <v>41</v>
      </c>
      <c r="F409" s="1" t="s">
        <v>812</v>
      </c>
      <c r="G409" s="1" t="s">
        <v>1043</v>
      </c>
      <c r="H409" s="1" t="s">
        <v>44</v>
      </c>
      <c r="I409">
        <v>-4.9552579999999997</v>
      </c>
      <c r="J409">
        <v>22.008103999999999</v>
      </c>
      <c r="K409" s="1" t="s">
        <v>1498</v>
      </c>
      <c r="L409" s="1" t="s">
        <v>1499</v>
      </c>
      <c r="M409" s="1" t="s">
        <v>225</v>
      </c>
      <c r="N409" s="1" t="s">
        <v>44</v>
      </c>
      <c r="O409" s="1" t="str">
        <f>INT(Matrice1!$P409/12) &amp; " ans et " &amp; MOD(Matrice1!$P409,12) &amp; " mois"</f>
        <v>2 ans et 7 mois</v>
      </c>
      <c r="P409">
        <v>31</v>
      </c>
      <c r="Q409" s="1" t="s">
        <v>19</v>
      </c>
      <c r="R409" s="4">
        <f>Matrice1!$S409/1440</f>
        <v>0.1111111111111111</v>
      </c>
      <c r="S409">
        <v>160</v>
      </c>
      <c r="T409">
        <v>59.76</v>
      </c>
      <c r="U409">
        <v>4</v>
      </c>
      <c r="V409" s="8">
        <f>IF(Matrice1!$Q409="Pro Monde",10%,IF(AND(Matrice1!$R409&gt;12,Matrice1!$O409&gt;5),70%,IF(AND(OR(Matrice1!$R409&gt;=4,Matrice1!$R409&lt;=12,Matrice1!$O409&lt;5,(OR(Matrice1!$Q409="Premium ")))),45%,0%)))</f>
        <v>0.45</v>
      </c>
      <c r="W409">
        <f>Matrice1!$T409* (Matrice1!$V409/100)</f>
        <v>0.26892000000000005</v>
      </c>
    </row>
    <row r="410" spans="1:23" x14ac:dyDescent="0.3">
      <c r="A410" s="1" t="s">
        <v>1014</v>
      </c>
      <c r="B410" s="2">
        <v>45225</v>
      </c>
      <c r="C410" s="3">
        <v>0.21527777777777779</v>
      </c>
      <c r="D410" s="1" t="s">
        <v>1043</v>
      </c>
      <c r="E410">
        <v>41</v>
      </c>
      <c r="F410" s="1" t="s">
        <v>812</v>
      </c>
      <c r="G410" s="1" t="s">
        <v>1043</v>
      </c>
      <c r="H410" s="1" t="s">
        <v>44</v>
      </c>
      <c r="I410">
        <v>-4.9552579999999997</v>
      </c>
      <c r="J410">
        <v>22.008103999999999</v>
      </c>
      <c r="K410" s="1" t="s">
        <v>1498</v>
      </c>
      <c r="L410" s="1" t="s">
        <v>1499</v>
      </c>
      <c r="M410" s="1" t="s">
        <v>299</v>
      </c>
      <c r="N410" s="1" t="s">
        <v>44</v>
      </c>
      <c r="O410" s="1" t="str">
        <f>INT(Matrice1!$P410/12) &amp; " ans et " &amp; MOD(Matrice1!$P410,12) &amp; " mois"</f>
        <v>6 ans et 4 mois</v>
      </c>
      <c r="P410">
        <v>76</v>
      </c>
      <c r="Q410" s="1" t="s">
        <v>22</v>
      </c>
      <c r="R410" s="4">
        <f>Matrice1!$S410/1440</f>
        <v>0.26597222222222222</v>
      </c>
      <c r="S410">
        <v>383</v>
      </c>
      <c r="T410">
        <v>53.73</v>
      </c>
      <c r="U410">
        <v>2</v>
      </c>
      <c r="V410" s="8">
        <f>IF(Matrice1!$Q410="Pro Monde",10%,IF(AND(Matrice1!$R410&gt;12,Matrice1!$O410&gt;5),70%,IF(AND(OR(Matrice1!$R410&gt;=4,Matrice1!$R410&lt;=12,Matrice1!$O410&lt;5,(OR(Matrice1!$Q410="Premium ")))),45%,0%)))</f>
        <v>0.45</v>
      </c>
      <c r="W410">
        <f>Matrice1!$T410* (Matrice1!$V410/100)</f>
        <v>0.24178500000000003</v>
      </c>
    </row>
    <row r="411" spans="1:23" x14ac:dyDescent="0.3">
      <c r="A411" s="1" t="s">
        <v>1014</v>
      </c>
      <c r="B411" s="2">
        <v>45225</v>
      </c>
      <c r="C411" s="3">
        <v>0.21527777777777779</v>
      </c>
      <c r="D411" s="1" t="s">
        <v>1043</v>
      </c>
      <c r="E411">
        <v>41</v>
      </c>
      <c r="F411" s="1" t="s">
        <v>812</v>
      </c>
      <c r="G411" s="1" t="s">
        <v>1043</v>
      </c>
      <c r="H411" s="1" t="s">
        <v>44</v>
      </c>
      <c r="I411">
        <v>-4.9552579999999997</v>
      </c>
      <c r="J411">
        <v>22.008103999999999</v>
      </c>
      <c r="K411" s="1" t="s">
        <v>1498</v>
      </c>
      <c r="L411" s="1" t="s">
        <v>1499</v>
      </c>
      <c r="M411" s="1" t="s">
        <v>310</v>
      </c>
      <c r="N411" s="1" t="s">
        <v>44</v>
      </c>
      <c r="O411" s="1" t="str">
        <f>INT(Matrice1!$P411/12) &amp; " ans et " &amp; MOD(Matrice1!$P411,12) &amp; " mois"</f>
        <v>8 ans et 2 mois</v>
      </c>
      <c r="P411">
        <v>98</v>
      </c>
      <c r="Q411" s="1" t="s">
        <v>11</v>
      </c>
      <c r="R411" s="4">
        <f>Matrice1!$S411/1440</f>
        <v>0.22152777777777777</v>
      </c>
      <c r="S411">
        <v>319</v>
      </c>
      <c r="T411">
        <v>88.58</v>
      </c>
      <c r="U411">
        <v>0</v>
      </c>
      <c r="V411" s="8">
        <f>IF(Matrice1!$Q411="Pro Monde",10%,IF(AND(Matrice1!$R411&gt;12,Matrice1!$O411&gt;5),70%,IF(AND(OR(Matrice1!$R411&gt;=4,Matrice1!$R411&lt;=12,Matrice1!$O411&lt;5,(OR(Matrice1!$Q411="Premium ")))),45%,0%)))</f>
        <v>0.45</v>
      </c>
      <c r="W411">
        <f>Matrice1!$T411* (Matrice1!$V411/100)</f>
        <v>0.39861000000000002</v>
      </c>
    </row>
    <row r="412" spans="1:23" x14ac:dyDescent="0.3">
      <c r="A412" s="1" t="s">
        <v>1014</v>
      </c>
      <c r="B412" s="2">
        <v>45225</v>
      </c>
      <c r="C412" s="3">
        <v>0.21527777777777779</v>
      </c>
      <c r="D412" s="1" t="s">
        <v>1043</v>
      </c>
      <c r="E412">
        <v>41</v>
      </c>
      <c r="F412" s="1" t="s">
        <v>812</v>
      </c>
      <c r="G412" s="1" t="s">
        <v>1043</v>
      </c>
      <c r="H412" s="1" t="s">
        <v>44</v>
      </c>
      <c r="I412">
        <v>-4.9552579999999997</v>
      </c>
      <c r="J412">
        <v>22.008103999999999</v>
      </c>
      <c r="K412" s="1" t="s">
        <v>1498</v>
      </c>
      <c r="L412" s="1" t="s">
        <v>1499</v>
      </c>
      <c r="M412" s="1" t="s">
        <v>326</v>
      </c>
      <c r="N412" s="1" t="s">
        <v>44</v>
      </c>
      <c r="O412" s="1" t="str">
        <f>INT(Matrice1!$P412/12) &amp; " ans et " &amp; MOD(Matrice1!$P412,12) &amp; " mois"</f>
        <v>7 ans et 0 mois</v>
      </c>
      <c r="P412">
        <v>84</v>
      </c>
      <c r="Q412" s="1" t="s">
        <v>19</v>
      </c>
      <c r="R412" s="4">
        <f>Matrice1!$S412/1440</f>
        <v>0.16944444444444445</v>
      </c>
      <c r="S412">
        <v>244</v>
      </c>
      <c r="T412">
        <v>56.34</v>
      </c>
      <c r="U412">
        <v>5</v>
      </c>
      <c r="V412" s="8">
        <f>IF(Matrice1!$Q412="Pro Monde",10%,IF(AND(Matrice1!$R412&gt;12,Matrice1!$O412&gt;5),70%,IF(AND(OR(Matrice1!$R412&gt;=4,Matrice1!$R412&lt;=12,Matrice1!$O412&lt;5,(OR(Matrice1!$Q412="Premium ")))),45%,0%)))</f>
        <v>0.45</v>
      </c>
      <c r="W412">
        <f>Matrice1!$T412* (Matrice1!$V412/100)</f>
        <v>0.25353000000000003</v>
      </c>
    </row>
    <row r="413" spans="1:23" x14ac:dyDescent="0.3">
      <c r="A413" s="1" t="s">
        <v>1014</v>
      </c>
      <c r="B413" s="2">
        <v>45225</v>
      </c>
      <c r="C413" s="3">
        <v>0.21527777777777779</v>
      </c>
      <c r="D413" s="1" t="s">
        <v>1043</v>
      </c>
      <c r="E413">
        <v>41</v>
      </c>
      <c r="F413" s="1" t="s">
        <v>812</v>
      </c>
      <c r="G413" s="1" t="s">
        <v>1043</v>
      </c>
      <c r="H413" s="1" t="s">
        <v>44</v>
      </c>
      <c r="I413">
        <v>-4.9552579999999997</v>
      </c>
      <c r="J413">
        <v>22.008103999999999</v>
      </c>
      <c r="K413" s="1" t="s">
        <v>1498</v>
      </c>
      <c r="L413" s="1" t="s">
        <v>1499</v>
      </c>
      <c r="M413" s="1" t="s">
        <v>330</v>
      </c>
      <c r="N413" s="1" t="s">
        <v>44</v>
      </c>
      <c r="O413" s="1" t="str">
        <f>INT(Matrice1!$P413/12) &amp; " ans et " &amp; MOD(Matrice1!$P413,12) &amp; " mois"</f>
        <v>7 ans et 11 mois</v>
      </c>
      <c r="P413">
        <v>95</v>
      </c>
      <c r="Q413" s="1" t="s">
        <v>11</v>
      </c>
      <c r="R413" s="4">
        <f>Matrice1!$S413/1440</f>
        <v>3.5416666666666666E-2</v>
      </c>
      <c r="S413">
        <v>51</v>
      </c>
      <c r="T413">
        <v>94.77</v>
      </c>
      <c r="U413">
        <v>5</v>
      </c>
      <c r="V413" s="8">
        <f>IF(Matrice1!$Q413="Pro Monde",10%,IF(AND(Matrice1!$R413&gt;12,Matrice1!$O413&gt;5),70%,IF(AND(OR(Matrice1!$R413&gt;=4,Matrice1!$R413&lt;=12,Matrice1!$O413&lt;5,(OR(Matrice1!$Q413="Premium ")))),45%,0%)))</f>
        <v>0.45</v>
      </c>
      <c r="W413">
        <f>Matrice1!$T413* (Matrice1!$V413/100)</f>
        <v>0.42646500000000004</v>
      </c>
    </row>
    <row r="414" spans="1:23" x14ac:dyDescent="0.3">
      <c r="A414" s="1" t="s">
        <v>1014</v>
      </c>
      <c r="B414" s="2">
        <v>45225</v>
      </c>
      <c r="C414" s="3">
        <v>0.21527777777777779</v>
      </c>
      <c r="D414" s="1" t="s">
        <v>1043</v>
      </c>
      <c r="E414">
        <v>41</v>
      </c>
      <c r="F414" s="1" t="s">
        <v>812</v>
      </c>
      <c r="G414" s="1" t="s">
        <v>1043</v>
      </c>
      <c r="H414" s="1" t="s">
        <v>44</v>
      </c>
      <c r="I414">
        <v>-4.9552579999999997</v>
      </c>
      <c r="J414">
        <v>22.008103999999999</v>
      </c>
      <c r="K414" s="1" t="s">
        <v>1498</v>
      </c>
      <c r="L414" s="1" t="s">
        <v>1499</v>
      </c>
      <c r="M414" s="1" t="s">
        <v>385</v>
      </c>
      <c r="N414" s="1" t="s">
        <v>44</v>
      </c>
      <c r="O414" s="1" t="str">
        <f>INT(Matrice1!$P414/12) &amp; " ans et " &amp; MOD(Matrice1!$P414,12) &amp; " mois"</f>
        <v>8 ans et 10 mois</v>
      </c>
      <c r="P414">
        <v>106</v>
      </c>
      <c r="Q414" s="1" t="s">
        <v>22</v>
      </c>
      <c r="R414" s="4">
        <f>Matrice1!$S414/1440</f>
        <v>0.28263888888888888</v>
      </c>
      <c r="S414">
        <v>407</v>
      </c>
      <c r="T414">
        <v>59.92</v>
      </c>
      <c r="U414">
        <v>4</v>
      </c>
      <c r="V414" s="8">
        <f>IF(Matrice1!$Q414="Pro Monde",10%,IF(AND(Matrice1!$R414&gt;12,Matrice1!$O414&gt;5),70%,IF(AND(OR(Matrice1!$R414&gt;=4,Matrice1!$R414&lt;=12,Matrice1!$O414&lt;5,(OR(Matrice1!$Q414="Premium ")))),45%,0%)))</f>
        <v>0.45</v>
      </c>
      <c r="W414">
        <f>Matrice1!$T414* (Matrice1!$V414/100)</f>
        <v>0.26964000000000005</v>
      </c>
    </row>
    <row r="415" spans="1:23" x14ac:dyDescent="0.3">
      <c r="A415" s="1" t="s">
        <v>1014</v>
      </c>
      <c r="B415" s="2">
        <v>45225</v>
      </c>
      <c r="C415" s="3">
        <v>0.21527777777777779</v>
      </c>
      <c r="D415" s="1" t="s">
        <v>1043</v>
      </c>
      <c r="E415">
        <v>41</v>
      </c>
      <c r="F415" s="1" t="s">
        <v>812</v>
      </c>
      <c r="G415" s="1" t="s">
        <v>1043</v>
      </c>
      <c r="H415" s="1" t="s">
        <v>44</v>
      </c>
      <c r="I415">
        <v>-4.9552579999999997</v>
      </c>
      <c r="J415">
        <v>22.008103999999999</v>
      </c>
      <c r="K415" s="1" t="s">
        <v>1498</v>
      </c>
      <c r="L415" s="1" t="s">
        <v>1499</v>
      </c>
      <c r="M415" s="1" t="s">
        <v>405</v>
      </c>
      <c r="N415" s="1" t="s">
        <v>44</v>
      </c>
      <c r="O415" s="1" t="str">
        <f>INT(Matrice1!$P415/12) &amp; " ans et " &amp; MOD(Matrice1!$P415,12) &amp; " mois"</f>
        <v>0 ans et 2 mois</v>
      </c>
      <c r="P415">
        <v>2</v>
      </c>
      <c r="Q415" s="1" t="s">
        <v>11</v>
      </c>
      <c r="R415" s="4">
        <f>Matrice1!$S415/1440</f>
        <v>1.4583333333333334E-2</v>
      </c>
      <c r="S415">
        <v>21</v>
      </c>
      <c r="T415">
        <v>51.68</v>
      </c>
      <c r="U415">
        <v>3</v>
      </c>
      <c r="V415" s="8">
        <f>IF(Matrice1!$Q415="Pro Monde",10%,IF(AND(Matrice1!$R415&gt;12,Matrice1!$O415&gt;5),70%,IF(AND(OR(Matrice1!$R415&gt;=4,Matrice1!$R415&lt;=12,Matrice1!$O415&lt;5,(OR(Matrice1!$Q415="Premium ")))),45%,0%)))</f>
        <v>0.45</v>
      </c>
      <c r="W415">
        <f>Matrice1!$T415* (Matrice1!$V415/100)</f>
        <v>0.23256000000000002</v>
      </c>
    </row>
    <row r="416" spans="1:23" x14ac:dyDescent="0.3">
      <c r="A416" s="1" t="s">
        <v>1014</v>
      </c>
      <c r="B416" s="2">
        <v>45225</v>
      </c>
      <c r="C416" s="3">
        <v>0.21527777777777779</v>
      </c>
      <c r="D416" s="1" t="s">
        <v>1043</v>
      </c>
      <c r="E416">
        <v>41</v>
      </c>
      <c r="F416" s="1" t="s">
        <v>812</v>
      </c>
      <c r="G416" s="1" t="s">
        <v>1043</v>
      </c>
      <c r="H416" s="1" t="s">
        <v>44</v>
      </c>
      <c r="I416">
        <v>-4.9552579999999997</v>
      </c>
      <c r="J416">
        <v>22.008103999999999</v>
      </c>
      <c r="K416" s="1" t="s">
        <v>1498</v>
      </c>
      <c r="L416" s="1" t="s">
        <v>1499</v>
      </c>
      <c r="M416" s="1" t="s">
        <v>425</v>
      </c>
      <c r="N416" s="1" t="s">
        <v>44</v>
      </c>
      <c r="O416" s="1" t="str">
        <f>INT(Matrice1!$P416/12) &amp; " ans et " &amp; MOD(Matrice1!$P416,12) &amp; " mois"</f>
        <v>3 ans et 9 mois</v>
      </c>
      <c r="P416">
        <v>45</v>
      </c>
      <c r="Q416" s="1" t="s">
        <v>22</v>
      </c>
      <c r="R416" s="4">
        <f>Matrice1!$S416/1440</f>
        <v>1.8055555555555554E-2</v>
      </c>
      <c r="S416">
        <v>26</v>
      </c>
      <c r="T416">
        <v>30.35</v>
      </c>
      <c r="U416">
        <v>1</v>
      </c>
      <c r="V416" s="8">
        <f>IF(Matrice1!$Q416="Pro Monde",10%,IF(AND(Matrice1!$R416&gt;12,Matrice1!$O416&gt;5),70%,IF(AND(OR(Matrice1!$R416&gt;=4,Matrice1!$R416&lt;=12,Matrice1!$O416&lt;5,(OR(Matrice1!$Q416="Premium ")))),45%,0%)))</f>
        <v>0.45</v>
      </c>
      <c r="W416">
        <f>Matrice1!$T416* (Matrice1!$V416/100)</f>
        <v>0.13657500000000003</v>
      </c>
    </row>
    <row r="417" spans="1:23" x14ac:dyDescent="0.3">
      <c r="A417" s="1" t="s">
        <v>1014</v>
      </c>
      <c r="B417" s="2">
        <v>45225</v>
      </c>
      <c r="C417" s="3">
        <v>0.21527777777777779</v>
      </c>
      <c r="D417" s="1" t="s">
        <v>1043</v>
      </c>
      <c r="E417">
        <v>41</v>
      </c>
      <c r="F417" s="1" t="s">
        <v>812</v>
      </c>
      <c r="G417" s="1" t="s">
        <v>1043</v>
      </c>
      <c r="H417" s="1" t="s">
        <v>44</v>
      </c>
      <c r="I417">
        <v>-4.9552579999999997</v>
      </c>
      <c r="J417">
        <v>22.008103999999999</v>
      </c>
      <c r="K417" s="1" t="s">
        <v>1498</v>
      </c>
      <c r="L417" s="1" t="s">
        <v>1499</v>
      </c>
      <c r="M417" s="1" t="s">
        <v>466</v>
      </c>
      <c r="N417" s="1" t="s">
        <v>44</v>
      </c>
      <c r="O417" s="1" t="str">
        <f>INT(Matrice1!$P417/12) &amp; " ans et " &amp; MOD(Matrice1!$P417,12) &amp; " mois"</f>
        <v>2 ans et 4 mois</v>
      </c>
      <c r="P417">
        <v>28</v>
      </c>
      <c r="Q417" s="1" t="s">
        <v>22</v>
      </c>
      <c r="R417" s="4">
        <f>Matrice1!$S417/1440</f>
        <v>7.7777777777777779E-2</v>
      </c>
      <c r="S417">
        <v>112</v>
      </c>
      <c r="T417">
        <v>94.51</v>
      </c>
      <c r="U417">
        <v>3</v>
      </c>
      <c r="V417" s="8">
        <f>IF(Matrice1!$Q417="Pro Monde",10%,IF(AND(Matrice1!$R417&gt;12,Matrice1!$O417&gt;5),70%,IF(AND(OR(Matrice1!$R417&gt;=4,Matrice1!$R417&lt;=12,Matrice1!$O417&lt;5,(OR(Matrice1!$Q417="Premium ")))),45%,0%)))</f>
        <v>0.45</v>
      </c>
      <c r="W417">
        <f>Matrice1!$T417* (Matrice1!$V417/100)</f>
        <v>0.42529500000000009</v>
      </c>
    </row>
    <row r="418" spans="1:23" x14ac:dyDescent="0.3">
      <c r="A418" s="1" t="s">
        <v>1014</v>
      </c>
      <c r="B418" s="2">
        <v>45225</v>
      </c>
      <c r="C418" s="3">
        <v>0.21527777777777779</v>
      </c>
      <c r="D418" s="1" t="s">
        <v>1043</v>
      </c>
      <c r="E418">
        <v>41</v>
      </c>
      <c r="F418" s="1" t="s">
        <v>812</v>
      </c>
      <c r="G418" s="1" t="s">
        <v>1043</v>
      </c>
      <c r="H418" s="1" t="s">
        <v>44</v>
      </c>
      <c r="I418">
        <v>-4.9552579999999997</v>
      </c>
      <c r="J418">
        <v>22.008103999999999</v>
      </c>
      <c r="K418" s="1" t="s">
        <v>1498</v>
      </c>
      <c r="L418" s="1" t="s">
        <v>1499</v>
      </c>
      <c r="M418" s="1" t="s">
        <v>469</v>
      </c>
      <c r="N418" s="1" t="s">
        <v>44</v>
      </c>
      <c r="O418" s="1" t="str">
        <f>INT(Matrice1!$P418/12) &amp; " ans et " &amp; MOD(Matrice1!$P418,12) &amp; " mois"</f>
        <v>3 ans et 0 mois</v>
      </c>
      <c r="P418">
        <v>36</v>
      </c>
      <c r="Q418" s="1" t="s">
        <v>11</v>
      </c>
      <c r="R418" s="4">
        <f>Matrice1!$S418/1440</f>
        <v>9.5138888888888884E-2</v>
      </c>
      <c r="S418">
        <v>137</v>
      </c>
      <c r="T418">
        <v>71.930000000000007</v>
      </c>
      <c r="U418">
        <v>0</v>
      </c>
      <c r="V418" s="8">
        <f>IF(Matrice1!$Q418="Pro Monde",10%,IF(AND(Matrice1!$R418&gt;12,Matrice1!$O418&gt;5),70%,IF(AND(OR(Matrice1!$R418&gt;=4,Matrice1!$R418&lt;=12,Matrice1!$O418&lt;5,(OR(Matrice1!$Q418="Premium ")))),45%,0%)))</f>
        <v>0.45</v>
      </c>
      <c r="W418">
        <f>Matrice1!$T418* (Matrice1!$V418/100)</f>
        <v>0.32368500000000006</v>
      </c>
    </row>
    <row r="419" spans="1:23" x14ac:dyDescent="0.3">
      <c r="A419" s="1" t="s">
        <v>1014</v>
      </c>
      <c r="B419" s="2">
        <v>45225</v>
      </c>
      <c r="C419" s="3">
        <v>0.21527777777777779</v>
      </c>
      <c r="D419" s="1" t="s">
        <v>1043</v>
      </c>
      <c r="E419">
        <v>41</v>
      </c>
      <c r="F419" s="1" t="s">
        <v>812</v>
      </c>
      <c r="G419" s="1" t="s">
        <v>1043</v>
      </c>
      <c r="H419" s="1" t="s">
        <v>44</v>
      </c>
      <c r="I419">
        <v>-4.9552579999999997</v>
      </c>
      <c r="J419">
        <v>22.008103999999999</v>
      </c>
      <c r="K419" s="1" t="s">
        <v>1498</v>
      </c>
      <c r="L419" s="1" t="s">
        <v>1499</v>
      </c>
      <c r="M419" s="1" t="s">
        <v>474</v>
      </c>
      <c r="N419" s="1" t="s">
        <v>44</v>
      </c>
      <c r="O419" s="1" t="str">
        <f>INT(Matrice1!$P419/12) &amp; " ans et " &amp; MOD(Matrice1!$P419,12) &amp; " mois"</f>
        <v>2 ans et 0 mois</v>
      </c>
      <c r="P419">
        <v>24</v>
      </c>
      <c r="Q419" s="1" t="s">
        <v>14</v>
      </c>
      <c r="R419" s="4">
        <f>Matrice1!$S419/1440</f>
        <v>1.5972222222222221E-2</v>
      </c>
      <c r="S419">
        <v>23</v>
      </c>
      <c r="T419">
        <v>28.55</v>
      </c>
      <c r="U419">
        <v>1</v>
      </c>
      <c r="V419" s="8">
        <f>IF(Matrice1!$Q419="Pro Monde",10%,IF(AND(Matrice1!$R419&gt;12,Matrice1!$O419&gt;5),70%,IF(AND(OR(Matrice1!$R419&gt;=4,Matrice1!$R419&lt;=12,Matrice1!$O419&lt;5,(OR(Matrice1!$Q419="Premium ")))),45%,0%)))</f>
        <v>0.1</v>
      </c>
      <c r="W419">
        <f>Matrice1!$T419* (Matrice1!$V419/100)</f>
        <v>2.8550000000000002E-2</v>
      </c>
    </row>
    <row r="420" spans="1:23" x14ac:dyDescent="0.3">
      <c r="A420" s="1" t="s">
        <v>1014</v>
      </c>
      <c r="B420" s="2">
        <v>45225</v>
      </c>
      <c r="C420" s="3">
        <v>0.21527777777777779</v>
      </c>
      <c r="D420" s="1" t="s">
        <v>1043</v>
      </c>
      <c r="E420">
        <v>41</v>
      </c>
      <c r="F420" s="1" t="s">
        <v>812</v>
      </c>
      <c r="G420" s="1" t="s">
        <v>1043</v>
      </c>
      <c r="H420" s="1" t="s">
        <v>44</v>
      </c>
      <c r="I420">
        <v>-4.9552579999999997</v>
      </c>
      <c r="J420">
        <v>22.008103999999999</v>
      </c>
      <c r="K420" s="1" t="s">
        <v>1498</v>
      </c>
      <c r="L420" s="1" t="s">
        <v>1499</v>
      </c>
      <c r="M420" s="1" t="s">
        <v>510</v>
      </c>
      <c r="N420" s="1" t="s">
        <v>44</v>
      </c>
      <c r="O420" s="1" t="str">
        <f>INT(Matrice1!$P420/12) &amp; " ans et " &amp; MOD(Matrice1!$P420,12) &amp; " mois"</f>
        <v>9 ans et 5 mois</v>
      </c>
      <c r="P420">
        <v>113</v>
      </c>
      <c r="Q420" s="1" t="s">
        <v>22</v>
      </c>
      <c r="R420" s="4">
        <f>Matrice1!$S420/1440</f>
        <v>0.29722222222222222</v>
      </c>
      <c r="S420">
        <v>428</v>
      </c>
      <c r="T420">
        <v>73.84</v>
      </c>
      <c r="U420">
        <v>0</v>
      </c>
      <c r="V420" s="8">
        <f>IF(Matrice1!$Q420="Pro Monde",10%,IF(AND(Matrice1!$R420&gt;12,Matrice1!$O420&gt;5),70%,IF(AND(OR(Matrice1!$R420&gt;=4,Matrice1!$R420&lt;=12,Matrice1!$O420&lt;5,(OR(Matrice1!$Q420="Premium ")))),45%,0%)))</f>
        <v>0.45</v>
      </c>
      <c r="W420">
        <f>Matrice1!$T420* (Matrice1!$V420/100)</f>
        <v>0.33228000000000008</v>
      </c>
    </row>
    <row r="421" spans="1:23" x14ac:dyDescent="0.3">
      <c r="A421" s="1" t="s">
        <v>1014</v>
      </c>
      <c r="B421" s="2">
        <v>45225</v>
      </c>
      <c r="C421" s="3">
        <v>0.21527777777777779</v>
      </c>
      <c r="D421" s="1" t="s">
        <v>1043</v>
      </c>
      <c r="E421">
        <v>41</v>
      </c>
      <c r="F421" s="1" t="s">
        <v>812</v>
      </c>
      <c r="G421" s="1" t="s">
        <v>1043</v>
      </c>
      <c r="H421" s="1" t="s">
        <v>44</v>
      </c>
      <c r="I421">
        <v>-4.9552579999999997</v>
      </c>
      <c r="J421">
        <v>22.008103999999999</v>
      </c>
      <c r="K421" s="1" t="s">
        <v>1498</v>
      </c>
      <c r="L421" s="1" t="s">
        <v>1499</v>
      </c>
      <c r="M421" s="1" t="s">
        <v>517</v>
      </c>
      <c r="N421" s="1" t="s">
        <v>44</v>
      </c>
      <c r="O421" s="1" t="str">
        <f>INT(Matrice1!$P421/12) &amp; " ans et " &amp; MOD(Matrice1!$P421,12) &amp; " mois"</f>
        <v>10 ans et 0 mois</v>
      </c>
      <c r="P421">
        <v>120</v>
      </c>
      <c r="Q421" s="1" t="s">
        <v>14</v>
      </c>
      <c r="R421" s="4">
        <f>Matrice1!$S421/1440</f>
        <v>0.05</v>
      </c>
      <c r="S421">
        <v>72</v>
      </c>
      <c r="T421">
        <v>29.07</v>
      </c>
      <c r="U421">
        <v>3</v>
      </c>
      <c r="V421" s="8">
        <f>IF(Matrice1!$Q421="Pro Monde",10%,IF(AND(Matrice1!$R421&gt;12,Matrice1!$O421&gt;5),70%,IF(AND(OR(Matrice1!$R421&gt;=4,Matrice1!$R421&lt;=12,Matrice1!$O421&lt;5,(OR(Matrice1!$Q421="Premium ")))),45%,0%)))</f>
        <v>0.1</v>
      </c>
      <c r="W421">
        <f>Matrice1!$T421* (Matrice1!$V421/100)</f>
        <v>2.9070000000000002E-2</v>
      </c>
    </row>
    <row r="422" spans="1:23" x14ac:dyDescent="0.3">
      <c r="A422" s="1" t="s">
        <v>1014</v>
      </c>
      <c r="B422" s="2">
        <v>45225</v>
      </c>
      <c r="C422" s="3">
        <v>0.21527777777777779</v>
      </c>
      <c r="D422" s="1" t="s">
        <v>1043</v>
      </c>
      <c r="E422">
        <v>41</v>
      </c>
      <c r="F422" s="1" t="s">
        <v>812</v>
      </c>
      <c r="G422" s="1" t="s">
        <v>1043</v>
      </c>
      <c r="H422" s="1" t="s">
        <v>44</v>
      </c>
      <c r="I422">
        <v>-4.9552579999999997</v>
      </c>
      <c r="J422">
        <v>22.008103999999999</v>
      </c>
      <c r="K422" s="1" t="s">
        <v>1498</v>
      </c>
      <c r="L422" s="1" t="s">
        <v>1499</v>
      </c>
      <c r="M422" s="1" t="s">
        <v>542</v>
      </c>
      <c r="N422" s="1" t="s">
        <v>44</v>
      </c>
      <c r="O422" s="1" t="str">
        <f>INT(Matrice1!$P422/12) &amp; " ans et " &amp; MOD(Matrice1!$P422,12) &amp; " mois"</f>
        <v>1 ans et 3 mois</v>
      </c>
      <c r="P422">
        <v>15</v>
      </c>
      <c r="Q422" s="1" t="s">
        <v>19</v>
      </c>
      <c r="R422" s="4">
        <f>Matrice1!$S422/1440</f>
        <v>0.27777777777777779</v>
      </c>
      <c r="S422">
        <v>400</v>
      </c>
      <c r="T422">
        <v>78.09</v>
      </c>
      <c r="U422">
        <v>0</v>
      </c>
      <c r="V422" s="8">
        <f>IF(Matrice1!$Q422="Pro Monde",10%,IF(AND(Matrice1!$R422&gt;12,Matrice1!$O422&gt;5),70%,IF(AND(OR(Matrice1!$R422&gt;=4,Matrice1!$R422&lt;=12,Matrice1!$O422&lt;5,(OR(Matrice1!$Q422="Premium ")))),45%,0%)))</f>
        <v>0.45</v>
      </c>
      <c r="W422">
        <f>Matrice1!$T422* (Matrice1!$V422/100)</f>
        <v>0.35140500000000008</v>
      </c>
    </row>
    <row r="423" spans="1:23" x14ac:dyDescent="0.3">
      <c r="A423" s="1" t="s">
        <v>1014</v>
      </c>
      <c r="B423" s="2">
        <v>45225</v>
      </c>
      <c r="C423" s="3">
        <v>0.21527777777777779</v>
      </c>
      <c r="D423" s="1" t="s">
        <v>1043</v>
      </c>
      <c r="E423">
        <v>41</v>
      </c>
      <c r="F423" s="1" t="s">
        <v>812</v>
      </c>
      <c r="G423" s="1" t="s">
        <v>1043</v>
      </c>
      <c r="H423" s="1" t="s">
        <v>44</v>
      </c>
      <c r="I423">
        <v>-4.9552579999999997</v>
      </c>
      <c r="J423">
        <v>22.008103999999999</v>
      </c>
      <c r="K423" s="1" t="s">
        <v>1498</v>
      </c>
      <c r="L423" s="1" t="s">
        <v>1499</v>
      </c>
      <c r="M423" s="1" t="s">
        <v>548</v>
      </c>
      <c r="N423" s="1" t="s">
        <v>44</v>
      </c>
      <c r="O423" s="1" t="str">
        <f>INT(Matrice1!$P423/12) &amp; " ans et " &amp; MOD(Matrice1!$P423,12) &amp; " mois"</f>
        <v>3 ans et 2 mois</v>
      </c>
      <c r="P423">
        <v>38</v>
      </c>
      <c r="Q423" s="1" t="s">
        <v>19</v>
      </c>
      <c r="R423" s="4">
        <f>Matrice1!$S423/1440</f>
        <v>7.4999999999999997E-2</v>
      </c>
      <c r="S423">
        <v>108</v>
      </c>
      <c r="T423">
        <v>72.7</v>
      </c>
      <c r="U423">
        <v>3</v>
      </c>
      <c r="V423" s="8">
        <f>IF(Matrice1!$Q423="Pro Monde",10%,IF(AND(Matrice1!$R423&gt;12,Matrice1!$O423&gt;5),70%,IF(AND(OR(Matrice1!$R423&gt;=4,Matrice1!$R423&lt;=12,Matrice1!$O423&lt;5,(OR(Matrice1!$Q423="Premium ")))),45%,0%)))</f>
        <v>0.45</v>
      </c>
      <c r="W423">
        <f>Matrice1!$T423* (Matrice1!$V423/100)</f>
        <v>0.32715000000000005</v>
      </c>
    </row>
    <row r="424" spans="1:23" x14ac:dyDescent="0.3">
      <c r="A424" s="1" t="s">
        <v>1014</v>
      </c>
      <c r="B424" s="2">
        <v>45225</v>
      </c>
      <c r="C424" s="3">
        <v>0.21527777777777779</v>
      </c>
      <c r="D424" s="1" t="s">
        <v>1043</v>
      </c>
      <c r="E424">
        <v>41</v>
      </c>
      <c r="F424" s="1" t="s">
        <v>812</v>
      </c>
      <c r="G424" s="1" t="s">
        <v>1043</v>
      </c>
      <c r="H424" s="1" t="s">
        <v>44</v>
      </c>
      <c r="I424">
        <v>-4.9552579999999997</v>
      </c>
      <c r="J424">
        <v>22.008103999999999</v>
      </c>
      <c r="K424" s="1" t="s">
        <v>1498</v>
      </c>
      <c r="L424" s="1" t="s">
        <v>1499</v>
      </c>
      <c r="M424" s="1" t="s">
        <v>562</v>
      </c>
      <c r="N424" s="1" t="s">
        <v>44</v>
      </c>
      <c r="O424" s="1" t="str">
        <f>INT(Matrice1!$P424/12) &amp; " ans et " &amp; MOD(Matrice1!$P424,12) &amp; " mois"</f>
        <v>5 ans et 1 mois</v>
      </c>
      <c r="P424">
        <v>61</v>
      </c>
      <c r="Q424" s="1" t="s">
        <v>11</v>
      </c>
      <c r="R424" s="4">
        <f>Matrice1!$S424/1440</f>
        <v>9.7222222222222224E-2</v>
      </c>
      <c r="S424">
        <v>140</v>
      </c>
      <c r="T424">
        <v>76.3</v>
      </c>
      <c r="U424">
        <v>4</v>
      </c>
      <c r="V424" s="8">
        <f>IF(Matrice1!$Q424="Pro Monde",10%,IF(AND(Matrice1!$R424&gt;12,Matrice1!$O424&gt;5),70%,IF(AND(OR(Matrice1!$R424&gt;=4,Matrice1!$R424&lt;=12,Matrice1!$O424&lt;5,(OR(Matrice1!$Q424="Premium ")))),45%,0%)))</f>
        <v>0.45</v>
      </c>
      <c r="W424">
        <f>Matrice1!$T424* (Matrice1!$V424/100)</f>
        <v>0.34335000000000004</v>
      </c>
    </row>
    <row r="425" spans="1:23" x14ac:dyDescent="0.3">
      <c r="A425" s="1" t="s">
        <v>805</v>
      </c>
      <c r="B425" s="2">
        <v>45201</v>
      </c>
      <c r="C425" s="3">
        <v>0.88472222222222219</v>
      </c>
      <c r="D425" s="1" t="s">
        <v>833</v>
      </c>
      <c r="E425">
        <v>54</v>
      </c>
      <c r="F425" s="1" t="s">
        <v>812</v>
      </c>
      <c r="G425" s="1" t="s">
        <v>833</v>
      </c>
      <c r="H425" s="1" t="s">
        <v>131</v>
      </c>
      <c r="I425">
        <v>4.6287159999999998</v>
      </c>
      <c r="J425">
        <v>19.407077999999998</v>
      </c>
      <c r="K425" s="1" t="s">
        <v>1498</v>
      </c>
      <c r="L425" s="1" t="s">
        <v>1496</v>
      </c>
      <c r="M425" s="1" t="s">
        <v>130</v>
      </c>
      <c r="N425" s="1" t="s">
        <v>131</v>
      </c>
      <c r="O425" s="1" t="str">
        <f>INT(Matrice1!$P425/12) &amp; " ans et " &amp; MOD(Matrice1!$P425,12) &amp; " mois"</f>
        <v>1 ans et 4 mois</v>
      </c>
      <c r="P425">
        <v>16</v>
      </c>
      <c r="Q425" s="1" t="s">
        <v>19</v>
      </c>
      <c r="R425" s="4">
        <f>Matrice1!$S425/1440</f>
        <v>0.27083333333333331</v>
      </c>
      <c r="S425">
        <v>390</v>
      </c>
      <c r="T425">
        <v>98.17</v>
      </c>
      <c r="U425">
        <v>5</v>
      </c>
      <c r="V425" s="8">
        <f>IF(Matrice1!$Q425="Pro Monde",10%,IF(AND(Matrice1!$R425&gt;12,Matrice1!$O425&gt;5),70%,IF(AND(OR(Matrice1!$R425&gt;=4,Matrice1!$R425&lt;=12,Matrice1!$O425&lt;5,(OR(Matrice1!$Q425="Premium ")))),45%,0%)))</f>
        <v>0.45</v>
      </c>
      <c r="W425">
        <f>Matrice1!$T425* (Matrice1!$V425/100)</f>
        <v>0.44176500000000007</v>
      </c>
    </row>
    <row r="426" spans="1:23" x14ac:dyDescent="0.3">
      <c r="A426" s="1" t="s">
        <v>805</v>
      </c>
      <c r="B426" s="2">
        <v>45201</v>
      </c>
      <c r="C426" s="3">
        <v>0.88472222222222219</v>
      </c>
      <c r="D426" s="1" t="s">
        <v>833</v>
      </c>
      <c r="E426">
        <v>54</v>
      </c>
      <c r="F426" s="1" t="s">
        <v>812</v>
      </c>
      <c r="G426" s="1" t="s">
        <v>833</v>
      </c>
      <c r="H426" s="1" t="s">
        <v>131</v>
      </c>
      <c r="I426">
        <v>4.6287159999999998</v>
      </c>
      <c r="J426">
        <v>19.407077999999998</v>
      </c>
      <c r="K426" s="1" t="s">
        <v>1498</v>
      </c>
      <c r="L426" s="1" t="s">
        <v>1496</v>
      </c>
      <c r="M426" s="1" t="s">
        <v>157</v>
      </c>
      <c r="N426" s="1" t="s">
        <v>131</v>
      </c>
      <c r="O426" s="1" t="str">
        <f>INT(Matrice1!$P426/12) &amp; " ans et " &amp; MOD(Matrice1!$P426,12) &amp; " mois"</f>
        <v>4 ans et 8 mois</v>
      </c>
      <c r="P426">
        <v>56</v>
      </c>
      <c r="Q426" s="1" t="s">
        <v>19</v>
      </c>
      <c r="R426" s="4">
        <f>Matrice1!$S426/1440</f>
        <v>0.23125000000000001</v>
      </c>
      <c r="S426">
        <v>333</v>
      </c>
      <c r="T426">
        <v>23.01</v>
      </c>
      <c r="U426">
        <v>2</v>
      </c>
      <c r="V426" s="8">
        <f>IF(Matrice1!$Q426="Pro Monde",10%,IF(AND(Matrice1!$R426&gt;12,Matrice1!$O426&gt;5),70%,IF(AND(OR(Matrice1!$R426&gt;=4,Matrice1!$R426&lt;=12,Matrice1!$O426&lt;5,(OR(Matrice1!$Q426="Premium ")))),45%,0%)))</f>
        <v>0.45</v>
      </c>
      <c r="W426">
        <f>Matrice1!$T426* (Matrice1!$V426/100)</f>
        <v>0.10354500000000003</v>
      </c>
    </row>
    <row r="427" spans="1:23" x14ac:dyDescent="0.3">
      <c r="A427" s="1" t="s">
        <v>805</v>
      </c>
      <c r="B427" s="2">
        <v>45201</v>
      </c>
      <c r="C427" s="3">
        <v>0.88472222222222219</v>
      </c>
      <c r="D427" s="1" t="s">
        <v>833</v>
      </c>
      <c r="E427">
        <v>54</v>
      </c>
      <c r="F427" s="1" t="s">
        <v>812</v>
      </c>
      <c r="G427" s="1" t="s">
        <v>833</v>
      </c>
      <c r="H427" s="1" t="s">
        <v>131</v>
      </c>
      <c r="I427">
        <v>4.6287159999999998</v>
      </c>
      <c r="J427">
        <v>19.407077999999998</v>
      </c>
      <c r="K427" s="1" t="s">
        <v>1498</v>
      </c>
      <c r="L427" s="1" t="s">
        <v>1496</v>
      </c>
      <c r="M427" s="1" t="s">
        <v>202</v>
      </c>
      <c r="N427" s="1" t="s">
        <v>131</v>
      </c>
      <c r="O427" s="1" t="str">
        <f>INT(Matrice1!$P427/12) &amp; " ans et " &amp; MOD(Matrice1!$P427,12) &amp; " mois"</f>
        <v>7 ans et 8 mois</v>
      </c>
      <c r="P427">
        <v>92</v>
      </c>
      <c r="Q427" s="1" t="s">
        <v>14</v>
      </c>
      <c r="R427" s="4">
        <f>Matrice1!$S427/1440</f>
        <v>0.33819444444444446</v>
      </c>
      <c r="S427">
        <v>487</v>
      </c>
      <c r="T427">
        <v>58.38</v>
      </c>
      <c r="U427">
        <v>1</v>
      </c>
      <c r="V427" s="8">
        <f>IF(Matrice1!$Q427="Pro Monde",10%,IF(AND(Matrice1!$R427&gt;12,Matrice1!$O427&gt;5),70%,IF(AND(OR(Matrice1!$R427&gt;=4,Matrice1!$R427&lt;=12,Matrice1!$O427&lt;5,(OR(Matrice1!$Q427="Premium ")))),45%,0%)))</f>
        <v>0.1</v>
      </c>
      <c r="W427">
        <f>Matrice1!$T427* (Matrice1!$V427/100)</f>
        <v>5.8380000000000001E-2</v>
      </c>
    </row>
    <row r="428" spans="1:23" x14ac:dyDescent="0.3">
      <c r="A428" s="1" t="s">
        <v>805</v>
      </c>
      <c r="B428" s="2">
        <v>45201</v>
      </c>
      <c r="C428" s="3">
        <v>0.88472222222222219</v>
      </c>
      <c r="D428" s="1" t="s">
        <v>833</v>
      </c>
      <c r="E428">
        <v>54</v>
      </c>
      <c r="F428" s="1" t="s">
        <v>812</v>
      </c>
      <c r="G428" s="1" t="s">
        <v>833</v>
      </c>
      <c r="H428" s="1" t="s">
        <v>131</v>
      </c>
      <c r="I428">
        <v>4.6287159999999998</v>
      </c>
      <c r="J428">
        <v>19.407077999999998</v>
      </c>
      <c r="K428" s="1" t="s">
        <v>1498</v>
      </c>
      <c r="L428" s="1" t="s">
        <v>1496</v>
      </c>
      <c r="M428" s="1" t="s">
        <v>240</v>
      </c>
      <c r="N428" s="1" t="s">
        <v>131</v>
      </c>
      <c r="O428" s="1" t="str">
        <f>INT(Matrice1!$P428/12) &amp; " ans et " &amp; MOD(Matrice1!$P428,12) &amp; " mois"</f>
        <v>1 ans et 6 mois</v>
      </c>
      <c r="P428">
        <v>18</v>
      </c>
      <c r="Q428" s="1" t="s">
        <v>14</v>
      </c>
      <c r="R428" s="4">
        <f>Matrice1!$S428/1440</f>
        <v>4.9305555555555554E-2</v>
      </c>
      <c r="S428">
        <v>71</v>
      </c>
      <c r="T428">
        <v>46.98</v>
      </c>
      <c r="U428">
        <v>2</v>
      </c>
      <c r="V428" s="8">
        <f>IF(Matrice1!$Q428="Pro Monde",10%,IF(AND(Matrice1!$R428&gt;12,Matrice1!$O428&gt;5),70%,IF(AND(OR(Matrice1!$R428&gt;=4,Matrice1!$R428&lt;=12,Matrice1!$O428&lt;5,(OR(Matrice1!$Q428="Premium ")))),45%,0%)))</f>
        <v>0.1</v>
      </c>
      <c r="W428">
        <f>Matrice1!$T428* (Matrice1!$V428/100)</f>
        <v>4.6980000000000001E-2</v>
      </c>
    </row>
    <row r="429" spans="1:23" x14ac:dyDescent="0.3">
      <c r="A429" s="1" t="s">
        <v>805</v>
      </c>
      <c r="B429" s="2">
        <v>45201</v>
      </c>
      <c r="C429" s="3">
        <v>0.88472222222222219</v>
      </c>
      <c r="D429" s="1" t="s">
        <v>833</v>
      </c>
      <c r="E429">
        <v>54</v>
      </c>
      <c r="F429" s="1" t="s">
        <v>812</v>
      </c>
      <c r="G429" s="1" t="s">
        <v>833</v>
      </c>
      <c r="H429" s="1" t="s">
        <v>131</v>
      </c>
      <c r="I429">
        <v>4.6287159999999998</v>
      </c>
      <c r="J429">
        <v>19.407077999999998</v>
      </c>
      <c r="K429" s="1" t="s">
        <v>1498</v>
      </c>
      <c r="L429" s="1" t="s">
        <v>1496</v>
      </c>
      <c r="M429" s="1" t="s">
        <v>243</v>
      </c>
      <c r="N429" s="1" t="s">
        <v>131</v>
      </c>
      <c r="O429" s="1" t="str">
        <f>INT(Matrice1!$P429/12) &amp; " ans et " &amp; MOD(Matrice1!$P429,12) &amp; " mois"</f>
        <v>5 ans et 5 mois</v>
      </c>
      <c r="P429">
        <v>65</v>
      </c>
      <c r="Q429" s="1" t="s">
        <v>19</v>
      </c>
      <c r="R429" s="4">
        <f>Matrice1!$S429/1440</f>
        <v>8.1944444444444445E-2</v>
      </c>
      <c r="S429">
        <v>118</v>
      </c>
      <c r="T429">
        <v>72.430000000000007</v>
      </c>
      <c r="U429">
        <v>1</v>
      </c>
      <c r="V429" s="8">
        <f>IF(Matrice1!$Q429="Pro Monde",10%,IF(AND(Matrice1!$R429&gt;12,Matrice1!$O429&gt;5),70%,IF(AND(OR(Matrice1!$R429&gt;=4,Matrice1!$R429&lt;=12,Matrice1!$O429&lt;5,(OR(Matrice1!$Q429="Premium ")))),45%,0%)))</f>
        <v>0.45</v>
      </c>
      <c r="W429">
        <f>Matrice1!$T429* (Matrice1!$V429/100)</f>
        <v>0.32593500000000009</v>
      </c>
    </row>
    <row r="430" spans="1:23" x14ac:dyDescent="0.3">
      <c r="A430" s="1" t="s">
        <v>805</v>
      </c>
      <c r="B430" s="2">
        <v>45201</v>
      </c>
      <c r="C430" s="3">
        <v>0.88472222222222219</v>
      </c>
      <c r="D430" s="1" t="s">
        <v>833</v>
      </c>
      <c r="E430">
        <v>54</v>
      </c>
      <c r="F430" s="1" t="s">
        <v>812</v>
      </c>
      <c r="G430" s="1" t="s">
        <v>833</v>
      </c>
      <c r="H430" s="1" t="s">
        <v>131</v>
      </c>
      <c r="I430">
        <v>4.6287159999999998</v>
      </c>
      <c r="J430">
        <v>19.407077999999998</v>
      </c>
      <c r="K430" s="1" t="s">
        <v>1498</v>
      </c>
      <c r="L430" s="1" t="s">
        <v>1496</v>
      </c>
      <c r="M430" s="1" t="s">
        <v>254</v>
      </c>
      <c r="N430" s="1" t="s">
        <v>131</v>
      </c>
      <c r="O430" s="1" t="str">
        <f>INT(Matrice1!$P430/12) &amp; " ans et " &amp; MOD(Matrice1!$P430,12) &amp; " mois"</f>
        <v>3 ans et 8 mois</v>
      </c>
      <c r="P430">
        <v>44</v>
      </c>
      <c r="Q430" s="1" t="s">
        <v>19</v>
      </c>
      <c r="R430" s="4">
        <f>Matrice1!$S430/1440</f>
        <v>0.13819444444444445</v>
      </c>
      <c r="S430">
        <v>199</v>
      </c>
      <c r="T430">
        <v>67.650000000000006</v>
      </c>
      <c r="U430">
        <v>0</v>
      </c>
      <c r="V430" s="8">
        <f>IF(Matrice1!$Q430="Pro Monde",10%,IF(AND(Matrice1!$R430&gt;12,Matrice1!$O430&gt;5),70%,IF(AND(OR(Matrice1!$R430&gt;=4,Matrice1!$R430&lt;=12,Matrice1!$O430&lt;5,(OR(Matrice1!$Q430="Premium ")))),45%,0%)))</f>
        <v>0.45</v>
      </c>
      <c r="W430">
        <f>Matrice1!$T430* (Matrice1!$V430/100)</f>
        <v>0.30442500000000006</v>
      </c>
    </row>
    <row r="431" spans="1:23" x14ac:dyDescent="0.3">
      <c r="A431" s="1" t="s">
        <v>805</v>
      </c>
      <c r="B431" s="2">
        <v>45201</v>
      </c>
      <c r="C431" s="3">
        <v>0.88472222222222219</v>
      </c>
      <c r="D431" s="1" t="s">
        <v>833</v>
      </c>
      <c r="E431">
        <v>54</v>
      </c>
      <c r="F431" s="1" t="s">
        <v>812</v>
      </c>
      <c r="G431" s="1" t="s">
        <v>833</v>
      </c>
      <c r="H431" s="1" t="s">
        <v>131</v>
      </c>
      <c r="I431">
        <v>4.6287159999999998</v>
      </c>
      <c r="J431">
        <v>19.407077999999998</v>
      </c>
      <c r="K431" s="1" t="s">
        <v>1498</v>
      </c>
      <c r="L431" s="1" t="s">
        <v>1496</v>
      </c>
      <c r="M431" s="1" t="s">
        <v>260</v>
      </c>
      <c r="N431" s="1" t="s">
        <v>131</v>
      </c>
      <c r="O431" s="1" t="str">
        <f>INT(Matrice1!$P431/12) &amp; " ans et " &amp; MOD(Matrice1!$P431,12) &amp; " mois"</f>
        <v>0 ans et 5 mois</v>
      </c>
      <c r="P431">
        <v>5</v>
      </c>
      <c r="Q431" s="1" t="s">
        <v>11</v>
      </c>
      <c r="R431" s="4">
        <f>Matrice1!$S431/1440</f>
        <v>0.28958333333333336</v>
      </c>
      <c r="S431">
        <v>417</v>
      </c>
      <c r="T431">
        <v>90.71</v>
      </c>
      <c r="U431">
        <v>1</v>
      </c>
      <c r="V431" s="8">
        <f>IF(Matrice1!$Q431="Pro Monde",10%,IF(AND(Matrice1!$R431&gt;12,Matrice1!$O431&gt;5),70%,IF(AND(OR(Matrice1!$R431&gt;=4,Matrice1!$R431&lt;=12,Matrice1!$O431&lt;5,(OR(Matrice1!$Q431="Premium ")))),45%,0%)))</f>
        <v>0.45</v>
      </c>
      <c r="W431">
        <f>Matrice1!$T431* (Matrice1!$V431/100)</f>
        <v>0.40819500000000003</v>
      </c>
    </row>
    <row r="432" spans="1:23" x14ac:dyDescent="0.3">
      <c r="A432" s="1" t="s">
        <v>805</v>
      </c>
      <c r="B432" s="2">
        <v>45201</v>
      </c>
      <c r="C432" s="3">
        <v>0.88472222222222219</v>
      </c>
      <c r="D432" s="1" t="s">
        <v>833</v>
      </c>
      <c r="E432">
        <v>54</v>
      </c>
      <c r="F432" s="1" t="s">
        <v>812</v>
      </c>
      <c r="G432" s="1" t="s">
        <v>833</v>
      </c>
      <c r="H432" s="1" t="s">
        <v>131</v>
      </c>
      <c r="I432">
        <v>4.6287159999999998</v>
      </c>
      <c r="J432">
        <v>19.407077999999998</v>
      </c>
      <c r="K432" s="1" t="s">
        <v>1498</v>
      </c>
      <c r="L432" s="1" t="s">
        <v>1496</v>
      </c>
      <c r="M432" s="1" t="s">
        <v>303</v>
      </c>
      <c r="N432" s="1" t="s">
        <v>131</v>
      </c>
      <c r="O432" s="1" t="str">
        <f>INT(Matrice1!$P432/12) &amp; " ans et " &amp; MOD(Matrice1!$P432,12) &amp; " mois"</f>
        <v>9 ans et 10 mois</v>
      </c>
      <c r="P432">
        <v>118</v>
      </c>
      <c r="Q432" s="1" t="s">
        <v>14</v>
      </c>
      <c r="R432" s="4">
        <f>Matrice1!$S432/1440</f>
        <v>9.166666666666666E-2</v>
      </c>
      <c r="S432">
        <v>132</v>
      </c>
      <c r="T432">
        <v>40.880000000000003</v>
      </c>
      <c r="U432">
        <v>4</v>
      </c>
      <c r="V432" s="8">
        <f>IF(Matrice1!$Q432="Pro Monde",10%,IF(AND(Matrice1!$R432&gt;12,Matrice1!$O432&gt;5),70%,IF(AND(OR(Matrice1!$R432&gt;=4,Matrice1!$R432&lt;=12,Matrice1!$O432&lt;5,(OR(Matrice1!$Q432="Premium ")))),45%,0%)))</f>
        <v>0.1</v>
      </c>
      <c r="W432">
        <f>Matrice1!$T432* (Matrice1!$V432/100)</f>
        <v>4.0880000000000007E-2</v>
      </c>
    </row>
    <row r="433" spans="1:23" x14ac:dyDescent="0.3">
      <c r="A433" s="1" t="s">
        <v>805</v>
      </c>
      <c r="B433" s="2">
        <v>45201</v>
      </c>
      <c r="C433" s="3">
        <v>0.88472222222222219</v>
      </c>
      <c r="D433" s="1" t="s">
        <v>833</v>
      </c>
      <c r="E433">
        <v>54</v>
      </c>
      <c r="F433" s="1" t="s">
        <v>812</v>
      </c>
      <c r="G433" s="1" t="s">
        <v>833</v>
      </c>
      <c r="H433" s="1" t="s">
        <v>131</v>
      </c>
      <c r="I433">
        <v>4.6287159999999998</v>
      </c>
      <c r="J433">
        <v>19.407077999999998</v>
      </c>
      <c r="K433" s="1" t="s">
        <v>1498</v>
      </c>
      <c r="L433" s="1" t="s">
        <v>1496</v>
      </c>
      <c r="M433" s="1" t="s">
        <v>315</v>
      </c>
      <c r="N433" s="1" t="s">
        <v>131</v>
      </c>
      <c r="O433" s="1" t="str">
        <f>INT(Matrice1!$P433/12) &amp; " ans et " &amp; MOD(Matrice1!$P433,12) &amp; " mois"</f>
        <v>8 ans et 1 mois</v>
      </c>
      <c r="P433">
        <v>97</v>
      </c>
      <c r="Q433" s="1" t="s">
        <v>19</v>
      </c>
      <c r="R433" s="4">
        <f>Matrice1!$S433/1440</f>
        <v>2.7777777777777776E-2</v>
      </c>
      <c r="S433">
        <v>40</v>
      </c>
      <c r="T433">
        <v>85.19</v>
      </c>
      <c r="U433">
        <v>1</v>
      </c>
      <c r="V433" s="8">
        <f>IF(Matrice1!$Q433="Pro Monde",10%,IF(AND(Matrice1!$R433&gt;12,Matrice1!$O433&gt;5),70%,IF(AND(OR(Matrice1!$R433&gt;=4,Matrice1!$R433&lt;=12,Matrice1!$O433&lt;5,(OR(Matrice1!$Q433="Premium ")))),45%,0%)))</f>
        <v>0.45</v>
      </c>
      <c r="W433">
        <f>Matrice1!$T433* (Matrice1!$V433/100)</f>
        <v>0.38335500000000006</v>
      </c>
    </row>
    <row r="434" spans="1:23" x14ac:dyDescent="0.3">
      <c r="A434" s="1" t="s">
        <v>805</v>
      </c>
      <c r="B434" s="2">
        <v>45201</v>
      </c>
      <c r="C434" s="3">
        <v>0.88472222222222219</v>
      </c>
      <c r="D434" s="1" t="s">
        <v>833</v>
      </c>
      <c r="E434">
        <v>54</v>
      </c>
      <c r="F434" s="1" t="s">
        <v>812</v>
      </c>
      <c r="G434" s="1" t="s">
        <v>833</v>
      </c>
      <c r="H434" s="1" t="s">
        <v>131</v>
      </c>
      <c r="I434">
        <v>4.6287159999999998</v>
      </c>
      <c r="J434">
        <v>19.407077999999998</v>
      </c>
      <c r="K434" s="1" t="s">
        <v>1498</v>
      </c>
      <c r="L434" s="1" t="s">
        <v>1496</v>
      </c>
      <c r="M434" s="1" t="s">
        <v>320</v>
      </c>
      <c r="N434" s="1" t="s">
        <v>131</v>
      </c>
      <c r="O434" s="1" t="str">
        <f>INT(Matrice1!$P434/12) &amp; " ans et " &amp; MOD(Matrice1!$P434,12) &amp; " mois"</f>
        <v>5 ans et 3 mois</v>
      </c>
      <c r="P434">
        <v>63</v>
      </c>
      <c r="Q434" s="1" t="s">
        <v>14</v>
      </c>
      <c r="R434" s="4">
        <f>Matrice1!$S434/1440</f>
        <v>9.7916666666666666E-2</v>
      </c>
      <c r="S434">
        <v>141</v>
      </c>
      <c r="T434">
        <v>95.6</v>
      </c>
      <c r="U434">
        <v>4</v>
      </c>
      <c r="V434" s="8">
        <f>IF(Matrice1!$Q434="Pro Monde",10%,IF(AND(Matrice1!$R434&gt;12,Matrice1!$O434&gt;5),70%,IF(AND(OR(Matrice1!$R434&gt;=4,Matrice1!$R434&lt;=12,Matrice1!$O434&lt;5,(OR(Matrice1!$Q434="Premium ")))),45%,0%)))</f>
        <v>0.1</v>
      </c>
      <c r="W434">
        <f>Matrice1!$T434* (Matrice1!$V434/100)</f>
        <v>9.5599999999999991E-2</v>
      </c>
    </row>
    <row r="435" spans="1:23" x14ac:dyDescent="0.3">
      <c r="A435" s="1" t="s">
        <v>805</v>
      </c>
      <c r="B435" s="2">
        <v>45201</v>
      </c>
      <c r="C435" s="3">
        <v>0.88472222222222219</v>
      </c>
      <c r="D435" s="1" t="s">
        <v>833</v>
      </c>
      <c r="E435">
        <v>54</v>
      </c>
      <c r="F435" s="1" t="s">
        <v>812</v>
      </c>
      <c r="G435" s="1" t="s">
        <v>833</v>
      </c>
      <c r="H435" s="1" t="s">
        <v>131</v>
      </c>
      <c r="I435">
        <v>4.6287159999999998</v>
      </c>
      <c r="J435">
        <v>19.407077999999998</v>
      </c>
      <c r="K435" s="1" t="s">
        <v>1498</v>
      </c>
      <c r="L435" s="1" t="s">
        <v>1496</v>
      </c>
      <c r="M435" s="1" t="s">
        <v>339</v>
      </c>
      <c r="N435" s="1" t="s">
        <v>131</v>
      </c>
      <c r="O435" s="1" t="str">
        <f>INT(Matrice1!$P435/12) &amp; " ans et " &amp; MOD(Matrice1!$P435,12) &amp; " mois"</f>
        <v>7 ans et 7 mois</v>
      </c>
      <c r="P435">
        <v>91</v>
      </c>
      <c r="Q435" s="1" t="s">
        <v>22</v>
      </c>
      <c r="R435" s="4">
        <f>Matrice1!$S435/1440</f>
        <v>0.28055555555555556</v>
      </c>
      <c r="S435">
        <v>404</v>
      </c>
      <c r="T435">
        <v>76.53</v>
      </c>
      <c r="U435">
        <v>5</v>
      </c>
      <c r="V435" s="8">
        <f>IF(Matrice1!$Q435="Pro Monde",10%,IF(AND(Matrice1!$R435&gt;12,Matrice1!$O435&gt;5),70%,IF(AND(OR(Matrice1!$R435&gt;=4,Matrice1!$R435&lt;=12,Matrice1!$O435&lt;5,(OR(Matrice1!$Q435="Premium ")))),45%,0%)))</f>
        <v>0.45</v>
      </c>
      <c r="W435">
        <f>Matrice1!$T435* (Matrice1!$V435/100)</f>
        <v>0.34438500000000005</v>
      </c>
    </row>
    <row r="436" spans="1:23" x14ac:dyDescent="0.3">
      <c r="A436" s="1" t="s">
        <v>805</v>
      </c>
      <c r="B436" s="2">
        <v>45201</v>
      </c>
      <c r="C436" s="3">
        <v>0.88472222222222219</v>
      </c>
      <c r="D436" s="1" t="s">
        <v>833</v>
      </c>
      <c r="E436">
        <v>54</v>
      </c>
      <c r="F436" s="1" t="s">
        <v>812</v>
      </c>
      <c r="G436" s="1" t="s">
        <v>833</v>
      </c>
      <c r="H436" s="1" t="s">
        <v>131</v>
      </c>
      <c r="I436">
        <v>4.6287159999999998</v>
      </c>
      <c r="J436">
        <v>19.407077999999998</v>
      </c>
      <c r="K436" s="1" t="s">
        <v>1498</v>
      </c>
      <c r="L436" s="1" t="s">
        <v>1496</v>
      </c>
      <c r="M436" s="1" t="s">
        <v>341</v>
      </c>
      <c r="N436" s="1" t="s">
        <v>131</v>
      </c>
      <c r="O436" s="1" t="str">
        <f>INT(Matrice1!$P436/12) &amp; " ans et " &amp; MOD(Matrice1!$P436,12) &amp; " mois"</f>
        <v>0 ans et 4 mois</v>
      </c>
      <c r="P436">
        <v>4</v>
      </c>
      <c r="Q436" s="1" t="s">
        <v>14</v>
      </c>
      <c r="R436" s="4">
        <f>Matrice1!$S436/1440</f>
        <v>3.4027777777777775E-2</v>
      </c>
      <c r="S436">
        <v>49</v>
      </c>
      <c r="T436">
        <v>41.35</v>
      </c>
      <c r="U436">
        <v>5</v>
      </c>
      <c r="V436" s="8">
        <f>IF(Matrice1!$Q436="Pro Monde",10%,IF(AND(Matrice1!$R436&gt;12,Matrice1!$O436&gt;5),70%,IF(AND(OR(Matrice1!$R436&gt;=4,Matrice1!$R436&lt;=12,Matrice1!$O436&lt;5,(OR(Matrice1!$Q436="Premium ")))),45%,0%)))</f>
        <v>0.1</v>
      </c>
      <c r="W436">
        <f>Matrice1!$T436* (Matrice1!$V436/100)</f>
        <v>4.1350000000000005E-2</v>
      </c>
    </row>
    <row r="437" spans="1:23" x14ac:dyDescent="0.3">
      <c r="A437" s="1" t="s">
        <v>805</v>
      </c>
      <c r="B437" s="2">
        <v>45201</v>
      </c>
      <c r="C437" s="3">
        <v>0.88472222222222219</v>
      </c>
      <c r="D437" s="1" t="s">
        <v>833</v>
      </c>
      <c r="E437">
        <v>54</v>
      </c>
      <c r="F437" s="1" t="s">
        <v>812</v>
      </c>
      <c r="G437" s="1" t="s">
        <v>833</v>
      </c>
      <c r="H437" s="1" t="s">
        <v>131</v>
      </c>
      <c r="I437">
        <v>4.6287159999999998</v>
      </c>
      <c r="J437">
        <v>19.407077999999998</v>
      </c>
      <c r="K437" s="1" t="s">
        <v>1498</v>
      </c>
      <c r="L437" s="1" t="s">
        <v>1496</v>
      </c>
      <c r="M437" s="1" t="s">
        <v>357</v>
      </c>
      <c r="N437" s="1" t="s">
        <v>131</v>
      </c>
      <c r="O437" s="1" t="str">
        <f>INT(Matrice1!$P437/12) &amp; " ans et " &amp; MOD(Matrice1!$P437,12) &amp; " mois"</f>
        <v>5 ans et 7 mois</v>
      </c>
      <c r="P437">
        <v>67</v>
      </c>
      <c r="Q437" s="1" t="s">
        <v>14</v>
      </c>
      <c r="R437" s="4">
        <f>Matrice1!$S437/1440</f>
        <v>1.8055555555555554E-2</v>
      </c>
      <c r="S437">
        <v>26</v>
      </c>
      <c r="T437">
        <v>81.489999999999995</v>
      </c>
      <c r="U437">
        <v>4</v>
      </c>
      <c r="V437" s="8">
        <f>IF(Matrice1!$Q437="Pro Monde",10%,IF(AND(Matrice1!$R437&gt;12,Matrice1!$O437&gt;5),70%,IF(AND(OR(Matrice1!$R437&gt;=4,Matrice1!$R437&lt;=12,Matrice1!$O437&lt;5,(OR(Matrice1!$Q437="Premium ")))),45%,0%)))</f>
        <v>0.1</v>
      </c>
      <c r="W437">
        <f>Matrice1!$T437* (Matrice1!$V437/100)</f>
        <v>8.1489999999999993E-2</v>
      </c>
    </row>
    <row r="438" spans="1:23" x14ac:dyDescent="0.3">
      <c r="A438" s="1" t="s">
        <v>805</v>
      </c>
      <c r="B438" s="2">
        <v>45201</v>
      </c>
      <c r="C438" s="3">
        <v>0.88472222222222219</v>
      </c>
      <c r="D438" s="1" t="s">
        <v>833</v>
      </c>
      <c r="E438">
        <v>54</v>
      </c>
      <c r="F438" s="1" t="s">
        <v>812</v>
      </c>
      <c r="G438" s="1" t="s">
        <v>833</v>
      </c>
      <c r="H438" s="1" t="s">
        <v>131</v>
      </c>
      <c r="I438">
        <v>4.6287159999999998</v>
      </c>
      <c r="J438">
        <v>19.407077999999998</v>
      </c>
      <c r="K438" s="1" t="s">
        <v>1498</v>
      </c>
      <c r="L438" s="1" t="s">
        <v>1496</v>
      </c>
      <c r="M438" s="1" t="s">
        <v>362</v>
      </c>
      <c r="N438" s="1" t="s">
        <v>131</v>
      </c>
      <c r="O438" s="1" t="str">
        <f>INT(Matrice1!$P438/12) &amp; " ans et " &amp; MOD(Matrice1!$P438,12) &amp; " mois"</f>
        <v>1 ans et 2 mois</v>
      </c>
      <c r="P438">
        <v>14</v>
      </c>
      <c r="Q438" s="1" t="s">
        <v>14</v>
      </c>
      <c r="R438" s="4">
        <f>Matrice1!$S438/1440</f>
        <v>0.21041666666666667</v>
      </c>
      <c r="S438">
        <v>303</v>
      </c>
      <c r="T438">
        <v>61.43</v>
      </c>
      <c r="U438">
        <v>1</v>
      </c>
      <c r="V438" s="8">
        <f>IF(Matrice1!$Q438="Pro Monde",10%,IF(AND(Matrice1!$R438&gt;12,Matrice1!$O438&gt;5),70%,IF(AND(OR(Matrice1!$R438&gt;=4,Matrice1!$R438&lt;=12,Matrice1!$O438&lt;5,(OR(Matrice1!$Q438="Premium ")))),45%,0%)))</f>
        <v>0.1</v>
      </c>
      <c r="W438">
        <f>Matrice1!$T438* (Matrice1!$V438/100)</f>
        <v>6.1429999999999998E-2</v>
      </c>
    </row>
    <row r="439" spans="1:23" x14ac:dyDescent="0.3">
      <c r="A439" s="1" t="s">
        <v>805</v>
      </c>
      <c r="B439" s="2">
        <v>45201</v>
      </c>
      <c r="C439" s="3">
        <v>0.88472222222222219</v>
      </c>
      <c r="D439" s="1" t="s">
        <v>833</v>
      </c>
      <c r="E439">
        <v>54</v>
      </c>
      <c r="F439" s="1" t="s">
        <v>812</v>
      </c>
      <c r="G439" s="1" t="s">
        <v>833</v>
      </c>
      <c r="H439" s="1" t="s">
        <v>131</v>
      </c>
      <c r="I439">
        <v>4.6287159999999998</v>
      </c>
      <c r="J439">
        <v>19.407077999999998</v>
      </c>
      <c r="K439" s="1" t="s">
        <v>1498</v>
      </c>
      <c r="L439" s="1" t="s">
        <v>1496</v>
      </c>
      <c r="M439" s="1" t="s">
        <v>387</v>
      </c>
      <c r="N439" s="1" t="s">
        <v>131</v>
      </c>
      <c r="O439" s="1" t="str">
        <f>INT(Matrice1!$P439/12) &amp; " ans et " &amp; MOD(Matrice1!$P439,12) &amp; " mois"</f>
        <v>0 ans et 5 mois</v>
      </c>
      <c r="P439">
        <v>5</v>
      </c>
      <c r="Q439" s="1" t="s">
        <v>22</v>
      </c>
      <c r="R439" s="4">
        <f>Matrice1!$S439/1440</f>
        <v>0.23402777777777778</v>
      </c>
      <c r="S439">
        <v>337</v>
      </c>
      <c r="T439">
        <v>21.07</v>
      </c>
      <c r="U439">
        <v>4</v>
      </c>
      <c r="V439" s="8">
        <f>IF(Matrice1!$Q439="Pro Monde",10%,IF(AND(Matrice1!$R439&gt;12,Matrice1!$O439&gt;5),70%,IF(AND(OR(Matrice1!$R439&gt;=4,Matrice1!$R439&lt;=12,Matrice1!$O439&lt;5,(OR(Matrice1!$Q439="Premium ")))),45%,0%)))</f>
        <v>0.45</v>
      </c>
      <c r="W439">
        <f>Matrice1!$T439* (Matrice1!$V439/100)</f>
        <v>9.481500000000001E-2</v>
      </c>
    </row>
    <row r="440" spans="1:23" x14ac:dyDescent="0.3">
      <c r="A440" s="1" t="s">
        <v>805</v>
      </c>
      <c r="B440" s="2">
        <v>45201</v>
      </c>
      <c r="C440" s="3">
        <v>0.88472222222222219</v>
      </c>
      <c r="D440" s="1" t="s">
        <v>833</v>
      </c>
      <c r="E440">
        <v>54</v>
      </c>
      <c r="F440" s="1" t="s">
        <v>812</v>
      </c>
      <c r="G440" s="1" t="s">
        <v>833</v>
      </c>
      <c r="H440" s="1" t="s">
        <v>131</v>
      </c>
      <c r="I440">
        <v>4.6287159999999998</v>
      </c>
      <c r="J440">
        <v>19.407077999999998</v>
      </c>
      <c r="K440" s="1" t="s">
        <v>1498</v>
      </c>
      <c r="L440" s="1" t="s">
        <v>1496</v>
      </c>
      <c r="M440" s="1" t="s">
        <v>395</v>
      </c>
      <c r="N440" s="1" t="s">
        <v>131</v>
      </c>
      <c r="O440" s="1" t="str">
        <f>INT(Matrice1!$P440/12) &amp; " ans et " &amp; MOD(Matrice1!$P440,12) &amp; " mois"</f>
        <v>3 ans et 11 mois</v>
      </c>
      <c r="P440">
        <v>47</v>
      </c>
      <c r="Q440" s="1" t="s">
        <v>14</v>
      </c>
      <c r="R440" s="4">
        <f>Matrice1!$S440/1440</f>
        <v>0.26250000000000001</v>
      </c>
      <c r="S440">
        <v>378</v>
      </c>
      <c r="T440">
        <v>36.42</v>
      </c>
      <c r="U440">
        <v>1</v>
      </c>
      <c r="V440" s="8">
        <f>IF(Matrice1!$Q440="Pro Monde",10%,IF(AND(Matrice1!$R440&gt;12,Matrice1!$O440&gt;5),70%,IF(AND(OR(Matrice1!$R440&gt;=4,Matrice1!$R440&lt;=12,Matrice1!$O440&lt;5,(OR(Matrice1!$Q440="Premium ")))),45%,0%)))</f>
        <v>0.1</v>
      </c>
      <c r="W440">
        <f>Matrice1!$T440* (Matrice1!$V440/100)</f>
        <v>3.6420000000000001E-2</v>
      </c>
    </row>
    <row r="441" spans="1:23" x14ac:dyDescent="0.3">
      <c r="A441" s="1" t="s">
        <v>805</v>
      </c>
      <c r="B441" s="2">
        <v>45201</v>
      </c>
      <c r="C441" s="3">
        <v>0.88472222222222219</v>
      </c>
      <c r="D441" s="1" t="s">
        <v>833</v>
      </c>
      <c r="E441">
        <v>54</v>
      </c>
      <c r="F441" s="1" t="s">
        <v>812</v>
      </c>
      <c r="G441" s="1" t="s">
        <v>833</v>
      </c>
      <c r="H441" s="1" t="s">
        <v>131</v>
      </c>
      <c r="I441">
        <v>4.6287159999999998</v>
      </c>
      <c r="J441">
        <v>19.407077999999998</v>
      </c>
      <c r="K441" s="1" t="s">
        <v>1498</v>
      </c>
      <c r="L441" s="1" t="s">
        <v>1496</v>
      </c>
      <c r="M441" s="1" t="s">
        <v>398</v>
      </c>
      <c r="N441" s="1" t="s">
        <v>131</v>
      </c>
      <c r="O441" s="1" t="str">
        <f>INT(Matrice1!$P441/12) &amp; " ans et " &amp; MOD(Matrice1!$P441,12) &amp; " mois"</f>
        <v>8 ans et 4 mois</v>
      </c>
      <c r="P441">
        <v>100</v>
      </c>
      <c r="Q441" s="1" t="s">
        <v>19</v>
      </c>
      <c r="R441" s="4">
        <f>Matrice1!$S441/1440</f>
        <v>0.32708333333333334</v>
      </c>
      <c r="S441">
        <v>471</v>
      </c>
      <c r="T441">
        <v>61.2</v>
      </c>
      <c r="U441">
        <v>3</v>
      </c>
      <c r="V441" s="8">
        <f>IF(Matrice1!$Q441="Pro Monde",10%,IF(AND(Matrice1!$R441&gt;12,Matrice1!$O441&gt;5),70%,IF(AND(OR(Matrice1!$R441&gt;=4,Matrice1!$R441&lt;=12,Matrice1!$O441&lt;5,(OR(Matrice1!$Q441="Premium ")))),45%,0%)))</f>
        <v>0.45</v>
      </c>
      <c r="W441">
        <f>Matrice1!$T441* (Matrice1!$V441/100)</f>
        <v>0.27540000000000003</v>
      </c>
    </row>
    <row r="442" spans="1:23" x14ac:dyDescent="0.3">
      <c r="A442" s="1" t="s">
        <v>805</v>
      </c>
      <c r="B442" s="2">
        <v>45201</v>
      </c>
      <c r="C442" s="3">
        <v>0.88472222222222219</v>
      </c>
      <c r="D442" s="1" t="s">
        <v>833</v>
      </c>
      <c r="E442">
        <v>54</v>
      </c>
      <c r="F442" s="1" t="s">
        <v>812</v>
      </c>
      <c r="G442" s="1" t="s">
        <v>833</v>
      </c>
      <c r="H442" s="1" t="s">
        <v>131</v>
      </c>
      <c r="I442">
        <v>4.6287159999999998</v>
      </c>
      <c r="J442">
        <v>19.407077999999998</v>
      </c>
      <c r="K442" s="1" t="s">
        <v>1498</v>
      </c>
      <c r="L442" s="1" t="s">
        <v>1496</v>
      </c>
      <c r="M442" s="1" t="s">
        <v>429</v>
      </c>
      <c r="N442" s="1" t="s">
        <v>131</v>
      </c>
      <c r="O442" s="1" t="str">
        <f>INT(Matrice1!$P442/12) &amp; " ans et " &amp; MOD(Matrice1!$P442,12) &amp; " mois"</f>
        <v>3 ans et 1 mois</v>
      </c>
      <c r="P442">
        <v>37</v>
      </c>
      <c r="Q442" s="1" t="s">
        <v>19</v>
      </c>
      <c r="R442" s="4">
        <f>Matrice1!$S442/1440</f>
        <v>6.0416666666666667E-2</v>
      </c>
      <c r="S442">
        <v>87</v>
      </c>
      <c r="T442">
        <v>26.4</v>
      </c>
      <c r="U442">
        <v>3</v>
      </c>
      <c r="V442" s="8">
        <f>IF(Matrice1!$Q442="Pro Monde",10%,IF(AND(Matrice1!$R442&gt;12,Matrice1!$O442&gt;5),70%,IF(AND(OR(Matrice1!$R442&gt;=4,Matrice1!$R442&lt;=12,Matrice1!$O442&lt;5,(OR(Matrice1!$Q442="Premium ")))),45%,0%)))</f>
        <v>0.45</v>
      </c>
      <c r="W442">
        <f>Matrice1!$T442* (Matrice1!$V442/100)</f>
        <v>0.1188</v>
      </c>
    </row>
    <row r="443" spans="1:23" x14ac:dyDescent="0.3">
      <c r="A443" s="1" t="s">
        <v>805</v>
      </c>
      <c r="B443" s="2">
        <v>45201</v>
      </c>
      <c r="C443" s="3">
        <v>0.88472222222222219</v>
      </c>
      <c r="D443" s="1" t="s">
        <v>833</v>
      </c>
      <c r="E443">
        <v>54</v>
      </c>
      <c r="F443" s="1" t="s">
        <v>812</v>
      </c>
      <c r="G443" s="1" t="s">
        <v>833</v>
      </c>
      <c r="H443" s="1" t="s">
        <v>131</v>
      </c>
      <c r="I443">
        <v>4.6287159999999998</v>
      </c>
      <c r="J443">
        <v>19.407077999999998</v>
      </c>
      <c r="K443" s="1" t="s">
        <v>1498</v>
      </c>
      <c r="L443" s="1" t="s">
        <v>1496</v>
      </c>
      <c r="M443" s="1" t="s">
        <v>470</v>
      </c>
      <c r="N443" s="1" t="s">
        <v>131</v>
      </c>
      <c r="O443" s="1" t="str">
        <f>INT(Matrice1!$P443/12) &amp; " ans et " &amp; MOD(Matrice1!$P443,12) &amp; " mois"</f>
        <v>9 ans et 9 mois</v>
      </c>
      <c r="P443">
        <v>117</v>
      </c>
      <c r="Q443" s="1" t="s">
        <v>11</v>
      </c>
      <c r="R443" s="4">
        <f>Matrice1!$S443/1440</f>
        <v>0.19583333333333333</v>
      </c>
      <c r="S443">
        <v>282</v>
      </c>
      <c r="T443">
        <v>95.11</v>
      </c>
      <c r="U443">
        <v>0</v>
      </c>
      <c r="V443" s="8">
        <f>IF(Matrice1!$Q443="Pro Monde",10%,IF(AND(Matrice1!$R443&gt;12,Matrice1!$O443&gt;5),70%,IF(AND(OR(Matrice1!$R443&gt;=4,Matrice1!$R443&lt;=12,Matrice1!$O443&lt;5,(OR(Matrice1!$Q443="Premium ")))),45%,0%)))</f>
        <v>0.45</v>
      </c>
      <c r="W443">
        <f>Matrice1!$T443* (Matrice1!$V443/100)</f>
        <v>0.42799500000000007</v>
      </c>
    </row>
    <row r="444" spans="1:23" x14ac:dyDescent="0.3">
      <c r="A444" s="1" t="s">
        <v>805</v>
      </c>
      <c r="B444" s="2">
        <v>45201</v>
      </c>
      <c r="C444" s="3">
        <v>0.88472222222222219</v>
      </c>
      <c r="D444" s="1" t="s">
        <v>833</v>
      </c>
      <c r="E444">
        <v>54</v>
      </c>
      <c r="F444" s="1" t="s">
        <v>812</v>
      </c>
      <c r="G444" s="1" t="s">
        <v>833</v>
      </c>
      <c r="H444" s="1" t="s">
        <v>131</v>
      </c>
      <c r="I444">
        <v>4.6287159999999998</v>
      </c>
      <c r="J444">
        <v>19.407077999999998</v>
      </c>
      <c r="K444" s="1" t="s">
        <v>1498</v>
      </c>
      <c r="L444" s="1" t="s">
        <v>1496</v>
      </c>
      <c r="M444" s="1" t="s">
        <v>481</v>
      </c>
      <c r="N444" s="1" t="s">
        <v>131</v>
      </c>
      <c r="O444" s="1" t="str">
        <f>INT(Matrice1!$P444/12) &amp; " ans et " &amp; MOD(Matrice1!$P444,12) &amp; " mois"</f>
        <v>1 ans et 1 mois</v>
      </c>
      <c r="P444">
        <v>13</v>
      </c>
      <c r="Q444" s="1" t="s">
        <v>22</v>
      </c>
      <c r="R444" s="4">
        <f>Matrice1!$S444/1440</f>
        <v>0.3347222222222222</v>
      </c>
      <c r="S444">
        <v>482</v>
      </c>
      <c r="T444">
        <v>50.15</v>
      </c>
      <c r="U444">
        <v>0</v>
      </c>
      <c r="V444" s="8">
        <f>IF(Matrice1!$Q444="Pro Monde",10%,IF(AND(Matrice1!$R444&gt;12,Matrice1!$O444&gt;5),70%,IF(AND(OR(Matrice1!$R444&gt;=4,Matrice1!$R444&lt;=12,Matrice1!$O444&lt;5,(OR(Matrice1!$Q444="Premium ")))),45%,0%)))</f>
        <v>0.45</v>
      </c>
      <c r="W444">
        <f>Matrice1!$T444* (Matrice1!$V444/100)</f>
        <v>0.22567500000000001</v>
      </c>
    </row>
    <row r="445" spans="1:23" x14ac:dyDescent="0.3">
      <c r="A445" s="1" t="s">
        <v>805</v>
      </c>
      <c r="B445" s="2">
        <v>45201</v>
      </c>
      <c r="C445" s="3">
        <v>0.88472222222222219</v>
      </c>
      <c r="D445" s="1" t="s">
        <v>833</v>
      </c>
      <c r="E445">
        <v>54</v>
      </c>
      <c r="F445" s="1" t="s">
        <v>812</v>
      </c>
      <c r="G445" s="1" t="s">
        <v>833</v>
      </c>
      <c r="H445" s="1" t="s">
        <v>131</v>
      </c>
      <c r="I445">
        <v>4.6287159999999998</v>
      </c>
      <c r="J445">
        <v>19.407077999999998</v>
      </c>
      <c r="K445" s="1" t="s">
        <v>1498</v>
      </c>
      <c r="L445" s="1" t="s">
        <v>1496</v>
      </c>
      <c r="M445" s="1" t="s">
        <v>516</v>
      </c>
      <c r="N445" s="1" t="s">
        <v>131</v>
      </c>
      <c r="O445" s="1" t="str">
        <f>INT(Matrice1!$P445/12) &amp; " ans et " &amp; MOD(Matrice1!$P445,12) &amp; " mois"</f>
        <v>4 ans et 0 mois</v>
      </c>
      <c r="P445">
        <v>48</v>
      </c>
      <c r="Q445" s="1" t="s">
        <v>22</v>
      </c>
      <c r="R445" s="4">
        <f>Matrice1!$S445/1440</f>
        <v>0.12986111111111112</v>
      </c>
      <c r="S445">
        <v>187</v>
      </c>
      <c r="T445">
        <v>21.26</v>
      </c>
      <c r="U445">
        <v>2</v>
      </c>
      <c r="V445" s="8">
        <f>IF(Matrice1!$Q445="Pro Monde",10%,IF(AND(Matrice1!$R445&gt;12,Matrice1!$O445&gt;5),70%,IF(AND(OR(Matrice1!$R445&gt;=4,Matrice1!$R445&lt;=12,Matrice1!$O445&lt;5,(OR(Matrice1!$Q445="Premium ")))),45%,0%)))</f>
        <v>0.45</v>
      </c>
      <c r="W445">
        <f>Matrice1!$T445* (Matrice1!$V445/100)</f>
        <v>9.5670000000000019E-2</v>
      </c>
    </row>
    <row r="446" spans="1:23" x14ac:dyDescent="0.3">
      <c r="A446" s="1" t="s">
        <v>805</v>
      </c>
      <c r="B446" s="2">
        <v>45201</v>
      </c>
      <c r="C446" s="3">
        <v>0.88472222222222219</v>
      </c>
      <c r="D446" s="1" t="s">
        <v>833</v>
      </c>
      <c r="E446">
        <v>54</v>
      </c>
      <c r="F446" s="1" t="s">
        <v>812</v>
      </c>
      <c r="G446" s="1" t="s">
        <v>833</v>
      </c>
      <c r="H446" s="1" t="s">
        <v>131</v>
      </c>
      <c r="I446">
        <v>4.6287159999999998</v>
      </c>
      <c r="J446">
        <v>19.407077999999998</v>
      </c>
      <c r="K446" s="1" t="s">
        <v>1498</v>
      </c>
      <c r="L446" s="1" t="s">
        <v>1496</v>
      </c>
      <c r="M446" s="1" t="s">
        <v>523</v>
      </c>
      <c r="N446" s="1" t="s">
        <v>131</v>
      </c>
      <c r="O446" s="1" t="str">
        <f>INT(Matrice1!$P446/12) &amp; " ans et " &amp; MOD(Matrice1!$P446,12) &amp; " mois"</f>
        <v>0 ans et 10 mois</v>
      </c>
      <c r="P446">
        <v>10</v>
      </c>
      <c r="Q446" s="1" t="s">
        <v>11</v>
      </c>
      <c r="R446" s="4">
        <f>Matrice1!$S446/1440</f>
        <v>0.2951388888888889</v>
      </c>
      <c r="S446">
        <v>425</v>
      </c>
      <c r="T446">
        <v>85.75</v>
      </c>
      <c r="U446">
        <v>0</v>
      </c>
      <c r="V446" s="8">
        <f>IF(Matrice1!$Q446="Pro Monde",10%,IF(AND(Matrice1!$R446&gt;12,Matrice1!$O446&gt;5),70%,IF(AND(OR(Matrice1!$R446&gt;=4,Matrice1!$R446&lt;=12,Matrice1!$O446&lt;5,(OR(Matrice1!$Q446="Premium ")))),45%,0%)))</f>
        <v>0.45</v>
      </c>
      <c r="W446">
        <f>Matrice1!$T446* (Matrice1!$V446/100)</f>
        <v>0.38587500000000002</v>
      </c>
    </row>
    <row r="447" spans="1:23" x14ac:dyDescent="0.3">
      <c r="A447" s="1" t="s">
        <v>805</v>
      </c>
      <c r="B447" s="2">
        <v>45201</v>
      </c>
      <c r="C447" s="3">
        <v>0.88472222222222219</v>
      </c>
      <c r="D447" s="1" t="s">
        <v>833</v>
      </c>
      <c r="E447">
        <v>54</v>
      </c>
      <c r="F447" s="1" t="s">
        <v>812</v>
      </c>
      <c r="G447" s="1" t="s">
        <v>833</v>
      </c>
      <c r="H447" s="1" t="s">
        <v>131</v>
      </c>
      <c r="I447">
        <v>4.6287159999999998</v>
      </c>
      <c r="J447">
        <v>19.407077999999998</v>
      </c>
      <c r="K447" s="1" t="s">
        <v>1498</v>
      </c>
      <c r="L447" s="1" t="s">
        <v>1496</v>
      </c>
      <c r="M447" s="1" t="s">
        <v>572</v>
      </c>
      <c r="N447" s="1" t="s">
        <v>131</v>
      </c>
      <c r="O447" s="1" t="str">
        <f>INT(Matrice1!$P447/12) &amp; " ans et " &amp; MOD(Matrice1!$P447,12) &amp; " mois"</f>
        <v>5 ans et 3 mois</v>
      </c>
      <c r="P447">
        <v>63</v>
      </c>
      <c r="Q447" s="1" t="s">
        <v>22</v>
      </c>
      <c r="R447" s="4">
        <f>Matrice1!$S447/1440</f>
        <v>7.5694444444444439E-2</v>
      </c>
      <c r="S447">
        <v>109</v>
      </c>
      <c r="T447">
        <v>10.33</v>
      </c>
      <c r="U447">
        <v>3</v>
      </c>
      <c r="V447" s="8">
        <f>IF(Matrice1!$Q447="Pro Monde",10%,IF(AND(Matrice1!$R447&gt;12,Matrice1!$O447&gt;5),70%,IF(AND(OR(Matrice1!$R447&gt;=4,Matrice1!$R447&lt;=12,Matrice1!$O447&lt;5,(OR(Matrice1!$Q447="Premium ")))),45%,0%)))</f>
        <v>0.45</v>
      </c>
      <c r="W447">
        <f>Matrice1!$T447* (Matrice1!$V447/100)</f>
        <v>4.6485000000000005E-2</v>
      </c>
    </row>
    <row r="448" spans="1:23" x14ac:dyDescent="0.3">
      <c r="A448" s="1" t="s">
        <v>805</v>
      </c>
      <c r="B448" s="2">
        <v>45203</v>
      </c>
      <c r="C448" s="3">
        <v>0.51180555555555551</v>
      </c>
      <c r="D448" s="1" t="s">
        <v>835</v>
      </c>
      <c r="E448">
        <v>64</v>
      </c>
      <c r="F448" s="1" t="s">
        <v>812</v>
      </c>
      <c r="G448" s="1" t="s">
        <v>835</v>
      </c>
      <c r="H448" s="1" t="s">
        <v>73</v>
      </c>
      <c r="I448">
        <v>0.23583499999999999</v>
      </c>
      <c r="J448">
        <v>24.889558999999998</v>
      </c>
      <c r="K448" s="1" t="s">
        <v>1500</v>
      </c>
      <c r="L448" s="1" t="s">
        <v>1501</v>
      </c>
      <c r="M448" s="1" t="s">
        <v>72</v>
      </c>
      <c r="N448" s="1" t="s">
        <v>73</v>
      </c>
      <c r="O448" s="1" t="str">
        <f>INT(Matrice1!$P448/12) &amp; " ans et " &amp; MOD(Matrice1!$P448,12) &amp; " mois"</f>
        <v>0 ans et 6 mois</v>
      </c>
      <c r="P448">
        <v>6</v>
      </c>
      <c r="Q448" s="1" t="s">
        <v>11</v>
      </c>
      <c r="R448" s="4">
        <f>Matrice1!$S448/1440</f>
        <v>0.14374999999999999</v>
      </c>
      <c r="S448">
        <v>207</v>
      </c>
      <c r="T448">
        <v>61.55</v>
      </c>
      <c r="U448">
        <v>0</v>
      </c>
      <c r="V448" s="8">
        <f>IF(Matrice1!$Q448="Pro Monde",10%,IF(AND(Matrice1!$R448&gt;12,Matrice1!$O448&gt;5),70%,IF(AND(OR(Matrice1!$R448&gt;=4,Matrice1!$R448&lt;=12,Matrice1!$O448&lt;5,(OR(Matrice1!$Q448="Premium ")))),45%,0%)))</f>
        <v>0.45</v>
      </c>
      <c r="W448">
        <f>Matrice1!$T448* (Matrice1!$V448/100)</f>
        <v>0.27697500000000003</v>
      </c>
    </row>
    <row r="449" spans="1:23" x14ac:dyDescent="0.3">
      <c r="A449" s="1" t="s">
        <v>805</v>
      </c>
      <c r="B449" s="2">
        <v>45203</v>
      </c>
      <c r="C449" s="3">
        <v>0.51180555555555551</v>
      </c>
      <c r="D449" s="1" t="s">
        <v>835</v>
      </c>
      <c r="E449">
        <v>64</v>
      </c>
      <c r="F449" s="1" t="s">
        <v>812</v>
      </c>
      <c r="G449" s="1" t="s">
        <v>835</v>
      </c>
      <c r="H449" s="1" t="s">
        <v>73</v>
      </c>
      <c r="I449">
        <v>0.23583499999999999</v>
      </c>
      <c r="J449">
        <v>24.889558999999998</v>
      </c>
      <c r="K449" s="1" t="s">
        <v>1500</v>
      </c>
      <c r="L449" s="1" t="s">
        <v>1501</v>
      </c>
      <c r="M449" s="1" t="s">
        <v>92</v>
      </c>
      <c r="N449" s="1" t="s">
        <v>73</v>
      </c>
      <c r="O449" s="1" t="str">
        <f>INT(Matrice1!$P449/12) &amp; " ans et " &amp; MOD(Matrice1!$P449,12) &amp; " mois"</f>
        <v>4 ans et 10 mois</v>
      </c>
      <c r="P449">
        <v>58</v>
      </c>
      <c r="Q449" s="1" t="s">
        <v>22</v>
      </c>
      <c r="R449" s="4">
        <f>Matrice1!$S449/1440</f>
        <v>4.2361111111111113E-2</v>
      </c>
      <c r="S449">
        <v>61</v>
      </c>
      <c r="T449">
        <v>58.64</v>
      </c>
      <c r="U449">
        <v>3</v>
      </c>
      <c r="V449" s="8">
        <f>IF(Matrice1!$Q449="Pro Monde",10%,IF(AND(Matrice1!$R449&gt;12,Matrice1!$O449&gt;5),70%,IF(AND(OR(Matrice1!$R449&gt;=4,Matrice1!$R449&lt;=12,Matrice1!$O449&lt;5,(OR(Matrice1!$Q449="Premium ")))),45%,0%)))</f>
        <v>0.45</v>
      </c>
      <c r="W449">
        <f>Matrice1!$T449* (Matrice1!$V449/100)</f>
        <v>0.26388000000000006</v>
      </c>
    </row>
    <row r="450" spans="1:23" x14ac:dyDescent="0.3">
      <c r="A450" s="1" t="s">
        <v>805</v>
      </c>
      <c r="B450" s="2">
        <v>45203</v>
      </c>
      <c r="C450" s="3">
        <v>0.51180555555555551</v>
      </c>
      <c r="D450" s="1" t="s">
        <v>835</v>
      </c>
      <c r="E450">
        <v>64</v>
      </c>
      <c r="F450" s="1" t="s">
        <v>812</v>
      </c>
      <c r="G450" s="1" t="s">
        <v>835</v>
      </c>
      <c r="H450" s="1" t="s">
        <v>73</v>
      </c>
      <c r="I450">
        <v>0.23583499999999999</v>
      </c>
      <c r="J450">
        <v>24.889558999999998</v>
      </c>
      <c r="K450" s="1" t="s">
        <v>1500</v>
      </c>
      <c r="L450" s="1" t="s">
        <v>1501</v>
      </c>
      <c r="M450" s="1" t="s">
        <v>139</v>
      </c>
      <c r="N450" s="1" t="s">
        <v>73</v>
      </c>
      <c r="O450" s="1" t="str">
        <f>INT(Matrice1!$P450/12) &amp; " ans et " &amp; MOD(Matrice1!$P450,12) &amp; " mois"</f>
        <v>6 ans et 2 mois</v>
      </c>
      <c r="P450">
        <v>74</v>
      </c>
      <c r="Q450" s="1" t="s">
        <v>11</v>
      </c>
      <c r="R450" s="4">
        <f>Matrice1!$S450/1440</f>
        <v>0.14444444444444443</v>
      </c>
      <c r="S450">
        <v>208</v>
      </c>
      <c r="T450">
        <v>39.56</v>
      </c>
      <c r="U450">
        <v>0</v>
      </c>
      <c r="V450" s="8">
        <f>IF(Matrice1!$Q450="Pro Monde",10%,IF(AND(Matrice1!$R450&gt;12,Matrice1!$O450&gt;5),70%,IF(AND(OR(Matrice1!$R450&gt;=4,Matrice1!$R450&lt;=12,Matrice1!$O450&lt;5,(OR(Matrice1!$Q450="Premium ")))),45%,0%)))</f>
        <v>0.45</v>
      </c>
      <c r="W450">
        <f>Matrice1!$T450* (Matrice1!$V450/100)</f>
        <v>0.17802000000000004</v>
      </c>
    </row>
    <row r="451" spans="1:23" x14ac:dyDescent="0.3">
      <c r="A451" s="1" t="s">
        <v>805</v>
      </c>
      <c r="B451" s="2">
        <v>45203</v>
      </c>
      <c r="C451" s="3">
        <v>0.51180555555555551</v>
      </c>
      <c r="D451" s="1" t="s">
        <v>835</v>
      </c>
      <c r="E451">
        <v>64</v>
      </c>
      <c r="F451" s="1" t="s">
        <v>812</v>
      </c>
      <c r="G451" s="1" t="s">
        <v>835</v>
      </c>
      <c r="H451" s="1" t="s">
        <v>73</v>
      </c>
      <c r="I451">
        <v>0.23583499999999999</v>
      </c>
      <c r="J451">
        <v>24.889558999999998</v>
      </c>
      <c r="K451" s="1" t="s">
        <v>1500</v>
      </c>
      <c r="L451" s="1" t="s">
        <v>1501</v>
      </c>
      <c r="M451" s="1" t="s">
        <v>161</v>
      </c>
      <c r="N451" s="1" t="s">
        <v>73</v>
      </c>
      <c r="O451" s="1" t="str">
        <f>INT(Matrice1!$P451/12) &amp; " ans et " &amp; MOD(Matrice1!$P451,12) &amp; " mois"</f>
        <v>1 ans et 4 mois</v>
      </c>
      <c r="P451">
        <v>16</v>
      </c>
      <c r="Q451" s="1" t="s">
        <v>19</v>
      </c>
      <c r="R451" s="4">
        <f>Matrice1!$S451/1440</f>
        <v>9.0277777777777769E-3</v>
      </c>
      <c r="S451">
        <v>13</v>
      </c>
      <c r="T451">
        <v>14.91</v>
      </c>
      <c r="U451">
        <v>1</v>
      </c>
      <c r="V451" s="8">
        <f>IF(Matrice1!$Q451="Pro Monde",10%,IF(AND(Matrice1!$R451&gt;12,Matrice1!$O451&gt;5),70%,IF(AND(OR(Matrice1!$R451&gt;=4,Matrice1!$R451&lt;=12,Matrice1!$O451&lt;5,(OR(Matrice1!$Q451="Premium ")))),45%,0%)))</f>
        <v>0.45</v>
      </c>
      <c r="W451">
        <f>Matrice1!$T451* (Matrice1!$V451/100)</f>
        <v>6.7095000000000002E-2</v>
      </c>
    </row>
    <row r="452" spans="1:23" x14ac:dyDescent="0.3">
      <c r="A452" s="1" t="s">
        <v>805</v>
      </c>
      <c r="B452" s="2">
        <v>45203</v>
      </c>
      <c r="C452" s="3">
        <v>0.51180555555555551</v>
      </c>
      <c r="D452" s="1" t="s">
        <v>835</v>
      </c>
      <c r="E452">
        <v>64</v>
      </c>
      <c r="F452" s="1" t="s">
        <v>812</v>
      </c>
      <c r="G452" s="1" t="s">
        <v>835</v>
      </c>
      <c r="H452" s="1" t="s">
        <v>73</v>
      </c>
      <c r="I452">
        <v>0.23583499999999999</v>
      </c>
      <c r="J452">
        <v>24.889558999999998</v>
      </c>
      <c r="K452" s="1" t="s">
        <v>1500</v>
      </c>
      <c r="L452" s="1" t="s">
        <v>1501</v>
      </c>
      <c r="M452" s="1" t="s">
        <v>182</v>
      </c>
      <c r="N452" s="1" t="s">
        <v>73</v>
      </c>
      <c r="O452" s="1" t="str">
        <f>INT(Matrice1!$P452/12) &amp; " ans et " &amp; MOD(Matrice1!$P452,12) &amp; " mois"</f>
        <v>3 ans et 7 mois</v>
      </c>
      <c r="P452">
        <v>43</v>
      </c>
      <c r="Q452" s="1" t="s">
        <v>19</v>
      </c>
      <c r="R452" s="4">
        <f>Matrice1!$S452/1440</f>
        <v>0.12569444444444444</v>
      </c>
      <c r="S452">
        <v>181</v>
      </c>
      <c r="T452">
        <v>72.39</v>
      </c>
      <c r="U452">
        <v>2</v>
      </c>
      <c r="V452" s="8">
        <f>IF(Matrice1!$Q452="Pro Monde",10%,IF(AND(Matrice1!$R452&gt;12,Matrice1!$O452&gt;5),70%,IF(AND(OR(Matrice1!$R452&gt;=4,Matrice1!$R452&lt;=12,Matrice1!$O452&lt;5,(OR(Matrice1!$Q452="Premium ")))),45%,0%)))</f>
        <v>0.45</v>
      </c>
      <c r="W452">
        <f>Matrice1!$T452* (Matrice1!$V452/100)</f>
        <v>0.32575500000000002</v>
      </c>
    </row>
    <row r="453" spans="1:23" x14ac:dyDescent="0.3">
      <c r="A453" s="1" t="s">
        <v>805</v>
      </c>
      <c r="B453" s="2">
        <v>45203</v>
      </c>
      <c r="C453" s="3">
        <v>0.51180555555555551</v>
      </c>
      <c r="D453" s="1" t="s">
        <v>835</v>
      </c>
      <c r="E453">
        <v>64</v>
      </c>
      <c r="F453" s="1" t="s">
        <v>812</v>
      </c>
      <c r="G453" s="1" t="s">
        <v>835</v>
      </c>
      <c r="H453" s="1" t="s">
        <v>73</v>
      </c>
      <c r="I453">
        <v>0.23583499999999999</v>
      </c>
      <c r="J453">
        <v>24.889558999999998</v>
      </c>
      <c r="K453" s="1" t="s">
        <v>1500</v>
      </c>
      <c r="L453" s="1" t="s">
        <v>1501</v>
      </c>
      <c r="M453" s="1" t="s">
        <v>226</v>
      </c>
      <c r="N453" s="1" t="s">
        <v>73</v>
      </c>
      <c r="O453" s="1" t="str">
        <f>INT(Matrice1!$P453/12) &amp; " ans et " &amp; MOD(Matrice1!$P453,12) &amp; " mois"</f>
        <v>4 ans et 3 mois</v>
      </c>
      <c r="P453">
        <v>51</v>
      </c>
      <c r="Q453" s="1" t="s">
        <v>22</v>
      </c>
      <c r="R453" s="4">
        <f>Matrice1!$S453/1440</f>
        <v>0.30069444444444443</v>
      </c>
      <c r="S453">
        <v>433</v>
      </c>
      <c r="T453">
        <v>12.89</v>
      </c>
      <c r="U453">
        <v>1</v>
      </c>
      <c r="V453" s="8">
        <f>IF(Matrice1!$Q453="Pro Monde",10%,IF(AND(Matrice1!$R453&gt;12,Matrice1!$O453&gt;5),70%,IF(AND(OR(Matrice1!$R453&gt;=4,Matrice1!$R453&lt;=12,Matrice1!$O453&lt;5,(OR(Matrice1!$Q453="Premium ")))),45%,0%)))</f>
        <v>0.45</v>
      </c>
      <c r="W453">
        <f>Matrice1!$T453* (Matrice1!$V453/100)</f>
        <v>5.8005000000000008E-2</v>
      </c>
    </row>
    <row r="454" spans="1:23" x14ac:dyDescent="0.3">
      <c r="A454" s="1" t="s">
        <v>805</v>
      </c>
      <c r="B454" s="2">
        <v>45203</v>
      </c>
      <c r="C454" s="3">
        <v>0.51180555555555551</v>
      </c>
      <c r="D454" s="1" t="s">
        <v>835</v>
      </c>
      <c r="E454">
        <v>64</v>
      </c>
      <c r="F454" s="1" t="s">
        <v>812</v>
      </c>
      <c r="G454" s="1" t="s">
        <v>835</v>
      </c>
      <c r="H454" s="1" t="s">
        <v>73</v>
      </c>
      <c r="I454">
        <v>0.23583499999999999</v>
      </c>
      <c r="J454">
        <v>24.889558999999998</v>
      </c>
      <c r="K454" s="1" t="s">
        <v>1500</v>
      </c>
      <c r="L454" s="1" t="s">
        <v>1501</v>
      </c>
      <c r="M454" s="1" t="s">
        <v>239</v>
      </c>
      <c r="N454" s="1" t="s">
        <v>73</v>
      </c>
      <c r="O454" s="1" t="str">
        <f>INT(Matrice1!$P454/12) &amp; " ans et " &amp; MOD(Matrice1!$P454,12) &amp; " mois"</f>
        <v>0 ans et 11 mois</v>
      </c>
      <c r="P454">
        <v>11</v>
      </c>
      <c r="Q454" s="1" t="s">
        <v>11</v>
      </c>
      <c r="R454" s="4">
        <f>Matrice1!$S454/1440</f>
        <v>0.13263888888888889</v>
      </c>
      <c r="S454">
        <v>191</v>
      </c>
      <c r="T454">
        <v>87.37</v>
      </c>
      <c r="U454">
        <v>3</v>
      </c>
      <c r="V454" s="8">
        <f>IF(Matrice1!$Q454="Pro Monde",10%,IF(AND(Matrice1!$R454&gt;12,Matrice1!$O454&gt;5),70%,IF(AND(OR(Matrice1!$R454&gt;=4,Matrice1!$R454&lt;=12,Matrice1!$O454&lt;5,(OR(Matrice1!$Q454="Premium ")))),45%,0%)))</f>
        <v>0.45</v>
      </c>
      <c r="W454">
        <f>Matrice1!$T454* (Matrice1!$V454/100)</f>
        <v>0.39316500000000004</v>
      </c>
    </row>
    <row r="455" spans="1:23" x14ac:dyDescent="0.3">
      <c r="A455" s="1" t="s">
        <v>805</v>
      </c>
      <c r="B455" s="2">
        <v>45203</v>
      </c>
      <c r="C455" s="3">
        <v>0.51180555555555551</v>
      </c>
      <c r="D455" s="1" t="s">
        <v>835</v>
      </c>
      <c r="E455">
        <v>64</v>
      </c>
      <c r="F455" s="1" t="s">
        <v>812</v>
      </c>
      <c r="G455" s="1" t="s">
        <v>835</v>
      </c>
      <c r="H455" s="1" t="s">
        <v>73</v>
      </c>
      <c r="I455">
        <v>0.23583499999999999</v>
      </c>
      <c r="J455">
        <v>24.889558999999998</v>
      </c>
      <c r="K455" s="1" t="s">
        <v>1500</v>
      </c>
      <c r="L455" s="1" t="s">
        <v>1501</v>
      </c>
      <c r="M455" s="1" t="s">
        <v>284</v>
      </c>
      <c r="N455" s="1" t="s">
        <v>73</v>
      </c>
      <c r="O455" s="1" t="str">
        <f>INT(Matrice1!$P455/12) &amp; " ans et " &amp; MOD(Matrice1!$P455,12) &amp; " mois"</f>
        <v>9 ans et 0 mois</v>
      </c>
      <c r="P455">
        <v>108</v>
      </c>
      <c r="Q455" s="1" t="s">
        <v>14</v>
      </c>
      <c r="R455" s="4">
        <f>Matrice1!$S455/1440</f>
        <v>3.3333333333333333E-2</v>
      </c>
      <c r="S455">
        <v>48</v>
      </c>
      <c r="T455">
        <v>86.22</v>
      </c>
      <c r="U455">
        <v>3</v>
      </c>
      <c r="V455" s="8">
        <f>IF(Matrice1!$Q455="Pro Monde",10%,IF(AND(Matrice1!$R455&gt;12,Matrice1!$O455&gt;5),70%,IF(AND(OR(Matrice1!$R455&gt;=4,Matrice1!$R455&lt;=12,Matrice1!$O455&lt;5,(OR(Matrice1!$Q455="Premium ")))),45%,0%)))</f>
        <v>0.1</v>
      </c>
      <c r="W455">
        <f>Matrice1!$T455* (Matrice1!$V455/100)</f>
        <v>8.6220000000000005E-2</v>
      </c>
    </row>
    <row r="456" spans="1:23" x14ac:dyDescent="0.3">
      <c r="A456" s="1" t="s">
        <v>805</v>
      </c>
      <c r="B456" s="2">
        <v>45203</v>
      </c>
      <c r="C456" s="3">
        <v>0.51180555555555551</v>
      </c>
      <c r="D456" s="1" t="s">
        <v>835</v>
      </c>
      <c r="E456">
        <v>64</v>
      </c>
      <c r="F456" s="1" t="s">
        <v>812</v>
      </c>
      <c r="G456" s="1" t="s">
        <v>835</v>
      </c>
      <c r="H456" s="1" t="s">
        <v>73</v>
      </c>
      <c r="I456">
        <v>0.23583499999999999</v>
      </c>
      <c r="J456">
        <v>24.889558999999998</v>
      </c>
      <c r="K456" s="1" t="s">
        <v>1500</v>
      </c>
      <c r="L456" s="1" t="s">
        <v>1501</v>
      </c>
      <c r="M456" s="1" t="s">
        <v>294</v>
      </c>
      <c r="N456" s="1" t="s">
        <v>73</v>
      </c>
      <c r="O456" s="1" t="str">
        <f>INT(Matrice1!$P456/12) &amp; " ans et " &amp; MOD(Matrice1!$P456,12) &amp; " mois"</f>
        <v>4 ans et 0 mois</v>
      </c>
      <c r="P456">
        <v>48</v>
      </c>
      <c r="Q456" s="1" t="s">
        <v>11</v>
      </c>
      <c r="R456" s="4">
        <f>Matrice1!$S456/1440</f>
        <v>0.28888888888888886</v>
      </c>
      <c r="S456">
        <v>416</v>
      </c>
      <c r="T456">
        <v>81.260000000000005</v>
      </c>
      <c r="U456">
        <v>5</v>
      </c>
      <c r="V456" s="8">
        <f>IF(Matrice1!$Q456="Pro Monde",10%,IF(AND(Matrice1!$R456&gt;12,Matrice1!$O456&gt;5),70%,IF(AND(OR(Matrice1!$R456&gt;=4,Matrice1!$R456&lt;=12,Matrice1!$O456&lt;5,(OR(Matrice1!$Q456="Premium ")))),45%,0%)))</f>
        <v>0.45</v>
      </c>
      <c r="W456">
        <f>Matrice1!$T456* (Matrice1!$V456/100)</f>
        <v>0.36567000000000005</v>
      </c>
    </row>
    <row r="457" spans="1:23" x14ac:dyDescent="0.3">
      <c r="A457" s="1" t="s">
        <v>805</v>
      </c>
      <c r="B457" s="2">
        <v>45203</v>
      </c>
      <c r="C457" s="3">
        <v>0.51180555555555551</v>
      </c>
      <c r="D457" s="1" t="s">
        <v>835</v>
      </c>
      <c r="E457">
        <v>64</v>
      </c>
      <c r="F457" s="1" t="s">
        <v>812</v>
      </c>
      <c r="G457" s="1" t="s">
        <v>835</v>
      </c>
      <c r="H457" s="1" t="s">
        <v>73</v>
      </c>
      <c r="I457">
        <v>0.23583499999999999</v>
      </c>
      <c r="J457">
        <v>24.889558999999998</v>
      </c>
      <c r="K457" s="1" t="s">
        <v>1500</v>
      </c>
      <c r="L457" s="1" t="s">
        <v>1501</v>
      </c>
      <c r="M457" s="1" t="s">
        <v>334</v>
      </c>
      <c r="N457" s="1" t="s">
        <v>73</v>
      </c>
      <c r="O457" s="1" t="str">
        <f>INT(Matrice1!$P457/12) &amp; " ans et " &amp; MOD(Matrice1!$P457,12) &amp; " mois"</f>
        <v>0 ans et 5 mois</v>
      </c>
      <c r="P457">
        <v>5</v>
      </c>
      <c r="Q457" s="1" t="s">
        <v>11</v>
      </c>
      <c r="R457" s="4">
        <f>Matrice1!$S457/1440</f>
        <v>0.26666666666666666</v>
      </c>
      <c r="S457">
        <v>384</v>
      </c>
      <c r="T457">
        <v>97.26</v>
      </c>
      <c r="U457">
        <v>3</v>
      </c>
      <c r="V457" s="8">
        <f>IF(Matrice1!$Q457="Pro Monde",10%,IF(AND(Matrice1!$R457&gt;12,Matrice1!$O457&gt;5),70%,IF(AND(OR(Matrice1!$R457&gt;=4,Matrice1!$R457&lt;=12,Matrice1!$O457&lt;5,(OR(Matrice1!$Q457="Premium ")))),45%,0%)))</f>
        <v>0.45</v>
      </c>
      <c r="W457">
        <f>Matrice1!$T457* (Matrice1!$V457/100)</f>
        <v>0.43767000000000006</v>
      </c>
    </row>
    <row r="458" spans="1:23" x14ac:dyDescent="0.3">
      <c r="A458" s="1" t="s">
        <v>805</v>
      </c>
      <c r="B458" s="2">
        <v>45203</v>
      </c>
      <c r="C458" s="3">
        <v>0.51180555555555551</v>
      </c>
      <c r="D458" s="1" t="s">
        <v>835</v>
      </c>
      <c r="E458">
        <v>64</v>
      </c>
      <c r="F458" s="1" t="s">
        <v>812</v>
      </c>
      <c r="G458" s="1" t="s">
        <v>835</v>
      </c>
      <c r="H458" s="1" t="s">
        <v>73</v>
      </c>
      <c r="I458">
        <v>0.23583499999999999</v>
      </c>
      <c r="J458">
        <v>24.889558999999998</v>
      </c>
      <c r="K458" s="1" t="s">
        <v>1500</v>
      </c>
      <c r="L458" s="1" t="s">
        <v>1501</v>
      </c>
      <c r="M458" s="1" t="s">
        <v>421</v>
      </c>
      <c r="N458" s="1" t="s">
        <v>73</v>
      </c>
      <c r="O458" s="1" t="str">
        <f>INT(Matrice1!$P458/12) &amp; " ans et " &amp; MOD(Matrice1!$P458,12) &amp; " mois"</f>
        <v>8 ans et 8 mois</v>
      </c>
      <c r="P458">
        <v>104</v>
      </c>
      <c r="Q458" s="1" t="s">
        <v>11</v>
      </c>
      <c r="R458" s="4">
        <f>Matrice1!$S458/1440</f>
        <v>4.7222222222222221E-2</v>
      </c>
      <c r="S458">
        <v>68</v>
      </c>
      <c r="T458">
        <v>21.15</v>
      </c>
      <c r="U458">
        <v>2</v>
      </c>
      <c r="V458" s="8">
        <f>IF(Matrice1!$Q458="Pro Monde",10%,IF(AND(Matrice1!$R458&gt;12,Matrice1!$O458&gt;5),70%,IF(AND(OR(Matrice1!$R458&gt;=4,Matrice1!$R458&lt;=12,Matrice1!$O458&lt;5,(OR(Matrice1!$Q458="Premium ")))),45%,0%)))</f>
        <v>0.45</v>
      </c>
      <c r="W458">
        <f>Matrice1!$T458* (Matrice1!$V458/100)</f>
        <v>9.517500000000001E-2</v>
      </c>
    </row>
    <row r="459" spans="1:23" x14ac:dyDescent="0.3">
      <c r="A459" s="1" t="s">
        <v>805</v>
      </c>
      <c r="B459" s="2">
        <v>45203</v>
      </c>
      <c r="C459" s="3">
        <v>0.51180555555555551</v>
      </c>
      <c r="D459" s="1" t="s">
        <v>835</v>
      </c>
      <c r="E459">
        <v>64</v>
      </c>
      <c r="F459" s="1" t="s">
        <v>812</v>
      </c>
      <c r="G459" s="1" t="s">
        <v>835</v>
      </c>
      <c r="H459" s="1" t="s">
        <v>73</v>
      </c>
      <c r="I459">
        <v>0.23583499999999999</v>
      </c>
      <c r="J459">
        <v>24.889558999999998</v>
      </c>
      <c r="K459" s="1" t="s">
        <v>1500</v>
      </c>
      <c r="L459" s="1" t="s">
        <v>1501</v>
      </c>
      <c r="M459" s="1" t="s">
        <v>459</v>
      </c>
      <c r="N459" s="1" t="s">
        <v>73</v>
      </c>
      <c r="O459" s="1" t="str">
        <f>INT(Matrice1!$P459/12) &amp; " ans et " &amp; MOD(Matrice1!$P459,12) &amp; " mois"</f>
        <v>2 ans et 0 mois</v>
      </c>
      <c r="P459">
        <v>24</v>
      </c>
      <c r="Q459" s="1" t="s">
        <v>19</v>
      </c>
      <c r="R459" s="4">
        <f>Matrice1!$S459/1440</f>
        <v>0.17847222222222223</v>
      </c>
      <c r="S459">
        <v>257</v>
      </c>
      <c r="T459">
        <v>41.99</v>
      </c>
      <c r="U459">
        <v>5</v>
      </c>
      <c r="V459" s="8">
        <f>IF(Matrice1!$Q459="Pro Monde",10%,IF(AND(Matrice1!$R459&gt;12,Matrice1!$O459&gt;5),70%,IF(AND(OR(Matrice1!$R459&gt;=4,Matrice1!$R459&lt;=12,Matrice1!$O459&lt;5,(OR(Matrice1!$Q459="Premium ")))),45%,0%)))</f>
        <v>0.45</v>
      </c>
      <c r="W459">
        <f>Matrice1!$T459* (Matrice1!$V459/100)</f>
        <v>0.18895500000000004</v>
      </c>
    </row>
    <row r="460" spans="1:23" x14ac:dyDescent="0.3">
      <c r="A460" s="1" t="s">
        <v>805</v>
      </c>
      <c r="B460" s="2">
        <v>45203</v>
      </c>
      <c r="C460" s="3">
        <v>0.51180555555555551</v>
      </c>
      <c r="D460" s="1" t="s">
        <v>835</v>
      </c>
      <c r="E460">
        <v>64</v>
      </c>
      <c r="F460" s="1" t="s">
        <v>812</v>
      </c>
      <c r="G460" s="1" t="s">
        <v>835</v>
      </c>
      <c r="H460" s="1" t="s">
        <v>73</v>
      </c>
      <c r="I460">
        <v>0.23583499999999999</v>
      </c>
      <c r="J460">
        <v>24.889558999999998</v>
      </c>
      <c r="K460" s="1" t="s">
        <v>1500</v>
      </c>
      <c r="L460" s="1" t="s">
        <v>1501</v>
      </c>
      <c r="M460" s="1" t="s">
        <v>483</v>
      </c>
      <c r="N460" s="1" t="s">
        <v>73</v>
      </c>
      <c r="O460" s="1" t="str">
        <f>INT(Matrice1!$P460/12) &amp; " ans et " &amp; MOD(Matrice1!$P460,12) &amp; " mois"</f>
        <v>0 ans et 2 mois</v>
      </c>
      <c r="P460">
        <v>2</v>
      </c>
      <c r="Q460" s="1" t="s">
        <v>19</v>
      </c>
      <c r="R460" s="4">
        <f>Matrice1!$S460/1440</f>
        <v>9.8611111111111108E-2</v>
      </c>
      <c r="S460">
        <v>142</v>
      </c>
      <c r="T460">
        <v>49.05</v>
      </c>
      <c r="U460">
        <v>4</v>
      </c>
      <c r="V460" s="8">
        <f>IF(Matrice1!$Q460="Pro Monde",10%,IF(AND(Matrice1!$R460&gt;12,Matrice1!$O460&gt;5),70%,IF(AND(OR(Matrice1!$R460&gt;=4,Matrice1!$R460&lt;=12,Matrice1!$O460&lt;5,(OR(Matrice1!$Q460="Premium ")))),45%,0%)))</f>
        <v>0.45</v>
      </c>
      <c r="W460">
        <f>Matrice1!$T460* (Matrice1!$V460/100)</f>
        <v>0.220725</v>
      </c>
    </row>
    <row r="461" spans="1:23" x14ac:dyDescent="0.3">
      <c r="A461" s="1" t="s">
        <v>805</v>
      </c>
      <c r="B461" s="2">
        <v>45203</v>
      </c>
      <c r="C461" s="3">
        <v>0.51180555555555551</v>
      </c>
      <c r="D461" s="1" t="s">
        <v>835</v>
      </c>
      <c r="E461">
        <v>64</v>
      </c>
      <c r="F461" s="1" t="s">
        <v>812</v>
      </c>
      <c r="G461" s="1" t="s">
        <v>835</v>
      </c>
      <c r="H461" s="1" t="s">
        <v>73</v>
      </c>
      <c r="I461">
        <v>0.23583499999999999</v>
      </c>
      <c r="J461">
        <v>24.889558999999998</v>
      </c>
      <c r="K461" s="1" t="s">
        <v>1500</v>
      </c>
      <c r="L461" s="1" t="s">
        <v>1501</v>
      </c>
      <c r="M461" s="1" t="s">
        <v>493</v>
      </c>
      <c r="N461" s="1" t="s">
        <v>73</v>
      </c>
      <c r="O461" s="1" t="str">
        <f>INT(Matrice1!$P461/12) &amp; " ans et " &amp; MOD(Matrice1!$P461,12) &amp; " mois"</f>
        <v>3 ans et 11 mois</v>
      </c>
      <c r="P461">
        <v>47</v>
      </c>
      <c r="Q461" s="1" t="s">
        <v>14</v>
      </c>
      <c r="R461" s="4">
        <f>Matrice1!$S461/1440</f>
        <v>7.4305555555555555E-2</v>
      </c>
      <c r="S461">
        <v>107</v>
      </c>
      <c r="T461">
        <v>35.380000000000003</v>
      </c>
      <c r="U461">
        <v>1</v>
      </c>
      <c r="V461" s="8">
        <f>IF(Matrice1!$Q461="Pro Monde",10%,IF(AND(Matrice1!$R461&gt;12,Matrice1!$O461&gt;5),70%,IF(AND(OR(Matrice1!$R461&gt;=4,Matrice1!$R461&lt;=12,Matrice1!$O461&lt;5,(OR(Matrice1!$Q461="Premium ")))),45%,0%)))</f>
        <v>0.1</v>
      </c>
      <c r="W461">
        <f>Matrice1!$T461* (Matrice1!$V461/100)</f>
        <v>3.5380000000000002E-2</v>
      </c>
    </row>
    <row r="462" spans="1:23" x14ac:dyDescent="0.3">
      <c r="A462" s="1" t="s">
        <v>805</v>
      </c>
      <c r="B462" s="2">
        <v>45203</v>
      </c>
      <c r="C462" s="3">
        <v>0.51180555555555551</v>
      </c>
      <c r="D462" s="1" t="s">
        <v>835</v>
      </c>
      <c r="E462">
        <v>64</v>
      </c>
      <c r="F462" s="1" t="s">
        <v>812</v>
      </c>
      <c r="G462" s="1" t="s">
        <v>835</v>
      </c>
      <c r="H462" s="1" t="s">
        <v>73</v>
      </c>
      <c r="I462">
        <v>0.23583499999999999</v>
      </c>
      <c r="J462">
        <v>24.889558999999998</v>
      </c>
      <c r="K462" s="1" t="s">
        <v>1500</v>
      </c>
      <c r="L462" s="1" t="s">
        <v>1501</v>
      </c>
      <c r="M462" s="1" t="s">
        <v>508</v>
      </c>
      <c r="N462" s="1" t="s">
        <v>73</v>
      </c>
      <c r="O462" s="1" t="str">
        <f>INT(Matrice1!$P462/12) &amp; " ans et " &amp; MOD(Matrice1!$P462,12) &amp; " mois"</f>
        <v>3 ans et 1 mois</v>
      </c>
      <c r="P462">
        <v>37</v>
      </c>
      <c r="Q462" s="1" t="s">
        <v>14</v>
      </c>
      <c r="R462" s="4">
        <f>Matrice1!$S462/1440</f>
        <v>2.5694444444444443E-2</v>
      </c>
      <c r="S462">
        <v>37</v>
      </c>
      <c r="T462">
        <v>92.72</v>
      </c>
      <c r="U462">
        <v>0</v>
      </c>
      <c r="V462" s="8">
        <f>IF(Matrice1!$Q462="Pro Monde",10%,IF(AND(Matrice1!$R462&gt;12,Matrice1!$O462&gt;5),70%,IF(AND(OR(Matrice1!$R462&gt;=4,Matrice1!$R462&lt;=12,Matrice1!$O462&lt;5,(OR(Matrice1!$Q462="Premium ")))),45%,0%)))</f>
        <v>0.1</v>
      </c>
      <c r="W462">
        <f>Matrice1!$T462* (Matrice1!$V462/100)</f>
        <v>9.2719999999999997E-2</v>
      </c>
    </row>
    <row r="463" spans="1:23" x14ac:dyDescent="0.3">
      <c r="A463" s="1" t="s">
        <v>805</v>
      </c>
      <c r="B463" s="2">
        <v>45203</v>
      </c>
      <c r="C463" s="3">
        <v>0.51180555555555551</v>
      </c>
      <c r="D463" s="1" t="s">
        <v>835</v>
      </c>
      <c r="E463">
        <v>64</v>
      </c>
      <c r="F463" s="1" t="s">
        <v>812</v>
      </c>
      <c r="G463" s="1" t="s">
        <v>835</v>
      </c>
      <c r="H463" s="1" t="s">
        <v>73</v>
      </c>
      <c r="I463">
        <v>0.23583499999999999</v>
      </c>
      <c r="J463">
        <v>24.889558999999998</v>
      </c>
      <c r="K463" s="1" t="s">
        <v>1500</v>
      </c>
      <c r="L463" s="1" t="s">
        <v>1501</v>
      </c>
      <c r="M463" s="1" t="s">
        <v>545</v>
      </c>
      <c r="N463" s="1" t="s">
        <v>73</v>
      </c>
      <c r="O463" s="1" t="str">
        <f>INT(Matrice1!$P463/12) &amp; " ans et " &amp; MOD(Matrice1!$P463,12) &amp; " mois"</f>
        <v>7 ans et 10 mois</v>
      </c>
      <c r="P463">
        <v>94</v>
      </c>
      <c r="Q463" s="1" t="s">
        <v>22</v>
      </c>
      <c r="R463" s="4">
        <f>Matrice1!$S463/1440</f>
        <v>4.1666666666666666E-3</v>
      </c>
      <c r="S463">
        <v>6</v>
      </c>
      <c r="T463">
        <v>67.459999999999994</v>
      </c>
      <c r="U463">
        <v>5</v>
      </c>
      <c r="V463" s="8">
        <f>IF(Matrice1!$Q463="Pro Monde",10%,IF(AND(Matrice1!$R463&gt;12,Matrice1!$O463&gt;5),70%,IF(AND(OR(Matrice1!$R463&gt;=4,Matrice1!$R463&lt;=12,Matrice1!$O463&lt;5,(OR(Matrice1!$Q463="Premium ")))),45%,0%)))</f>
        <v>0.45</v>
      </c>
      <c r="W463">
        <f>Matrice1!$T463* (Matrice1!$V463/100)</f>
        <v>0.30357000000000001</v>
      </c>
    </row>
    <row r="464" spans="1:23" x14ac:dyDescent="0.3">
      <c r="A464" s="1" t="s">
        <v>805</v>
      </c>
      <c r="B464" s="2">
        <v>45203</v>
      </c>
      <c r="C464" s="3">
        <v>0.51180555555555551</v>
      </c>
      <c r="D464" s="1" t="s">
        <v>835</v>
      </c>
      <c r="E464">
        <v>64</v>
      </c>
      <c r="F464" s="1" t="s">
        <v>812</v>
      </c>
      <c r="G464" s="1" t="s">
        <v>835</v>
      </c>
      <c r="H464" s="1" t="s">
        <v>73</v>
      </c>
      <c r="I464">
        <v>0.23583499999999999</v>
      </c>
      <c r="J464">
        <v>24.889558999999998</v>
      </c>
      <c r="K464" s="1" t="s">
        <v>1500</v>
      </c>
      <c r="L464" s="1" t="s">
        <v>1501</v>
      </c>
      <c r="M464" s="1" t="s">
        <v>552</v>
      </c>
      <c r="N464" s="1" t="s">
        <v>73</v>
      </c>
      <c r="O464" s="1" t="str">
        <f>INT(Matrice1!$P464/12) &amp; " ans et " &amp; MOD(Matrice1!$P464,12) &amp; " mois"</f>
        <v>6 ans et 2 mois</v>
      </c>
      <c r="P464">
        <v>74</v>
      </c>
      <c r="Q464" s="1" t="s">
        <v>19</v>
      </c>
      <c r="R464" s="4">
        <f>Matrice1!$S464/1440</f>
        <v>0.26944444444444443</v>
      </c>
      <c r="S464">
        <v>388</v>
      </c>
      <c r="T464">
        <v>10.89</v>
      </c>
      <c r="U464">
        <v>4</v>
      </c>
      <c r="V464" s="8">
        <f>IF(Matrice1!$Q464="Pro Monde",10%,IF(AND(Matrice1!$R464&gt;12,Matrice1!$O464&gt;5),70%,IF(AND(OR(Matrice1!$R464&gt;=4,Matrice1!$R464&lt;=12,Matrice1!$O464&lt;5,(OR(Matrice1!$Q464="Premium ")))),45%,0%)))</f>
        <v>0.45</v>
      </c>
      <c r="W464">
        <f>Matrice1!$T464* (Matrice1!$V464/100)</f>
        <v>4.9005000000000007E-2</v>
      </c>
    </row>
    <row r="465" spans="1:23" x14ac:dyDescent="0.3">
      <c r="A465" s="1" t="s">
        <v>805</v>
      </c>
      <c r="B465" s="2">
        <v>45203</v>
      </c>
      <c r="C465" s="3">
        <v>0.51180555555555551</v>
      </c>
      <c r="D465" s="1" t="s">
        <v>835</v>
      </c>
      <c r="E465">
        <v>64</v>
      </c>
      <c r="F465" s="1" t="s">
        <v>812</v>
      </c>
      <c r="G465" s="1" t="s">
        <v>835</v>
      </c>
      <c r="H465" s="1" t="s">
        <v>73</v>
      </c>
      <c r="I465">
        <v>0.23583499999999999</v>
      </c>
      <c r="J465">
        <v>24.889558999999998</v>
      </c>
      <c r="K465" s="1" t="s">
        <v>1500</v>
      </c>
      <c r="L465" s="1" t="s">
        <v>1501</v>
      </c>
      <c r="M465" s="1" t="s">
        <v>553</v>
      </c>
      <c r="N465" s="1" t="s">
        <v>73</v>
      </c>
      <c r="O465" s="1" t="str">
        <f>INT(Matrice1!$P465/12) &amp; " ans et " &amp; MOD(Matrice1!$P465,12) &amp; " mois"</f>
        <v>3 ans et 11 mois</v>
      </c>
      <c r="P465">
        <v>47</v>
      </c>
      <c r="Q465" s="1" t="s">
        <v>11</v>
      </c>
      <c r="R465" s="4">
        <f>Matrice1!$S465/1440</f>
        <v>0.24305555555555555</v>
      </c>
      <c r="S465">
        <v>350</v>
      </c>
      <c r="T465">
        <v>80.48</v>
      </c>
      <c r="U465">
        <v>3</v>
      </c>
      <c r="V465" s="8">
        <f>IF(Matrice1!$Q465="Pro Monde",10%,IF(AND(Matrice1!$R465&gt;12,Matrice1!$O465&gt;5),70%,IF(AND(OR(Matrice1!$R465&gt;=4,Matrice1!$R465&lt;=12,Matrice1!$O465&lt;5,(OR(Matrice1!$Q465="Premium ")))),45%,0%)))</f>
        <v>0.45</v>
      </c>
      <c r="W465">
        <f>Matrice1!$T465* (Matrice1!$V465/100)</f>
        <v>0.36216000000000004</v>
      </c>
    </row>
    <row r="466" spans="1:23" x14ac:dyDescent="0.3">
      <c r="A466" s="1" t="s">
        <v>805</v>
      </c>
      <c r="B466" s="2">
        <v>45203</v>
      </c>
      <c r="C466" s="3">
        <v>0.51180555555555551</v>
      </c>
      <c r="D466" s="1" t="s">
        <v>835</v>
      </c>
      <c r="E466">
        <v>64</v>
      </c>
      <c r="F466" s="1" t="s">
        <v>812</v>
      </c>
      <c r="G466" s="1" t="s">
        <v>835</v>
      </c>
      <c r="H466" s="1" t="s">
        <v>73</v>
      </c>
      <c r="I466">
        <v>0.23583499999999999</v>
      </c>
      <c r="J466">
        <v>24.889558999999998</v>
      </c>
      <c r="K466" s="1" t="s">
        <v>1500</v>
      </c>
      <c r="L466" s="1" t="s">
        <v>1501</v>
      </c>
      <c r="M466" s="1" t="s">
        <v>557</v>
      </c>
      <c r="N466" s="1" t="s">
        <v>73</v>
      </c>
      <c r="O466" s="1" t="str">
        <f>INT(Matrice1!$P466/12) &amp; " ans et " &amp; MOD(Matrice1!$P466,12) &amp; " mois"</f>
        <v>1 ans et 11 mois</v>
      </c>
      <c r="P466">
        <v>23</v>
      </c>
      <c r="Q466" s="1" t="s">
        <v>19</v>
      </c>
      <c r="R466" s="4">
        <f>Matrice1!$S466/1440</f>
        <v>0.22569444444444445</v>
      </c>
      <c r="S466">
        <v>325</v>
      </c>
      <c r="T466">
        <v>65.489999999999995</v>
      </c>
      <c r="U466">
        <v>1</v>
      </c>
      <c r="V466" s="8">
        <f>IF(Matrice1!$Q466="Pro Monde",10%,IF(AND(Matrice1!$R466&gt;12,Matrice1!$O466&gt;5),70%,IF(AND(OR(Matrice1!$R466&gt;=4,Matrice1!$R466&lt;=12,Matrice1!$O466&lt;5,(OR(Matrice1!$Q466="Premium ")))),45%,0%)))</f>
        <v>0.45</v>
      </c>
      <c r="W466">
        <f>Matrice1!$T466* (Matrice1!$V466/100)</f>
        <v>0.29470499999999999</v>
      </c>
    </row>
    <row r="467" spans="1:23" x14ac:dyDescent="0.3">
      <c r="A467" s="1" t="s">
        <v>1161</v>
      </c>
      <c r="B467" s="2">
        <v>45207</v>
      </c>
      <c r="C467" s="3">
        <v>0.13333333333333333</v>
      </c>
      <c r="D467" s="1" t="s">
        <v>1165</v>
      </c>
      <c r="E467">
        <v>66</v>
      </c>
      <c r="F467" s="1" t="s">
        <v>810</v>
      </c>
      <c r="G467" s="1" t="s">
        <v>1165</v>
      </c>
      <c r="H467" s="1" t="s">
        <v>57</v>
      </c>
      <c r="I467">
        <v>-5.4073029999999997</v>
      </c>
      <c r="J467">
        <v>29.762294000000001</v>
      </c>
      <c r="K467" s="1" t="s">
        <v>1500</v>
      </c>
      <c r="L467" s="1" t="s">
        <v>1496</v>
      </c>
      <c r="M467" s="1" t="s">
        <v>56</v>
      </c>
      <c r="N467" s="1" t="s">
        <v>57</v>
      </c>
      <c r="O467" s="1" t="str">
        <f>INT(Matrice1!$P467/12) &amp; " ans et " &amp; MOD(Matrice1!$P467,12) &amp; " mois"</f>
        <v>8 ans et 1 mois</v>
      </c>
      <c r="P467">
        <v>97</v>
      </c>
      <c r="Q467" s="1" t="s">
        <v>14</v>
      </c>
      <c r="R467" s="4">
        <f>Matrice1!$S467/1440</f>
        <v>0.22152777777777777</v>
      </c>
      <c r="S467">
        <v>319</v>
      </c>
      <c r="T467">
        <v>31.25</v>
      </c>
      <c r="U467">
        <v>1</v>
      </c>
      <c r="V467" s="8">
        <f>IF(Matrice1!$Q467="Pro Monde",10%,IF(AND(Matrice1!$R467&gt;12,Matrice1!$O467&gt;5),70%,IF(AND(OR(Matrice1!$R467&gt;=4,Matrice1!$R467&lt;=12,Matrice1!$O467&lt;5,(OR(Matrice1!$Q467="Premium ")))),45%,0%)))</f>
        <v>0.1</v>
      </c>
      <c r="W467">
        <f>Matrice1!$T467* (Matrice1!$V467/100)</f>
        <v>3.125E-2</v>
      </c>
    </row>
    <row r="468" spans="1:23" x14ac:dyDescent="0.3">
      <c r="A468" s="1" t="s">
        <v>1161</v>
      </c>
      <c r="B468" s="2">
        <v>45207</v>
      </c>
      <c r="C468" s="3">
        <v>0.13333333333333333</v>
      </c>
      <c r="D468" s="1" t="s">
        <v>1165</v>
      </c>
      <c r="E468">
        <v>66</v>
      </c>
      <c r="F468" s="1" t="s">
        <v>810</v>
      </c>
      <c r="G468" s="1" t="s">
        <v>1165</v>
      </c>
      <c r="H468" s="1" t="s">
        <v>57</v>
      </c>
      <c r="I468">
        <v>-5.4073029999999997</v>
      </c>
      <c r="J468">
        <v>29.762294000000001</v>
      </c>
      <c r="K468" s="1" t="s">
        <v>1500</v>
      </c>
      <c r="L468" s="1" t="s">
        <v>1496</v>
      </c>
      <c r="M468" s="1" t="s">
        <v>82</v>
      </c>
      <c r="N468" s="1" t="s">
        <v>57</v>
      </c>
      <c r="O468" s="1" t="str">
        <f>INT(Matrice1!$P468/12) &amp; " ans et " &amp; MOD(Matrice1!$P468,12) &amp; " mois"</f>
        <v>9 ans et 9 mois</v>
      </c>
      <c r="P468">
        <v>117</v>
      </c>
      <c r="Q468" s="1" t="s">
        <v>22</v>
      </c>
      <c r="R468" s="4">
        <f>Matrice1!$S468/1440</f>
        <v>0.11874999999999999</v>
      </c>
      <c r="S468">
        <v>171</v>
      </c>
      <c r="T468">
        <v>50.89</v>
      </c>
      <c r="U468">
        <v>4</v>
      </c>
      <c r="V468" s="8">
        <f>IF(Matrice1!$Q468="Pro Monde",10%,IF(AND(Matrice1!$R468&gt;12,Matrice1!$O468&gt;5),70%,IF(AND(OR(Matrice1!$R468&gt;=4,Matrice1!$R468&lt;=12,Matrice1!$O468&lt;5,(OR(Matrice1!$Q468="Premium ")))),45%,0%)))</f>
        <v>0.45</v>
      </c>
      <c r="W468">
        <f>Matrice1!$T468* (Matrice1!$V468/100)</f>
        <v>0.22900500000000004</v>
      </c>
    </row>
    <row r="469" spans="1:23" x14ac:dyDescent="0.3">
      <c r="A469" s="1" t="s">
        <v>1161</v>
      </c>
      <c r="B469" s="2">
        <v>45207</v>
      </c>
      <c r="C469" s="3">
        <v>0.13333333333333333</v>
      </c>
      <c r="D469" s="1" t="s">
        <v>1165</v>
      </c>
      <c r="E469">
        <v>66</v>
      </c>
      <c r="F469" s="1" t="s">
        <v>810</v>
      </c>
      <c r="G469" s="1" t="s">
        <v>1165</v>
      </c>
      <c r="H469" s="1" t="s">
        <v>57</v>
      </c>
      <c r="I469">
        <v>-5.4073029999999997</v>
      </c>
      <c r="J469">
        <v>29.762294000000001</v>
      </c>
      <c r="K469" s="1" t="s">
        <v>1500</v>
      </c>
      <c r="L469" s="1" t="s">
        <v>1496</v>
      </c>
      <c r="M469" s="1" t="s">
        <v>143</v>
      </c>
      <c r="N469" s="1" t="s">
        <v>57</v>
      </c>
      <c r="O469" s="1" t="str">
        <f>INT(Matrice1!$P469/12) &amp; " ans et " &amp; MOD(Matrice1!$P469,12) &amp; " mois"</f>
        <v>6 ans et 7 mois</v>
      </c>
      <c r="P469">
        <v>79</v>
      </c>
      <c r="Q469" s="1" t="s">
        <v>22</v>
      </c>
      <c r="R469" s="4">
        <f>Matrice1!$S469/1440</f>
        <v>0.27986111111111112</v>
      </c>
      <c r="S469">
        <v>403</v>
      </c>
      <c r="T469">
        <v>21.49</v>
      </c>
      <c r="U469">
        <v>0</v>
      </c>
      <c r="V469" s="8">
        <f>IF(Matrice1!$Q469="Pro Monde",10%,IF(AND(Matrice1!$R469&gt;12,Matrice1!$O469&gt;5),70%,IF(AND(OR(Matrice1!$R469&gt;=4,Matrice1!$R469&lt;=12,Matrice1!$O469&lt;5,(OR(Matrice1!$Q469="Premium ")))),45%,0%)))</f>
        <v>0.45</v>
      </c>
      <c r="W469">
        <f>Matrice1!$T469* (Matrice1!$V469/100)</f>
        <v>9.6704999999999999E-2</v>
      </c>
    </row>
    <row r="470" spans="1:23" x14ac:dyDescent="0.3">
      <c r="A470" s="1" t="s">
        <v>1161</v>
      </c>
      <c r="B470" s="2">
        <v>45207</v>
      </c>
      <c r="C470" s="3">
        <v>0.13333333333333333</v>
      </c>
      <c r="D470" s="1" t="s">
        <v>1165</v>
      </c>
      <c r="E470">
        <v>66</v>
      </c>
      <c r="F470" s="1" t="s">
        <v>810</v>
      </c>
      <c r="G470" s="1" t="s">
        <v>1165</v>
      </c>
      <c r="H470" s="1" t="s">
        <v>57</v>
      </c>
      <c r="I470">
        <v>-5.4073029999999997</v>
      </c>
      <c r="J470">
        <v>29.762294000000001</v>
      </c>
      <c r="K470" s="1" t="s">
        <v>1500</v>
      </c>
      <c r="L470" s="1" t="s">
        <v>1496</v>
      </c>
      <c r="M470" s="1" t="s">
        <v>144</v>
      </c>
      <c r="N470" s="1" t="s">
        <v>57</v>
      </c>
      <c r="O470" s="1" t="str">
        <f>INT(Matrice1!$P470/12) &amp; " ans et " &amp; MOD(Matrice1!$P470,12) &amp; " mois"</f>
        <v>2 ans et 9 mois</v>
      </c>
      <c r="P470">
        <v>33</v>
      </c>
      <c r="Q470" s="1" t="s">
        <v>22</v>
      </c>
      <c r="R470" s="4">
        <f>Matrice1!$S470/1440</f>
        <v>0.23402777777777778</v>
      </c>
      <c r="S470">
        <v>337</v>
      </c>
      <c r="T470">
        <v>62.61</v>
      </c>
      <c r="U470">
        <v>2</v>
      </c>
      <c r="V470" s="8">
        <f>IF(Matrice1!$Q470="Pro Monde",10%,IF(AND(Matrice1!$R470&gt;12,Matrice1!$O470&gt;5),70%,IF(AND(OR(Matrice1!$R470&gt;=4,Matrice1!$R470&lt;=12,Matrice1!$O470&lt;5,(OR(Matrice1!$Q470="Premium ")))),45%,0%)))</f>
        <v>0.45</v>
      </c>
      <c r="W470">
        <f>Matrice1!$T470* (Matrice1!$V470/100)</f>
        <v>0.28174500000000002</v>
      </c>
    </row>
    <row r="471" spans="1:23" x14ac:dyDescent="0.3">
      <c r="A471" s="1" t="s">
        <v>1161</v>
      </c>
      <c r="B471" s="2">
        <v>45207</v>
      </c>
      <c r="C471" s="3">
        <v>0.13333333333333333</v>
      </c>
      <c r="D471" s="1" t="s">
        <v>1165</v>
      </c>
      <c r="E471">
        <v>66</v>
      </c>
      <c r="F471" s="1" t="s">
        <v>810</v>
      </c>
      <c r="G471" s="1" t="s">
        <v>1165</v>
      </c>
      <c r="H471" s="1" t="s">
        <v>57</v>
      </c>
      <c r="I471">
        <v>-5.4073029999999997</v>
      </c>
      <c r="J471">
        <v>29.762294000000001</v>
      </c>
      <c r="K471" s="1" t="s">
        <v>1500</v>
      </c>
      <c r="L471" s="1" t="s">
        <v>1496</v>
      </c>
      <c r="M471" s="1" t="s">
        <v>181</v>
      </c>
      <c r="N471" s="1" t="s">
        <v>57</v>
      </c>
      <c r="O471" s="1" t="str">
        <f>INT(Matrice1!$P471/12) &amp; " ans et " &amp; MOD(Matrice1!$P471,12) &amp; " mois"</f>
        <v>2 ans et 1 mois</v>
      </c>
      <c r="P471">
        <v>25</v>
      </c>
      <c r="Q471" s="1" t="s">
        <v>19</v>
      </c>
      <c r="R471" s="4">
        <f>Matrice1!$S471/1440</f>
        <v>9.0972222222222218E-2</v>
      </c>
      <c r="S471">
        <v>131</v>
      </c>
      <c r="T471">
        <v>67.489999999999995</v>
      </c>
      <c r="U471">
        <v>0</v>
      </c>
      <c r="V471" s="8">
        <f>IF(Matrice1!$Q471="Pro Monde",10%,IF(AND(Matrice1!$R471&gt;12,Matrice1!$O471&gt;5),70%,IF(AND(OR(Matrice1!$R471&gt;=4,Matrice1!$R471&lt;=12,Matrice1!$O471&lt;5,(OR(Matrice1!$Q471="Premium ")))),45%,0%)))</f>
        <v>0.45</v>
      </c>
      <c r="W471">
        <f>Matrice1!$T471* (Matrice1!$V471/100)</f>
        <v>0.303705</v>
      </c>
    </row>
    <row r="472" spans="1:23" x14ac:dyDescent="0.3">
      <c r="A472" s="1" t="s">
        <v>1161</v>
      </c>
      <c r="B472" s="2">
        <v>45207</v>
      </c>
      <c r="C472" s="3">
        <v>0.13333333333333333</v>
      </c>
      <c r="D472" s="1" t="s">
        <v>1165</v>
      </c>
      <c r="E472">
        <v>66</v>
      </c>
      <c r="F472" s="1" t="s">
        <v>810</v>
      </c>
      <c r="G472" s="1" t="s">
        <v>1165</v>
      </c>
      <c r="H472" s="1" t="s">
        <v>57</v>
      </c>
      <c r="I472">
        <v>-5.4073029999999997</v>
      </c>
      <c r="J472">
        <v>29.762294000000001</v>
      </c>
      <c r="K472" s="1" t="s">
        <v>1500</v>
      </c>
      <c r="L472" s="1" t="s">
        <v>1496</v>
      </c>
      <c r="M472" s="1" t="s">
        <v>209</v>
      </c>
      <c r="N472" s="1" t="s">
        <v>57</v>
      </c>
      <c r="O472" s="1" t="str">
        <f>INT(Matrice1!$P472/12) &amp; " ans et " &amp; MOD(Matrice1!$P472,12) &amp; " mois"</f>
        <v>5 ans et 1 mois</v>
      </c>
      <c r="P472">
        <v>61</v>
      </c>
      <c r="Q472" s="1" t="s">
        <v>19</v>
      </c>
      <c r="R472" s="4">
        <f>Matrice1!$S472/1440</f>
        <v>0.26597222222222222</v>
      </c>
      <c r="S472">
        <v>383</v>
      </c>
      <c r="T472">
        <v>39.72</v>
      </c>
      <c r="U472">
        <v>4</v>
      </c>
      <c r="V472" s="8">
        <f>IF(Matrice1!$Q472="Pro Monde",10%,IF(AND(Matrice1!$R472&gt;12,Matrice1!$O472&gt;5),70%,IF(AND(OR(Matrice1!$R472&gt;=4,Matrice1!$R472&lt;=12,Matrice1!$O472&lt;5,(OR(Matrice1!$Q472="Premium ")))),45%,0%)))</f>
        <v>0.45</v>
      </c>
      <c r="W472">
        <f>Matrice1!$T472* (Matrice1!$V472/100)</f>
        <v>0.17874000000000001</v>
      </c>
    </row>
    <row r="473" spans="1:23" x14ac:dyDescent="0.3">
      <c r="A473" s="1" t="s">
        <v>1161</v>
      </c>
      <c r="B473" s="2">
        <v>45207</v>
      </c>
      <c r="C473" s="3">
        <v>0.13333333333333333</v>
      </c>
      <c r="D473" s="1" t="s">
        <v>1165</v>
      </c>
      <c r="E473">
        <v>66</v>
      </c>
      <c r="F473" s="1" t="s">
        <v>810</v>
      </c>
      <c r="G473" s="1" t="s">
        <v>1165</v>
      </c>
      <c r="H473" s="1" t="s">
        <v>57</v>
      </c>
      <c r="I473">
        <v>-5.4073029999999997</v>
      </c>
      <c r="J473">
        <v>29.762294000000001</v>
      </c>
      <c r="K473" s="1" t="s">
        <v>1500</v>
      </c>
      <c r="L473" s="1" t="s">
        <v>1496</v>
      </c>
      <c r="M473" s="1" t="s">
        <v>220</v>
      </c>
      <c r="N473" s="1" t="s">
        <v>57</v>
      </c>
      <c r="O473" s="1" t="str">
        <f>INT(Matrice1!$P473/12) &amp; " ans et " &amp; MOD(Matrice1!$P473,12) &amp; " mois"</f>
        <v>2 ans et 5 mois</v>
      </c>
      <c r="P473">
        <v>29</v>
      </c>
      <c r="Q473" s="1" t="s">
        <v>22</v>
      </c>
      <c r="R473" s="4">
        <f>Matrice1!$S473/1440</f>
        <v>0.28888888888888886</v>
      </c>
      <c r="S473">
        <v>416</v>
      </c>
      <c r="T473">
        <v>61.26</v>
      </c>
      <c r="U473">
        <v>0</v>
      </c>
      <c r="V473" s="8">
        <f>IF(Matrice1!$Q473="Pro Monde",10%,IF(AND(Matrice1!$R473&gt;12,Matrice1!$O473&gt;5),70%,IF(AND(OR(Matrice1!$R473&gt;=4,Matrice1!$R473&lt;=12,Matrice1!$O473&lt;5,(OR(Matrice1!$Q473="Premium ")))),45%,0%)))</f>
        <v>0.45</v>
      </c>
      <c r="W473">
        <f>Matrice1!$T473* (Matrice1!$V473/100)</f>
        <v>0.27567000000000003</v>
      </c>
    </row>
    <row r="474" spans="1:23" x14ac:dyDescent="0.3">
      <c r="A474" s="1" t="s">
        <v>1161</v>
      </c>
      <c r="B474" s="2">
        <v>45207</v>
      </c>
      <c r="C474" s="3">
        <v>0.13333333333333333</v>
      </c>
      <c r="D474" s="1" t="s">
        <v>1165</v>
      </c>
      <c r="E474">
        <v>66</v>
      </c>
      <c r="F474" s="1" t="s">
        <v>810</v>
      </c>
      <c r="G474" s="1" t="s">
        <v>1165</v>
      </c>
      <c r="H474" s="1" t="s">
        <v>57</v>
      </c>
      <c r="I474">
        <v>-5.4073029999999997</v>
      </c>
      <c r="J474">
        <v>29.762294000000001</v>
      </c>
      <c r="K474" s="1" t="s">
        <v>1500</v>
      </c>
      <c r="L474" s="1" t="s">
        <v>1496</v>
      </c>
      <c r="M474" s="1" t="s">
        <v>248</v>
      </c>
      <c r="N474" s="1" t="s">
        <v>57</v>
      </c>
      <c r="O474" s="1" t="str">
        <f>INT(Matrice1!$P474/12) &amp; " ans et " &amp; MOD(Matrice1!$P474,12) &amp; " mois"</f>
        <v>6 ans et 10 mois</v>
      </c>
      <c r="P474">
        <v>82</v>
      </c>
      <c r="Q474" s="1" t="s">
        <v>11</v>
      </c>
      <c r="R474" s="4">
        <f>Matrice1!$S474/1440</f>
        <v>6.1111111111111109E-2</v>
      </c>
      <c r="S474">
        <v>88</v>
      </c>
      <c r="T474">
        <v>86.64</v>
      </c>
      <c r="U474">
        <v>1</v>
      </c>
      <c r="V474" s="8">
        <f>IF(Matrice1!$Q474="Pro Monde",10%,IF(AND(Matrice1!$R474&gt;12,Matrice1!$O474&gt;5),70%,IF(AND(OR(Matrice1!$R474&gt;=4,Matrice1!$R474&lt;=12,Matrice1!$O474&lt;5,(OR(Matrice1!$Q474="Premium ")))),45%,0%)))</f>
        <v>0.45</v>
      </c>
      <c r="W474">
        <f>Matrice1!$T474* (Matrice1!$V474/100)</f>
        <v>0.38988000000000006</v>
      </c>
    </row>
    <row r="475" spans="1:23" x14ac:dyDescent="0.3">
      <c r="A475" s="1" t="s">
        <v>1161</v>
      </c>
      <c r="B475" s="2">
        <v>45207</v>
      </c>
      <c r="C475" s="3">
        <v>0.13333333333333333</v>
      </c>
      <c r="D475" s="1" t="s">
        <v>1165</v>
      </c>
      <c r="E475">
        <v>66</v>
      </c>
      <c r="F475" s="1" t="s">
        <v>810</v>
      </c>
      <c r="G475" s="1" t="s">
        <v>1165</v>
      </c>
      <c r="H475" s="1" t="s">
        <v>57</v>
      </c>
      <c r="I475">
        <v>-5.4073029999999997</v>
      </c>
      <c r="J475">
        <v>29.762294000000001</v>
      </c>
      <c r="K475" s="1" t="s">
        <v>1500</v>
      </c>
      <c r="L475" s="1" t="s">
        <v>1496</v>
      </c>
      <c r="M475" s="1" t="s">
        <v>263</v>
      </c>
      <c r="N475" s="1" t="s">
        <v>57</v>
      </c>
      <c r="O475" s="1" t="str">
        <f>INT(Matrice1!$P475/12) &amp; " ans et " &amp; MOD(Matrice1!$P475,12) &amp; " mois"</f>
        <v>1 ans et 3 mois</v>
      </c>
      <c r="P475">
        <v>15</v>
      </c>
      <c r="Q475" s="1" t="s">
        <v>19</v>
      </c>
      <c r="R475" s="4">
        <f>Matrice1!$S475/1440</f>
        <v>0.22152777777777777</v>
      </c>
      <c r="S475">
        <v>319</v>
      </c>
      <c r="T475">
        <v>78.150000000000006</v>
      </c>
      <c r="U475">
        <v>4</v>
      </c>
      <c r="V475" s="8">
        <f>IF(Matrice1!$Q475="Pro Monde",10%,IF(AND(Matrice1!$R475&gt;12,Matrice1!$O475&gt;5),70%,IF(AND(OR(Matrice1!$R475&gt;=4,Matrice1!$R475&lt;=12,Matrice1!$O475&lt;5,(OR(Matrice1!$Q475="Premium ")))),45%,0%)))</f>
        <v>0.45</v>
      </c>
      <c r="W475">
        <f>Matrice1!$T475* (Matrice1!$V475/100)</f>
        <v>0.35167500000000007</v>
      </c>
    </row>
    <row r="476" spans="1:23" x14ac:dyDescent="0.3">
      <c r="A476" s="1" t="s">
        <v>1161</v>
      </c>
      <c r="B476" s="2">
        <v>45207</v>
      </c>
      <c r="C476" s="3">
        <v>0.13333333333333333</v>
      </c>
      <c r="D476" s="1" t="s">
        <v>1165</v>
      </c>
      <c r="E476">
        <v>66</v>
      </c>
      <c r="F476" s="1" t="s">
        <v>810</v>
      </c>
      <c r="G476" s="1" t="s">
        <v>1165</v>
      </c>
      <c r="H476" s="1" t="s">
        <v>57</v>
      </c>
      <c r="I476">
        <v>-5.4073029999999997</v>
      </c>
      <c r="J476">
        <v>29.762294000000001</v>
      </c>
      <c r="K476" s="1" t="s">
        <v>1500</v>
      </c>
      <c r="L476" s="1" t="s">
        <v>1496</v>
      </c>
      <c r="M476" s="1" t="s">
        <v>350</v>
      </c>
      <c r="N476" s="1" t="s">
        <v>57</v>
      </c>
      <c r="O476" s="1" t="str">
        <f>INT(Matrice1!$P476/12) &amp; " ans et " &amp; MOD(Matrice1!$P476,12) &amp; " mois"</f>
        <v>8 ans et 3 mois</v>
      </c>
      <c r="P476">
        <v>99</v>
      </c>
      <c r="Q476" s="1" t="s">
        <v>19</v>
      </c>
      <c r="R476" s="4">
        <f>Matrice1!$S476/1440</f>
        <v>1.9444444444444445E-2</v>
      </c>
      <c r="S476">
        <v>28</v>
      </c>
      <c r="T476">
        <v>70.19</v>
      </c>
      <c r="U476">
        <v>1</v>
      </c>
      <c r="V476" s="8">
        <f>IF(Matrice1!$Q476="Pro Monde",10%,IF(AND(Matrice1!$R476&gt;12,Matrice1!$O476&gt;5),70%,IF(AND(OR(Matrice1!$R476&gt;=4,Matrice1!$R476&lt;=12,Matrice1!$O476&lt;5,(OR(Matrice1!$Q476="Premium ")))),45%,0%)))</f>
        <v>0.45</v>
      </c>
      <c r="W476">
        <f>Matrice1!$T476* (Matrice1!$V476/100)</f>
        <v>0.31585500000000005</v>
      </c>
    </row>
    <row r="477" spans="1:23" x14ac:dyDescent="0.3">
      <c r="A477" s="1" t="s">
        <v>1161</v>
      </c>
      <c r="B477" s="2">
        <v>45207</v>
      </c>
      <c r="C477" s="3">
        <v>0.13333333333333333</v>
      </c>
      <c r="D477" s="1" t="s">
        <v>1165</v>
      </c>
      <c r="E477">
        <v>66</v>
      </c>
      <c r="F477" s="1" t="s">
        <v>810</v>
      </c>
      <c r="G477" s="1" t="s">
        <v>1165</v>
      </c>
      <c r="H477" s="1" t="s">
        <v>57</v>
      </c>
      <c r="I477">
        <v>-5.4073029999999997</v>
      </c>
      <c r="J477">
        <v>29.762294000000001</v>
      </c>
      <c r="K477" s="1" t="s">
        <v>1500</v>
      </c>
      <c r="L477" s="1" t="s">
        <v>1496</v>
      </c>
      <c r="M477" s="1" t="s">
        <v>369</v>
      </c>
      <c r="N477" s="1" t="s">
        <v>57</v>
      </c>
      <c r="O477" s="1" t="str">
        <f>INT(Matrice1!$P477/12) &amp; " ans et " &amp; MOD(Matrice1!$P477,12) &amp; " mois"</f>
        <v>1 ans et 7 mois</v>
      </c>
      <c r="P477">
        <v>19</v>
      </c>
      <c r="Q477" s="1" t="s">
        <v>19</v>
      </c>
      <c r="R477" s="4">
        <f>Matrice1!$S477/1440</f>
        <v>8.6805555555555552E-2</v>
      </c>
      <c r="S477">
        <v>125</v>
      </c>
      <c r="T477">
        <v>11.78</v>
      </c>
      <c r="U477">
        <v>4</v>
      </c>
      <c r="V477" s="8">
        <f>IF(Matrice1!$Q477="Pro Monde",10%,IF(AND(Matrice1!$R477&gt;12,Matrice1!$O477&gt;5),70%,IF(AND(OR(Matrice1!$R477&gt;=4,Matrice1!$R477&lt;=12,Matrice1!$O477&lt;5,(OR(Matrice1!$Q477="Premium ")))),45%,0%)))</f>
        <v>0.45</v>
      </c>
      <c r="W477">
        <f>Matrice1!$T477* (Matrice1!$V477/100)</f>
        <v>5.3010000000000002E-2</v>
      </c>
    </row>
    <row r="478" spans="1:23" x14ac:dyDescent="0.3">
      <c r="A478" s="1" t="s">
        <v>1161</v>
      </c>
      <c r="B478" s="2">
        <v>45207</v>
      </c>
      <c r="C478" s="3">
        <v>0.13333333333333333</v>
      </c>
      <c r="D478" s="1" t="s">
        <v>1165</v>
      </c>
      <c r="E478">
        <v>66</v>
      </c>
      <c r="F478" s="1" t="s">
        <v>810</v>
      </c>
      <c r="G478" s="1" t="s">
        <v>1165</v>
      </c>
      <c r="H478" s="1" t="s">
        <v>57</v>
      </c>
      <c r="I478">
        <v>-5.4073029999999997</v>
      </c>
      <c r="J478">
        <v>29.762294000000001</v>
      </c>
      <c r="K478" s="1" t="s">
        <v>1500</v>
      </c>
      <c r="L478" s="1" t="s">
        <v>1496</v>
      </c>
      <c r="M478" s="1" t="s">
        <v>370</v>
      </c>
      <c r="N478" s="1" t="s">
        <v>57</v>
      </c>
      <c r="O478" s="1" t="str">
        <f>INT(Matrice1!$P478/12) &amp; " ans et " &amp; MOD(Matrice1!$P478,12) &amp; " mois"</f>
        <v>8 ans et 9 mois</v>
      </c>
      <c r="P478">
        <v>105</v>
      </c>
      <c r="Q478" s="1" t="s">
        <v>11</v>
      </c>
      <c r="R478" s="4">
        <f>Matrice1!$S478/1440</f>
        <v>1.1805555555555555E-2</v>
      </c>
      <c r="S478">
        <v>17</v>
      </c>
      <c r="T478">
        <v>60.05</v>
      </c>
      <c r="U478">
        <v>4</v>
      </c>
      <c r="V478" s="8">
        <f>IF(Matrice1!$Q478="Pro Monde",10%,IF(AND(Matrice1!$R478&gt;12,Matrice1!$O478&gt;5),70%,IF(AND(OR(Matrice1!$R478&gt;=4,Matrice1!$R478&lt;=12,Matrice1!$O478&lt;5,(OR(Matrice1!$Q478="Premium ")))),45%,0%)))</f>
        <v>0.45</v>
      </c>
      <c r="W478">
        <f>Matrice1!$T478* (Matrice1!$V478/100)</f>
        <v>0.27022499999999999</v>
      </c>
    </row>
    <row r="479" spans="1:23" x14ac:dyDescent="0.3">
      <c r="A479" s="1" t="s">
        <v>1161</v>
      </c>
      <c r="B479" s="2">
        <v>45207</v>
      </c>
      <c r="C479" s="3">
        <v>0.13333333333333333</v>
      </c>
      <c r="D479" s="1" t="s">
        <v>1165</v>
      </c>
      <c r="E479">
        <v>66</v>
      </c>
      <c r="F479" s="1" t="s">
        <v>810</v>
      </c>
      <c r="G479" s="1" t="s">
        <v>1165</v>
      </c>
      <c r="H479" s="1" t="s">
        <v>57</v>
      </c>
      <c r="I479">
        <v>-5.4073029999999997</v>
      </c>
      <c r="J479">
        <v>29.762294000000001</v>
      </c>
      <c r="K479" s="1" t="s">
        <v>1500</v>
      </c>
      <c r="L479" s="1" t="s">
        <v>1496</v>
      </c>
      <c r="M479" s="1" t="s">
        <v>432</v>
      </c>
      <c r="N479" s="1" t="s">
        <v>57</v>
      </c>
      <c r="O479" s="1" t="str">
        <f>INT(Matrice1!$P479/12) &amp; " ans et " &amp; MOD(Matrice1!$P479,12) &amp; " mois"</f>
        <v>6 ans et 6 mois</v>
      </c>
      <c r="P479">
        <v>78</v>
      </c>
      <c r="Q479" s="1" t="s">
        <v>19</v>
      </c>
      <c r="R479" s="4">
        <f>Matrice1!$S479/1440</f>
        <v>3.9583333333333331E-2</v>
      </c>
      <c r="S479">
        <v>57</v>
      </c>
      <c r="T479">
        <v>49.47</v>
      </c>
      <c r="U479">
        <v>0</v>
      </c>
      <c r="V479" s="8">
        <f>IF(Matrice1!$Q479="Pro Monde",10%,IF(AND(Matrice1!$R479&gt;12,Matrice1!$O479&gt;5),70%,IF(AND(OR(Matrice1!$R479&gt;=4,Matrice1!$R479&lt;=12,Matrice1!$O479&lt;5,(OR(Matrice1!$Q479="Premium ")))),45%,0%)))</f>
        <v>0.45</v>
      </c>
      <c r="W479">
        <f>Matrice1!$T479* (Matrice1!$V479/100)</f>
        <v>0.22261500000000001</v>
      </c>
    </row>
    <row r="480" spans="1:23" x14ac:dyDescent="0.3">
      <c r="A480" s="1" t="s">
        <v>1161</v>
      </c>
      <c r="B480" s="2">
        <v>45207</v>
      </c>
      <c r="C480" s="3">
        <v>0.13333333333333333</v>
      </c>
      <c r="D480" s="1" t="s">
        <v>1165</v>
      </c>
      <c r="E480">
        <v>66</v>
      </c>
      <c r="F480" s="1" t="s">
        <v>810</v>
      </c>
      <c r="G480" s="1" t="s">
        <v>1165</v>
      </c>
      <c r="H480" s="1" t="s">
        <v>57</v>
      </c>
      <c r="I480">
        <v>-5.4073029999999997</v>
      </c>
      <c r="J480">
        <v>29.762294000000001</v>
      </c>
      <c r="K480" s="1" t="s">
        <v>1500</v>
      </c>
      <c r="L480" s="1" t="s">
        <v>1496</v>
      </c>
      <c r="M480" s="1" t="s">
        <v>448</v>
      </c>
      <c r="N480" s="1" t="s">
        <v>57</v>
      </c>
      <c r="O480" s="1" t="str">
        <f>INT(Matrice1!$P480/12) &amp; " ans et " &amp; MOD(Matrice1!$P480,12) &amp; " mois"</f>
        <v>1 ans et 3 mois</v>
      </c>
      <c r="P480">
        <v>15</v>
      </c>
      <c r="Q480" s="1" t="s">
        <v>22</v>
      </c>
      <c r="R480" s="4">
        <f>Matrice1!$S480/1440</f>
        <v>5.6250000000000001E-2</v>
      </c>
      <c r="S480">
        <v>81</v>
      </c>
      <c r="T480">
        <v>97.5</v>
      </c>
      <c r="U480">
        <v>4</v>
      </c>
      <c r="V480" s="8">
        <f>IF(Matrice1!$Q480="Pro Monde",10%,IF(AND(Matrice1!$R480&gt;12,Matrice1!$O480&gt;5),70%,IF(AND(OR(Matrice1!$R480&gt;=4,Matrice1!$R480&lt;=12,Matrice1!$O480&lt;5,(OR(Matrice1!$Q480="Premium ")))),45%,0%)))</f>
        <v>0.45</v>
      </c>
      <c r="W480">
        <f>Matrice1!$T480* (Matrice1!$V480/100)</f>
        <v>0.43875000000000003</v>
      </c>
    </row>
    <row r="481" spans="1:23" x14ac:dyDescent="0.3">
      <c r="A481" s="1" t="s">
        <v>1161</v>
      </c>
      <c r="B481" s="2">
        <v>45207</v>
      </c>
      <c r="C481" s="3">
        <v>0.13333333333333333</v>
      </c>
      <c r="D481" s="1" t="s">
        <v>1165</v>
      </c>
      <c r="E481">
        <v>66</v>
      </c>
      <c r="F481" s="1" t="s">
        <v>810</v>
      </c>
      <c r="G481" s="1" t="s">
        <v>1165</v>
      </c>
      <c r="H481" s="1" t="s">
        <v>57</v>
      </c>
      <c r="I481">
        <v>-5.4073029999999997</v>
      </c>
      <c r="J481">
        <v>29.762294000000001</v>
      </c>
      <c r="K481" s="1" t="s">
        <v>1500</v>
      </c>
      <c r="L481" s="1" t="s">
        <v>1496</v>
      </c>
      <c r="M481" s="1" t="s">
        <v>467</v>
      </c>
      <c r="N481" s="1" t="s">
        <v>57</v>
      </c>
      <c r="O481" s="1" t="str">
        <f>INT(Matrice1!$P481/12) &amp; " ans et " &amp; MOD(Matrice1!$P481,12) &amp; " mois"</f>
        <v>3 ans et 1 mois</v>
      </c>
      <c r="P481">
        <v>37</v>
      </c>
      <c r="Q481" s="1" t="s">
        <v>22</v>
      </c>
      <c r="R481" s="4">
        <f>Matrice1!$S481/1440</f>
        <v>0.10486111111111111</v>
      </c>
      <c r="S481">
        <v>151</v>
      </c>
      <c r="T481">
        <v>62.49</v>
      </c>
      <c r="U481">
        <v>3</v>
      </c>
      <c r="V481" s="8">
        <f>IF(Matrice1!$Q481="Pro Monde",10%,IF(AND(Matrice1!$R481&gt;12,Matrice1!$O481&gt;5),70%,IF(AND(OR(Matrice1!$R481&gt;=4,Matrice1!$R481&lt;=12,Matrice1!$O481&lt;5,(OR(Matrice1!$Q481="Premium ")))),45%,0%)))</f>
        <v>0.45</v>
      </c>
      <c r="W481">
        <f>Matrice1!$T481* (Matrice1!$V481/100)</f>
        <v>0.28120500000000004</v>
      </c>
    </row>
    <row r="482" spans="1:23" x14ac:dyDescent="0.3">
      <c r="A482" s="1" t="s">
        <v>1161</v>
      </c>
      <c r="B482" s="2">
        <v>45207</v>
      </c>
      <c r="C482" s="3">
        <v>0.13333333333333333</v>
      </c>
      <c r="D482" s="1" t="s">
        <v>1165</v>
      </c>
      <c r="E482">
        <v>66</v>
      </c>
      <c r="F482" s="1" t="s">
        <v>810</v>
      </c>
      <c r="G482" s="1" t="s">
        <v>1165</v>
      </c>
      <c r="H482" s="1" t="s">
        <v>57</v>
      </c>
      <c r="I482">
        <v>-5.4073029999999997</v>
      </c>
      <c r="J482">
        <v>29.762294000000001</v>
      </c>
      <c r="K482" s="1" t="s">
        <v>1500</v>
      </c>
      <c r="L482" s="1" t="s">
        <v>1496</v>
      </c>
      <c r="M482" s="1" t="s">
        <v>487</v>
      </c>
      <c r="N482" s="1" t="s">
        <v>57</v>
      </c>
      <c r="O482" s="1" t="str">
        <f>INT(Matrice1!$P482/12) &amp; " ans et " &amp; MOD(Matrice1!$P482,12) &amp; " mois"</f>
        <v>9 ans et 3 mois</v>
      </c>
      <c r="P482">
        <v>111</v>
      </c>
      <c r="Q482" s="1" t="s">
        <v>14</v>
      </c>
      <c r="R482" s="4">
        <f>Matrice1!$S482/1440</f>
        <v>0.31041666666666667</v>
      </c>
      <c r="S482">
        <v>447</v>
      </c>
      <c r="T482">
        <v>51.35</v>
      </c>
      <c r="U482">
        <v>0</v>
      </c>
      <c r="V482" s="8">
        <f>IF(Matrice1!$Q482="Pro Monde",10%,IF(AND(Matrice1!$R482&gt;12,Matrice1!$O482&gt;5),70%,IF(AND(OR(Matrice1!$R482&gt;=4,Matrice1!$R482&lt;=12,Matrice1!$O482&lt;5,(OR(Matrice1!$Q482="Premium ")))),45%,0%)))</f>
        <v>0.1</v>
      </c>
      <c r="W482">
        <f>Matrice1!$T482* (Matrice1!$V482/100)</f>
        <v>5.135E-2</v>
      </c>
    </row>
    <row r="483" spans="1:23" x14ac:dyDescent="0.3">
      <c r="A483" s="1" t="s">
        <v>1161</v>
      </c>
      <c r="B483" s="2">
        <v>45207</v>
      </c>
      <c r="C483" s="3">
        <v>0.13333333333333333</v>
      </c>
      <c r="D483" s="1" t="s">
        <v>1165</v>
      </c>
      <c r="E483">
        <v>66</v>
      </c>
      <c r="F483" s="1" t="s">
        <v>810</v>
      </c>
      <c r="G483" s="1" t="s">
        <v>1165</v>
      </c>
      <c r="H483" s="1" t="s">
        <v>57</v>
      </c>
      <c r="I483">
        <v>-5.4073029999999997</v>
      </c>
      <c r="J483">
        <v>29.762294000000001</v>
      </c>
      <c r="K483" s="1" t="s">
        <v>1500</v>
      </c>
      <c r="L483" s="1" t="s">
        <v>1496</v>
      </c>
      <c r="M483" s="1" t="s">
        <v>488</v>
      </c>
      <c r="N483" s="1" t="s">
        <v>57</v>
      </c>
      <c r="O483" s="1" t="str">
        <f>INT(Matrice1!$P483/12) &amp; " ans et " &amp; MOD(Matrice1!$P483,12) &amp; " mois"</f>
        <v>1 ans et 5 mois</v>
      </c>
      <c r="P483">
        <v>17</v>
      </c>
      <c r="Q483" s="1" t="s">
        <v>19</v>
      </c>
      <c r="R483" s="4">
        <f>Matrice1!$S483/1440</f>
        <v>0.28055555555555556</v>
      </c>
      <c r="S483">
        <v>404</v>
      </c>
      <c r="T483">
        <v>83.4</v>
      </c>
      <c r="U483">
        <v>1</v>
      </c>
      <c r="V483" s="8">
        <f>IF(Matrice1!$Q483="Pro Monde",10%,IF(AND(Matrice1!$R483&gt;12,Matrice1!$O483&gt;5),70%,IF(AND(OR(Matrice1!$R483&gt;=4,Matrice1!$R483&lt;=12,Matrice1!$O483&lt;5,(OR(Matrice1!$Q483="Premium ")))),45%,0%)))</f>
        <v>0.45</v>
      </c>
      <c r="W483">
        <f>Matrice1!$T483* (Matrice1!$V483/100)</f>
        <v>0.37530000000000008</v>
      </c>
    </row>
    <row r="484" spans="1:23" x14ac:dyDescent="0.3">
      <c r="A484" s="1" t="s">
        <v>1161</v>
      </c>
      <c r="B484" s="2">
        <v>45207</v>
      </c>
      <c r="C484" s="3">
        <v>0.13333333333333333</v>
      </c>
      <c r="D484" s="1" t="s">
        <v>1165</v>
      </c>
      <c r="E484">
        <v>66</v>
      </c>
      <c r="F484" s="1" t="s">
        <v>810</v>
      </c>
      <c r="G484" s="1" t="s">
        <v>1165</v>
      </c>
      <c r="H484" s="1" t="s">
        <v>57</v>
      </c>
      <c r="I484">
        <v>-5.4073029999999997</v>
      </c>
      <c r="J484">
        <v>29.762294000000001</v>
      </c>
      <c r="K484" s="1" t="s">
        <v>1500</v>
      </c>
      <c r="L484" s="1" t="s">
        <v>1496</v>
      </c>
      <c r="M484" s="1" t="s">
        <v>512</v>
      </c>
      <c r="N484" s="1" t="s">
        <v>57</v>
      </c>
      <c r="O484" s="1" t="str">
        <f>INT(Matrice1!$P484/12) &amp; " ans et " &amp; MOD(Matrice1!$P484,12) &amp; " mois"</f>
        <v>2 ans et 11 mois</v>
      </c>
      <c r="P484">
        <v>35</v>
      </c>
      <c r="Q484" s="1" t="s">
        <v>14</v>
      </c>
      <c r="R484" s="4">
        <f>Matrice1!$S484/1440</f>
        <v>0.30902777777777779</v>
      </c>
      <c r="S484">
        <v>445</v>
      </c>
      <c r="T484">
        <v>24.11</v>
      </c>
      <c r="U484">
        <v>2</v>
      </c>
      <c r="V484" s="8">
        <f>IF(Matrice1!$Q484="Pro Monde",10%,IF(AND(Matrice1!$R484&gt;12,Matrice1!$O484&gt;5),70%,IF(AND(OR(Matrice1!$R484&gt;=4,Matrice1!$R484&lt;=12,Matrice1!$O484&lt;5,(OR(Matrice1!$Q484="Premium ")))),45%,0%)))</f>
        <v>0.1</v>
      </c>
      <c r="W484">
        <f>Matrice1!$T484* (Matrice1!$V484/100)</f>
        <v>2.4109999999999999E-2</v>
      </c>
    </row>
    <row r="485" spans="1:23" x14ac:dyDescent="0.3">
      <c r="A485" s="1" t="s">
        <v>1161</v>
      </c>
      <c r="B485" s="2">
        <v>45207</v>
      </c>
      <c r="C485" s="3">
        <v>0.13333333333333333</v>
      </c>
      <c r="D485" s="1" t="s">
        <v>1165</v>
      </c>
      <c r="E485">
        <v>66</v>
      </c>
      <c r="F485" s="1" t="s">
        <v>810</v>
      </c>
      <c r="G485" s="1" t="s">
        <v>1165</v>
      </c>
      <c r="H485" s="1" t="s">
        <v>57</v>
      </c>
      <c r="I485">
        <v>-5.4073029999999997</v>
      </c>
      <c r="J485">
        <v>29.762294000000001</v>
      </c>
      <c r="K485" s="1" t="s">
        <v>1500</v>
      </c>
      <c r="L485" s="1" t="s">
        <v>1496</v>
      </c>
      <c r="M485" s="1" t="s">
        <v>514</v>
      </c>
      <c r="N485" s="1" t="s">
        <v>57</v>
      </c>
      <c r="O485" s="1" t="str">
        <f>INT(Matrice1!$P485/12) &amp; " ans et " &amp; MOD(Matrice1!$P485,12) &amp; " mois"</f>
        <v>5 ans et 4 mois</v>
      </c>
      <c r="P485">
        <v>64</v>
      </c>
      <c r="Q485" s="1" t="s">
        <v>14</v>
      </c>
      <c r="R485" s="4">
        <f>Matrice1!$S485/1440</f>
        <v>1.0416666666666666E-2</v>
      </c>
      <c r="S485">
        <v>15</v>
      </c>
      <c r="T485">
        <v>56.94</v>
      </c>
      <c r="U485">
        <v>4</v>
      </c>
      <c r="V485" s="8">
        <f>IF(Matrice1!$Q485="Pro Monde",10%,IF(AND(Matrice1!$R485&gt;12,Matrice1!$O485&gt;5),70%,IF(AND(OR(Matrice1!$R485&gt;=4,Matrice1!$R485&lt;=12,Matrice1!$O485&lt;5,(OR(Matrice1!$Q485="Premium ")))),45%,0%)))</f>
        <v>0.1</v>
      </c>
      <c r="W485">
        <f>Matrice1!$T485* (Matrice1!$V485/100)</f>
        <v>5.6939999999999998E-2</v>
      </c>
    </row>
    <row r="486" spans="1:23" x14ac:dyDescent="0.3">
      <c r="A486" s="1" t="s">
        <v>1161</v>
      </c>
      <c r="B486" s="2">
        <v>45207</v>
      </c>
      <c r="C486" s="3">
        <v>0.13333333333333333</v>
      </c>
      <c r="D486" s="1" t="s">
        <v>1165</v>
      </c>
      <c r="E486">
        <v>66</v>
      </c>
      <c r="F486" s="1" t="s">
        <v>810</v>
      </c>
      <c r="G486" s="1" t="s">
        <v>1165</v>
      </c>
      <c r="H486" s="1" t="s">
        <v>57</v>
      </c>
      <c r="I486">
        <v>-5.4073029999999997</v>
      </c>
      <c r="J486">
        <v>29.762294000000001</v>
      </c>
      <c r="K486" s="1" t="s">
        <v>1500</v>
      </c>
      <c r="L486" s="1" t="s">
        <v>1496</v>
      </c>
      <c r="M486" s="1" t="s">
        <v>521</v>
      </c>
      <c r="N486" s="1" t="s">
        <v>57</v>
      </c>
      <c r="O486" s="1" t="str">
        <f>INT(Matrice1!$P486/12) &amp; " ans et " &amp; MOD(Matrice1!$P486,12) &amp; " mois"</f>
        <v>7 ans et 8 mois</v>
      </c>
      <c r="P486">
        <v>92</v>
      </c>
      <c r="Q486" s="1" t="s">
        <v>19</v>
      </c>
      <c r="R486" s="4">
        <f>Matrice1!$S486/1440</f>
        <v>4.1666666666666666E-3</v>
      </c>
      <c r="S486">
        <v>6</v>
      </c>
      <c r="T486">
        <v>77.14</v>
      </c>
      <c r="U486">
        <v>5</v>
      </c>
      <c r="V486" s="8">
        <f>IF(Matrice1!$Q486="Pro Monde",10%,IF(AND(Matrice1!$R486&gt;12,Matrice1!$O486&gt;5),70%,IF(AND(OR(Matrice1!$R486&gt;=4,Matrice1!$R486&lt;=12,Matrice1!$O486&lt;5,(OR(Matrice1!$Q486="Premium ")))),45%,0%)))</f>
        <v>0.45</v>
      </c>
      <c r="W486">
        <f>Matrice1!$T486* (Matrice1!$V486/100)</f>
        <v>0.34713000000000005</v>
      </c>
    </row>
    <row r="487" spans="1:23" x14ac:dyDescent="0.3">
      <c r="A487" s="1" t="s">
        <v>1161</v>
      </c>
      <c r="B487" s="2">
        <v>45207</v>
      </c>
      <c r="C487" s="3">
        <v>0.13333333333333333</v>
      </c>
      <c r="D487" s="1" t="s">
        <v>1165</v>
      </c>
      <c r="E487">
        <v>66</v>
      </c>
      <c r="F487" s="1" t="s">
        <v>810</v>
      </c>
      <c r="G487" s="1" t="s">
        <v>1165</v>
      </c>
      <c r="H487" s="1" t="s">
        <v>57</v>
      </c>
      <c r="I487">
        <v>-5.4073029999999997</v>
      </c>
      <c r="J487">
        <v>29.762294000000001</v>
      </c>
      <c r="K487" s="1" t="s">
        <v>1500</v>
      </c>
      <c r="L487" s="1" t="s">
        <v>1496</v>
      </c>
      <c r="M487" s="1" t="s">
        <v>530</v>
      </c>
      <c r="N487" s="1" t="s">
        <v>57</v>
      </c>
      <c r="O487" s="1" t="str">
        <f>INT(Matrice1!$P487/12) &amp; " ans et " &amp; MOD(Matrice1!$P487,12) &amp; " mois"</f>
        <v>7 ans et 0 mois</v>
      </c>
      <c r="P487">
        <v>84</v>
      </c>
      <c r="Q487" s="1" t="s">
        <v>19</v>
      </c>
      <c r="R487" s="4">
        <f>Matrice1!$S487/1440</f>
        <v>0.2638888888888889</v>
      </c>
      <c r="S487">
        <v>380</v>
      </c>
      <c r="T487">
        <v>82.3</v>
      </c>
      <c r="U487">
        <v>1</v>
      </c>
      <c r="V487" s="8">
        <f>IF(Matrice1!$Q487="Pro Monde",10%,IF(AND(Matrice1!$R487&gt;12,Matrice1!$O487&gt;5),70%,IF(AND(OR(Matrice1!$R487&gt;=4,Matrice1!$R487&lt;=12,Matrice1!$O487&lt;5,(OR(Matrice1!$Q487="Premium ")))),45%,0%)))</f>
        <v>0.45</v>
      </c>
      <c r="W487">
        <f>Matrice1!$T487* (Matrice1!$V487/100)</f>
        <v>0.37035000000000001</v>
      </c>
    </row>
    <row r="488" spans="1:23" x14ac:dyDescent="0.3">
      <c r="A488" s="1" t="s">
        <v>805</v>
      </c>
      <c r="B488" s="2">
        <v>45211</v>
      </c>
      <c r="C488" s="3">
        <v>0.27916666666666667</v>
      </c>
      <c r="D488" s="1" t="s">
        <v>838</v>
      </c>
      <c r="E488">
        <v>75</v>
      </c>
      <c r="F488" s="1" t="s">
        <v>807</v>
      </c>
      <c r="G488" s="1" t="s">
        <v>838</v>
      </c>
      <c r="H488" s="1" t="s">
        <v>89</v>
      </c>
      <c r="I488">
        <v>-8.1437910000000002</v>
      </c>
      <c r="J488">
        <v>28.946161</v>
      </c>
      <c r="K488" s="1" t="s">
        <v>1498</v>
      </c>
      <c r="L488" s="1" t="s">
        <v>1501</v>
      </c>
      <c r="M488" s="1" t="s">
        <v>88</v>
      </c>
      <c r="N488" s="1" t="s">
        <v>89</v>
      </c>
      <c r="O488" s="1" t="str">
        <f>INT(Matrice1!$P488/12) &amp; " ans et " &amp; MOD(Matrice1!$P488,12) &amp; " mois"</f>
        <v>8 ans et 2 mois</v>
      </c>
      <c r="P488">
        <v>98</v>
      </c>
      <c r="Q488" s="1" t="s">
        <v>14</v>
      </c>
      <c r="R488" s="4">
        <f>Matrice1!$S488/1440</f>
        <v>0.3347222222222222</v>
      </c>
      <c r="S488">
        <v>482</v>
      </c>
      <c r="T488">
        <v>55.04</v>
      </c>
      <c r="U488">
        <v>5</v>
      </c>
      <c r="V488" s="8">
        <f>IF(Matrice1!$Q488="Pro Monde",10%,IF(AND(Matrice1!$R488&gt;12,Matrice1!$O488&gt;5),70%,IF(AND(OR(Matrice1!$R488&gt;=4,Matrice1!$R488&lt;=12,Matrice1!$O488&lt;5,(OR(Matrice1!$Q488="Premium ")))),45%,0%)))</f>
        <v>0.1</v>
      </c>
      <c r="W488">
        <f>Matrice1!$T488* (Matrice1!$V488/100)</f>
        <v>5.5039999999999999E-2</v>
      </c>
    </row>
    <row r="489" spans="1:23" x14ac:dyDescent="0.3">
      <c r="A489" s="1" t="s">
        <v>805</v>
      </c>
      <c r="B489" s="2">
        <v>45211</v>
      </c>
      <c r="C489" s="3">
        <v>0.27916666666666667</v>
      </c>
      <c r="D489" s="1" t="s">
        <v>838</v>
      </c>
      <c r="E489">
        <v>75</v>
      </c>
      <c r="F489" s="1" t="s">
        <v>807</v>
      </c>
      <c r="G489" s="1" t="s">
        <v>838</v>
      </c>
      <c r="H489" s="1" t="s">
        <v>89</v>
      </c>
      <c r="I489">
        <v>-8.1437910000000002</v>
      </c>
      <c r="J489">
        <v>28.946161</v>
      </c>
      <c r="K489" s="1" t="s">
        <v>1498</v>
      </c>
      <c r="L489" s="1" t="s">
        <v>1501</v>
      </c>
      <c r="M489" s="1" t="s">
        <v>106</v>
      </c>
      <c r="N489" s="1" t="s">
        <v>89</v>
      </c>
      <c r="O489" s="1" t="str">
        <f>INT(Matrice1!$P489/12) &amp; " ans et " &amp; MOD(Matrice1!$P489,12) &amp; " mois"</f>
        <v>4 ans et 3 mois</v>
      </c>
      <c r="P489">
        <v>51</v>
      </c>
      <c r="Q489" s="1" t="s">
        <v>22</v>
      </c>
      <c r="R489" s="4">
        <f>Matrice1!$S489/1440</f>
        <v>4.027777777777778E-2</v>
      </c>
      <c r="S489">
        <v>58</v>
      </c>
      <c r="T489">
        <v>34.6</v>
      </c>
      <c r="U489">
        <v>5</v>
      </c>
      <c r="V489" s="8">
        <f>IF(Matrice1!$Q489="Pro Monde",10%,IF(AND(Matrice1!$R489&gt;12,Matrice1!$O489&gt;5),70%,IF(AND(OR(Matrice1!$R489&gt;=4,Matrice1!$R489&lt;=12,Matrice1!$O489&lt;5,(OR(Matrice1!$Q489="Premium ")))),45%,0%)))</f>
        <v>0.45</v>
      </c>
      <c r="W489">
        <f>Matrice1!$T489* (Matrice1!$V489/100)</f>
        <v>0.15570000000000003</v>
      </c>
    </row>
    <row r="490" spans="1:23" x14ac:dyDescent="0.3">
      <c r="A490" s="1" t="s">
        <v>805</v>
      </c>
      <c r="B490" s="2">
        <v>45211</v>
      </c>
      <c r="C490" s="3">
        <v>0.27916666666666667</v>
      </c>
      <c r="D490" s="1" t="s">
        <v>838</v>
      </c>
      <c r="E490">
        <v>75</v>
      </c>
      <c r="F490" s="1" t="s">
        <v>807</v>
      </c>
      <c r="G490" s="1" t="s">
        <v>838</v>
      </c>
      <c r="H490" s="1" t="s">
        <v>89</v>
      </c>
      <c r="I490">
        <v>-8.1437910000000002</v>
      </c>
      <c r="J490">
        <v>28.946161</v>
      </c>
      <c r="K490" s="1" t="s">
        <v>1498</v>
      </c>
      <c r="L490" s="1" t="s">
        <v>1501</v>
      </c>
      <c r="M490" s="1" t="s">
        <v>123</v>
      </c>
      <c r="N490" s="1" t="s">
        <v>89</v>
      </c>
      <c r="O490" s="1" t="str">
        <f>INT(Matrice1!$P490/12) &amp; " ans et " &amp; MOD(Matrice1!$P490,12) &amp; " mois"</f>
        <v>8 ans et 6 mois</v>
      </c>
      <c r="P490">
        <v>102</v>
      </c>
      <c r="Q490" s="1" t="s">
        <v>14</v>
      </c>
      <c r="R490" s="4">
        <f>Matrice1!$S490/1440</f>
        <v>0.19652777777777777</v>
      </c>
      <c r="S490">
        <v>283</v>
      </c>
      <c r="T490">
        <v>28.98</v>
      </c>
      <c r="U490">
        <v>3</v>
      </c>
      <c r="V490" s="8">
        <f>IF(Matrice1!$Q490="Pro Monde",10%,IF(AND(Matrice1!$R490&gt;12,Matrice1!$O490&gt;5),70%,IF(AND(OR(Matrice1!$R490&gt;=4,Matrice1!$R490&lt;=12,Matrice1!$O490&lt;5,(OR(Matrice1!$Q490="Premium ")))),45%,0%)))</f>
        <v>0.1</v>
      </c>
      <c r="W490">
        <f>Matrice1!$T490* (Matrice1!$V490/100)</f>
        <v>2.8980000000000002E-2</v>
      </c>
    </row>
    <row r="491" spans="1:23" x14ac:dyDescent="0.3">
      <c r="A491" s="1" t="s">
        <v>805</v>
      </c>
      <c r="B491" s="2">
        <v>45211</v>
      </c>
      <c r="C491" s="3">
        <v>0.27916666666666667</v>
      </c>
      <c r="D491" s="1" t="s">
        <v>838</v>
      </c>
      <c r="E491">
        <v>75</v>
      </c>
      <c r="F491" s="1" t="s">
        <v>807</v>
      </c>
      <c r="G491" s="1" t="s">
        <v>838</v>
      </c>
      <c r="H491" s="1" t="s">
        <v>89</v>
      </c>
      <c r="I491">
        <v>-8.1437910000000002</v>
      </c>
      <c r="J491">
        <v>28.946161</v>
      </c>
      <c r="K491" s="1" t="s">
        <v>1498</v>
      </c>
      <c r="L491" s="1" t="s">
        <v>1501</v>
      </c>
      <c r="M491" s="1" t="s">
        <v>125</v>
      </c>
      <c r="N491" s="1" t="s">
        <v>89</v>
      </c>
      <c r="O491" s="1" t="str">
        <f>INT(Matrice1!$P491/12) &amp; " ans et " &amp; MOD(Matrice1!$P491,12) &amp; " mois"</f>
        <v>7 ans et 7 mois</v>
      </c>
      <c r="P491">
        <v>91</v>
      </c>
      <c r="Q491" s="1" t="s">
        <v>19</v>
      </c>
      <c r="R491" s="4">
        <f>Matrice1!$S491/1440</f>
        <v>0.20833333333333334</v>
      </c>
      <c r="S491">
        <v>300</v>
      </c>
      <c r="T491">
        <v>82.19</v>
      </c>
      <c r="U491">
        <v>1</v>
      </c>
      <c r="V491" s="8">
        <f>IF(Matrice1!$Q491="Pro Monde",10%,IF(AND(Matrice1!$R491&gt;12,Matrice1!$O491&gt;5),70%,IF(AND(OR(Matrice1!$R491&gt;=4,Matrice1!$R491&lt;=12,Matrice1!$O491&lt;5,(OR(Matrice1!$Q491="Premium ")))),45%,0%)))</f>
        <v>0.45</v>
      </c>
      <c r="W491">
        <f>Matrice1!$T491* (Matrice1!$V491/100)</f>
        <v>0.36985500000000004</v>
      </c>
    </row>
    <row r="492" spans="1:23" x14ac:dyDescent="0.3">
      <c r="A492" s="1" t="s">
        <v>805</v>
      </c>
      <c r="B492" s="2">
        <v>45211</v>
      </c>
      <c r="C492" s="3">
        <v>0.27916666666666667</v>
      </c>
      <c r="D492" s="1" t="s">
        <v>838</v>
      </c>
      <c r="E492">
        <v>75</v>
      </c>
      <c r="F492" s="1" t="s">
        <v>807</v>
      </c>
      <c r="G492" s="1" t="s">
        <v>838</v>
      </c>
      <c r="H492" s="1" t="s">
        <v>89</v>
      </c>
      <c r="I492">
        <v>-8.1437910000000002</v>
      </c>
      <c r="J492">
        <v>28.946161</v>
      </c>
      <c r="K492" s="1" t="s">
        <v>1498</v>
      </c>
      <c r="L492" s="1" t="s">
        <v>1501</v>
      </c>
      <c r="M492" s="1" t="s">
        <v>160</v>
      </c>
      <c r="N492" s="1" t="s">
        <v>89</v>
      </c>
      <c r="O492" s="1" t="str">
        <f>INT(Matrice1!$P492/12) &amp; " ans et " &amp; MOD(Matrice1!$P492,12) &amp; " mois"</f>
        <v>3 ans et 0 mois</v>
      </c>
      <c r="P492">
        <v>36</v>
      </c>
      <c r="Q492" s="1" t="s">
        <v>11</v>
      </c>
      <c r="R492" s="4">
        <f>Matrice1!$S492/1440</f>
        <v>0.27777777777777779</v>
      </c>
      <c r="S492">
        <v>400</v>
      </c>
      <c r="T492">
        <v>60.35</v>
      </c>
      <c r="U492">
        <v>1</v>
      </c>
      <c r="V492" s="8">
        <f>IF(Matrice1!$Q492="Pro Monde",10%,IF(AND(Matrice1!$R492&gt;12,Matrice1!$O492&gt;5),70%,IF(AND(OR(Matrice1!$R492&gt;=4,Matrice1!$R492&lt;=12,Matrice1!$O492&lt;5,(OR(Matrice1!$Q492="Premium ")))),45%,0%)))</f>
        <v>0.45</v>
      </c>
      <c r="W492">
        <f>Matrice1!$T492* (Matrice1!$V492/100)</f>
        <v>0.27157500000000001</v>
      </c>
    </row>
    <row r="493" spans="1:23" x14ac:dyDescent="0.3">
      <c r="A493" s="1" t="s">
        <v>805</v>
      </c>
      <c r="B493" s="2">
        <v>45211</v>
      </c>
      <c r="C493" s="3">
        <v>0.27916666666666667</v>
      </c>
      <c r="D493" s="1" t="s">
        <v>838</v>
      </c>
      <c r="E493">
        <v>75</v>
      </c>
      <c r="F493" s="1" t="s">
        <v>807</v>
      </c>
      <c r="G493" s="1" t="s">
        <v>838</v>
      </c>
      <c r="H493" s="1" t="s">
        <v>89</v>
      </c>
      <c r="I493">
        <v>-8.1437910000000002</v>
      </c>
      <c r="J493">
        <v>28.946161</v>
      </c>
      <c r="K493" s="1" t="s">
        <v>1498</v>
      </c>
      <c r="L493" s="1" t="s">
        <v>1501</v>
      </c>
      <c r="M493" s="1" t="s">
        <v>168</v>
      </c>
      <c r="N493" s="1" t="s">
        <v>89</v>
      </c>
      <c r="O493" s="1" t="str">
        <f>INT(Matrice1!$P493/12) &amp; " ans et " &amp; MOD(Matrice1!$P493,12) &amp; " mois"</f>
        <v>8 ans et 2 mois</v>
      </c>
      <c r="P493">
        <v>98</v>
      </c>
      <c r="Q493" s="1" t="s">
        <v>19</v>
      </c>
      <c r="R493" s="4">
        <f>Matrice1!$S493/1440</f>
        <v>3.6111111111111108E-2</v>
      </c>
      <c r="S493">
        <v>52</v>
      </c>
      <c r="T493">
        <v>52.82</v>
      </c>
      <c r="U493">
        <v>2</v>
      </c>
      <c r="V493" s="8">
        <f>IF(Matrice1!$Q493="Pro Monde",10%,IF(AND(Matrice1!$R493&gt;12,Matrice1!$O493&gt;5),70%,IF(AND(OR(Matrice1!$R493&gt;=4,Matrice1!$R493&lt;=12,Matrice1!$O493&lt;5,(OR(Matrice1!$Q493="Premium ")))),45%,0%)))</f>
        <v>0.45</v>
      </c>
      <c r="W493">
        <f>Matrice1!$T493* (Matrice1!$V493/100)</f>
        <v>0.23769000000000004</v>
      </c>
    </row>
    <row r="494" spans="1:23" x14ac:dyDescent="0.3">
      <c r="A494" s="1" t="s">
        <v>805</v>
      </c>
      <c r="B494" s="2">
        <v>45211</v>
      </c>
      <c r="C494" s="3">
        <v>0.27916666666666667</v>
      </c>
      <c r="D494" s="1" t="s">
        <v>838</v>
      </c>
      <c r="E494">
        <v>75</v>
      </c>
      <c r="F494" s="1" t="s">
        <v>807</v>
      </c>
      <c r="G494" s="1" t="s">
        <v>838</v>
      </c>
      <c r="H494" s="1" t="s">
        <v>89</v>
      </c>
      <c r="I494">
        <v>-8.1437910000000002</v>
      </c>
      <c r="J494">
        <v>28.946161</v>
      </c>
      <c r="K494" s="1" t="s">
        <v>1498</v>
      </c>
      <c r="L494" s="1" t="s">
        <v>1501</v>
      </c>
      <c r="M494" s="1" t="s">
        <v>172</v>
      </c>
      <c r="N494" s="1" t="s">
        <v>89</v>
      </c>
      <c r="O494" s="1" t="str">
        <f>INT(Matrice1!$P494/12) &amp; " ans et " &amp; MOD(Matrice1!$P494,12) &amp; " mois"</f>
        <v>2 ans et 5 mois</v>
      </c>
      <c r="P494">
        <v>29</v>
      </c>
      <c r="Q494" s="1" t="s">
        <v>14</v>
      </c>
      <c r="R494" s="4">
        <f>Matrice1!$S494/1440</f>
        <v>2.361111111111111E-2</v>
      </c>
      <c r="S494">
        <v>34</v>
      </c>
      <c r="T494">
        <v>86.68</v>
      </c>
      <c r="U494">
        <v>1</v>
      </c>
      <c r="V494" s="8">
        <f>IF(Matrice1!$Q494="Pro Monde",10%,IF(AND(Matrice1!$R494&gt;12,Matrice1!$O494&gt;5),70%,IF(AND(OR(Matrice1!$R494&gt;=4,Matrice1!$R494&lt;=12,Matrice1!$O494&lt;5,(OR(Matrice1!$Q494="Premium ")))),45%,0%)))</f>
        <v>0.1</v>
      </c>
      <c r="W494">
        <f>Matrice1!$T494* (Matrice1!$V494/100)</f>
        <v>8.6680000000000007E-2</v>
      </c>
    </row>
    <row r="495" spans="1:23" x14ac:dyDescent="0.3">
      <c r="A495" s="1" t="s">
        <v>805</v>
      </c>
      <c r="B495" s="2">
        <v>45211</v>
      </c>
      <c r="C495" s="3">
        <v>0.27916666666666667</v>
      </c>
      <c r="D495" s="1" t="s">
        <v>838</v>
      </c>
      <c r="E495">
        <v>75</v>
      </c>
      <c r="F495" s="1" t="s">
        <v>807</v>
      </c>
      <c r="G495" s="1" t="s">
        <v>838</v>
      </c>
      <c r="H495" s="1" t="s">
        <v>89</v>
      </c>
      <c r="I495">
        <v>-8.1437910000000002</v>
      </c>
      <c r="J495">
        <v>28.946161</v>
      </c>
      <c r="K495" s="1" t="s">
        <v>1498</v>
      </c>
      <c r="L495" s="1" t="s">
        <v>1501</v>
      </c>
      <c r="M495" s="1" t="s">
        <v>174</v>
      </c>
      <c r="N495" s="1" t="s">
        <v>89</v>
      </c>
      <c r="O495" s="1" t="str">
        <f>INT(Matrice1!$P495/12) &amp; " ans et " &amp; MOD(Matrice1!$P495,12) &amp; " mois"</f>
        <v>9 ans et 10 mois</v>
      </c>
      <c r="P495">
        <v>118</v>
      </c>
      <c r="Q495" s="1" t="s">
        <v>22</v>
      </c>
      <c r="R495" s="4">
        <f>Matrice1!$S495/1440</f>
        <v>0.2986111111111111</v>
      </c>
      <c r="S495">
        <v>430</v>
      </c>
      <c r="T495">
        <v>36.97</v>
      </c>
      <c r="U495">
        <v>2</v>
      </c>
      <c r="V495" s="8">
        <f>IF(Matrice1!$Q495="Pro Monde",10%,IF(AND(Matrice1!$R495&gt;12,Matrice1!$O495&gt;5),70%,IF(AND(OR(Matrice1!$R495&gt;=4,Matrice1!$R495&lt;=12,Matrice1!$O495&lt;5,(OR(Matrice1!$Q495="Premium ")))),45%,0%)))</f>
        <v>0.45</v>
      </c>
      <c r="W495">
        <f>Matrice1!$T495* (Matrice1!$V495/100)</f>
        <v>0.16636500000000001</v>
      </c>
    </row>
    <row r="496" spans="1:23" x14ac:dyDescent="0.3">
      <c r="A496" s="1" t="s">
        <v>805</v>
      </c>
      <c r="B496" s="2">
        <v>45211</v>
      </c>
      <c r="C496" s="3">
        <v>0.27916666666666667</v>
      </c>
      <c r="D496" s="1" t="s">
        <v>838</v>
      </c>
      <c r="E496">
        <v>75</v>
      </c>
      <c r="F496" s="1" t="s">
        <v>807</v>
      </c>
      <c r="G496" s="1" t="s">
        <v>838</v>
      </c>
      <c r="H496" s="1" t="s">
        <v>89</v>
      </c>
      <c r="I496">
        <v>-8.1437910000000002</v>
      </c>
      <c r="J496">
        <v>28.946161</v>
      </c>
      <c r="K496" s="1" t="s">
        <v>1498</v>
      </c>
      <c r="L496" s="1" t="s">
        <v>1501</v>
      </c>
      <c r="M496" s="1" t="s">
        <v>180</v>
      </c>
      <c r="N496" s="1" t="s">
        <v>89</v>
      </c>
      <c r="O496" s="1" t="str">
        <f>INT(Matrice1!$P496/12) &amp; " ans et " &amp; MOD(Matrice1!$P496,12) &amp; " mois"</f>
        <v>4 ans et 3 mois</v>
      </c>
      <c r="P496">
        <v>51</v>
      </c>
      <c r="Q496" s="1" t="s">
        <v>19</v>
      </c>
      <c r="R496" s="4">
        <f>Matrice1!$S496/1440</f>
        <v>0.18055555555555555</v>
      </c>
      <c r="S496">
        <v>260</v>
      </c>
      <c r="T496">
        <v>92.8</v>
      </c>
      <c r="U496">
        <v>5</v>
      </c>
      <c r="V496" s="8">
        <f>IF(Matrice1!$Q496="Pro Monde",10%,IF(AND(Matrice1!$R496&gt;12,Matrice1!$O496&gt;5),70%,IF(AND(OR(Matrice1!$R496&gt;=4,Matrice1!$R496&lt;=12,Matrice1!$O496&lt;5,(OR(Matrice1!$Q496="Premium ")))),45%,0%)))</f>
        <v>0.45</v>
      </c>
      <c r="W496">
        <f>Matrice1!$T496* (Matrice1!$V496/100)</f>
        <v>0.41760000000000003</v>
      </c>
    </row>
    <row r="497" spans="1:23" x14ac:dyDescent="0.3">
      <c r="A497" s="1" t="s">
        <v>805</v>
      </c>
      <c r="B497" s="2">
        <v>45211</v>
      </c>
      <c r="C497" s="3">
        <v>0.27916666666666667</v>
      </c>
      <c r="D497" s="1" t="s">
        <v>838</v>
      </c>
      <c r="E497">
        <v>75</v>
      </c>
      <c r="F497" s="1" t="s">
        <v>807</v>
      </c>
      <c r="G497" s="1" t="s">
        <v>838</v>
      </c>
      <c r="H497" s="1" t="s">
        <v>89</v>
      </c>
      <c r="I497">
        <v>-8.1437910000000002</v>
      </c>
      <c r="J497">
        <v>28.946161</v>
      </c>
      <c r="K497" s="1" t="s">
        <v>1498</v>
      </c>
      <c r="L497" s="1" t="s">
        <v>1501</v>
      </c>
      <c r="M497" s="1" t="s">
        <v>213</v>
      </c>
      <c r="N497" s="1" t="s">
        <v>89</v>
      </c>
      <c r="O497" s="1" t="str">
        <f>INT(Matrice1!$P497/12) &amp; " ans et " &amp; MOD(Matrice1!$P497,12) &amp; " mois"</f>
        <v>6 ans et 10 mois</v>
      </c>
      <c r="P497">
        <v>82</v>
      </c>
      <c r="Q497" s="1" t="s">
        <v>11</v>
      </c>
      <c r="R497" s="4">
        <f>Matrice1!$S497/1440</f>
        <v>0.18333333333333332</v>
      </c>
      <c r="S497">
        <v>264</v>
      </c>
      <c r="T497">
        <v>88.03</v>
      </c>
      <c r="U497">
        <v>1</v>
      </c>
      <c r="V497" s="8">
        <f>IF(Matrice1!$Q497="Pro Monde",10%,IF(AND(Matrice1!$R497&gt;12,Matrice1!$O497&gt;5),70%,IF(AND(OR(Matrice1!$R497&gt;=4,Matrice1!$R497&lt;=12,Matrice1!$O497&lt;5,(OR(Matrice1!$Q497="Premium ")))),45%,0%)))</f>
        <v>0.45</v>
      </c>
      <c r="W497">
        <f>Matrice1!$T497* (Matrice1!$V497/100)</f>
        <v>0.39613500000000007</v>
      </c>
    </row>
    <row r="498" spans="1:23" x14ac:dyDescent="0.3">
      <c r="A498" s="1" t="s">
        <v>805</v>
      </c>
      <c r="B498" s="2">
        <v>45211</v>
      </c>
      <c r="C498" s="3">
        <v>0.27916666666666667</v>
      </c>
      <c r="D498" s="1" t="s">
        <v>838</v>
      </c>
      <c r="E498">
        <v>75</v>
      </c>
      <c r="F498" s="1" t="s">
        <v>807</v>
      </c>
      <c r="G498" s="1" t="s">
        <v>838</v>
      </c>
      <c r="H498" s="1" t="s">
        <v>89</v>
      </c>
      <c r="I498">
        <v>-8.1437910000000002</v>
      </c>
      <c r="J498">
        <v>28.946161</v>
      </c>
      <c r="K498" s="1" t="s">
        <v>1498</v>
      </c>
      <c r="L498" s="1" t="s">
        <v>1501</v>
      </c>
      <c r="M498" s="1" t="s">
        <v>227</v>
      </c>
      <c r="N498" s="1" t="s">
        <v>89</v>
      </c>
      <c r="O498" s="1" t="str">
        <f>INT(Matrice1!$P498/12) &amp; " ans et " &amp; MOD(Matrice1!$P498,12) &amp; " mois"</f>
        <v>2 ans et 4 mois</v>
      </c>
      <c r="P498">
        <v>28</v>
      </c>
      <c r="Q498" s="1" t="s">
        <v>11</v>
      </c>
      <c r="R498" s="4">
        <f>Matrice1!$S498/1440</f>
        <v>6.6666666666666666E-2</v>
      </c>
      <c r="S498">
        <v>96</v>
      </c>
      <c r="T498">
        <v>72.010000000000005</v>
      </c>
      <c r="U498">
        <v>4</v>
      </c>
      <c r="V498" s="8">
        <f>IF(Matrice1!$Q498="Pro Monde",10%,IF(AND(Matrice1!$R498&gt;12,Matrice1!$O498&gt;5),70%,IF(AND(OR(Matrice1!$R498&gt;=4,Matrice1!$R498&lt;=12,Matrice1!$O498&lt;5,(OR(Matrice1!$Q498="Premium ")))),45%,0%)))</f>
        <v>0.45</v>
      </c>
      <c r="W498">
        <f>Matrice1!$T498* (Matrice1!$V498/100)</f>
        <v>0.32404500000000008</v>
      </c>
    </row>
    <row r="499" spans="1:23" x14ac:dyDescent="0.3">
      <c r="A499" s="1" t="s">
        <v>805</v>
      </c>
      <c r="B499" s="2">
        <v>45211</v>
      </c>
      <c r="C499" s="3">
        <v>0.27916666666666667</v>
      </c>
      <c r="D499" s="1" t="s">
        <v>838</v>
      </c>
      <c r="E499">
        <v>75</v>
      </c>
      <c r="F499" s="1" t="s">
        <v>807</v>
      </c>
      <c r="G499" s="1" t="s">
        <v>838</v>
      </c>
      <c r="H499" s="1" t="s">
        <v>89</v>
      </c>
      <c r="I499">
        <v>-8.1437910000000002</v>
      </c>
      <c r="J499">
        <v>28.946161</v>
      </c>
      <c r="K499" s="1" t="s">
        <v>1498</v>
      </c>
      <c r="L499" s="1" t="s">
        <v>1501</v>
      </c>
      <c r="M499" s="1" t="s">
        <v>258</v>
      </c>
      <c r="N499" s="1" t="s">
        <v>89</v>
      </c>
      <c r="O499" s="1" t="str">
        <f>INT(Matrice1!$P499/12) &amp; " ans et " &amp; MOD(Matrice1!$P499,12) &amp; " mois"</f>
        <v>2 ans et 1 mois</v>
      </c>
      <c r="P499">
        <v>25</v>
      </c>
      <c r="Q499" s="1" t="s">
        <v>19</v>
      </c>
      <c r="R499" s="4">
        <f>Matrice1!$S499/1440</f>
        <v>2.2916666666666665E-2</v>
      </c>
      <c r="S499">
        <v>33</v>
      </c>
      <c r="T499">
        <v>30.93</v>
      </c>
      <c r="U499">
        <v>1</v>
      </c>
      <c r="V499" s="8">
        <f>IF(Matrice1!$Q499="Pro Monde",10%,IF(AND(Matrice1!$R499&gt;12,Matrice1!$O499&gt;5),70%,IF(AND(OR(Matrice1!$R499&gt;=4,Matrice1!$R499&lt;=12,Matrice1!$O499&lt;5,(OR(Matrice1!$Q499="Premium ")))),45%,0%)))</f>
        <v>0.45</v>
      </c>
      <c r="W499">
        <f>Matrice1!$T499* (Matrice1!$V499/100)</f>
        <v>0.139185</v>
      </c>
    </row>
    <row r="500" spans="1:23" x14ac:dyDescent="0.3">
      <c r="A500" s="1" t="s">
        <v>805</v>
      </c>
      <c r="B500" s="2">
        <v>45211</v>
      </c>
      <c r="C500" s="3">
        <v>0.27916666666666667</v>
      </c>
      <c r="D500" s="1" t="s">
        <v>838</v>
      </c>
      <c r="E500">
        <v>75</v>
      </c>
      <c r="F500" s="1" t="s">
        <v>807</v>
      </c>
      <c r="G500" s="1" t="s">
        <v>838</v>
      </c>
      <c r="H500" s="1" t="s">
        <v>89</v>
      </c>
      <c r="I500">
        <v>-8.1437910000000002</v>
      </c>
      <c r="J500">
        <v>28.946161</v>
      </c>
      <c r="K500" s="1" t="s">
        <v>1498</v>
      </c>
      <c r="L500" s="1" t="s">
        <v>1501</v>
      </c>
      <c r="M500" s="1" t="s">
        <v>351</v>
      </c>
      <c r="N500" s="1" t="s">
        <v>89</v>
      </c>
      <c r="O500" s="1" t="str">
        <f>INT(Matrice1!$P500/12) &amp; " ans et " &amp; MOD(Matrice1!$P500,12) &amp; " mois"</f>
        <v>3 ans et 11 mois</v>
      </c>
      <c r="P500">
        <v>47</v>
      </c>
      <c r="Q500" s="1" t="s">
        <v>11</v>
      </c>
      <c r="R500" s="4">
        <f>Matrice1!$S500/1440</f>
        <v>3.4027777777777775E-2</v>
      </c>
      <c r="S500">
        <v>49</v>
      </c>
      <c r="T500">
        <v>55.88</v>
      </c>
      <c r="U500">
        <v>3</v>
      </c>
      <c r="V500" s="8">
        <f>IF(Matrice1!$Q500="Pro Monde",10%,IF(AND(Matrice1!$R500&gt;12,Matrice1!$O500&gt;5),70%,IF(AND(OR(Matrice1!$R500&gt;=4,Matrice1!$R500&lt;=12,Matrice1!$O500&lt;5,(OR(Matrice1!$Q500="Premium ")))),45%,0%)))</f>
        <v>0.45</v>
      </c>
      <c r="W500">
        <f>Matrice1!$T500* (Matrice1!$V500/100)</f>
        <v>0.25146000000000002</v>
      </c>
    </row>
    <row r="501" spans="1:23" x14ac:dyDescent="0.3">
      <c r="A501" s="1" t="s">
        <v>805</v>
      </c>
      <c r="B501" s="2">
        <v>45211</v>
      </c>
      <c r="C501" s="3">
        <v>0.27916666666666667</v>
      </c>
      <c r="D501" s="1" t="s">
        <v>838</v>
      </c>
      <c r="E501">
        <v>75</v>
      </c>
      <c r="F501" s="1" t="s">
        <v>807</v>
      </c>
      <c r="G501" s="1" t="s">
        <v>838</v>
      </c>
      <c r="H501" s="1" t="s">
        <v>89</v>
      </c>
      <c r="I501">
        <v>-8.1437910000000002</v>
      </c>
      <c r="J501">
        <v>28.946161</v>
      </c>
      <c r="K501" s="1" t="s">
        <v>1498</v>
      </c>
      <c r="L501" s="1" t="s">
        <v>1501</v>
      </c>
      <c r="M501" s="1" t="s">
        <v>379</v>
      </c>
      <c r="N501" s="1" t="s">
        <v>89</v>
      </c>
      <c r="O501" s="1" t="str">
        <f>INT(Matrice1!$P501/12) &amp; " ans et " &amp; MOD(Matrice1!$P501,12) &amp; " mois"</f>
        <v>3 ans et 1 mois</v>
      </c>
      <c r="P501">
        <v>37</v>
      </c>
      <c r="Q501" s="1" t="s">
        <v>14</v>
      </c>
      <c r="R501" s="4">
        <f>Matrice1!$S501/1440</f>
        <v>6.1111111111111109E-2</v>
      </c>
      <c r="S501">
        <v>88</v>
      </c>
      <c r="T501">
        <v>77.77</v>
      </c>
      <c r="U501">
        <v>1</v>
      </c>
      <c r="V501" s="8">
        <f>IF(Matrice1!$Q501="Pro Monde",10%,IF(AND(Matrice1!$R501&gt;12,Matrice1!$O501&gt;5),70%,IF(AND(OR(Matrice1!$R501&gt;=4,Matrice1!$R501&lt;=12,Matrice1!$O501&lt;5,(OR(Matrice1!$Q501="Premium ")))),45%,0%)))</f>
        <v>0.1</v>
      </c>
      <c r="W501">
        <f>Matrice1!$T501* (Matrice1!$V501/100)</f>
        <v>7.7769999999999992E-2</v>
      </c>
    </row>
    <row r="502" spans="1:23" x14ac:dyDescent="0.3">
      <c r="A502" s="1" t="s">
        <v>805</v>
      </c>
      <c r="B502" s="2">
        <v>45211</v>
      </c>
      <c r="C502" s="3">
        <v>0.27916666666666667</v>
      </c>
      <c r="D502" s="1" t="s">
        <v>838</v>
      </c>
      <c r="E502">
        <v>75</v>
      </c>
      <c r="F502" s="1" t="s">
        <v>807</v>
      </c>
      <c r="G502" s="1" t="s">
        <v>838</v>
      </c>
      <c r="H502" s="1" t="s">
        <v>89</v>
      </c>
      <c r="I502">
        <v>-8.1437910000000002</v>
      </c>
      <c r="J502">
        <v>28.946161</v>
      </c>
      <c r="K502" s="1" t="s">
        <v>1498</v>
      </c>
      <c r="L502" s="1" t="s">
        <v>1501</v>
      </c>
      <c r="M502" s="1" t="s">
        <v>383</v>
      </c>
      <c r="N502" s="1" t="s">
        <v>89</v>
      </c>
      <c r="O502" s="1" t="str">
        <f>INT(Matrice1!$P502/12) &amp; " ans et " &amp; MOD(Matrice1!$P502,12) &amp; " mois"</f>
        <v>9 ans et 1 mois</v>
      </c>
      <c r="P502">
        <v>109</v>
      </c>
      <c r="Q502" s="1" t="s">
        <v>14</v>
      </c>
      <c r="R502" s="4">
        <f>Matrice1!$S502/1440</f>
        <v>0.27569444444444446</v>
      </c>
      <c r="S502">
        <v>397</v>
      </c>
      <c r="T502">
        <v>63.92</v>
      </c>
      <c r="U502">
        <v>1</v>
      </c>
      <c r="V502" s="8">
        <f>IF(Matrice1!$Q502="Pro Monde",10%,IF(AND(Matrice1!$R502&gt;12,Matrice1!$O502&gt;5),70%,IF(AND(OR(Matrice1!$R502&gt;=4,Matrice1!$R502&lt;=12,Matrice1!$O502&lt;5,(OR(Matrice1!$Q502="Premium ")))),45%,0%)))</f>
        <v>0.1</v>
      </c>
      <c r="W502">
        <f>Matrice1!$T502* (Matrice1!$V502/100)</f>
        <v>6.3920000000000005E-2</v>
      </c>
    </row>
    <row r="503" spans="1:23" x14ac:dyDescent="0.3">
      <c r="A503" s="1" t="s">
        <v>805</v>
      </c>
      <c r="B503" s="2">
        <v>45211</v>
      </c>
      <c r="C503" s="3">
        <v>0.27916666666666667</v>
      </c>
      <c r="D503" s="1" t="s">
        <v>838</v>
      </c>
      <c r="E503">
        <v>75</v>
      </c>
      <c r="F503" s="1" t="s">
        <v>807</v>
      </c>
      <c r="G503" s="1" t="s">
        <v>838</v>
      </c>
      <c r="H503" s="1" t="s">
        <v>89</v>
      </c>
      <c r="I503">
        <v>-8.1437910000000002</v>
      </c>
      <c r="J503">
        <v>28.946161</v>
      </c>
      <c r="K503" s="1" t="s">
        <v>1498</v>
      </c>
      <c r="L503" s="1" t="s">
        <v>1501</v>
      </c>
      <c r="M503" s="1" t="s">
        <v>388</v>
      </c>
      <c r="N503" s="1" t="s">
        <v>89</v>
      </c>
      <c r="O503" s="1" t="str">
        <f>INT(Matrice1!$P503/12) &amp; " ans et " &amp; MOD(Matrice1!$P503,12) &amp; " mois"</f>
        <v>6 ans et 5 mois</v>
      </c>
      <c r="P503">
        <v>77</v>
      </c>
      <c r="Q503" s="1" t="s">
        <v>22</v>
      </c>
      <c r="R503" s="4">
        <f>Matrice1!$S503/1440</f>
        <v>3.125E-2</v>
      </c>
      <c r="S503">
        <v>45</v>
      </c>
      <c r="T503">
        <v>21.59</v>
      </c>
      <c r="U503">
        <v>2</v>
      </c>
      <c r="V503" s="8">
        <f>IF(Matrice1!$Q503="Pro Monde",10%,IF(AND(Matrice1!$R503&gt;12,Matrice1!$O503&gt;5),70%,IF(AND(OR(Matrice1!$R503&gt;=4,Matrice1!$R503&lt;=12,Matrice1!$O503&lt;5,(OR(Matrice1!$Q503="Premium ")))),45%,0%)))</f>
        <v>0.45</v>
      </c>
      <c r="W503">
        <f>Matrice1!$T503* (Matrice1!$V503/100)</f>
        <v>9.7155000000000005E-2</v>
      </c>
    </row>
    <row r="504" spans="1:23" x14ac:dyDescent="0.3">
      <c r="A504" s="1" t="s">
        <v>805</v>
      </c>
      <c r="B504" s="2">
        <v>45211</v>
      </c>
      <c r="C504" s="3">
        <v>0.27916666666666667</v>
      </c>
      <c r="D504" s="1" t="s">
        <v>838</v>
      </c>
      <c r="E504">
        <v>75</v>
      </c>
      <c r="F504" s="1" t="s">
        <v>807</v>
      </c>
      <c r="G504" s="1" t="s">
        <v>838</v>
      </c>
      <c r="H504" s="1" t="s">
        <v>89</v>
      </c>
      <c r="I504">
        <v>-8.1437910000000002</v>
      </c>
      <c r="J504">
        <v>28.946161</v>
      </c>
      <c r="K504" s="1" t="s">
        <v>1498</v>
      </c>
      <c r="L504" s="1" t="s">
        <v>1501</v>
      </c>
      <c r="M504" s="1" t="s">
        <v>418</v>
      </c>
      <c r="N504" s="1" t="s">
        <v>89</v>
      </c>
      <c r="O504" s="1" t="str">
        <f>INT(Matrice1!$P504/12) &amp; " ans et " &amp; MOD(Matrice1!$P504,12) &amp; " mois"</f>
        <v>3 ans et 4 mois</v>
      </c>
      <c r="P504">
        <v>40</v>
      </c>
      <c r="Q504" s="1" t="s">
        <v>19</v>
      </c>
      <c r="R504" s="4">
        <f>Matrice1!$S504/1440</f>
        <v>2.6388888888888889E-2</v>
      </c>
      <c r="S504">
        <v>38</v>
      </c>
      <c r="T504">
        <v>17.63</v>
      </c>
      <c r="U504">
        <v>0</v>
      </c>
      <c r="V504" s="8">
        <f>IF(Matrice1!$Q504="Pro Monde",10%,IF(AND(Matrice1!$R504&gt;12,Matrice1!$O504&gt;5),70%,IF(AND(OR(Matrice1!$R504&gt;=4,Matrice1!$R504&lt;=12,Matrice1!$O504&lt;5,(OR(Matrice1!$Q504="Premium ")))),45%,0%)))</f>
        <v>0.45</v>
      </c>
      <c r="W504">
        <f>Matrice1!$T504* (Matrice1!$V504/100)</f>
        <v>7.9335000000000003E-2</v>
      </c>
    </row>
    <row r="505" spans="1:23" x14ac:dyDescent="0.3">
      <c r="A505" s="1" t="s">
        <v>805</v>
      </c>
      <c r="B505" s="2">
        <v>45211</v>
      </c>
      <c r="C505" s="3">
        <v>0.27916666666666667</v>
      </c>
      <c r="D505" s="1" t="s">
        <v>838</v>
      </c>
      <c r="E505">
        <v>75</v>
      </c>
      <c r="F505" s="1" t="s">
        <v>807</v>
      </c>
      <c r="G505" s="1" t="s">
        <v>838</v>
      </c>
      <c r="H505" s="1" t="s">
        <v>89</v>
      </c>
      <c r="I505">
        <v>-8.1437910000000002</v>
      </c>
      <c r="J505">
        <v>28.946161</v>
      </c>
      <c r="K505" s="1" t="s">
        <v>1498</v>
      </c>
      <c r="L505" s="1" t="s">
        <v>1501</v>
      </c>
      <c r="M505" s="1" t="s">
        <v>463</v>
      </c>
      <c r="N505" s="1" t="s">
        <v>89</v>
      </c>
      <c r="O505" s="1" t="str">
        <f>INT(Matrice1!$P505/12) &amp; " ans et " &amp; MOD(Matrice1!$P505,12) &amp; " mois"</f>
        <v>7 ans et 1 mois</v>
      </c>
      <c r="P505">
        <v>85</v>
      </c>
      <c r="Q505" s="1" t="s">
        <v>22</v>
      </c>
      <c r="R505" s="4">
        <f>Matrice1!$S505/1440</f>
        <v>9.166666666666666E-2</v>
      </c>
      <c r="S505">
        <v>132</v>
      </c>
      <c r="T505">
        <v>11.41</v>
      </c>
      <c r="U505">
        <v>0</v>
      </c>
      <c r="V505" s="8">
        <f>IF(Matrice1!$Q505="Pro Monde",10%,IF(AND(Matrice1!$R505&gt;12,Matrice1!$O505&gt;5),70%,IF(AND(OR(Matrice1!$R505&gt;=4,Matrice1!$R505&lt;=12,Matrice1!$O505&lt;5,(OR(Matrice1!$Q505="Premium ")))),45%,0%)))</f>
        <v>0.45</v>
      </c>
      <c r="W505">
        <f>Matrice1!$T505* (Matrice1!$V505/100)</f>
        <v>5.1345000000000009E-2</v>
      </c>
    </row>
    <row r="506" spans="1:23" x14ac:dyDescent="0.3">
      <c r="A506" s="1" t="s">
        <v>854</v>
      </c>
      <c r="B506" s="2">
        <v>45214</v>
      </c>
      <c r="C506" s="3">
        <v>0.9604166666666667</v>
      </c>
      <c r="D506" s="1" t="s">
        <v>859</v>
      </c>
      <c r="E506">
        <v>38</v>
      </c>
      <c r="F506" s="1" t="s">
        <v>807</v>
      </c>
      <c r="G506" s="1" t="s">
        <v>859</v>
      </c>
      <c r="H506" s="1" t="s">
        <v>137</v>
      </c>
      <c r="I506">
        <v>-11.710407999999999</v>
      </c>
      <c r="J506">
        <v>23.741330999999999</v>
      </c>
      <c r="K506" s="1" t="s">
        <v>1500</v>
      </c>
      <c r="L506" s="1" t="s">
        <v>1499</v>
      </c>
      <c r="M506" s="1" t="s">
        <v>136</v>
      </c>
      <c r="N506" s="1" t="s">
        <v>137</v>
      </c>
      <c r="O506" s="1" t="str">
        <f>INT(Matrice1!$P506/12) &amp; " ans et " &amp; MOD(Matrice1!$P506,12) &amp; " mois"</f>
        <v>6 ans et 8 mois</v>
      </c>
      <c r="P506">
        <v>80</v>
      </c>
      <c r="Q506" s="1" t="s">
        <v>22</v>
      </c>
      <c r="R506" s="4">
        <f>Matrice1!$S506/1440</f>
        <v>0.1076388888888889</v>
      </c>
      <c r="S506">
        <v>155</v>
      </c>
      <c r="T506">
        <v>28.96</v>
      </c>
      <c r="U506">
        <v>2</v>
      </c>
      <c r="V506" s="8">
        <f>IF(Matrice1!$Q506="Pro Monde",10%,IF(AND(Matrice1!$R506&gt;12,Matrice1!$O506&gt;5),70%,IF(AND(OR(Matrice1!$R506&gt;=4,Matrice1!$R506&lt;=12,Matrice1!$O506&lt;5,(OR(Matrice1!$Q506="Premium ")))),45%,0%)))</f>
        <v>0.45</v>
      </c>
      <c r="W506">
        <f>Matrice1!$T506* (Matrice1!$V506/100)</f>
        <v>0.13032000000000002</v>
      </c>
    </row>
    <row r="507" spans="1:23" x14ac:dyDescent="0.3">
      <c r="A507" s="1" t="s">
        <v>854</v>
      </c>
      <c r="B507" s="2">
        <v>45214</v>
      </c>
      <c r="C507" s="3">
        <v>0.9604166666666667</v>
      </c>
      <c r="D507" s="1" t="s">
        <v>859</v>
      </c>
      <c r="E507">
        <v>38</v>
      </c>
      <c r="F507" s="1" t="s">
        <v>807</v>
      </c>
      <c r="G507" s="1" t="s">
        <v>859</v>
      </c>
      <c r="H507" s="1" t="s">
        <v>137</v>
      </c>
      <c r="I507">
        <v>-11.710407999999999</v>
      </c>
      <c r="J507">
        <v>23.741330999999999</v>
      </c>
      <c r="K507" s="1" t="s">
        <v>1500</v>
      </c>
      <c r="L507" s="1" t="s">
        <v>1499</v>
      </c>
      <c r="M507" s="1" t="s">
        <v>211</v>
      </c>
      <c r="N507" s="1" t="s">
        <v>137</v>
      </c>
      <c r="O507" s="1" t="str">
        <f>INT(Matrice1!$P507/12) &amp; " ans et " &amp; MOD(Matrice1!$P507,12) &amp; " mois"</f>
        <v>6 ans et 3 mois</v>
      </c>
      <c r="P507">
        <v>75</v>
      </c>
      <c r="Q507" s="1" t="s">
        <v>14</v>
      </c>
      <c r="R507" s="4">
        <f>Matrice1!$S507/1440</f>
        <v>0.16805555555555557</v>
      </c>
      <c r="S507">
        <v>242</v>
      </c>
      <c r="T507">
        <v>64.27</v>
      </c>
      <c r="U507">
        <v>2</v>
      </c>
      <c r="V507" s="8">
        <f>IF(Matrice1!$Q507="Pro Monde",10%,IF(AND(Matrice1!$R507&gt;12,Matrice1!$O507&gt;5),70%,IF(AND(OR(Matrice1!$R507&gt;=4,Matrice1!$R507&lt;=12,Matrice1!$O507&lt;5,(OR(Matrice1!$Q507="Premium ")))),45%,0%)))</f>
        <v>0.1</v>
      </c>
      <c r="W507">
        <f>Matrice1!$T507* (Matrice1!$V507/100)</f>
        <v>6.4269999999999994E-2</v>
      </c>
    </row>
    <row r="508" spans="1:23" x14ac:dyDescent="0.3">
      <c r="A508" s="1" t="s">
        <v>854</v>
      </c>
      <c r="B508" s="2">
        <v>45214</v>
      </c>
      <c r="C508" s="3">
        <v>0.9604166666666667</v>
      </c>
      <c r="D508" s="1" t="s">
        <v>859</v>
      </c>
      <c r="E508">
        <v>38</v>
      </c>
      <c r="F508" s="1" t="s">
        <v>807</v>
      </c>
      <c r="G508" s="1" t="s">
        <v>859</v>
      </c>
      <c r="H508" s="1" t="s">
        <v>137</v>
      </c>
      <c r="I508">
        <v>-11.710407999999999</v>
      </c>
      <c r="J508">
        <v>23.741330999999999</v>
      </c>
      <c r="K508" s="1" t="s">
        <v>1500</v>
      </c>
      <c r="L508" s="1" t="s">
        <v>1499</v>
      </c>
      <c r="M508" s="1" t="s">
        <v>277</v>
      </c>
      <c r="N508" s="1" t="s">
        <v>137</v>
      </c>
      <c r="O508" s="1" t="str">
        <f>INT(Matrice1!$P508/12) &amp; " ans et " &amp; MOD(Matrice1!$P508,12) &amp; " mois"</f>
        <v>2 ans et 8 mois</v>
      </c>
      <c r="P508">
        <v>32</v>
      </c>
      <c r="Q508" s="1" t="s">
        <v>22</v>
      </c>
      <c r="R508" s="4">
        <f>Matrice1!$S508/1440</f>
        <v>0.28125</v>
      </c>
      <c r="S508">
        <v>405</v>
      </c>
      <c r="T508">
        <v>67.92</v>
      </c>
      <c r="U508">
        <v>3</v>
      </c>
      <c r="V508" s="8">
        <f>IF(Matrice1!$Q508="Pro Monde",10%,IF(AND(Matrice1!$R508&gt;12,Matrice1!$O508&gt;5),70%,IF(AND(OR(Matrice1!$R508&gt;=4,Matrice1!$R508&lt;=12,Matrice1!$O508&lt;5,(OR(Matrice1!$Q508="Premium ")))),45%,0%)))</f>
        <v>0.45</v>
      </c>
      <c r="W508">
        <f>Matrice1!$T508* (Matrice1!$V508/100)</f>
        <v>0.30564000000000002</v>
      </c>
    </row>
    <row r="509" spans="1:23" x14ac:dyDescent="0.3">
      <c r="A509" s="1" t="s">
        <v>854</v>
      </c>
      <c r="B509" s="2">
        <v>45214</v>
      </c>
      <c r="C509" s="3">
        <v>0.9604166666666667</v>
      </c>
      <c r="D509" s="1" t="s">
        <v>859</v>
      </c>
      <c r="E509">
        <v>38</v>
      </c>
      <c r="F509" s="1" t="s">
        <v>807</v>
      </c>
      <c r="G509" s="1" t="s">
        <v>859</v>
      </c>
      <c r="H509" s="1" t="s">
        <v>137</v>
      </c>
      <c r="I509">
        <v>-11.710407999999999</v>
      </c>
      <c r="J509">
        <v>23.741330999999999</v>
      </c>
      <c r="K509" s="1" t="s">
        <v>1500</v>
      </c>
      <c r="L509" s="1" t="s">
        <v>1499</v>
      </c>
      <c r="M509" s="1" t="s">
        <v>282</v>
      </c>
      <c r="N509" s="1" t="s">
        <v>137</v>
      </c>
      <c r="O509" s="1" t="str">
        <f>INT(Matrice1!$P509/12) &amp; " ans et " &amp; MOD(Matrice1!$P509,12) &amp; " mois"</f>
        <v>8 ans et 10 mois</v>
      </c>
      <c r="P509">
        <v>106</v>
      </c>
      <c r="Q509" s="1" t="s">
        <v>22</v>
      </c>
      <c r="R509" s="4">
        <f>Matrice1!$S509/1440</f>
        <v>8.8888888888888892E-2</v>
      </c>
      <c r="S509">
        <v>128</v>
      </c>
      <c r="T509">
        <v>35.96</v>
      </c>
      <c r="U509">
        <v>2</v>
      </c>
      <c r="V509" s="8">
        <f>IF(Matrice1!$Q509="Pro Monde",10%,IF(AND(Matrice1!$R509&gt;12,Matrice1!$O509&gt;5),70%,IF(AND(OR(Matrice1!$R509&gt;=4,Matrice1!$R509&lt;=12,Matrice1!$O509&lt;5,(OR(Matrice1!$Q509="Premium ")))),45%,0%)))</f>
        <v>0.45</v>
      </c>
      <c r="W509">
        <f>Matrice1!$T509* (Matrice1!$V509/100)</f>
        <v>0.16182000000000002</v>
      </c>
    </row>
    <row r="510" spans="1:23" x14ac:dyDescent="0.3">
      <c r="A510" s="1" t="s">
        <v>854</v>
      </c>
      <c r="B510" s="2">
        <v>45214</v>
      </c>
      <c r="C510" s="3">
        <v>0.9604166666666667</v>
      </c>
      <c r="D510" s="1" t="s">
        <v>859</v>
      </c>
      <c r="E510">
        <v>38</v>
      </c>
      <c r="F510" s="1" t="s">
        <v>807</v>
      </c>
      <c r="G510" s="1" t="s">
        <v>859</v>
      </c>
      <c r="H510" s="1" t="s">
        <v>137</v>
      </c>
      <c r="I510">
        <v>-11.710407999999999</v>
      </c>
      <c r="J510">
        <v>23.741330999999999</v>
      </c>
      <c r="K510" s="1" t="s">
        <v>1500</v>
      </c>
      <c r="L510" s="1" t="s">
        <v>1499</v>
      </c>
      <c r="M510" s="1" t="s">
        <v>285</v>
      </c>
      <c r="N510" s="1" t="s">
        <v>137</v>
      </c>
      <c r="O510" s="1" t="str">
        <f>INT(Matrice1!$P510/12) &amp; " ans et " &amp; MOD(Matrice1!$P510,12) &amp; " mois"</f>
        <v>1 ans et 9 mois</v>
      </c>
      <c r="P510">
        <v>21</v>
      </c>
      <c r="Q510" s="1" t="s">
        <v>19</v>
      </c>
      <c r="R510" s="4">
        <f>Matrice1!$S510/1440</f>
        <v>0.21319444444444444</v>
      </c>
      <c r="S510">
        <v>307</v>
      </c>
      <c r="T510">
        <v>39.81</v>
      </c>
      <c r="U510">
        <v>5</v>
      </c>
      <c r="V510" s="8">
        <f>IF(Matrice1!$Q510="Pro Monde",10%,IF(AND(Matrice1!$R510&gt;12,Matrice1!$O510&gt;5),70%,IF(AND(OR(Matrice1!$R510&gt;=4,Matrice1!$R510&lt;=12,Matrice1!$O510&lt;5,(OR(Matrice1!$Q510="Premium ")))),45%,0%)))</f>
        <v>0.45</v>
      </c>
      <c r="W510">
        <f>Matrice1!$T510* (Matrice1!$V510/100)</f>
        <v>0.17914500000000003</v>
      </c>
    </row>
    <row r="511" spans="1:23" x14ac:dyDescent="0.3">
      <c r="A511" s="1" t="s">
        <v>854</v>
      </c>
      <c r="B511" s="2">
        <v>45214</v>
      </c>
      <c r="C511" s="3">
        <v>0.9604166666666667</v>
      </c>
      <c r="D511" s="1" t="s">
        <v>859</v>
      </c>
      <c r="E511">
        <v>38</v>
      </c>
      <c r="F511" s="1" t="s">
        <v>807</v>
      </c>
      <c r="G511" s="1" t="s">
        <v>859</v>
      </c>
      <c r="H511" s="1" t="s">
        <v>137</v>
      </c>
      <c r="I511">
        <v>-11.710407999999999</v>
      </c>
      <c r="J511">
        <v>23.741330999999999</v>
      </c>
      <c r="K511" s="1" t="s">
        <v>1500</v>
      </c>
      <c r="L511" s="1" t="s">
        <v>1499</v>
      </c>
      <c r="M511" s="1" t="s">
        <v>286</v>
      </c>
      <c r="N511" s="1" t="s">
        <v>137</v>
      </c>
      <c r="O511" s="1" t="str">
        <f>INT(Matrice1!$P511/12) &amp; " ans et " &amp; MOD(Matrice1!$P511,12) &amp; " mois"</f>
        <v>1 ans et 10 mois</v>
      </c>
      <c r="P511">
        <v>22</v>
      </c>
      <c r="Q511" s="1" t="s">
        <v>11</v>
      </c>
      <c r="R511" s="4">
        <f>Matrice1!$S511/1440</f>
        <v>0.11527777777777778</v>
      </c>
      <c r="S511">
        <v>166</v>
      </c>
      <c r="T511">
        <v>31.8</v>
      </c>
      <c r="U511">
        <v>1</v>
      </c>
      <c r="V511" s="8">
        <f>IF(Matrice1!$Q511="Pro Monde",10%,IF(AND(Matrice1!$R511&gt;12,Matrice1!$O511&gt;5),70%,IF(AND(OR(Matrice1!$R511&gt;=4,Matrice1!$R511&lt;=12,Matrice1!$O511&lt;5,(OR(Matrice1!$Q511="Premium ")))),45%,0%)))</f>
        <v>0.45</v>
      </c>
      <c r="W511">
        <f>Matrice1!$T511* (Matrice1!$V511/100)</f>
        <v>0.14310000000000003</v>
      </c>
    </row>
    <row r="512" spans="1:23" x14ac:dyDescent="0.3">
      <c r="A512" s="1" t="s">
        <v>854</v>
      </c>
      <c r="B512" s="2">
        <v>45214</v>
      </c>
      <c r="C512" s="3">
        <v>0.9604166666666667</v>
      </c>
      <c r="D512" s="1" t="s">
        <v>859</v>
      </c>
      <c r="E512">
        <v>38</v>
      </c>
      <c r="F512" s="1" t="s">
        <v>807</v>
      </c>
      <c r="G512" s="1" t="s">
        <v>859</v>
      </c>
      <c r="H512" s="1" t="s">
        <v>137</v>
      </c>
      <c r="I512">
        <v>-11.710407999999999</v>
      </c>
      <c r="J512">
        <v>23.741330999999999</v>
      </c>
      <c r="K512" s="1" t="s">
        <v>1500</v>
      </c>
      <c r="L512" s="1" t="s">
        <v>1499</v>
      </c>
      <c r="M512" s="1" t="s">
        <v>298</v>
      </c>
      <c r="N512" s="1" t="s">
        <v>137</v>
      </c>
      <c r="O512" s="1" t="str">
        <f>INT(Matrice1!$P512/12) &amp; " ans et " &amp; MOD(Matrice1!$P512,12) &amp; " mois"</f>
        <v>6 ans et 11 mois</v>
      </c>
      <c r="P512">
        <v>83</v>
      </c>
      <c r="Q512" s="1" t="s">
        <v>22</v>
      </c>
      <c r="R512" s="4">
        <f>Matrice1!$S512/1440</f>
        <v>2.0833333333333332E-2</v>
      </c>
      <c r="S512">
        <v>30</v>
      </c>
      <c r="T512">
        <v>33.93</v>
      </c>
      <c r="U512">
        <v>3</v>
      </c>
      <c r="V512" s="8">
        <f>IF(Matrice1!$Q512="Pro Monde",10%,IF(AND(Matrice1!$R512&gt;12,Matrice1!$O512&gt;5),70%,IF(AND(OR(Matrice1!$R512&gt;=4,Matrice1!$R512&lt;=12,Matrice1!$O512&lt;5,(OR(Matrice1!$Q512="Premium ")))),45%,0%)))</f>
        <v>0.45</v>
      </c>
      <c r="W512">
        <f>Matrice1!$T512* (Matrice1!$V512/100)</f>
        <v>0.15268500000000002</v>
      </c>
    </row>
    <row r="513" spans="1:23" x14ac:dyDescent="0.3">
      <c r="A513" s="1" t="s">
        <v>854</v>
      </c>
      <c r="B513" s="2">
        <v>45214</v>
      </c>
      <c r="C513" s="3">
        <v>0.9604166666666667</v>
      </c>
      <c r="D513" s="1" t="s">
        <v>859</v>
      </c>
      <c r="E513">
        <v>38</v>
      </c>
      <c r="F513" s="1" t="s">
        <v>807</v>
      </c>
      <c r="G513" s="1" t="s">
        <v>859</v>
      </c>
      <c r="H513" s="1" t="s">
        <v>137</v>
      </c>
      <c r="I513">
        <v>-11.710407999999999</v>
      </c>
      <c r="J513">
        <v>23.741330999999999</v>
      </c>
      <c r="K513" s="1" t="s">
        <v>1500</v>
      </c>
      <c r="L513" s="1" t="s">
        <v>1499</v>
      </c>
      <c r="M513" s="1" t="s">
        <v>302</v>
      </c>
      <c r="N513" s="1" t="s">
        <v>137</v>
      </c>
      <c r="O513" s="1" t="str">
        <f>INT(Matrice1!$P513/12) &amp; " ans et " &amp; MOD(Matrice1!$P513,12) &amp; " mois"</f>
        <v>0 ans et 5 mois</v>
      </c>
      <c r="P513">
        <v>5</v>
      </c>
      <c r="Q513" s="1" t="s">
        <v>14</v>
      </c>
      <c r="R513" s="4">
        <f>Matrice1!$S513/1440</f>
        <v>6.805555555555555E-2</v>
      </c>
      <c r="S513">
        <v>98</v>
      </c>
      <c r="T513">
        <v>71.37</v>
      </c>
      <c r="U513">
        <v>1</v>
      </c>
      <c r="V513" s="8">
        <f>IF(Matrice1!$Q513="Pro Monde",10%,IF(AND(Matrice1!$R513&gt;12,Matrice1!$O513&gt;5),70%,IF(AND(OR(Matrice1!$R513&gt;=4,Matrice1!$R513&lt;=12,Matrice1!$O513&lt;5,(OR(Matrice1!$Q513="Premium ")))),45%,0%)))</f>
        <v>0.1</v>
      </c>
      <c r="W513">
        <f>Matrice1!$T513* (Matrice1!$V513/100)</f>
        <v>7.1370000000000003E-2</v>
      </c>
    </row>
    <row r="514" spans="1:23" x14ac:dyDescent="0.3">
      <c r="A514" s="1" t="s">
        <v>854</v>
      </c>
      <c r="B514" s="2">
        <v>45214</v>
      </c>
      <c r="C514" s="3">
        <v>0.9604166666666667</v>
      </c>
      <c r="D514" s="1" t="s">
        <v>859</v>
      </c>
      <c r="E514">
        <v>38</v>
      </c>
      <c r="F514" s="1" t="s">
        <v>807</v>
      </c>
      <c r="G514" s="1" t="s">
        <v>859</v>
      </c>
      <c r="H514" s="1" t="s">
        <v>137</v>
      </c>
      <c r="I514">
        <v>-11.710407999999999</v>
      </c>
      <c r="J514">
        <v>23.741330999999999</v>
      </c>
      <c r="K514" s="1" t="s">
        <v>1500</v>
      </c>
      <c r="L514" s="1" t="s">
        <v>1499</v>
      </c>
      <c r="M514" s="1" t="s">
        <v>306</v>
      </c>
      <c r="N514" s="1" t="s">
        <v>137</v>
      </c>
      <c r="O514" s="1" t="str">
        <f>INT(Matrice1!$P514/12) &amp; " ans et " &amp; MOD(Matrice1!$P514,12) &amp; " mois"</f>
        <v>10 ans et 0 mois</v>
      </c>
      <c r="P514">
        <v>120</v>
      </c>
      <c r="Q514" s="1" t="s">
        <v>14</v>
      </c>
      <c r="R514" s="4">
        <f>Matrice1!$S514/1440</f>
        <v>0.1451388888888889</v>
      </c>
      <c r="S514">
        <v>209</v>
      </c>
      <c r="T514">
        <v>42.51</v>
      </c>
      <c r="U514">
        <v>4</v>
      </c>
      <c r="V514" s="8">
        <f>IF(Matrice1!$Q514="Pro Monde",10%,IF(AND(Matrice1!$R514&gt;12,Matrice1!$O514&gt;5),70%,IF(AND(OR(Matrice1!$R514&gt;=4,Matrice1!$R514&lt;=12,Matrice1!$O514&lt;5,(OR(Matrice1!$Q514="Premium ")))),45%,0%)))</f>
        <v>0.1</v>
      </c>
      <c r="W514">
        <f>Matrice1!$T514* (Matrice1!$V514/100)</f>
        <v>4.2509999999999999E-2</v>
      </c>
    </row>
    <row r="515" spans="1:23" x14ac:dyDescent="0.3">
      <c r="A515" s="1" t="s">
        <v>854</v>
      </c>
      <c r="B515" s="2">
        <v>45214</v>
      </c>
      <c r="C515" s="3">
        <v>0.9604166666666667</v>
      </c>
      <c r="D515" s="1" t="s">
        <v>859</v>
      </c>
      <c r="E515">
        <v>38</v>
      </c>
      <c r="F515" s="1" t="s">
        <v>807</v>
      </c>
      <c r="G515" s="1" t="s">
        <v>859</v>
      </c>
      <c r="H515" s="1" t="s">
        <v>137</v>
      </c>
      <c r="I515">
        <v>-11.710407999999999</v>
      </c>
      <c r="J515">
        <v>23.741330999999999</v>
      </c>
      <c r="K515" s="1" t="s">
        <v>1500</v>
      </c>
      <c r="L515" s="1" t="s">
        <v>1499</v>
      </c>
      <c r="M515" s="1" t="s">
        <v>352</v>
      </c>
      <c r="N515" s="1" t="s">
        <v>137</v>
      </c>
      <c r="O515" s="1" t="str">
        <f>INT(Matrice1!$P515/12) &amp; " ans et " &amp; MOD(Matrice1!$P515,12) &amp; " mois"</f>
        <v>8 ans et 7 mois</v>
      </c>
      <c r="P515">
        <v>103</v>
      </c>
      <c r="Q515" s="1" t="s">
        <v>22</v>
      </c>
      <c r="R515" s="4">
        <f>Matrice1!$S515/1440</f>
        <v>0.12638888888888888</v>
      </c>
      <c r="S515">
        <v>182</v>
      </c>
      <c r="T515">
        <v>12.07</v>
      </c>
      <c r="U515">
        <v>5</v>
      </c>
      <c r="V515" s="8">
        <f>IF(Matrice1!$Q515="Pro Monde",10%,IF(AND(Matrice1!$R515&gt;12,Matrice1!$O515&gt;5),70%,IF(AND(OR(Matrice1!$R515&gt;=4,Matrice1!$R515&lt;=12,Matrice1!$O515&lt;5,(OR(Matrice1!$Q515="Premium ")))),45%,0%)))</f>
        <v>0.45</v>
      </c>
      <c r="W515">
        <f>Matrice1!$T515* (Matrice1!$V515/100)</f>
        <v>5.4315000000000009E-2</v>
      </c>
    </row>
    <row r="516" spans="1:23" x14ac:dyDescent="0.3">
      <c r="A516" s="1" t="s">
        <v>854</v>
      </c>
      <c r="B516" s="2">
        <v>45214</v>
      </c>
      <c r="C516" s="3">
        <v>0.9604166666666667</v>
      </c>
      <c r="D516" s="1" t="s">
        <v>859</v>
      </c>
      <c r="E516">
        <v>38</v>
      </c>
      <c r="F516" s="1" t="s">
        <v>807</v>
      </c>
      <c r="G516" s="1" t="s">
        <v>859</v>
      </c>
      <c r="H516" s="1" t="s">
        <v>137</v>
      </c>
      <c r="I516">
        <v>-11.710407999999999</v>
      </c>
      <c r="J516">
        <v>23.741330999999999</v>
      </c>
      <c r="K516" s="1" t="s">
        <v>1500</v>
      </c>
      <c r="L516" s="1" t="s">
        <v>1499</v>
      </c>
      <c r="M516" s="1" t="s">
        <v>549</v>
      </c>
      <c r="N516" s="1" t="s">
        <v>137</v>
      </c>
      <c r="O516" s="1" t="str">
        <f>INT(Matrice1!$P516/12) &amp; " ans et " &amp; MOD(Matrice1!$P516,12) &amp; " mois"</f>
        <v>1 ans et 9 mois</v>
      </c>
      <c r="P516">
        <v>21</v>
      </c>
      <c r="Q516" s="1" t="s">
        <v>22</v>
      </c>
      <c r="R516" s="4">
        <f>Matrice1!$S516/1440</f>
        <v>0.30833333333333335</v>
      </c>
      <c r="S516">
        <v>444</v>
      </c>
      <c r="T516">
        <v>41.92</v>
      </c>
      <c r="U516">
        <v>3</v>
      </c>
      <c r="V516" s="8">
        <f>IF(Matrice1!$Q516="Pro Monde",10%,IF(AND(Matrice1!$R516&gt;12,Matrice1!$O516&gt;5),70%,IF(AND(OR(Matrice1!$R516&gt;=4,Matrice1!$R516&lt;=12,Matrice1!$O516&lt;5,(OR(Matrice1!$Q516="Premium ")))),45%,0%)))</f>
        <v>0.45</v>
      </c>
      <c r="W516">
        <f>Matrice1!$T516* (Matrice1!$V516/100)</f>
        <v>0.18864000000000003</v>
      </c>
    </row>
    <row r="517" spans="1:23" x14ac:dyDescent="0.3">
      <c r="A517" s="1" t="s">
        <v>854</v>
      </c>
      <c r="B517" s="2">
        <v>45214</v>
      </c>
      <c r="C517" s="3">
        <v>0.9604166666666667</v>
      </c>
      <c r="D517" s="1" t="s">
        <v>859</v>
      </c>
      <c r="E517">
        <v>38</v>
      </c>
      <c r="F517" s="1" t="s">
        <v>807</v>
      </c>
      <c r="G517" s="1" t="s">
        <v>859</v>
      </c>
      <c r="H517" s="1" t="s">
        <v>137</v>
      </c>
      <c r="I517">
        <v>-11.710407999999999</v>
      </c>
      <c r="J517">
        <v>23.741330999999999</v>
      </c>
      <c r="K517" s="1" t="s">
        <v>1500</v>
      </c>
      <c r="L517" s="1" t="s">
        <v>1499</v>
      </c>
      <c r="M517" s="1" t="s">
        <v>558</v>
      </c>
      <c r="N517" s="1" t="s">
        <v>137</v>
      </c>
      <c r="O517" s="1" t="str">
        <f>INT(Matrice1!$P517/12) &amp; " ans et " &amp; MOD(Matrice1!$P517,12) &amp; " mois"</f>
        <v>7 ans et 7 mois</v>
      </c>
      <c r="P517">
        <v>91</v>
      </c>
      <c r="Q517" s="1" t="s">
        <v>22</v>
      </c>
      <c r="R517" s="4">
        <f>Matrice1!$S517/1440</f>
        <v>6.25E-2</v>
      </c>
      <c r="S517">
        <v>90</v>
      </c>
      <c r="T517">
        <v>39.14</v>
      </c>
      <c r="U517">
        <v>3</v>
      </c>
      <c r="V517" s="8">
        <f>IF(Matrice1!$Q517="Pro Monde",10%,IF(AND(Matrice1!$R517&gt;12,Matrice1!$O517&gt;5),70%,IF(AND(OR(Matrice1!$R517&gt;=4,Matrice1!$R517&lt;=12,Matrice1!$O517&lt;5,(OR(Matrice1!$Q517="Premium ")))),45%,0%)))</f>
        <v>0.45</v>
      </c>
      <c r="W517">
        <f>Matrice1!$T517* (Matrice1!$V517/100)</f>
        <v>0.17613000000000004</v>
      </c>
    </row>
    <row r="518" spans="1:23" x14ac:dyDescent="0.3">
      <c r="A518" s="1" t="s">
        <v>854</v>
      </c>
      <c r="B518" s="2">
        <v>45214</v>
      </c>
      <c r="C518" s="3">
        <v>0.9604166666666667</v>
      </c>
      <c r="D518" s="1" t="s">
        <v>859</v>
      </c>
      <c r="E518">
        <v>38</v>
      </c>
      <c r="F518" s="1" t="s">
        <v>807</v>
      </c>
      <c r="G518" s="1" t="s">
        <v>859</v>
      </c>
      <c r="H518" s="1" t="s">
        <v>137</v>
      </c>
      <c r="I518">
        <v>-11.710407999999999</v>
      </c>
      <c r="J518">
        <v>23.741330999999999</v>
      </c>
      <c r="K518" s="1" t="s">
        <v>1500</v>
      </c>
      <c r="L518" s="1" t="s">
        <v>1499</v>
      </c>
      <c r="M518" s="1" t="s">
        <v>570</v>
      </c>
      <c r="N518" s="1" t="s">
        <v>137</v>
      </c>
      <c r="O518" s="1" t="str">
        <f>INT(Matrice1!$P518/12) &amp; " ans et " &amp; MOD(Matrice1!$P518,12) &amp; " mois"</f>
        <v>1 ans et 4 mois</v>
      </c>
      <c r="P518">
        <v>16</v>
      </c>
      <c r="Q518" s="1" t="s">
        <v>14</v>
      </c>
      <c r="R518" s="4">
        <f>Matrice1!$S518/1440</f>
        <v>0.14861111111111111</v>
      </c>
      <c r="S518">
        <v>214</v>
      </c>
      <c r="T518">
        <v>46.57</v>
      </c>
      <c r="U518">
        <v>5</v>
      </c>
      <c r="V518" s="8">
        <f>IF(Matrice1!$Q518="Pro Monde",10%,IF(AND(Matrice1!$R518&gt;12,Matrice1!$O518&gt;5),70%,IF(AND(OR(Matrice1!$R518&gt;=4,Matrice1!$R518&lt;=12,Matrice1!$O518&lt;5,(OR(Matrice1!$Q518="Premium ")))),45%,0%)))</f>
        <v>0.1</v>
      </c>
      <c r="W518">
        <f>Matrice1!$T518* (Matrice1!$V518/100)</f>
        <v>4.657E-2</v>
      </c>
    </row>
    <row r="519" spans="1:23" x14ac:dyDescent="0.3">
      <c r="A519" s="1" t="s">
        <v>898</v>
      </c>
      <c r="B519" s="2">
        <v>45206</v>
      </c>
      <c r="C519" s="3">
        <v>0.6875</v>
      </c>
      <c r="D519" s="1" t="s">
        <v>926</v>
      </c>
      <c r="E519">
        <v>76</v>
      </c>
      <c r="F519" s="1" t="s">
        <v>812</v>
      </c>
      <c r="G519" s="1" t="s">
        <v>926</v>
      </c>
      <c r="H519" s="1" t="s">
        <v>127</v>
      </c>
      <c r="I519">
        <v>-12.100756000000001</v>
      </c>
      <c r="J519">
        <v>21.938649999999999</v>
      </c>
      <c r="K519" s="1" t="s">
        <v>1498</v>
      </c>
      <c r="L519" s="1" t="s">
        <v>1499</v>
      </c>
      <c r="M519" s="1" t="s">
        <v>126</v>
      </c>
      <c r="N519" s="1" t="s">
        <v>127</v>
      </c>
      <c r="O519" s="1" t="str">
        <f>INT(Matrice1!$P519/12) &amp; " ans et " &amp; MOD(Matrice1!$P519,12) &amp; " mois"</f>
        <v>3 ans et 4 mois</v>
      </c>
      <c r="P519">
        <v>40</v>
      </c>
      <c r="Q519" s="1" t="s">
        <v>11</v>
      </c>
      <c r="R519" s="4">
        <f>Matrice1!$S519/1440</f>
        <v>0.23958333333333334</v>
      </c>
      <c r="S519">
        <v>345</v>
      </c>
      <c r="T519">
        <v>89.55</v>
      </c>
      <c r="U519">
        <v>3</v>
      </c>
      <c r="V519" s="8">
        <f>IF(Matrice1!$Q519="Pro Monde",10%,IF(AND(Matrice1!$R519&gt;12,Matrice1!$O519&gt;5),70%,IF(AND(OR(Matrice1!$R519&gt;=4,Matrice1!$R519&lt;=12,Matrice1!$O519&lt;5,(OR(Matrice1!$Q519="Premium ")))),45%,0%)))</f>
        <v>0.45</v>
      </c>
      <c r="W519">
        <f>Matrice1!$T519* (Matrice1!$V519/100)</f>
        <v>0.40297500000000003</v>
      </c>
    </row>
    <row r="520" spans="1:23" x14ac:dyDescent="0.3">
      <c r="A520" s="1" t="s">
        <v>898</v>
      </c>
      <c r="B520" s="2">
        <v>45206</v>
      </c>
      <c r="C520" s="3">
        <v>0.6875</v>
      </c>
      <c r="D520" s="1" t="s">
        <v>926</v>
      </c>
      <c r="E520">
        <v>76</v>
      </c>
      <c r="F520" s="1" t="s">
        <v>812</v>
      </c>
      <c r="G520" s="1" t="s">
        <v>926</v>
      </c>
      <c r="H520" s="1" t="s">
        <v>127</v>
      </c>
      <c r="I520">
        <v>-12.100756000000001</v>
      </c>
      <c r="J520">
        <v>21.938649999999999</v>
      </c>
      <c r="K520" s="1" t="s">
        <v>1498</v>
      </c>
      <c r="L520" s="1" t="s">
        <v>1499</v>
      </c>
      <c r="M520" s="1" t="s">
        <v>253</v>
      </c>
      <c r="N520" s="1" t="s">
        <v>127</v>
      </c>
      <c r="O520" s="1" t="str">
        <f>INT(Matrice1!$P520/12) &amp; " ans et " &amp; MOD(Matrice1!$P520,12) &amp; " mois"</f>
        <v>4 ans et 1 mois</v>
      </c>
      <c r="P520">
        <v>49</v>
      </c>
      <c r="Q520" s="1" t="s">
        <v>22</v>
      </c>
      <c r="R520" s="4">
        <f>Matrice1!$S520/1440</f>
        <v>4.1666666666666666E-3</v>
      </c>
      <c r="S520">
        <v>6</v>
      </c>
      <c r="T520">
        <v>44.41</v>
      </c>
      <c r="U520">
        <v>3</v>
      </c>
      <c r="V520" s="8">
        <f>IF(Matrice1!$Q520="Pro Monde",10%,IF(AND(Matrice1!$R520&gt;12,Matrice1!$O520&gt;5),70%,IF(AND(OR(Matrice1!$R520&gt;=4,Matrice1!$R520&lt;=12,Matrice1!$O520&lt;5,(OR(Matrice1!$Q520="Premium ")))),45%,0%)))</f>
        <v>0.45</v>
      </c>
      <c r="W520">
        <f>Matrice1!$T520* (Matrice1!$V520/100)</f>
        <v>0.19984499999999999</v>
      </c>
    </row>
    <row r="521" spans="1:23" x14ac:dyDescent="0.3">
      <c r="A521" s="1" t="s">
        <v>898</v>
      </c>
      <c r="B521" s="2">
        <v>45206</v>
      </c>
      <c r="C521" s="3">
        <v>0.6875</v>
      </c>
      <c r="D521" s="1" t="s">
        <v>926</v>
      </c>
      <c r="E521">
        <v>76</v>
      </c>
      <c r="F521" s="1" t="s">
        <v>812</v>
      </c>
      <c r="G521" s="1" t="s">
        <v>926</v>
      </c>
      <c r="H521" s="1" t="s">
        <v>127</v>
      </c>
      <c r="I521">
        <v>-12.100756000000001</v>
      </c>
      <c r="J521">
        <v>21.938649999999999</v>
      </c>
      <c r="K521" s="1" t="s">
        <v>1498</v>
      </c>
      <c r="L521" s="1" t="s">
        <v>1499</v>
      </c>
      <c r="M521" s="1" t="s">
        <v>289</v>
      </c>
      <c r="N521" s="1" t="s">
        <v>127</v>
      </c>
      <c r="O521" s="1" t="str">
        <f>INT(Matrice1!$P521/12) &amp; " ans et " &amp; MOD(Matrice1!$P521,12) &amp; " mois"</f>
        <v>6 ans et 6 mois</v>
      </c>
      <c r="P521">
        <v>78</v>
      </c>
      <c r="Q521" s="1" t="s">
        <v>22</v>
      </c>
      <c r="R521" s="4">
        <f>Matrice1!$S521/1440</f>
        <v>0.13750000000000001</v>
      </c>
      <c r="S521">
        <v>198</v>
      </c>
      <c r="T521">
        <v>69.849999999999994</v>
      </c>
      <c r="U521">
        <v>0</v>
      </c>
      <c r="V521" s="8">
        <f>IF(Matrice1!$Q521="Pro Monde",10%,IF(AND(Matrice1!$R521&gt;12,Matrice1!$O521&gt;5),70%,IF(AND(OR(Matrice1!$R521&gt;=4,Matrice1!$R521&lt;=12,Matrice1!$O521&lt;5,(OR(Matrice1!$Q521="Premium ")))),45%,0%)))</f>
        <v>0.45</v>
      </c>
      <c r="W521">
        <f>Matrice1!$T521* (Matrice1!$V521/100)</f>
        <v>0.31432500000000002</v>
      </c>
    </row>
    <row r="522" spans="1:23" x14ac:dyDescent="0.3">
      <c r="A522" s="1" t="s">
        <v>898</v>
      </c>
      <c r="B522" s="2">
        <v>45206</v>
      </c>
      <c r="C522" s="3">
        <v>0.6875</v>
      </c>
      <c r="D522" s="1" t="s">
        <v>926</v>
      </c>
      <c r="E522">
        <v>76</v>
      </c>
      <c r="F522" s="1" t="s">
        <v>812</v>
      </c>
      <c r="G522" s="1" t="s">
        <v>926</v>
      </c>
      <c r="H522" s="1" t="s">
        <v>127</v>
      </c>
      <c r="I522">
        <v>-12.100756000000001</v>
      </c>
      <c r="J522">
        <v>21.938649999999999</v>
      </c>
      <c r="K522" s="1" t="s">
        <v>1498</v>
      </c>
      <c r="L522" s="1" t="s">
        <v>1499</v>
      </c>
      <c r="M522" s="1" t="s">
        <v>316</v>
      </c>
      <c r="N522" s="1" t="s">
        <v>127</v>
      </c>
      <c r="O522" s="1" t="str">
        <f>INT(Matrice1!$P522/12) &amp; " ans et " &amp; MOD(Matrice1!$P522,12) &amp; " mois"</f>
        <v>7 ans et 9 mois</v>
      </c>
      <c r="P522">
        <v>93</v>
      </c>
      <c r="Q522" s="1" t="s">
        <v>11</v>
      </c>
      <c r="R522" s="4">
        <f>Matrice1!$S522/1440</f>
        <v>0.10416666666666667</v>
      </c>
      <c r="S522">
        <v>150</v>
      </c>
      <c r="T522">
        <v>93.25</v>
      </c>
      <c r="U522">
        <v>3</v>
      </c>
      <c r="V522" s="8">
        <f>IF(Matrice1!$Q522="Pro Monde",10%,IF(AND(Matrice1!$R522&gt;12,Matrice1!$O522&gt;5),70%,IF(AND(OR(Matrice1!$R522&gt;=4,Matrice1!$R522&lt;=12,Matrice1!$O522&lt;5,(OR(Matrice1!$Q522="Premium ")))),45%,0%)))</f>
        <v>0.45</v>
      </c>
      <c r="W522">
        <f>Matrice1!$T522* (Matrice1!$V522/100)</f>
        <v>0.41962500000000003</v>
      </c>
    </row>
    <row r="523" spans="1:23" x14ac:dyDescent="0.3">
      <c r="A523" s="1" t="s">
        <v>898</v>
      </c>
      <c r="B523" s="2">
        <v>45206</v>
      </c>
      <c r="C523" s="3">
        <v>0.6875</v>
      </c>
      <c r="D523" s="1" t="s">
        <v>926</v>
      </c>
      <c r="E523">
        <v>76</v>
      </c>
      <c r="F523" s="1" t="s">
        <v>812</v>
      </c>
      <c r="G523" s="1" t="s">
        <v>926</v>
      </c>
      <c r="H523" s="1" t="s">
        <v>127</v>
      </c>
      <c r="I523">
        <v>-12.100756000000001</v>
      </c>
      <c r="J523">
        <v>21.938649999999999</v>
      </c>
      <c r="K523" s="1" t="s">
        <v>1498</v>
      </c>
      <c r="L523" s="1" t="s">
        <v>1499</v>
      </c>
      <c r="M523" s="1" t="s">
        <v>318</v>
      </c>
      <c r="N523" s="1" t="s">
        <v>127</v>
      </c>
      <c r="O523" s="1" t="str">
        <f>INT(Matrice1!$P523/12) &amp; " ans et " &amp; MOD(Matrice1!$P523,12) &amp; " mois"</f>
        <v>5 ans et 6 mois</v>
      </c>
      <c r="P523">
        <v>66</v>
      </c>
      <c r="Q523" s="1" t="s">
        <v>11</v>
      </c>
      <c r="R523" s="4">
        <f>Matrice1!$S523/1440</f>
        <v>0.13402777777777777</v>
      </c>
      <c r="S523">
        <v>193</v>
      </c>
      <c r="T523">
        <v>21.06</v>
      </c>
      <c r="U523">
        <v>3</v>
      </c>
      <c r="V523" s="8">
        <f>IF(Matrice1!$Q523="Pro Monde",10%,IF(AND(Matrice1!$R523&gt;12,Matrice1!$O523&gt;5),70%,IF(AND(OR(Matrice1!$R523&gt;=4,Matrice1!$R523&lt;=12,Matrice1!$O523&lt;5,(OR(Matrice1!$Q523="Premium ")))),45%,0%)))</f>
        <v>0.45</v>
      </c>
      <c r="W523">
        <f>Matrice1!$T523* (Matrice1!$V523/100)</f>
        <v>9.4770000000000007E-2</v>
      </c>
    </row>
    <row r="524" spans="1:23" x14ac:dyDescent="0.3">
      <c r="A524" s="1" t="s">
        <v>898</v>
      </c>
      <c r="B524" s="2">
        <v>45206</v>
      </c>
      <c r="C524" s="3">
        <v>0.6875</v>
      </c>
      <c r="D524" s="1" t="s">
        <v>926</v>
      </c>
      <c r="E524">
        <v>76</v>
      </c>
      <c r="F524" s="1" t="s">
        <v>812</v>
      </c>
      <c r="G524" s="1" t="s">
        <v>926</v>
      </c>
      <c r="H524" s="1" t="s">
        <v>127</v>
      </c>
      <c r="I524">
        <v>-12.100756000000001</v>
      </c>
      <c r="J524">
        <v>21.938649999999999</v>
      </c>
      <c r="K524" s="1" t="s">
        <v>1498</v>
      </c>
      <c r="L524" s="1" t="s">
        <v>1499</v>
      </c>
      <c r="M524" s="1" t="s">
        <v>399</v>
      </c>
      <c r="N524" s="1" t="s">
        <v>127</v>
      </c>
      <c r="O524" s="1" t="str">
        <f>INT(Matrice1!$P524/12) &amp; " ans et " &amp; MOD(Matrice1!$P524,12) &amp; " mois"</f>
        <v>2 ans et 11 mois</v>
      </c>
      <c r="P524">
        <v>35</v>
      </c>
      <c r="Q524" s="1" t="s">
        <v>22</v>
      </c>
      <c r="R524" s="4">
        <f>Matrice1!$S524/1440</f>
        <v>0.29236111111111113</v>
      </c>
      <c r="S524">
        <v>421</v>
      </c>
      <c r="T524">
        <v>29.57</v>
      </c>
      <c r="U524">
        <v>5</v>
      </c>
      <c r="V524" s="8">
        <f>IF(Matrice1!$Q524="Pro Monde",10%,IF(AND(Matrice1!$R524&gt;12,Matrice1!$O524&gt;5),70%,IF(AND(OR(Matrice1!$R524&gt;=4,Matrice1!$R524&lt;=12,Matrice1!$O524&lt;5,(OR(Matrice1!$Q524="Premium ")))),45%,0%)))</f>
        <v>0.45</v>
      </c>
      <c r="W524">
        <f>Matrice1!$T524* (Matrice1!$V524/100)</f>
        <v>0.13306500000000002</v>
      </c>
    </row>
    <row r="525" spans="1:23" x14ac:dyDescent="0.3">
      <c r="A525" s="1" t="s">
        <v>898</v>
      </c>
      <c r="B525" s="2">
        <v>45206</v>
      </c>
      <c r="C525" s="3">
        <v>0.6875</v>
      </c>
      <c r="D525" s="1" t="s">
        <v>926</v>
      </c>
      <c r="E525">
        <v>76</v>
      </c>
      <c r="F525" s="1" t="s">
        <v>812</v>
      </c>
      <c r="G525" s="1" t="s">
        <v>926</v>
      </c>
      <c r="H525" s="1" t="s">
        <v>127</v>
      </c>
      <c r="I525">
        <v>-12.100756000000001</v>
      </c>
      <c r="J525">
        <v>21.938649999999999</v>
      </c>
      <c r="K525" s="1" t="s">
        <v>1498</v>
      </c>
      <c r="L525" s="1" t="s">
        <v>1499</v>
      </c>
      <c r="M525" s="1" t="s">
        <v>560</v>
      </c>
      <c r="N525" s="1" t="s">
        <v>127</v>
      </c>
      <c r="O525" s="1" t="str">
        <f>INT(Matrice1!$P525/12) &amp; " ans et " &amp; MOD(Matrice1!$P525,12) &amp; " mois"</f>
        <v>4 ans et 11 mois</v>
      </c>
      <c r="P525">
        <v>59</v>
      </c>
      <c r="Q525" s="1" t="s">
        <v>14</v>
      </c>
      <c r="R525" s="4">
        <f>Matrice1!$S525/1440</f>
        <v>0.05</v>
      </c>
      <c r="S525">
        <v>72</v>
      </c>
      <c r="T525">
        <v>94.51</v>
      </c>
      <c r="U525">
        <v>2</v>
      </c>
      <c r="V525" s="8">
        <f>IF(Matrice1!$Q525="Pro Monde",10%,IF(AND(Matrice1!$R525&gt;12,Matrice1!$O525&gt;5),70%,IF(AND(OR(Matrice1!$R525&gt;=4,Matrice1!$R525&lt;=12,Matrice1!$O525&lt;5,(OR(Matrice1!$Q525="Premium ")))),45%,0%)))</f>
        <v>0.1</v>
      </c>
      <c r="W525">
        <f>Matrice1!$T525* (Matrice1!$V525/100)</f>
        <v>9.4510000000000011E-2</v>
      </c>
    </row>
    <row r="526" spans="1:23" x14ac:dyDescent="0.3">
      <c r="A526" s="1" t="s">
        <v>1161</v>
      </c>
      <c r="B526" s="2">
        <v>45207</v>
      </c>
      <c r="C526" s="3">
        <v>0.13333333333333333</v>
      </c>
      <c r="D526" s="1" t="s">
        <v>1165</v>
      </c>
      <c r="E526">
        <v>66</v>
      </c>
      <c r="F526" s="1" t="s">
        <v>810</v>
      </c>
      <c r="G526" s="1" t="s">
        <v>1165</v>
      </c>
      <c r="H526" s="1" t="s">
        <v>57</v>
      </c>
      <c r="I526">
        <v>-5.4073029999999997</v>
      </c>
      <c r="J526">
        <v>29.762294000000001</v>
      </c>
      <c r="K526" s="1" t="s">
        <v>1500</v>
      </c>
      <c r="L526" s="1" t="s">
        <v>1496</v>
      </c>
      <c r="M526" s="1" t="s">
        <v>573</v>
      </c>
      <c r="N526" s="1" t="s">
        <v>57</v>
      </c>
      <c r="O526" s="1" t="str">
        <f>INT(Matrice1!$P526/12) &amp; " ans et " &amp; MOD(Matrice1!$P526,12) &amp; " mois"</f>
        <v>0 ans et 6 mois</v>
      </c>
      <c r="P526">
        <v>6</v>
      </c>
      <c r="Q526" s="1" t="s">
        <v>14</v>
      </c>
      <c r="R526" s="4">
        <f>Matrice1!$S526/1440</f>
        <v>0.23749999999999999</v>
      </c>
      <c r="S526">
        <v>342</v>
      </c>
      <c r="T526">
        <v>50.55</v>
      </c>
      <c r="U526">
        <v>5</v>
      </c>
      <c r="V526" s="8">
        <f>IF(Matrice1!$Q526="Pro Monde",10%,IF(AND(Matrice1!$R526&gt;12,Matrice1!$O526&gt;5),70%,IF(AND(OR(Matrice1!$R526&gt;=4,Matrice1!$R526&lt;=12,Matrice1!$O526&lt;5,(OR(Matrice1!$Q526="Premium ")))),45%,0%)))</f>
        <v>0.1</v>
      </c>
      <c r="W526">
        <f>Matrice1!$T526* (Matrice1!$V526/100)</f>
        <v>5.0549999999999998E-2</v>
      </c>
    </row>
    <row r="527" spans="1:23" x14ac:dyDescent="0.3">
      <c r="A527" s="1" t="s">
        <v>805</v>
      </c>
      <c r="B527" s="2">
        <v>45202</v>
      </c>
      <c r="C527" s="3">
        <v>0.25972222222222224</v>
      </c>
      <c r="D527" s="1" t="s">
        <v>815</v>
      </c>
      <c r="E527">
        <v>79</v>
      </c>
      <c r="F527" s="1" t="s">
        <v>807</v>
      </c>
      <c r="G527" s="1" t="s">
        <v>815</v>
      </c>
      <c r="H527" s="1" t="s">
        <v>33</v>
      </c>
      <c r="I527">
        <v>-1.648264</v>
      </c>
      <c r="J527">
        <v>28.866143999999998</v>
      </c>
      <c r="K527" s="1" t="s">
        <v>1495</v>
      </c>
      <c r="L527" s="1" t="s">
        <v>1496</v>
      </c>
      <c r="M527" s="1" t="s">
        <v>574</v>
      </c>
      <c r="N527" s="1" t="s">
        <v>33</v>
      </c>
      <c r="O527" s="1" t="str">
        <f>INT(Matrice1!$P527/12) &amp; " ans et " &amp; MOD(Matrice1!$P527,12) &amp; " mois"</f>
        <v>3 ans et 11 mois</v>
      </c>
      <c r="P527">
        <v>47</v>
      </c>
      <c r="Q527" s="1" t="s">
        <v>11</v>
      </c>
      <c r="R527" s="4">
        <f>Matrice1!$S527/1440</f>
        <v>0.31736111111111109</v>
      </c>
      <c r="S527">
        <v>457</v>
      </c>
      <c r="T527">
        <v>84.93</v>
      </c>
      <c r="U527">
        <v>2</v>
      </c>
      <c r="V527" s="8">
        <f>IF(Matrice1!$Q527="Pro Monde",10%,IF(AND(Matrice1!$R527&gt;12,Matrice1!$O527&gt;5),70%,IF(AND(OR(Matrice1!$R527&gt;=4,Matrice1!$R527&lt;=12,Matrice1!$O527&lt;5,(OR(Matrice1!$Q527="Premium ")))),45%,0%)))</f>
        <v>0.45</v>
      </c>
      <c r="W527">
        <f>Matrice1!$T527* (Matrice1!$V527/100)</f>
        <v>0.38218500000000005</v>
      </c>
    </row>
    <row r="528" spans="1:23" x14ac:dyDescent="0.3">
      <c r="A528" s="1" t="s">
        <v>854</v>
      </c>
      <c r="B528" s="2">
        <v>45216</v>
      </c>
      <c r="C528" s="3">
        <v>0.67361111111111116</v>
      </c>
      <c r="D528" s="1" t="s">
        <v>881</v>
      </c>
      <c r="E528">
        <v>117</v>
      </c>
      <c r="F528" s="1" t="s">
        <v>807</v>
      </c>
      <c r="G528" s="1" t="s">
        <v>881</v>
      </c>
      <c r="H528" s="1" t="s">
        <v>31</v>
      </c>
      <c r="I528">
        <v>-12.141233</v>
      </c>
      <c r="J528">
        <v>15.179043999999999</v>
      </c>
      <c r="K528" s="1" t="s">
        <v>1495</v>
      </c>
      <c r="L528" s="1" t="s">
        <v>1496</v>
      </c>
      <c r="M528" s="1" t="s">
        <v>575</v>
      </c>
      <c r="N528" s="1" t="s">
        <v>31</v>
      </c>
      <c r="O528" s="1" t="str">
        <f>INT(Matrice1!$P528/12) &amp; " ans et " &amp; MOD(Matrice1!$P528,12) &amp; " mois"</f>
        <v>9 ans et 2 mois</v>
      </c>
      <c r="P528">
        <v>110</v>
      </c>
      <c r="Q528" s="1" t="s">
        <v>19</v>
      </c>
      <c r="R528" s="4">
        <f>Matrice1!$S528/1440</f>
        <v>9.166666666666666E-2</v>
      </c>
      <c r="S528">
        <v>132</v>
      </c>
      <c r="T528">
        <v>21.31</v>
      </c>
      <c r="U528">
        <v>5</v>
      </c>
      <c r="V528" s="8">
        <f>IF(Matrice1!$Q528="Pro Monde",10%,IF(AND(Matrice1!$R528&gt;12,Matrice1!$O528&gt;5),70%,IF(AND(OR(Matrice1!$R528&gt;=4,Matrice1!$R528&lt;=12,Matrice1!$O528&lt;5,(OR(Matrice1!$Q528="Premium ")))),45%,0%)))</f>
        <v>0.45</v>
      </c>
      <c r="W528">
        <f>Matrice1!$T528* (Matrice1!$V528/100)</f>
        <v>9.5895000000000008E-2</v>
      </c>
    </row>
    <row r="529" spans="1:23" x14ac:dyDescent="0.3">
      <c r="A529" s="1" t="s">
        <v>854</v>
      </c>
      <c r="B529" s="2">
        <v>45216</v>
      </c>
      <c r="C529" s="3">
        <v>0.67361111111111116</v>
      </c>
      <c r="D529" s="1" t="s">
        <v>881</v>
      </c>
      <c r="E529">
        <v>117</v>
      </c>
      <c r="F529" s="1" t="s">
        <v>807</v>
      </c>
      <c r="G529" s="1" t="s">
        <v>881</v>
      </c>
      <c r="H529" s="1" t="s">
        <v>31</v>
      </c>
      <c r="I529">
        <v>-12.141233</v>
      </c>
      <c r="J529">
        <v>15.179043999999999</v>
      </c>
      <c r="K529" s="1" t="s">
        <v>1495</v>
      </c>
      <c r="L529" s="1" t="s">
        <v>1496</v>
      </c>
      <c r="M529" s="1" t="s">
        <v>576</v>
      </c>
      <c r="N529" s="1" t="s">
        <v>31</v>
      </c>
      <c r="O529" s="1" t="str">
        <f>INT(Matrice1!$P529/12) &amp; " ans et " &amp; MOD(Matrice1!$P529,12) &amp; " mois"</f>
        <v>3 ans et 1 mois</v>
      </c>
      <c r="P529">
        <v>37</v>
      </c>
      <c r="Q529" s="1" t="s">
        <v>11</v>
      </c>
      <c r="R529" s="4">
        <f>Matrice1!$S529/1440</f>
        <v>6.5277777777777782E-2</v>
      </c>
      <c r="S529">
        <v>94</v>
      </c>
      <c r="T529">
        <v>50.44</v>
      </c>
      <c r="U529">
        <v>4</v>
      </c>
      <c r="V529" s="8">
        <f>IF(Matrice1!$Q529="Pro Monde",10%,IF(AND(Matrice1!$R529&gt;12,Matrice1!$O529&gt;5),70%,IF(AND(OR(Matrice1!$R529&gt;=4,Matrice1!$R529&lt;=12,Matrice1!$O529&lt;5,(OR(Matrice1!$Q529="Premium ")))),45%,0%)))</f>
        <v>0.45</v>
      </c>
      <c r="W529">
        <f>Matrice1!$T529* (Matrice1!$V529/100)</f>
        <v>0.22698000000000002</v>
      </c>
    </row>
    <row r="530" spans="1:23" x14ac:dyDescent="0.3">
      <c r="A530" s="1" t="s">
        <v>805</v>
      </c>
      <c r="B530" s="2">
        <v>45213</v>
      </c>
      <c r="C530" s="3">
        <v>0.31111111111111112</v>
      </c>
      <c r="D530" s="1" t="s">
        <v>819</v>
      </c>
      <c r="E530">
        <v>22</v>
      </c>
      <c r="F530" s="1" t="s">
        <v>810</v>
      </c>
      <c r="G530" s="1" t="s">
        <v>819</v>
      </c>
      <c r="H530" s="1" t="s">
        <v>40</v>
      </c>
      <c r="I530">
        <v>4.8319039999999998</v>
      </c>
      <c r="J530">
        <v>20.733468999999999</v>
      </c>
      <c r="K530" s="1" t="s">
        <v>1495</v>
      </c>
      <c r="L530" s="1" t="s">
        <v>1496</v>
      </c>
      <c r="M530" s="1" t="s">
        <v>577</v>
      </c>
      <c r="N530" s="1" t="s">
        <v>40</v>
      </c>
      <c r="O530" s="1" t="str">
        <f>INT(Matrice1!$P530/12) &amp; " ans et " &amp; MOD(Matrice1!$P530,12) &amp; " mois"</f>
        <v>4 ans et 4 mois</v>
      </c>
      <c r="P530">
        <v>52</v>
      </c>
      <c r="Q530" s="1" t="s">
        <v>11</v>
      </c>
      <c r="R530" s="4">
        <f>Matrice1!$S530/1440</f>
        <v>0.2951388888888889</v>
      </c>
      <c r="S530">
        <v>425</v>
      </c>
      <c r="T530">
        <v>97.25</v>
      </c>
      <c r="U530">
        <v>0</v>
      </c>
      <c r="V530" s="8">
        <f>IF(Matrice1!$Q530="Pro Monde",10%,IF(AND(Matrice1!$R530&gt;12,Matrice1!$O530&gt;5),70%,IF(AND(OR(Matrice1!$R530&gt;=4,Matrice1!$R530&lt;=12,Matrice1!$O530&lt;5,(OR(Matrice1!$Q530="Premium ")))),45%,0%)))</f>
        <v>0.45</v>
      </c>
      <c r="W530">
        <f>Matrice1!$T530* (Matrice1!$V530/100)</f>
        <v>0.43762500000000004</v>
      </c>
    </row>
    <row r="531" spans="1:23" x14ac:dyDescent="0.3">
      <c r="A531" s="1" t="s">
        <v>1014</v>
      </c>
      <c r="B531" s="2">
        <v>45225</v>
      </c>
      <c r="C531" s="3">
        <v>0.21527777777777779</v>
      </c>
      <c r="D531" s="1" t="s">
        <v>1043</v>
      </c>
      <c r="E531">
        <v>41</v>
      </c>
      <c r="F531" s="1" t="s">
        <v>812</v>
      </c>
      <c r="G531" s="1" t="s">
        <v>1043</v>
      </c>
      <c r="H531" s="1" t="s">
        <v>44</v>
      </c>
      <c r="I531">
        <v>-4.9552579999999997</v>
      </c>
      <c r="J531">
        <v>22.008103999999999</v>
      </c>
      <c r="K531" s="1" t="s">
        <v>1498</v>
      </c>
      <c r="L531" s="1" t="s">
        <v>1499</v>
      </c>
      <c r="M531" s="1" t="s">
        <v>578</v>
      </c>
      <c r="N531" s="1" t="s">
        <v>44</v>
      </c>
      <c r="O531" s="1" t="str">
        <f>INT(Matrice1!$P531/12) &amp; " ans et " &amp; MOD(Matrice1!$P531,12) &amp; " mois"</f>
        <v>4 ans et 5 mois</v>
      </c>
      <c r="P531">
        <v>53</v>
      </c>
      <c r="Q531" s="1" t="s">
        <v>14</v>
      </c>
      <c r="R531" s="4">
        <f>Matrice1!$S531/1440</f>
        <v>1.8749999999999999E-2</v>
      </c>
      <c r="S531">
        <v>27</v>
      </c>
      <c r="T531">
        <v>18.77</v>
      </c>
      <c r="U531">
        <v>0</v>
      </c>
      <c r="V531" s="8">
        <f>IF(Matrice1!$Q531="Pro Monde",10%,IF(AND(Matrice1!$R531&gt;12,Matrice1!$O531&gt;5),70%,IF(AND(OR(Matrice1!$R531&gt;=4,Matrice1!$R531&lt;=12,Matrice1!$O531&lt;5,(OR(Matrice1!$Q531="Premium ")))),45%,0%)))</f>
        <v>0.1</v>
      </c>
      <c r="W531">
        <f>Matrice1!$T531* (Matrice1!$V531/100)</f>
        <v>1.8769999999999998E-2</v>
      </c>
    </row>
    <row r="532" spans="1:23" x14ac:dyDescent="0.3">
      <c r="A532" s="1" t="s">
        <v>805</v>
      </c>
      <c r="B532" s="2">
        <v>45211</v>
      </c>
      <c r="C532" s="3">
        <v>0.27916666666666667</v>
      </c>
      <c r="D532" s="1" t="s">
        <v>838</v>
      </c>
      <c r="E532">
        <v>75</v>
      </c>
      <c r="F532" s="1" t="s">
        <v>807</v>
      </c>
      <c r="G532" s="1" t="s">
        <v>838</v>
      </c>
      <c r="H532" s="1" t="s">
        <v>89</v>
      </c>
      <c r="I532">
        <v>-8.1437910000000002</v>
      </c>
      <c r="J532">
        <v>28.946161</v>
      </c>
      <c r="K532" s="1" t="s">
        <v>1498</v>
      </c>
      <c r="L532" s="1" t="s">
        <v>1501</v>
      </c>
      <c r="M532" s="1" t="s">
        <v>579</v>
      </c>
      <c r="N532" s="1" t="s">
        <v>89</v>
      </c>
      <c r="O532" s="1" t="str">
        <f>INT(Matrice1!$P532/12) &amp; " ans et " &amp; MOD(Matrice1!$P532,12) &amp; " mois"</f>
        <v>9 ans et 2 mois</v>
      </c>
      <c r="P532">
        <v>110</v>
      </c>
      <c r="Q532" s="1" t="s">
        <v>22</v>
      </c>
      <c r="R532" s="4">
        <f>Matrice1!$S532/1440</f>
        <v>3.2638888888888891E-2</v>
      </c>
      <c r="S532">
        <v>47</v>
      </c>
      <c r="T532">
        <v>29.68</v>
      </c>
      <c r="U532">
        <v>0</v>
      </c>
      <c r="V532" s="8">
        <f>IF(Matrice1!$Q532="Pro Monde",10%,IF(AND(Matrice1!$R532&gt;12,Matrice1!$O532&gt;5),70%,IF(AND(OR(Matrice1!$R532&gt;=4,Matrice1!$R532&lt;=12,Matrice1!$O532&lt;5,(OR(Matrice1!$Q532="Premium ")))),45%,0%)))</f>
        <v>0.45</v>
      </c>
      <c r="W532">
        <f>Matrice1!$T532* (Matrice1!$V532/100)</f>
        <v>0.13356000000000001</v>
      </c>
    </row>
    <row r="533" spans="1:23" x14ac:dyDescent="0.3">
      <c r="A533" s="1" t="s">
        <v>854</v>
      </c>
      <c r="B533" s="2">
        <v>45221</v>
      </c>
      <c r="C533" s="3">
        <v>0.77500000000000002</v>
      </c>
      <c r="D533" s="1" t="s">
        <v>889</v>
      </c>
      <c r="E533">
        <v>24</v>
      </c>
      <c r="F533" s="1" t="s">
        <v>807</v>
      </c>
      <c r="G533" s="1" t="s">
        <v>889</v>
      </c>
      <c r="H533" s="1" t="s">
        <v>16</v>
      </c>
      <c r="I533">
        <v>-11.514188000000001</v>
      </c>
      <c r="J533">
        <v>15.971181</v>
      </c>
      <c r="K533" s="1" t="s">
        <v>1495</v>
      </c>
      <c r="L533" s="1" t="s">
        <v>1496</v>
      </c>
      <c r="M533" s="1" t="s">
        <v>580</v>
      </c>
      <c r="N533" s="1" t="s">
        <v>16</v>
      </c>
      <c r="O533" s="1" t="str">
        <f>INT(Matrice1!$P533/12) &amp; " ans et " &amp; MOD(Matrice1!$P533,12) &amp; " mois"</f>
        <v>6 ans et 8 mois</v>
      </c>
      <c r="P533">
        <v>80</v>
      </c>
      <c r="Q533" s="1" t="s">
        <v>14</v>
      </c>
      <c r="R533" s="4">
        <f>Matrice1!$S533/1440</f>
        <v>0.31805555555555554</v>
      </c>
      <c r="S533">
        <v>458</v>
      </c>
      <c r="T533">
        <v>98.11</v>
      </c>
      <c r="U533">
        <v>0</v>
      </c>
      <c r="V533" s="8">
        <f>IF(Matrice1!$Q533="Pro Monde",10%,IF(AND(Matrice1!$R533&gt;12,Matrice1!$O533&gt;5),70%,IF(AND(OR(Matrice1!$R533&gt;=4,Matrice1!$R533&lt;=12,Matrice1!$O533&lt;5,(OR(Matrice1!$Q533="Premium ")))),45%,0%)))</f>
        <v>0.1</v>
      </c>
      <c r="W533">
        <f>Matrice1!$T533* (Matrice1!$V533/100)</f>
        <v>9.8110000000000003E-2</v>
      </c>
    </row>
    <row r="534" spans="1:23" x14ac:dyDescent="0.3">
      <c r="A534" s="1" t="s">
        <v>854</v>
      </c>
      <c r="B534" s="2">
        <v>45222</v>
      </c>
      <c r="C534" s="3">
        <v>0.42708333333333331</v>
      </c>
      <c r="D534" s="1" t="s">
        <v>892</v>
      </c>
      <c r="E534">
        <v>82</v>
      </c>
      <c r="F534" s="1" t="s">
        <v>807</v>
      </c>
      <c r="G534" s="1" t="s">
        <v>892</v>
      </c>
      <c r="H534" s="1" t="s">
        <v>26</v>
      </c>
      <c r="I534">
        <v>-4.4697000000000001E-2</v>
      </c>
      <c r="J534">
        <v>22.943373000000001</v>
      </c>
      <c r="K534" s="1" t="s">
        <v>1500</v>
      </c>
      <c r="L534" s="1" t="s">
        <v>1499</v>
      </c>
      <c r="M534" s="1" t="s">
        <v>581</v>
      </c>
      <c r="N534" s="1" t="s">
        <v>26</v>
      </c>
      <c r="O534" s="1" t="str">
        <f>INT(Matrice1!$P534/12) &amp; " ans et " &amp; MOD(Matrice1!$P534,12) &amp; " mois"</f>
        <v>9 ans et 10 mois</v>
      </c>
      <c r="P534">
        <v>118</v>
      </c>
      <c r="Q534" s="1" t="s">
        <v>19</v>
      </c>
      <c r="R534" s="4">
        <f>Matrice1!$S534/1440</f>
        <v>0.32013888888888886</v>
      </c>
      <c r="S534">
        <v>461</v>
      </c>
      <c r="T534">
        <v>47.82</v>
      </c>
      <c r="U534">
        <v>5</v>
      </c>
      <c r="V534" s="8">
        <f>IF(Matrice1!$Q534="Pro Monde",10%,IF(AND(Matrice1!$R534&gt;12,Matrice1!$O534&gt;5),70%,IF(AND(OR(Matrice1!$R534&gt;=4,Matrice1!$R534&lt;=12,Matrice1!$O534&lt;5,(OR(Matrice1!$Q534="Premium ")))),45%,0%)))</f>
        <v>0.45</v>
      </c>
      <c r="W534">
        <f>Matrice1!$T534* (Matrice1!$V534/100)</f>
        <v>0.21519000000000002</v>
      </c>
    </row>
    <row r="535" spans="1:23" x14ac:dyDescent="0.3">
      <c r="A535" s="1" t="s">
        <v>898</v>
      </c>
      <c r="B535" s="2">
        <v>45216</v>
      </c>
      <c r="C535" s="3">
        <v>0.90277777777777779</v>
      </c>
      <c r="D535" s="1" t="s">
        <v>929</v>
      </c>
      <c r="E535">
        <v>20</v>
      </c>
      <c r="F535" s="1" t="s">
        <v>812</v>
      </c>
      <c r="G535" s="1" t="s">
        <v>929</v>
      </c>
      <c r="H535" s="1" t="s">
        <v>51</v>
      </c>
      <c r="I535">
        <v>-4.2408359999999998</v>
      </c>
      <c r="J535">
        <v>26.210014000000001</v>
      </c>
      <c r="K535" s="1" t="s">
        <v>1498</v>
      </c>
      <c r="L535" s="1" t="s">
        <v>1499</v>
      </c>
      <c r="M535" s="1" t="s">
        <v>582</v>
      </c>
      <c r="N535" s="1" t="s">
        <v>51</v>
      </c>
      <c r="O535" s="1" t="str">
        <f>INT(Matrice1!$P535/12) &amp; " ans et " &amp; MOD(Matrice1!$P535,12) &amp; " mois"</f>
        <v>7 ans et 4 mois</v>
      </c>
      <c r="P535">
        <v>88</v>
      </c>
      <c r="Q535" s="1" t="s">
        <v>11</v>
      </c>
      <c r="R535" s="4">
        <f>Matrice1!$S535/1440</f>
        <v>0.15208333333333332</v>
      </c>
      <c r="S535">
        <v>219</v>
      </c>
      <c r="T535">
        <v>59.15</v>
      </c>
      <c r="U535">
        <v>0</v>
      </c>
      <c r="V535" s="8">
        <f>IF(Matrice1!$Q535="Pro Monde",10%,IF(AND(Matrice1!$R535&gt;12,Matrice1!$O535&gt;5),70%,IF(AND(OR(Matrice1!$R535&gt;=4,Matrice1!$R535&lt;=12,Matrice1!$O535&lt;5,(OR(Matrice1!$Q535="Premium ")))),45%,0%)))</f>
        <v>0.45</v>
      </c>
      <c r="W535">
        <f>Matrice1!$T535* (Matrice1!$V535/100)</f>
        <v>0.26617500000000005</v>
      </c>
    </row>
    <row r="536" spans="1:23" x14ac:dyDescent="0.3">
      <c r="A536" s="1" t="s">
        <v>805</v>
      </c>
      <c r="B536" s="2">
        <v>45214</v>
      </c>
      <c r="C536" s="3">
        <v>0.71319444444444446</v>
      </c>
      <c r="D536" s="1" t="s">
        <v>828</v>
      </c>
      <c r="E536">
        <v>25</v>
      </c>
      <c r="F536" s="1" t="s">
        <v>807</v>
      </c>
      <c r="G536" s="1" t="s">
        <v>828</v>
      </c>
      <c r="H536" s="1" t="s">
        <v>24</v>
      </c>
      <c r="I536">
        <v>0.172153</v>
      </c>
      <c r="J536">
        <v>21.091376</v>
      </c>
      <c r="K536" s="1" t="s">
        <v>1500</v>
      </c>
      <c r="L536" s="1" t="s">
        <v>1496</v>
      </c>
      <c r="M536" s="1" t="s">
        <v>583</v>
      </c>
      <c r="N536" s="1" t="s">
        <v>24</v>
      </c>
      <c r="O536" s="1" t="str">
        <f>INT(Matrice1!$P536/12) &amp; " ans et " &amp; MOD(Matrice1!$P536,12) &amp; " mois"</f>
        <v>1 ans et 5 mois</v>
      </c>
      <c r="P536">
        <v>17</v>
      </c>
      <c r="Q536" s="1" t="s">
        <v>14</v>
      </c>
      <c r="R536" s="4">
        <f>Matrice1!$S536/1440</f>
        <v>0.12152777777777778</v>
      </c>
      <c r="S536">
        <v>175</v>
      </c>
      <c r="T536">
        <v>24.95</v>
      </c>
      <c r="U536">
        <v>4</v>
      </c>
      <c r="V536" s="8">
        <f>IF(Matrice1!$Q536="Pro Monde",10%,IF(AND(Matrice1!$R536&gt;12,Matrice1!$O536&gt;5),70%,IF(AND(OR(Matrice1!$R536&gt;=4,Matrice1!$R536&lt;=12,Matrice1!$O536&lt;5,(OR(Matrice1!$Q536="Premium ")))),45%,0%)))</f>
        <v>0.1</v>
      </c>
      <c r="W536">
        <f>Matrice1!$T536* (Matrice1!$V536/100)</f>
        <v>2.495E-2</v>
      </c>
    </row>
    <row r="537" spans="1:23" x14ac:dyDescent="0.3">
      <c r="A537" s="1" t="s">
        <v>898</v>
      </c>
      <c r="B537" s="2">
        <v>45210</v>
      </c>
      <c r="C537" s="3">
        <v>0.56805555555555554</v>
      </c>
      <c r="D537" s="1" t="s">
        <v>904</v>
      </c>
      <c r="E537">
        <v>96</v>
      </c>
      <c r="F537" s="1" t="s">
        <v>807</v>
      </c>
      <c r="G537" s="1" t="s">
        <v>904</v>
      </c>
      <c r="H537" s="1" t="s">
        <v>64</v>
      </c>
      <c r="I537">
        <v>-5.4126279999999998</v>
      </c>
      <c r="J537">
        <v>25.498235999999999</v>
      </c>
      <c r="K537" s="1" t="s">
        <v>1495</v>
      </c>
      <c r="L537" s="1" t="s">
        <v>1501</v>
      </c>
      <c r="M537" s="1" t="s">
        <v>584</v>
      </c>
      <c r="N537" s="1" t="s">
        <v>64</v>
      </c>
      <c r="O537" s="1" t="str">
        <f>INT(Matrice1!$P537/12) &amp; " ans et " &amp; MOD(Matrice1!$P537,12) &amp; " mois"</f>
        <v>4 ans et 9 mois</v>
      </c>
      <c r="P537">
        <v>57</v>
      </c>
      <c r="Q537" s="1" t="s">
        <v>19</v>
      </c>
      <c r="R537" s="4">
        <f>Matrice1!$S537/1440</f>
        <v>0.34236111111111112</v>
      </c>
      <c r="S537">
        <v>493</v>
      </c>
      <c r="T537">
        <v>43.98</v>
      </c>
      <c r="U537">
        <v>3</v>
      </c>
      <c r="V537" s="8">
        <f>IF(Matrice1!$Q537="Pro Monde",10%,IF(AND(Matrice1!$R537&gt;12,Matrice1!$O537&gt;5),70%,IF(AND(OR(Matrice1!$R537&gt;=4,Matrice1!$R537&lt;=12,Matrice1!$O537&lt;5,(OR(Matrice1!$Q537="Premium ")))),45%,0%)))</f>
        <v>0.45</v>
      </c>
      <c r="W537">
        <f>Matrice1!$T537* (Matrice1!$V537/100)</f>
        <v>0.19791</v>
      </c>
    </row>
    <row r="538" spans="1:23" x14ac:dyDescent="0.3">
      <c r="A538" s="1" t="s">
        <v>1014</v>
      </c>
      <c r="B538" s="2">
        <v>45225</v>
      </c>
      <c r="C538" s="3">
        <v>0.21527777777777779</v>
      </c>
      <c r="D538" s="1" t="s">
        <v>1043</v>
      </c>
      <c r="E538">
        <v>41</v>
      </c>
      <c r="F538" s="1" t="s">
        <v>812</v>
      </c>
      <c r="G538" s="1" t="s">
        <v>1043</v>
      </c>
      <c r="H538" s="1" t="s">
        <v>44</v>
      </c>
      <c r="I538">
        <v>-4.9552579999999997</v>
      </c>
      <c r="J538">
        <v>22.008103999999999</v>
      </c>
      <c r="K538" s="1" t="s">
        <v>1498</v>
      </c>
      <c r="L538" s="1" t="s">
        <v>1499</v>
      </c>
      <c r="M538" s="1" t="s">
        <v>585</v>
      </c>
      <c r="N538" s="1" t="s">
        <v>44</v>
      </c>
      <c r="O538" s="1" t="str">
        <f>INT(Matrice1!$P538/12) &amp; " ans et " &amp; MOD(Matrice1!$P538,12) &amp; " mois"</f>
        <v>3 ans et 11 mois</v>
      </c>
      <c r="P538">
        <v>47</v>
      </c>
      <c r="Q538" s="1" t="s">
        <v>22</v>
      </c>
      <c r="R538" s="4">
        <f>Matrice1!$S538/1440</f>
        <v>0.2673611111111111</v>
      </c>
      <c r="S538">
        <v>385</v>
      </c>
      <c r="T538">
        <v>41.33</v>
      </c>
      <c r="U538">
        <v>0</v>
      </c>
      <c r="V538" s="8">
        <f>IF(Matrice1!$Q538="Pro Monde",10%,IF(AND(Matrice1!$R538&gt;12,Matrice1!$O538&gt;5),70%,IF(AND(OR(Matrice1!$R538&gt;=4,Matrice1!$R538&lt;=12,Matrice1!$O538&lt;5,(OR(Matrice1!$Q538="Premium ")))),45%,0%)))</f>
        <v>0.45</v>
      </c>
      <c r="W538">
        <f>Matrice1!$T538* (Matrice1!$V538/100)</f>
        <v>0.18598500000000001</v>
      </c>
    </row>
    <row r="539" spans="1:23" x14ac:dyDescent="0.3">
      <c r="A539" s="1" t="s">
        <v>854</v>
      </c>
      <c r="B539" s="2">
        <v>45214</v>
      </c>
      <c r="C539" s="3">
        <v>0.9604166666666667</v>
      </c>
      <c r="D539" s="1" t="s">
        <v>859</v>
      </c>
      <c r="E539">
        <v>38</v>
      </c>
      <c r="F539" s="1" t="s">
        <v>807</v>
      </c>
      <c r="G539" s="1" t="s">
        <v>859</v>
      </c>
      <c r="H539" s="1" t="s">
        <v>137</v>
      </c>
      <c r="I539">
        <v>-11.710407999999999</v>
      </c>
      <c r="J539">
        <v>23.741330999999999</v>
      </c>
      <c r="K539" s="1" t="s">
        <v>1500</v>
      </c>
      <c r="L539" s="1" t="s">
        <v>1499</v>
      </c>
      <c r="M539" s="1" t="s">
        <v>586</v>
      </c>
      <c r="N539" s="1" t="s">
        <v>137</v>
      </c>
      <c r="O539" s="1" t="str">
        <f>INT(Matrice1!$P539/12) &amp; " ans et " &amp; MOD(Matrice1!$P539,12) &amp; " mois"</f>
        <v>5 ans et 6 mois</v>
      </c>
      <c r="P539">
        <v>66</v>
      </c>
      <c r="Q539" s="1" t="s">
        <v>14</v>
      </c>
      <c r="R539" s="4">
        <f>Matrice1!$S539/1440</f>
        <v>0.10555555555555556</v>
      </c>
      <c r="S539">
        <v>152</v>
      </c>
      <c r="T539">
        <v>95.71</v>
      </c>
      <c r="U539">
        <v>3</v>
      </c>
      <c r="V539" s="8">
        <f>IF(Matrice1!$Q539="Pro Monde",10%,IF(AND(Matrice1!$R539&gt;12,Matrice1!$O539&gt;5),70%,IF(AND(OR(Matrice1!$R539&gt;=4,Matrice1!$R539&lt;=12,Matrice1!$O539&lt;5,(OR(Matrice1!$Q539="Premium ")))),45%,0%)))</f>
        <v>0.1</v>
      </c>
      <c r="W539">
        <f>Matrice1!$T539* (Matrice1!$V539/100)</f>
        <v>9.570999999999999E-2</v>
      </c>
    </row>
    <row r="540" spans="1:23" x14ac:dyDescent="0.3">
      <c r="A540" s="1" t="s">
        <v>854</v>
      </c>
      <c r="B540" s="2">
        <v>45213</v>
      </c>
      <c r="C540" s="3">
        <v>0.94861111111111107</v>
      </c>
      <c r="D540" s="1" t="s">
        <v>874</v>
      </c>
      <c r="E540">
        <v>72</v>
      </c>
      <c r="F540" s="1" t="s">
        <v>810</v>
      </c>
      <c r="G540" s="1" t="s">
        <v>874</v>
      </c>
      <c r="H540" s="1" t="s">
        <v>35</v>
      </c>
      <c r="I540">
        <v>-2.7140689999999998</v>
      </c>
      <c r="J540">
        <v>22.222104000000002</v>
      </c>
      <c r="K540" s="1" t="s">
        <v>1498</v>
      </c>
      <c r="L540" s="1" t="s">
        <v>1508</v>
      </c>
      <c r="M540" s="1" t="s">
        <v>587</v>
      </c>
      <c r="N540" s="1" t="s">
        <v>35</v>
      </c>
      <c r="O540" s="1" t="str">
        <f>INT(Matrice1!$P540/12) &amp; " ans et " &amp; MOD(Matrice1!$P540,12) &amp; " mois"</f>
        <v>9 ans et 1 mois</v>
      </c>
      <c r="P540">
        <v>109</v>
      </c>
      <c r="Q540" s="1" t="s">
        <v>22</v>
      </c>
      <c r="R540" s="4">
        <f>Matrice1!$S540/1440</f>
        <v>5.8333333333333334E-2</v>
      </c>
      <c r="S540">
        <v>84</v>
      </c>
      <c r="T540">
        <v>97.46</v>
      </c>
      <c r="U540">
        <v>5</v>
      </c>
      <c r="V540" s="8">
        <f>IF(Matrice1!$Q540="Pro Monde",10%,IF(AND(Matrice1!$R540&gt;12,Matrice1!$O540&gt;5),70%,IF(AND(OR(Matrice1!$R540&gt;=4,Matrice1!$R540&lt;=12,Matrice1!$O540&lt;5,(OR(Matrice1!$Q540="Premium ")))),45%,0%)))</f>
        <v>0.45</v>
      </c>
      <c r="W540">
        <f>Matrice1!$T540* (Matrice1!$V540/100)</f>
        <v>0.43857000000000002</v>
      </c>
    </row>
    <row r="541" spans="1:23" x14ac:dyDescent="0.3">
      <c r="A541" s="1" t="s">
        <v>1133</v>
      </c>
      <c r="B541" s="2">
        <v>45222</v>
      </c>
      <c r="C541" s="3">
        <v>0.58472222222222225</v>
      </c>
      <c r="D541" s="1" t="s">
        <v>1155</v>
      </c>
      <c r="E541">
        <v>15</v>
      </c>
      <c r="F541" s="1" t="s">
        <v>812</v>
      </c>
      <c r="G541" s="1" t="s">
        <v>1155</v>
      </c>
      <c r="H541" s="1" t="s">
        <v>60</v>
      </c>
      <c r="I541">
        <v>-9.1215879999999991</v>
      </c>
      <c r="J541">
        <v>16.457916999999998</v>
      </c>
      <c r="K541" s="1" t="s">
        <v>1498</v>
      </c>
      <c r="L541" s="1" t="s">
        <v>1508</v>
      </c>
      <c r="M541" s="1" t="s">
        <v>588</v>
      </c>
      <c r="N541" s="1" t="s">
        <v>60</v>
      </c>
      <c r="O541" s="1" t="str">
        <f>INT(Matrice1!$P541/12) &amp; " ans et " &amp; MOD(Matrice1!$P541,12) &amp; " mois"</f>
        <v>6 ans et 8 mois</v>
      </c>
      <c r="P541">
        <v>80</v>
      </c>
      <c r="Q541" s="1" t="s">
        <v>22</v>
      </c>
      <c r="R541" s="4">
        <f>Matrice1!$S541/1440</f>
        <v>7.013888888888889E-2</v>
      </c>
      <c r="S541">
        <v>101</v>
      </c>
      <c r="T541">
        <v>61.92</v>
      </c>
      <c r="U541">
        <v>4</v>
      </c>
      <c r="V541" s="8">
        <f>IF(Matrice1!$Q541="Pro Monde",10%,IF(AND(Matrice1!$R541&gt;12,Matrice1!$O541&gt;5),70%,IF(AND(OR(Matrice1!$R541&gt;=4,Matrice1!$R541&lt;=12,Matrice1!$O541&lt;5,(OR(Matrice1!$Q541="Premium ")))),45%,0%)))</f>
        <v>0.45</v>
      </c>
      <c r="W541">
        <f>Matrice1!$T541* (Matrice1!$V541/100)</f>
        <v>0.27864000000000005</v>
      </c>
    </row>
    <row r="542" spans="1:23" x14ac:dyDescent="0.3">
      <c r="A542" s="1" t="s">
        <v>805</v>
      </c>
      <c r="B542" s="2">
        <v>45214</v>
      </c>
      <c r="C542" s="3">
        <v>0.71319444444444446</v>
      </c>
      <c r="D542" s="1" t="s">
        <v>828</v>
      </c>
      <c r="E542">
        <v>25</v>
      </c>
      <c r="F542" s="1" t="s">
        <v>807</v>
      </c>
      <c r="G542" s="1" t="s">
        <v>828</v>
      </c>
      <c r="H542" s="1" t="s">
        <v>24</v>
      </c>
      <c r="I542">
        <v>0.172153</v>
      </c>
      <c r="J542">
        <v>21.091376</v>
      </c>
      <c r="K542" s="1" t="s">
        <v>1500</v>
      </c>
      <c r="L542" s="1" t="s">
        <v>1496</v>
      </c>
      <c r="M542" s="1" t="s">
        <v>589</v>
      </c>
      <c r="N542" s="1" t="s">
        <v>24</v>
      </c>
      <c r="O542" s="1" t="str">
        <f>INT(Matrice1!$P542/12) &amp; " ans et " &amp; MOD(Matrice1!$P542,12) &amp; " mois"</f>
        <v>3 ans et 5 mois</v>
      </c>
      <c r="P542">
        <v>41</v>
      </c>
      <c r="Q542" s="1" t="s">
        <v>11</v>
      </c>
      <c r="R542" s="4">
        <f>Matrice1!$S542/1440</f>
        <v>0.12361111111111112</v>
      </c>
      <c r="S542">
        <v>178</v>
      </c>
      <c r="T542">
        <v>11.29</v>
      </c>
      <c r="U542">
        <v>4</v>
      </c>
      <c r="V542" s="8">
        <f>IF(Matrice1!$Q542="Pro Monde",10%,IF(AND(Matrice1!$R542&gt;12,Matrice1!$O542&gt;5),70%,IF(AND(OR(Matrice1!$R542&gt;=4,Matrice1!$R542&lt;=12,Matrice1!$O542&lt;5,(OR(Matrice1!$Q542="Premium ")))),45%,0%)))</f>
        <v>0.45</v>
      </c>
      <c r="W542">
        <f>Matrice1!$T542* (Matrice1!$V542/100)</f>
        <v>5.0805000000000003E-2</v>
      </c>
    </row>
    <row r="543" spans="1:23" x14ac:dyDescent="0.3">
      <c r="A543" s="1" t="s">
        <v>805</v>
      </c>
      <c r="B543" s="2">
        <v>45214</v>
      </c>
      <c r="C543" s="3">
        <v>0.71319444444444446</v>
      </c>
      <c r="D543" s="1" t="s">
        <v>828</v>
      </c>
      <c r="E543">
        <v>25</v>
      </c>
      <c r="F543" s="1" t="s">
        <v>807</v>
      </c>
      <c r="G543" s="1" t="s">
        <v>828</v>
      </c>
      <c r="H543" s="1" t="s">
        <v>24</v>
      </c>
      <c r="I543">
        <v>0.172153</v>
      </c>
      <c r="J543">
        <v>21.091376</v>
      </c>
      <c r="K543" s="1" t="s">
        <v>1500</v>
      </c>
      <c r="L543" s="1" t="s">
        <v>1496</v>
      </c>
      <c r="M543" s="1" t="s">
        <v>590</v>
      </c>
      <c r="N543" s="1" t="s">
        <v>24</v>
      </c>
      <c r="O543" s="1" t="str">
        <f>INT(Matrice1!$P543/12) &amp; " ans et " &amp; MOD(Matrice1!$P543,12) &amp; " mois"</f>
        <v>4 ans et 0 mois</v>
      </c>
      <c r="P543">
        <v>48</v>
      </c>
      <c r="Q543" s="1" t="s">
        <v>19</v>
      </c>
      <c r="R543" s="4">
        <f>Matrice1!$S543/1440</f>
        <v>0.3347222222222222</v>
      </c>
      <c r="S543">
        <v>482</v>
      </c>
      <c r="T543">
        <v>83.24</v>
      </c>
      <c r="U543">
        <v>0</v>
      </c>
      <c r="V543" s="8">
        <f>IF(Matrice1!$Q543="Pro Monde",10%,IF(AND(Matrice1!$R543&gt;12,Matrice1!$O543&gt;5),70%,IF(AND(OR(Matrice1!$R543&gt;=4,Matrice1!$R543&lt;=12,Matrice1!$O543&lt;5,(OR(Matrice1!$Q543="Premium ")))),45%,0%)))</f>
        <v>0.45</v>
      </c>
      <c r="W543">
        <f>Matrice1!$T543* (Matrice1!$V543/100)</f>
        <v>0.37458000000000002</v>
      </c>
    </row>
    <row r="544" spans="1:23" x14ac:dyDescent="0.3">
      <c r="A544" s="1" t="s">
        <v>805</v>
      </c>
      <c r="B544" s="2">
        <v>45213</v>
      </c>
      <c r="C544" s="3">
        <v>0.31111111111111112</v>
      </c>
      <c r="D544" s="1" t="s">
        <v>819</v>
      </c>
      <c r="E544">
        <v>22</v>
      </c>
      <c r="F544" s="1" t="s">
        <v>810</v>
      </c>
      <c r="G544" s="1" t="s">
        <v>819</v>
      </c>
      <c r="H544" s="1" t="s">
        <v>40</v>
      </c>
      <c r="I544">
        <v>4.8319039999999998</v>
      </c>
      <c r="J544">
        <v>20.733468999999999</v>
      </c>
      <c r="K544" s="1" t="s">
        <v>1495</v>
      </c>
      <c r="L544" s="1" t="s">
        <v>1496</v>
      </c>
      <c r="M544" s="1" t="s">
        <v>591</v>
      </c>
      <c r="N544" s="1" t="s">
        <v>40</v>
      </c>
      <c r="O544" s="1" t="str">
        <f>INT(Matrice1!$P544/12) &amp; " ans et " &amp; MOD(Matrice1!$P544,12) &amp; " mois"</f>
        <v>0 ans et 11 mois</v>
      </c>
      <c r="P544">
        <v>11</v>
      </c>
      <c r="Q544" s="1" t="s">
        <v>14</v>
      </c>
      <c r="R544" s="4">
        <f>Matrice1!$S544/1440</f>
        <v>0.14861111111111111</v>
      </c>
      <c r="S544">
        <v>214</v>
      </c>
      <c r="T544">
        <v>11.46</v>
      </c>
      <c r="U544">
        <v>5</v>
      </c>
      <c r="V544" s="8">
        <f>IF(Matrice1!$Q544="Pro Monde",10%,IF(AND(Matrice1!$R544&gt;12,Matrice1!$O544&gt;5),70%,IF(AND(OR(Matrice1!$R544&gt;=4,Matrice1!$R544&lt;=12,Matrice1!$O544&lt;5,(OR(Matrice1!$Q544="Premium ")))),45%,0%)))</f>
        <v>0.1</v>
      </c>
      <c r="W544">
        <f>Matrice1!$T544* (Matrice1!$V544/100)</f>
        <v>1.1460000000000001E-2</v>
      </c>
    </row>
    <row r="545" spans="1:23" x14ac:dyDescent="0.3">
      <c r="A545" s="1" t="s">
        <v>854</v>
      </c>
      <c r="B545" s="2">
        <v>45222</v>
      </c>
      <c r="C545" s="3">
        <v>0.42708333333333331</v>
      </c>
      <c r="D545" s="1" t="s">
        <v>892</v>
      </c>
      <c r="E545">
        <v>82</v>
      </c>
      <c r="F545" s="1" t="s">
        <v>807</v>
      </c>
      <c r="G545" s="1" t="s">
        <v>892</v>
      </c>
      <c r="H545" s="1" t="s">
        <v>26</v>
      </c>
      <c r="I545">
        <v>-4.4697000000000001E-2</v>
      </c>
      <c r="J545">
        <v>22.943373000000001</v>
      </c>
      <c r="K545" s="1" t="s">
        <v>1500</v>
      </c>
      <c r="L545" s="1" t="s">
        <v>1499</v>
      </c>
      <c r="M545" s="1" t="s">
        <v>592</v>
      </c>
      <c r="N545" s="1" t="s">
        <v>26</v>
      </c>
      <c r="O545" s="1" t="str">
        <f>INT(Matrice1!$P545/12) &amp; " ans et " &amp; MOD(Matrice1!$P545,12) &amp; " mois"</f>
        <v>7 ans et 4 mois</v>
      </c>
      <c r="P545">
        <v>88</v>
      </c>
      <c r="Q545" s="1" t="s">
        <v>19</v>
      </c>
      <c r="R545" s="4">
        <f>Matrice1!$S545/1440</f>
        <v>0.17083333333333334</v>
      </c>
      <c r="S545">
        <v>246</v>
      </c>
      <c r="T545">
        <v>90.7</v>
      </c>
      <c r="U545">
        <v>3</v>
      </c>
      <c r="V545" s="8">
        <f>IF(Matrice1!$Q545="Pro Monde",10%,IF(AND(Matrice1!$R545&gt;12,Matrice1!$O545&gt;5),70%,IF(AND(OR(Matrice1!$R545&gt;=4,Matrice1!$R545&lt;=12,Matrice1!$O545&lt;5,(OR(Matrice1!$Q545="Premium ")))),45%,0%)))</f>
        <v>0.45</v>
      </c>
      <c r="W545">
        <f>Matrice1!$T545* (Matrice1!$V545/100)</f>
        <v>0.40815000000000007</v>
      </c>
    </row>
    <row r="546" spans="1:23" x14ac:dyDescent="0.3">
      <c r="A546" s="1" t="s">
        <v>898</v>
      </c>
      <c r="B546" s="2">
        <v>45216</v>
      </c>
      <c r="C546" s="3">
        <v>0.90277777777777779</v>
      </c>
      <c r="D546" s="1" t="s">
        <v>929</v>
      </c>
      <c r="E546">
        <v>20</v>
      </c>
      <c r="F546" s="1" t="s">
        <v>812</v>
      </c>
      <c r="G546" s="1" t="s">
        <v>929</v>
      </c>
      <c r="H546" s="1" t="s">
        <v>51</v>
      </c>
      <c r="I546">
        <v>-4.2408359999999998</v>
      </c>
      <c r="J546">
        <v>26.210014000000001</v>
      </c>
      <c r="K546" s="1" t="s">
        <v>1498</v>
      </c>
      <c r="L546" s="1" t="s">
        <v>1499</v>
      </c>
      <c r="M546" s="1" t="s">
        <v>593</v>
      </c>
      <c r="N546" s="1" t="s">
        <v>51</v>
      </c>
      <c r="O546" s="1" t="str">
        <f>INT(Matrice1!$P546/12) &amp; " ans et " &amp; MOD(Matrice1!$P546,12) &amp; " mois"</f>
        <v>4 ans et 5 mois</v>
      </c>
      <c r="P546">
        <v>53</v>
      </c>
      <c r="Q546" s="1" t="s">
        <v>11</v>
      </c>
      <c r="R546" s="4">
        <f>Matrice1!$S546/1440</f>
        <v>0.16875000000000001</v>
      </c>
      <c r="S546">
        <v>243</v>
      </c>
      <c r="T546">
        <v>55.19</v>
      </c>
      <c r="U546">
        <v>4</v>
      </c>
      <c r="V546" s="8">
        <f>IF(Matrice1!$Q546="Pro Monde",10%,IF(AND(Matrice1!$R546&gt;12,Matrice1!$O546&gt;5),70%,IF(AND(OR(Matrice1!$R546&gt;=4,Matrice1!$R546&lt;=12,Matrice1!$O546&lt;5,(OR(Matrice1!$Q546="Premium ")))),45%,0%)))</f>
        <v>0.45</v>
      </c>
      <c r="W546">
        <f>Matrice1!$T546* (Matrice1!$V546/100)</f>
        <v>0.24835500000000002</v>
      </c>
    </row>
    <row r="547" spans="1:23" x14ac:dyDescent="0.3">
      <c r="A547" s="1" t="s">
        <v>898</v>
      </c>
      <c r="B547" s="2">
        <v>45206</v>
      </c>
      <c r="C547" s="3">
        <v>0.6875</v>
      </c>
      <c r="D547" s="1" t="s">
        <v>926</v>
      </c>
      <c r="E547">
        <v>76</v>
      </c>
      <c r="F547" s="1" t="s">
        <v>812</v>
      </c>
      <c r="G547" s="1" t="s">
        <v>926</v>
      </c>
      <c r="H547" s="1" t="s">
        <v>127</v>
      </c>
      <c r="I547">
        <v>-12.100756000000001</v>
      </c>
      <c r="J547">
        <v>21.938649999999999</v>
      </c>
      <c r="K547" s="1" t="s">
        <v>1498</v>
      </c>
      <c r="L547" s="1" t="s">
        <v>1499</v>
      </c>
      <c r="M547" s="1" t="s">
        <v>594</v>
      </c>
      <c r="N547" s="1" t="s">
        <v>127</v>
      </c>
      <c r="O547" s="1" t="str">
        <f>INT(Matrice1!$P547/12) &amp; " ans et " &amp; MOD(Matrice1!$P547,12) &amp; " mois"</f>
        <v>5 ans et 5 mois</v>
      </c>
      <c r="P547">
        <v>65</v>
      </c>
      <c r="Q547" s="1" t="s">
        <v>14</v>
      </c>
      <c r="R547" s="4">
        <f>Matrice1!$S547/1440</f>
        <v>0.19027777777777777</v>
      </c>
      <c r="S547">
        <v>274</v>
      </c>
      <c r="T547">
        <v>88.1</v>
      </c>
      <c r="U547">
        <v>4</v>
      </c>
      <c r="V547" s="8">
        <f>IF(Matrice1!$Q547="Pro Monde",10%,IF(AND(Matrice1!$R547&gt;12,Matrice1!$O547&gt;5),70%,IF(AND(OR(Matrice1!$R547&gt;=4,Matrice1!$R547&lt;=12,Matrice1!$O547&lt;5,(OR(Matrice1!$Q547="Premium ")))),45%,0%)))</f>
        <v>0.1</v>
      </c>
      <c r="W547">
        <f>Matrice1!$T547* (Matrice1!$V547/100)</f>
        <v>8.8099999999999998E-2</v>
      </c>
    </row>
    <row r="548" spans="1:23" x14ac:dyDescent="0.3">
      <c r="A548" s="1" t="s">
        <v>1073</v>
      </c>
      <c r="B548" s="2">
        <v>45221</v>
      </c>
      <c r="C548" s="3">
        <v>0.37638888888888888</v>
      </c>
      <c r="D548" s="1" t="s">
        <v>1096</v>
      </c>
      <c r="E548">
        <v>59</v>
      </c>
      <c r="F548" s="1" t="s">
        <v>812</v>
      </c>
      <c r="G548" s="1" t="s">
        <v>1096</v>
      </c>
      <c r="H548" s="1" t="s">
        <v>78</v>
      </c>
      <c r="I548">
        <v>-8.4824669999999998</v>
      </c>
      <c r="J548">
        <v>21.897777999999999</v>
      </c>
      <c r="K548" s="1" t="s">
        <v>1495</v>
      </c>
      <c r="L548" s="1" t="s">
        <v>1496</v>
      </c>
      <c r="M548" s="1" t="s">
        <v>595</v>
      </c>
      <c r="N548" s="1" t="s">
        <v>78</v>
      </c>
      <c r="O548" s="1" t="str">
        <f>INT(Matrice1!$P548/12) &amp; " ans et " &amp; MOD(Matrice1!$P548,12) &amp; " mois"</f>
        <v>4 ans et 10 mois</v>
      </c>
      <c r="P548">
        <v>58</v>
      </c>
      <c r="Q548" s="1" t="s">
        <v>14</v>
      </c>
      <c r="R548" s="4">
        <f>Matrice1!$S548/1440</f>
        <v>0.24444444444444444</v>
      </c>
      <c r="S548">
        <v>352</v>
      </c>
      <c r="T548">
        <v>72.94</v>
      </c>
      <c r="U548">
        <v>0</v>
      </c>
      <c r="V548" s="8">
        <f>IF(Matrice1!$Q548="Pro Monde",10%,IF(AND(Matrice1!$R548&gt;12,Matrice1!$O548&gt;5),70%,IF(AND(OR(Matrice1!$R548&gt;=4,Matrice1!$R548&lt;=12,Matrice1!$O548&lt;5,(OR(Matrice1!$Q548="Premium ")))),45%,0%)))</f>
        <v>0.1</v>
      </c>
      <c r="W548">
        <f>Matrice1!$T548* (Matrice1!$V548/100)</f>
        <v>7.2940000000000005E-2</v>
      </c>
    </row>
    <row r="549" spans="1:23" x14ac:dyDescent="0.3">
      <c r="A549" s="1" t="s">
        <v>805</v>
      </c>
      <c r="B549" s="2">
        <v>45217</v>
      </c>
      <c r="C549" s="3">
        <v>0.96875</v>
      </c>
      <c r="D549" s="1" t="s">
        <v>842</v>
      </c>
      <c r="E549">
        <v>97</v>
      </c>
      <c r="F549" s="1" t="s">
        <v>810</v>
      </c>
      <c r="G549" s="1" t="s">
        <v>842</v>
      </c>
      <c r="H549" s="1" t="s">
        <v>29</v>
      </c>
      <c r="I549">
        <v>-10.059846</v>
      </c>
      <c r="J549">
        <v>14.375757999999999</v>
      </c>
      <c r="K549" s="1" t="s">
        <v>1498</v>
      </c>
      <c r="L549" s="1" t="s">
        <v>1499</v>
      </c>
      <c r="M549" s="1" t="s">
        <v>596</v>
      </c>
      <c r="N549" s="1" t="s">
        <v>29</v>
      </c>
      <c r="O549" s="1" t="str">
        <f>INT(Matrice1!$P549/12) &amp; " ans et " &amp; MOD(Matrice1!$P549,12) &amp; " mois"</f>
        <v>2 ans et 10 mois</v>
      </c>
      <c r="P549">
        <v>34</v>
      </c>
      <c r="Q549" s="1" t="s">
        <v>22</v>
      </c>
      <c r="R549" s="4">
        <f>Matrice1!$S549/1440</f>
        <v>0.27847222222222223</v>
      </c>
      <c r="S549">
        <v>401</v>
      </c>
      <c r="T549">
        <v>68.400000000000006</v>
      </c>
      <c r="U549">
        <v>5</v>
      </c>
      <c r="V549" s="8">
        <f>IF(Matrice1!$Q549="Pro Monde",10%,IF(AND(Matrice1!$R549&gt;12,Matrice1!$O549&gt;5),70%,IF(AND(OR(Matrice1!$R549&gt;=4,Matrice1!$R549&lt;=12,Matrice1!$O549&lt;5,(OR(Matrice1!$Q549="Premium ")))),45%,0%)))</f>
        <v>0.45</v>
      </c>
      <c r="W549">
        <f>Matrice1!$T549* (Matrice1!$V549/100)</f>
        <v>0.30780000000000007</v>
      </c>
    </row>
    <row r="550" spans="1:23" x14ac:dyDescent="0.3">
      <c r="A550" s="1" t="s">
        <v>1161</v>
      </c>
      <c r="B550" s="2">
        <v>45207</v>
      </c>
      <c r="C550" s="3">
        <v>0.13333333333333333</v>
      </c>
      <c r="D550" s="1" t="s">
        <v>1165</v>
      </c>
      <c r="E550">
        <v>66</v>
      </c>
      <c r="F550" s="1" t="s">
        <v>810</v>
      </c>
      <c r="G550" s="1" t="s">
        <v>1165</v>
      </c>
      <c r="H550" s="1" t="s">
        <v>57</v>
      </c>
      <c r="I550">
        <v>-5.4073029999999997</v>
      </c>
      <c r="J550">
        <v>29.762294000000001</v>
      </c>
      <c r="K550" s="1" t="s">
        <v>1500</v>
      </c>
      <c r="L550" s="1" t="s">
        <v>1496</v>
      </c>
      <c r="M550" s="1" t="s">
        <v>598</v>
      </c>
      <c r="N550" s="1" t="s">
        <v>57</v>
      </c>
      <c r="O550" s="1" t="str">
        <f>INT(Matrice1!$P550/12) &amp; " ans et " &amp; MOD(Matrice1!$P550,12) &amp; " mois"</f>
        <v>4 ans et 3 mois</v>
      </c>
      <c r="P550">
        <v>51</v>
      </c>
      <c r="Q550" s="1" t="s">
        <v>22</v>
      </c>
      <c r="R550" s="4">
        <f>Matrice1!$S550/1440</f>
        <v>0.10555555555555556</v>
      </c>
      <c r="S550">
        <v>152</v>
      </c>
      <c r="T550">
        <v>34.630000000000003</v>
      </c>
      <c r="U550">
        <v>2</v>
      </c>
      <c r="V550" s="8">
        <f>IF(Matrice1!$Q550="Pro Monde",10%,IF(AND(Matrice1!$R550&gt;12,Matrice1!$O550&gt;5),70%,IF(AND(OR(Matrice1!$R550&gt;=4,Matrice1!$R550&lt;=12,Matrice1!$O550&lt;5,(OR(Matrice1!$Q550="Premium ")))),45%,0%)))</f>
        <v>0.45</v>
      </c>
      <c r="W550">
        <f>Matrice1!$T550* (Matrice1!$V550/100)</f>
        <v>0.15583500000000003</v>
      </c>
    </row>
    <row r="551" spans="1:23" x14ac:dyDescent="0.3">
      <c r="A551" s="1" t="s">
        <v>854</v>
      </c>
      <c r="B551" s="2">
        <v>45214</v>
      </c>
      <c r="C551" s="3">
        <v>0.9604166666666667</v>
      </c>
      <c r="D551" s="1" t="s">
        <v>859</v>
      </c>
      <c r="E551">
        <v>38</v>
      </c>
      <c r="F551" s="1" t="s">
        <v>807</v>
      </c>
      <c r="G551" s="1" t="s">
        <v>859</v>
      </c>
      <c r="H551" s="1" t="s">
        <v>137</v>
      </c>
      <c r="I551">
        <v>-11.710407999999999</v>
      </c>
      <c r="J551">
        <v>23.741330999999999</v>
      </c>
      <c r="K551" s="1" t="s">
        <v>1500</v>
      </c>
      <c r="L551" s="1" t="s">
        <v>1499</v>
      </c>
      <c r="M551" s="1" t="s">
        <v>599</v>
      </c>
      <c r="N551" s="1" t="s">
        <v>137</v>
      </c>
      <c r="O551" s="1" t="str">
        <f>INT(Matrice1!$P551/12) &amp; " ans et " &amp; MOD(Matrice1!$P551,12) &amp; " mois"</f>
        <v>2 ans et 1 mois</v>
      </c>
      <c r="P551">
        <v>25</v>
      </c>
      <c r="Q551" s="1" t="s">
        <v>19</v>
      </c>
      <c r="R551" s="4">
        <f>Matrice1!$S551/1440</f>
        <v>3.472222222222222E-3</v>
      </c>
      <c r="S551">
        <v>5</v>
      </c>
      <c r="T551">
        <v>27.93</v>
      </c>
      <c r="U551">
        <v>0</v>
      </c>
      <c r="V551" s="8">
        <f>IF(Matrice1!$Q551="Pro Monde",10%,IF(AND(Matrice1!$R551&gt;12,Matrice1!$O551&gt;5),70%,IF(AND(OR(Matrice1!$R551&gt;=4,Matrice1!$R551&lt;=12,Matrice1!$O551&lt;5,(OR(Matrice1!$Q551="Premium ")))),45%,0%)))</f>
        <v>0.45</v>
      </c>
      <c r="W551">
        <f>Matrice1!$T551* (Matrice1!$V551/100)</f>
        <v>0.12568500000000002</v>
      </c>
    </row>
    <row r="552" spans="1:23" x14ac:dyDescent="0.3">
      <c r="A552" s="1" t="s">
        <v>898</v>
      </c>
      <c r="B552" s="2">
        <v>45206</v>
      </c>
      <c r="C552" s="3">
        <v>0.6875</v>
      </c>
      <c r="D552" s="1" t="s">
        <v>926</v>
      </c>
      <c r="E552">
        <v>76</v>
      </c>
      <c r="F552" s="1" t="s">
        <v>812</v>
      </c>
      <c r="G552" s="1" t="s">
        <v>926</v>
      </c>
      <c r="H552" s="1" t="s">
        <v>127</v>
      </c>
      <c r="I552">
        <v>-12.100756000000001</v>
      </c>
      <c r="J552">
        <v>21.938649999999999</v>
      </c>
      <c r="K552" s="1" t="s">
        <v>1498</v>
      </c>
      <c r="L552" s="1" t="s">
        <v>1499</v>
      </c>
      <c r="M552" s="1" t="s">
        <v>600</v>
      </c>
      <c r="N552" s="1" t="s">
        <v>127</v>
      </c>
      <c r="O552" s="1" t="str">
        <f>INT(Matrice1!$P552/12) &amp; " ans et " &amp; MOD(Matrice1!$P552,12) &amp; " mois"</f>
        <v>6 ans et 7 mois</v>
      </c>
      <c r="P552">
        <v>79</v>
      </c>
      <c r="Q552" s="1" t="s">
        <v>19</v>
      </c>
      <c r="R552" s="4">
        <f>Matrice1!$S552/1440</f>
        <v>0.32083333333333336</v>
      </c>
      <c r="S552">
        <v>462</v>
      </c>
      <c r="T552">
        <v>18.28</v>
      </c>
      <c r="U552">
        <v>0</v>
      </c>
      <c r="V552" s="8">
        <f>IF(Matrice1!$Q552="Pro Monde",10%,IF(AND(Matrice1!$R552&gt;12,Matrice1!$O552&gt;5),70%,IF(AND(OR(Matrice1!$R552&gt;=4,Matrice1!$R552&lt;=12,Matrice1!$O552&lt;5,(OR(Matrice1!$Q552="Premium ")))),45%,0%)))</f>
        <v>0.45</v>
      </c>
      <c r="W552">
        <f>Matrice1!$T552* (Matrice1!$V552/100)</f>
        <v>8.2260000000000014E-2</v>
      </c>
    </row>
    <row r="553" spans="1:23" x14ac:dyDescent="0.3">
      <c r="A553" s="1" t="s">
        <v>1133</v>
      </c>
      <c r="B553" s="2">
        <v>45222</v>
      </c>
      <c r="C553" s="3">
        <v>0.58472222222222225</v>
      </c>
      <c r="D553" s="1" t="s">
        <v>1155</v>
      </c>
      <c r="E553">
        <v>15</v>
      </c>
      <c r="F553" s="1" t="s">
        <v>812</v>
      </c>
      <c r="G553" s="1" t="s">
        <v>1155</v>
      </c>
      <c r="H553" s="1" t="s">
        <v>60</v>
      </c>
      <c r="I553">
        <v>-9.1215879999999991</v>
      </c>
      <c r="J553">
        <v>16.457916999999998</v>
      </c>
      <c r="K553" s="1" t="s">
        <v>1498</v>
      </c>
      <c r="L553" s="1" t="s">
        <v>1508</v>
      </c>
      <c r="M553" s="1" t="s">
        <v>601</v>
      </c>
      <c r="N553" s="1" t="s">
        <v>60</v>
      </c>
      <c r="O553" s="1" t="str">
        <f>INT(Matrice1!$P553/12) &amp; " ans et " &amp; MOD(Matrice1!$P553,12) &amp; " mois"</f>
        <v>6 ans et 11 mois</v>
      </c>
      <c r="P553">
        <v>83</v>
      </c>
      <c r="Q553" s="1" t="s">
        <v>14</v>
      </c>
      <c r="R553" s="4">
        <f>Matrice1!$S553/1440</f>
        <v>6.3194444444444442E-2</v>
      </c>
      <c r="S553">
        <v>91</v>
      </c>
      <c r="T553">
        <v>73.73</v>
      </c>
      <c r="U553">
        <v>2</v>
      </c>
      <c r="V553" s="8">
        <f>IF(Matrice1!$Q553="Pro Monde",10%,IF(AND(Matrice1!$R553&gt;12,Matrice1!$O553&gt;5),70%,IF(AND(OR(Matrice1!$R553&gt;=4,Matrice1!$R553&lt;=12,Matrice1!$O553&lt;5,(OR(Matrice1!$Q553="Premium ")))),45%,0%)))</f>
        <v>0.1</v>
      </c>
      <c r="W553">
        <f>Matrice1!$T553* (Matrice1!$V553/100)</f>
        <v>7.3730000000000004E-2</v>
      </c>
    </row>
    <row r="554" spans="1:23" x14ac:dyDescent="0.3">
      <c r="A554" s="1" t="s">
        <v>805</v>
      </c>
      <c r="B554" s="2">
        <v>45201</v>
      </c>
      <c r="C554" s="3">
        <v>0.88472222222222219</v>
      </c>
      <c r="D554" s="1" t="s">
        <v>833</v>
      </c>
      <c r="E554">
        <v>54</v>
      </c>
      <c r="F554" s="1" t="s">
        <v>812</v>
      </c>
      <c r="G554" s="1" t="s">
        <v>833</v>
      </c>
      <c r="H554" s="1" t="s">
        <v>131</v>
      </c>
      <c r="I554">
        <v>4.6287159999999998</v>
      </c>
      <c r="J554">
        <v>19.407077999999998</v>
      </c>
      <c r="K554" s="1" t="s">
        <v>1498</v>
      </c>
      <c r="L554" s="1" t="s">
        <v>1496</v>
      </c>
      <c r="M554" s="1" t="s">
        <v>602</v>
      </c>
      <c r="N554" s="1" t="s">
        <v>131</v>
      </c>
      <c r="O554" s="1" t="str">
        <f>INT(Matrice1!$P554/12) &amp; " ans et " &amp; MOD(Matrice1!$P554,12) &amp; " mois"</f>
        <v>4 ans et 3 mois</v>
      </c>
      <c r="P554">
        <v>51</v>
      </c>
      <c r="Q554" s="1" t="s">
        <v>19</v>
      </c>
      <c r="R554" s="4">
        <f>Matrice1!$S554/1440</f>
        <v>0.23402777777777778</v>
      </c>
      <c r="S554">
        <v>337</v>
      </c>
      <c r="T554">
        <v>68.67</v>
      </c>
      <c r="U554">
        <v>5</v>
      </c>
      <c r="V554" s="8">
        <f>IF(Matrice1!$Q554="Pro Monde",10%,IF(AND(Matrice1!$R554&gt;12,Matrice1!$O554&gt;5),70%,IF(AND(OR(Matrice1!$R554&gt;=4,Matrice1!$R554&lt;=12,Matrice1!$O554&lt;5,(OR(Matrice1!$Q554="Premium ")))),45%,0%)))</f>
        <v>0.45</v>
      </c>
      <c r="W554">
        <f>Matrice1!$T554* (Matrice1!$V554/100)</f>
        <v>0.30901500000000004</v>
      </c>
    </row>
    <row r="555" spans="1:23" x14ac:dyDescent="0.3">
      <c r="A555" s="1" t="s">
        <v>898</v>
      </c>
      <c r="B555" s="2">
        <v>45216</v>
      </c>
      <c r="C555" s="3">
        <v>0.90277777777777779</v>
      </c>
      <c r="D555" s="1" t="s">
        <v>929</v>
      </c>
      <c r="E555">
        <v>20</v>
      </c>
      <c r="F555" s="1" t="s">
        <v>812</v>
      </c>
      <c r="G555" s="1" t="s">
        <v>929</v>
      </c>
      <c r="H555" s="1" t="s">
        <v>51</v>
      </c>
      <c r="I555">
        <v>-4.2408359999999998</v>
      </c>
      <c r="J555">
        <v>26.210014000000001</v>
      </c>
      <c r="K555" s="1" t="s">
        <v>1498</v>
      </c>
      <c r="L555" s="1" t="s">
        <v>1499</v>
      </c>
      <c r="M555" s="1" t="s">
        <v>603</v>
      </c>
      <c r="N555" s="1" t="s">
        <v>51</v>
      </c>
      <c r="O555" s="1" t="str">
        <f>INT(Matrice1!$P555/12) &amp; " ans et " &amp; MOD(Matrice1!$P555,12) &amp; " mois"</f>
        <v>8 ans et 11 mois</v>
      </c>
      <c r="P555">
        <v>107</v>
      </c>
      <c r="Q555" s="1" t="s">
        <v>22</v>
      </c>
      <c r="R555" s="4">
        <f>Matrice1!$S555/1440</f>
        <v>0.2013888888888889</v>
      </c>
      <c r="S555">
        <v>290</v>
      </c>
      <c r="T555">
        <v>52.03</v>
      </c>
      <c r="U555">
        <v>0</v>
      </c>
      <c r="V555" s="8">
        <f>IF(Matrice1!$Q555="Pro Monde",10%,IF(AND(Matrice1!$R555&gt;12,Matrice1!$O555&gt;5),70%,IF(AND(OR(Matrice1!$R555&gt;=4,Matrice1!$R555&lt;=12,Matrice1!$O555&lt;5,(OR(Matrice1!$Q555="Premium ")))),45%,0%)))</f>
        <v>0.45</v>
      </c>
      <c r="W555">
        <f>Matrice1!$T555* (Matrice1!$V555/100)</f>
        <v>0.23413500000000004</v>
      </c>
    </row>
    <row r="556" spans="1:23" x14ac:dyDescent="0.3">
      <c r="A556" s="1" t="s">
        <v>805</v>
      </c>
      <c r="B556" s="2">
        <v>45202</v>
      </c>
      <c r="C556" s="3">
        <v>0.25972222222222224</v>
      </c>
      <c r="D556" s="1" t="s">
        <v>815</v>
      </c>
      <c r="E556">
        <v>79</v>
      </c>
      <c r="F556" s="1" t="s">
        <v>807</v>
      </c>
      <c r="G556" s="1" t="s">
        <v>815</v>
      </c>
      <c r="H556" s="1" t="s">
        <v>33</v>
      </c>
      <c r="I556">
        <v>-1.648264</v>
      </c>
      <c r="J556">
        <v>28.866143999999998</v>
      </c>
      <c r="K556" s="1" t="s">
        <v>1495</v>
      </c>
      <c r="L556" s="1" t="s">
        <v>1496</v>
      </c>
      <c r="M556" s="1" t="s">
        <v>604</v>
      </c>
      <c r="N556" s="1" t="s">
        <v>33</v>
      </c>
      <c r="O556" s="1" t="str">
        <f>INT(Matrice1!$P556/12) &amp; " ans et " &amp; MOD(Matrice1!$P556,12) &amp; " mois"</f>
        <v>0 ans et 7 mois</v>
      </c>
      <c r="P556">
        <v>7</v>
      </c>
      <c r="Q556" s="1" t="s">
        <v>14</v>
      </c>
      <c r="R556" s="4">
        <f>Matrice1!$S556/1440</f>
        <v>0.22430555555555556</v>
      </c>
      <c r="S556">
        <v>323</v>
      </c>
      <c r="T556">
        <v>82.81</v>
      </c>
      <c r="U556">
        <v>5</v>
      </c>
      <c r="V556" s="8">
        <f>IF(Matrice1!$Q556="Pro Monde",10%,IF(AND(Matrice1!$R556&gt;12,Matrice1!$O556&gt;5),70%,IF(AND(OR(Matrice1!$R556&gt;=4,Matrice1!$R556&lt;=12,Matrice1!$O556&lt;5,(OR(Matrice1!$Q556="Premium ")))),45%,0%)))</f>
        <v>0.1</v>
      </c>
      <c r="W556">
        <f>Matrice1!$T556* (Matrice1!$V556/100)</f>
        <v>8.2810000000000009E-2</v>
      </c>
    </row>
    <row r="557" spans="1:23" x14ac:dyDescent="0.3">
      <c r="A557" s="1" t="s">
        <v>854</v>
      </c>
      <c r="B557" s="2">
        <v>45222</v>
      </c>
      <c r="C557" s="3">
        <v>0.42708333333333331</v>
      </c>
      <c r="D557" s="1" t="s">
        <v>892</v>
      </c>
      <c r="E557">
        <v>82</v>
      </c>
      <c r="F557" s="1" t="s">
        <v>807</v>
      </c>
      <c r="G557" s="1" t="s">
        <v>892</v>
      </c>
      <c r="H557" s="1" t="s">
        <v>26</v>
      </c>
      <c r="I557">
        <v>-4.4697000000000001E-2</v>
      </c>
      <c r="J557">
        <v>22.943373000000001</v>
      </c>
      <c r="K557" s="1" t="s">
        <v>1500</v>
      </c>
      <c r="L557" s="1" t="s">
        <v>1499</v>
      </c>
      <c r="M557" s="1" t="s">
        <v>605</v>
      </c>
      <c r="N557" s="1" t="s">
        <v>26</v>
      </c>
      <c r="O557" s="1" t="str">
        <f>INT(Matrice1!$P557/12) &amp; " ans et " &amp; MOD(Matrice1!$P557,12) &amp; " mois"</f>
        <v>8 ans et 7 mois</v>
      </c>
      <c r="P557">
        <v>103</v>
      </c>
      <c r="Q557" s="1" t="s">
        <v>11</v>
      </c>
      <c r="R557" s="4">
        <f>Matrice1!$S557/1440</f>
        <v>0.21527777777777779</v>
      </c>
      <c r="S557">
        <v>310</v>
      </c>
      <c r="T557">
        <v>49.25</v>
      </c>
      <c r="U557">
        <v>2</v>
      </c>
      <c r="V557" s="8">
        <f>IF(Matrice1!$Q557="Pro Monde",10%,IF(AND(Matrice1!$R557&gt;12,Matrice1!$O557&gt;5),70%,IF(AND(OR(Matrice1!$R557&gt;=4,Matrice1!$R557&lt;=12,Matrice1!$O557&lt;5,(OR(Matrice1!$Q557="Premium ")))),45%,0%)))</f>
        <v>0.45</v>
      </c>
      <c r="W557">
        <f>Matrice1!$T557* (Matrice1!$V557/100)</f>
        <v>0.22162500000000002</v>
      </c>
    </row>
    <row r="558" spans="1:23" x14ac:dyDescent="0.3">
      <c r="A558" s="1" t="s">
        <v>898</v>
      </c>
      <c r="B558" s="2">
        <v>45216</v>
      </c>
      <c r="C558" s="3">
        <v>0.90277777777777779</v>
      </c>
      <c r="D558" s="1" t="s">
        <v>929</v>
      </c>
      <c r="E558">
        <v>20</v>
      </c>
      <c r="F558" s="1" t="s">
        <v>812</v>
      </c>
      <c r="G558" s="1" t="s">
        <v>929</v>
      </c>
      <c r="H558" s="1" t="s">
        <v>51</v>
      </c>
      <c r="I558">
        <v>-4.2408359999999998</v>
      </c>
      <c r="J558">
        <v>26.210014000000001</v>
      </c>
      <c r="K558" s="1" t="s">
        <v>1498</v>
      </c>
      <c r="L558" s="1" t="s">
        <v>1499</v>
      </c>
      <c r="M558" s="1" t="s">
        <v>606</v>
      </c>
      <c r="N558" s="1" t="s">
        <v>51</v>
      </c>
      <c r="O558" s="1" t="str">
        <f>INT(Matrice1!$P558/12) &amp; " ans et " &amp; MOD(Matrice1!$P558,12) &amp; " mois"</f>
        <v>10 ans et 0 mois</v>
      </c>
      <c r="P558">
        <v>120</v>
      </c>
      <c r="Q558" s="1" t="s">
        <v>22</v>
      </c>
      <c r="R558" s="4">
        <f>Matrice1!$S558/1440</f>
        <v>0.3034722222222222</v>
      </c>
      <c r="S558">
        <v>437</v>
      </c>
      <c r="T558">
        <v>95.17</v>
      </c>
      <c r="U558">
        <v>1</v>
      </c>
      <c r="V558" s="8">
        <f>IF(Matrice1!$Q558="Pro Monde",10%,IF(AND(Matrice1!$R558&gt;12,Matrice1!$O558&gt;5),70%,IF(AND(OR(Matrice1!$R558&gt;=4,Matrice1!$R558&lt;=12,Matrice1!$O558&lt;5,(OR(Matrice1!$Q558="Premium ")))),45%,0%)))</f>
        <v>0.45</v>
      </c>
      <c r="W558">
        <f>Matrice1!$T558* (Matrice1!$V558/100)</f>
        <v>0.42826500000000006</v>
      </c>
    </row>
    <row r="559" spans="1:23" x14ac:dyDescent="0.3">
      <c r="A559" s="1" t="s">
        <v>936</v>
      </c>
      <c r="B559" s="2">
        <v>45221</v>
      </c>
      <c r="C559" s="3">
        <v>0.51736111111111116</v>
      </c>
      <c r="D559" s="1" t="s">
        <v>963</v>
      </c>
      <c r="E559">
        <v>83</v>
      </c>
      <c r="F559" s="1" t="s">
        <v>812</v>
      </c>
      <c r="G559" s="1" t="s">
        <v>963</v>
      </c>
      <c r="H559" s="1" t="s">
        <v>21</v>
      </c>
      <c r="I559">
        <v>-2.9651529999999999</v>
      </c>
      <c r="J559">
        <v>29.79908</v>
      </c>
      <c r="K559" s="1" t="s">
        <v>1498</v>
      </c>
      <c r="L559" s="1" t="s">
        <v>1496</v>
      </c>
      <c r="M559" s="1" t="s">
        <v>607</v>
      </c>
      <c r="N559" s="1" t="s">
        <v>21</v>
      </c>
      <c r="O559" s="1" t="str">
        <f>INT(Matrice1!$P559/12) &amp; " ans et " &amp; MOD(Matrice1!$P559,12) &amp; " mois"</f>
        <v>6 ans et 2 mois</v>
      </c>
      <c r="P559">
        <v>74</v>
      </c>
      <c r="Q559" s="1" t="s">
        <v>22</v>
      </c>
      <c r="R559" s="4">
        <f>Matrice1!$S559/1440</f>
        <v>1.1111111111111112E-2</v>
      </c>
      <c r="S559">
        <v>16</v>
      </c>
      <c r="T559">
        <v>93.01</v>
      </c>
      <c r="U559">
        <v>3</v>
      </c>
      <c r="V559" s="8">
        <f>IF(Matrice1!$Q559="Pro Monde",10%,IF(AND(Matrice1!$R559&gt;12,Matrice1!$O559&gt;5),70%,IF(AND(OR(Matrice1!$R559&gt;=4,Matrice1!$R559&lt;=12,Matrice1!$O559&lt;5,(OR(Matrice1!$Q559="Premium ")))),45%,0%)))</f>
        <v>0.45</v>
      </c>
      <c r="W559">
        <f>Matrice1!$T559* (Matrice1!$V559/100)</f>
        <v>0.41854500000000006</v>
      </c>
    </row>
    <row r="560" spans="1:23" x14ac:dyDescent="0.3">
      <c r="A560" s="1" t="s">
        <v>805</v>
      </c>
      <c r="B560" s="2">
        <v>45214</v>
      </c>
      <c r="C560" s="3">
        <v>0.71319444444444446</v>
      </c>
      <c r="D560" s="1" t="s">
        <v>828</v>
      </c>
      <c r="E560">
        <v>25</v>
      </c>
      <c r="F560" s="1" t="s">
        <v>807</v>
      </c>
      <c r="G560" s="1" t="s">
        <v>828</v>
      </c>
      <c r="H560" s="1" t="s">
        <v>24</v>
      </c>
      <c r="I560">
        <v>0.172153</v>
      </c>
      <c r="J560">
        <v>21.091376</v>
      </c>
      <c r="K560" s="1" t="s">
        <v>1500</v>
      </c>
      <c r="L560" s="1" t="s">
        <v>1496</v>
      </c>
      <c r="M560" s="1" t="s">
        <v>608</v>
      </c>
      <c r="N560" s="1" t="s">
        <v>24</v>
      </c>
      <c r="O560" s="1" t="str">
        <f>INT(Matrice1!$P560/12) &amp; " ans et " &amp; MOD(Matrice1!$P560,12) &amp; " mois"</f>
        <v>4 ans et 7 mois</v>
      </c>
      <c r="P560">
        <v>55</v>
      </c>
      <c r="Q560" s="1" t="s">
        <v>22</v>
      </c>
      <c r="R560" s="4">
        <f>Matrice1!$S560/1440</f>
        <v>4.1666666666666664E-2</v>
      </c>
      <c r="S560">
        <v>60</v>
      </c>
      <c r="T560">
        <v>32.51</v>
      </c>
      <c r="U560">
        <v>4</v>
      </c>
      <c r="V560" s="8">
        <f>IF(Matrice1!$Q560="Pro Monde",10%,IF(AND(Matrice1!$R560&gt;12,Matrice1!$O560&gt;5),70%,IF(AND(OR(Matrice1!$R560&gt;=4,Matrice1!$R560&lt;=12,Matrice1!$O560&lt;5,(OR(Matrice1!$Q560="Premium ")))),45%,0%)))</f>
        <v>0.45</v>
      </c>
      <c r="W560">
        <f>Matrice1!$T560* (Matrice1!$V560/100)</f>
        <v>0.14629500000000001</v>
      </c>
    </row>
    <row r="561" spans="1:23" x14ac:dyDescent="0.3">
      <c r="A561" s="1" t="s">
        <v>898</v>
      </c>
      <c r="B561" s="2">
        <v>45206</v>
      </c>
      <c r="C561" s="3">
        <v>0.6875</v>
      </c>
      <c r="D561" s="1" t="s">
        <v>926</v>
      </c>
      <c r="E561">
        <v>76</v>
      </c>
      <c r="F561" s="1" t="s">
        <v>812</v>
      </c>
      <c r="G561" s="1" t="s">
        <v>926</v>
      </c>
      <c r="H561" s="1" t="s">
        <v>127</v>
      </c>
      <c r="I561">
        <v>-12.100756000000001</v>
      </c>
      <c r="J561">
        <v>21.938649999999999</v>
      </c>
      <c r="K561" s="1" t="s">
        <v>1498</v>
      </c>
      <c r="L561" s="1" t="s">
        <v>1499</v>
      </c>
      <c r="M561" s="1" t="s">
        <v>609</v>
      </c>
      <c r="N561" s="1" t="s">
        <v>127</v>
      </c>
      <c r="O561" s="1" t="str">
        <f>INT(Matrice1!$P561/12) &amp; " ans et " &amp; MOD(Matrice1!$P561,12) &amp; " mois"</f>
        <v>1 ans et 5 mois</v>
      </c>
      <c r="P561">
        <v>17</v>
      </c>
      <c r="Q561" s="1" t="s">
        <v>11</v>
      </c>
      <c r="R561" s="4">
        <f>Matrice1!$S561/1440</f>
        <v>0.34652777777777777</v>
      </c>
      <c r="S561">
        <v>499</v>
      </c>
      <c r="T561">
        <v>27.81</v>
      </c>
      <c r="U561">
        <v>2</v>
      </c>
      <c r="V561" s="8">
        <f>IF(Matrice1!$Q561="Pro Monde",10%,IF(AND(Matrice1!$R561&gt;12,Matrice1!$O561&gt;5),70%,IF(AND(OR(Matrice1!$R561&gt;=4,Matrice1!$R561&lt;=12,Matrice1!$O561&lt;5,(OR(Matrice1!$Q561="Premium ")))),45%,0%)))</f>
        <v>0.45</v>
      </c>
      <c r="W561">
        <f>Matrice1!$T561* (Matrice1!$V561/100)</f>
        <v>0.12514500000000001</v>
      </c>
    </row>
    <row r="562" spans="1:23" x14ac:dyDescent="0.3">
      <c r="A562" s="1" t="s">
        <v>854</v>
      </c>
      <c r="B562" s="2">
        <v>45219</v>
      </c>
      <c r="C562" s="3">
        <v>0.10138888888888889</v>
      </c>
      <c r="D562" s="1" t="s">
        <v>888</v>
      </c>
      <c r="E562">
        <v>75</v>
      </c>
      <c r="F562" s="1" t="s">
        <v>807</v>
      </c>
      <c r="G562" s="1" t="s">
        <v>888</v>
      </c>
      <c r="H562" s="1" t="s">
        <v>10</v>
      </c>
      <c r="I562">
        <v>-7.0076900000000002</v>
      </c>
      <c r="J562">
        <v>27.367121999999998</v>
      </c>
      <c r="K562" s="1" t="s">
        <v>1500</v>
      </c>
      <c r="L562" s="1" t="s">
        <v>1508</v>
      </c>
      <c r="M562" s="1" t="s">
        <v>610</v>
      </c>
      <c r="N562" s="1" t="s">
        <v>10</v>
      </c>
      <c r="O562" s="1" t="str">
        <f>INT(Matrice1!$P562/12) &amp; " ans et " &amp; MOD(Matrice1!$P562,12) &amp; " mois"</f>
        <v>6 ans et 10 mois</v>
      </c>
      <c r="P562">
        <v>82</v>
      </c>
      <c r="Q562" s="1" t="s">
        <v>22</v>
      </c>
      <c r="R562" s="4">
        <f>Matrice1!$S562/1440</f>
        <v>0.12152777777777778</v>
      </c>
      <c r="S562">
        <v>175</v>
      </c>
      <c r="T562">
        <v>86.14</v>
      </c>
      <c r="U562">
        <v>1</v>
      </c>
      <c r="V562" s="8">
        <f>IF(Matrice1!$Q562="Pro Monde",10%,IF(AND(Matrice1!$R562&gt;12,Matrice1!$O562&gt;5),70%,IF(AND(OR(Matrice1!$R562&gt;=4,Matrice1!$R562&lt;=12,Matrice1!$O562&lt;5,(OR(Matrice1!$Q562="Premium ")))),45%,0%)))</f>
        <v>0.45</v>
      </c>
      <c r="W562">
        <f>Matrice1!$T562* (Matrice1!$V562/100)</f>
        <v>0.38763000000000003</v>
      </c>
    </row>
    <row r="563" spans="1:23" x14ac:dyDescent="0.3">
      <c r="A563" s="1" t="s">
        <v>854</v>
      </c>
      <c r="B563" s="2">
        <v>45221</v>
      </c>
      <c r="C563" s="3">
        <v>0.77500000000000002</v>
      </c>
      <c r="D563" s="1" t="s">
        <v>889</v>
      </c>
      <c r="E563">
        <v>24</v>
      </c>
      <c r="F563" s="1" t="s">
        <v>807</v>
      </c>
      <c r="G563" s="1" t="s">
        <v>889</v>
      </c>
      <c r="H563" s="1" t="s">
        <v>16</v>
      </c>
      <c r="I563">
        <v>-11.514188000000001</v>
      </c>
      <c r="J563">
        <v>15.971181</v>
      </c>
      <c r="K563" s="1" t="s">
        <v>1495</v>
      </c>
      <c r="L563" s="1" t="s">
        <v>1496</v>
      </c>
      <c r="M563" s="1" t="s">
        <v>611</v>
      </c>
      <c r="N563" s="1" t="s">
        <v>16</v>
      </c>
      <c r="O563" s="1" t="str">
        <f>INT(Matrice1!$P563/12) &amp; " ans et " &amp; MOD(Matrice1!$P563,12) &amp; " mois"</f>
        <v>4 ans et 2 mois</v>
      </c>
      <c r="P563">
        <v>50</v>
      </c>
      <c r="Q563" s="1" t="s">
        <v>22</v>
      </c>
      <c r="R563" s="4">
        <f>Matrice1!$S563/1440</f>
        <v>0.12291666666666666</v>
      </c>
      <c r="S563">
        <v>177</v>
      </c>
      <c r="T563">
        <v>74.569999999999993</v>
      </c>
      <c r="U563">
        <v>4</v>
      </c>
      <c r="V563" s="8">
        <f>IF(Matrice1!$Q563="Pro Monde",10%,IF(AND(Matrice1!$R563&gt;12,Matrice1!$O563&gt;5),70%,IF(AND(OR(Matrice1!$R563&gt;=4,Matrice1!$R563&lt;=12,Matrice1!$O563&lt;5,(OR(Matrice1!$Q563="Premium ")))),45%,0%)))</f>
        <v>0.45</v>
      </c>
      <c r="W563">
        <f>Matrice1!$T563* (Matrice1!$V563/100)</f>
        <v>0.335565</v>
      </c>
    </row>
    <row r="564" spans="1:23" x14ac:dyDescent="0.3">
      <c r="A564" s="1" t="s">
        <v>805</v>
      </c>
      <c r="B564" s="2">
        <v>45212</v>
      </c>
      <c r="C564" s="3">
        <v>0.14027777777777778</v>
      </c>
      <c r="D564" s="1" t="s">
        <v>826</v>
      </c>
      <c r="E564">
        <v>19</v>
      </c>
      <c r="F564" s="1" t="s">
        <v>810</v>
      </c>
      <c r="G564" s="1" t="s">
        <v>826</v>
      </c>
      <c r="H564" s="1" t="s">
        <v>37</v>
      </c>
      <c r="I564">
        <v>-9.4708620000000003</v>
      </c>
      <c r="J564">
        <v>29.234387999999999</v>
      </c>
      <c r="K564" s="1" t="s">
        <v>1500</v>
      </c>
      <c r="L564" s="1" t="s">
        <v>1501</v>
      </c>
      <c r="M564" s="1" t="s">
        <v>612</v>
      </c>
      <c r="N564" s="1" t="s">
        <v>37</v>
      </c>
      <c r="O564" s="1" t="str">
        <f>INT(Matrice1!$P564/12) &amp; " ans et " &amp; MOD(Matrice1!$P564,12) &amp; " mois"</f>
        <v>7 ans et 10 mois</v>
      </c>
      <c r="P564">
        <v>94</v>
      </c>
      <c r="Q564" s="1" t="s">
        <v>14</v>
      </c>
      <c r="R564" s="4">
        <f>Matrice1!$S564/1440</f>
        <v>0.17152777777777778</v>
      </c>
      <c r="S564">
        <v>247</v>
      </c>
      <c r="T564">
        <v>96.57</v>
      </c>
      <c r="U564">
        <v>0</v>
      </c>
      <c r="V564" s="8">
        <f>IF(Matrice1!$Q564="Pro Monde",10%,IF(AND(Matrice1!$R564&gt;12,Matrice1!$O564&gt;5),70%,IF(AND(OR(Matrice1!$R564&gt;=4,Matrice1!$R564&lt;=12,Matrice1!$O564&lt;5,(OR(Matrice1!$Q564="Premium ")))),45%,0%)))</f>
        <v>0.1</v>
      </c>
      <c r="W564">
        <f>Matrice1!$T564* (Matrice1!$V564/100)</f>
        <v>9.6569999999999989E-2</v>
      </c>
    </row>
    <row r="565" spans="1:23" x14ac:dyDescent="0.3">
      <c r="A565" s="1" t="s">
        <v>805</v>
      </c>
      <c r="B565" s="2">
        <v>45214</v>
      </c>
      <c r="C565" s="3">
        <v>0.71319444444444446</v>
      </c>
      <c r="D565" s="1" t="s">
        <v>828</v>
      </c>
      <c r="E565">
        <v>25</v>
      </c>
      <c r="F565" s="1" t="s">
        <v>807</v>
      </c>
      <c r="G565" s="1" t="s">
        <v>828</v>
      </c>
      <c r="H565" s="1" t="s">
        <v>24</v>
      </c>
      <c r="I565">
        <v>0.172153</v>
      </c>
      <c r="J565">
        <v>21.091376</v>
      </c>
      <c r="K565" s="1" t="s">
        <v>1500</v>
      </c>
      <c r="L565" s="1" t="s">
        <v>1496</v>
      </c>
      <c r="M565" s="1" t="s">
        <v>613</v>
      </c>
      <c r="N565" s="1" t="s">
        <v>24</v>
      </c>
      <c r="O565" s="1" t="str">
        <f>INT(Matrice1!$P565/12) &amp; " ans et " &amp; MOD(Matrice1!$P565,12) &amp; " mois"</f>
        <v>1 ans et 11 mois</v>
      </c>
      <c r="P565">
        <v>23</v>
      </c>
      <c r="Q565" s="1" t="s">
        <v>11</v>
      </c>
      <c r="R565" s="4">
        <f>Matrice1!$S565/1440</f>
        <v>0.21805555555555556</v>
      </c>
      <c r="S565">
        <v>314</v>
      </c>
      <c r="T565">
        <v>19.260000000000002</v>
      </c>
      <c r="U565">
        <v>3</v>
      </c>
      <c r="V565" s="8">
        <f>IF(Matrice1!$Q565="Pro Monde",10%,IF(AND(Matrice1!$R565&gt;12,Matrice1!$O565&gt;5),70%,IF(AND(OR(Matrice1!$R565&gt;=4,Matrice1!$R565&lt;=12,Matrice1!$O565&lt;5,(OR(Matrice1!$Q565="Premium ")))),45%,0%)))</f>
        <v>0.45</v>
      </c>
      <c r="W565">
        <f>Matrice1!$T565* (Matrice1!$V565/100)</f>
        <v>8.6670000000000011E-2</v>
      </c>
    </row>
    <row r="566" spans="1:23" x14ac:dyDescent="0.3">
      <c r="A566" s="1" t="s">
        <v>1073</v>
      </c>
      <c r="B566" s="2">
        <v>45205</v>
      </c>
      <c r="C566" s="3">
        <v>0.47152777777777777</v>
      </c>
      <c r="D566" s="1" t="s">
        <v>1088</v>
      </c>
      <c r="E566">
        <v>50</v>
      </c>
      <c r="F566" s="1" t="s">
        <v>810</v>
      </c>
      <c r="G566" s="1" t="s">
        <v>1088</v>
      </c>
      <c r="H566" s="1" t="s">
        <v>18</v>
      </c>
      <c r="I566">
        <v>2.628638</v>
      </c>
      <c r="J566">
        <v>28.420582</v>
      </c>
      <c r="K566" s="1" t="s">
        <v>1498</v>
      </c>
      <c r="L566" s="1" t="s">
        <v>1499</v>
      </c>
      <c r="M566" s="1" t="s">
        <v>614</v>
      </c>
      <c r="N566" s="1" t="s">
        <v>18</v>
      </c>
      <c r="O566" s="1" t="str">
        <f>INT(Matrice1!$P566/12) &amp; " ans et " &amp; MOD(Matrice1!$P566,12) &amp; " mois"</f>
        <v>4 ans et 4 mois</v>
      </c>
      <c r="P566">
        <v>52</v>
      </c>
      <c r="Q566" s="1" t="s">
        <v>19</v>
      </c>
      <c r="R566" s="4">
        <f>Matrice1!$S566/1440</f>
        <v>0.21319444444444444</v>
      </c>
      <c r="S566">
        <v>307</v>
      </c>
      <c r="T566">
        <v>81.38</v>
      </c>
      <c r="U566">
        <v>2</v>
      </c>
      <c r="V566" s="8">
        <f>IF(Matrice1!$Q566="Pro Monde",10%,IF(AND(Matrice1!$R566&gt;12,Matrice1!$O566&gt;5),70%,IF(AND(OR(Matrice1!$R566&gt;=4,Matrice1!$R566&lt;=12,Matrice1!$O566&lt;5,(OR(Matrice1!$Q566="Premium ")))),45%,0%)))</f>
        <v>0.45</v>
      </c>
      <c r="W566">
        <f>Matrice1!$T566* (Matrice1!$V566/100)</f>
        <v>0.36621000000000004</v>
      </c>
    </row>
    <row r="567" spans="1:23" x14ac:dyDescent="0.3">
      <c r="A567" s="1" t="s">
        <v>805</v>
      </c>
      <c r="B567" s="2">
        <v>45201</v>
      </c>
      <c r="C567" s="3">
        <v>0.88472222222222219</v>
      </c>
      <c r="D567" s="1" t="s">
        <v>833</v>
      </c>
      <c r="E567">
        <v>54</v>
      </c>
      <c r="F567" s="1" t="s">
        <v>812</v>
      </c>
      <c r="G567" s="1" t="s">
        <v>833</v>
      </c>
      <c r="H567" s="1" t="s">
        <v>131</v>
      </c>
      <c r="I567">
        <v>4.6287159999999998</v>
      </c>
      <c r="J567">
        <v>19.407077999999998</v>
      </c>
      <c r="K567" s="1" t="s">
        <v>1498</v>
      </c>
      <c r="L567" s="1" t="s">
        <v>1496</v>
      </c>
      <c r="M567" s="1" t="s">
        <v>615</v>
      </c>
      <c r="N567" s="1" t="s">
        <v>131</v>
      </c>
      <c r="O567" s="1" t="str">
        <f>INT(Matrice1!$P567/12) &amp; " ans et " &amp; MOD(Matrice1!$P567,12) &amp; " mois"</f>
        <v>9 ans et 8 mois</v>
      </c>
      <c r="P567">
        <v>116</v>
      </c>
      <c r="Q567" s="1" t="s">
        <v>11</v>
      </c>
      <c r="R567" s="4">
        <f>Matrice1!$S567/1440</f>
        <v>0.19375000000000001</v>
      </c>
      <c r="S567">
        <v>279</v>
      </c>
      <c r="T567">
        <v>62.88</v>
      </c>
      <c r="U567">
        <v>4</v>
      </c>
      <c r="V567" s="8">
        <f>IF(Matrice1!$Q567="Pro Monde",10%,IF(AND(Matrice1!$R567&gt;12,Matrice1!$O567&gt;5),70%,IF(AND(OR(Matrice1!$R567&gt;=4,Matrice1!$R567&lt;=12,Matrice1!$O567&lt;5,(OR(Matrice1!$Q567="Premium ")))),45%,0%)))</f>
        <v>0.45</v>
      </c>
      <c r="W567">
        <f>Matrice1!$T567* (Matrice1!$V567/100)</f>
        <v>0.28296000000000004</v>
      </c>
    </row>
    <row r="568" spans="1:23" x14ac:dyDescent="0.3">
      <c r="A568" s="1" t="s">
        <v>898</v>
      </c>
      <c r="B568" s="2">
        <v>45210</v>
      </c>
      <c r="C568" s="3">
        <v>0.56805555555555554</v>
      </c>
      <c r="D568" s="1" t="s">
        <v>904</v>
      </c>
      <c r="E568">
        <v>96</v>
      </c>
      <c r="F568" s="1" t="s">
        <v>807</v>
      </c>
      <c r="G568" s="1" t="s">
        <v>904</v>
      </c>
      <c r="H568" s="1" t="s">
        <v>64</v>
      </c>
      <c r="I568">
        <v>-5.4126279999999998</v>
      </c>
      <c r="J568">
        <v>25.498235999999999</v>
      </c>
      <c r="K568" s="1" t="s">
        <v>1495</v>
      </c>
      <c r="L568" s="1" t="s">
        <v>1501</v>
      </c>
      <c r="M568" s="1" t="s">
        <v>616</v>
      </c>
      <c r="N568" s="1" t="s">
        <v>64</v>
      </c>
      <c r="O568" s="1" t="str">
        <f>INT(Matrice1!$P568/12) &amp; " ans et " &amp; MOD(Matrice1!$P568,12) &amp; " mois"</f>
        <v>3 ans et 5 mois</v>
      </c>
      <c r="P568">
        <v>41</v>
      </c>
      <c r="Q568" s="1" t="s">
        <v>19</v>
      </c>
      <c r="R568" s="4">
        <f>Matrice1!$S568/1440</f>
        <v>1.3888888888888889E-3</v>
      </c>
      <c r="S568">
        <v>2</v>
      </c>
      <c r="T568">
        <v>24.91</v>
      </c>
      <c r="U568">
        <v>1</v>
      </c>
      <c r="V568" s="8">
        <f>IF(Matrice1!$Q568="Pro Monde",10%,IF(AND(Matrice1!$R568&gt;12,Matrice1!$O568&gt;5),70%,IF(AND(OR(Matrice1!$R568&gt;=4,Matrice1!$R568&lt;=12,Matrice1!$O568&lt;5,(OR(Matrice1!$Q568="Premium ")))),45%,0%)))</f>
        <v>0.45</v>
      </c>
      <c r="W568">
        <f>Matrice1!$T568* (Matrice1!$V568/100)</f>
        <v>0.11209500000000001</v>
      </c>
    </row>
    <row r="569" spans="1:23" x14ac:dyDescent="0.3">
      <c r="A569" s="1" t="s">
        <v>936</v>
      </c>
      <c r="B569" s="2">
        <v>45221</v>
      </c>
      <c r="C569" s="3">
        <v>0.51736111111111116</v>
      </c>
      <c r="D569" s="1" t="s">
        <v>963</v>
      </c>
      <c r="E569">
        <v>83</v>
      </c>
      <c r="F569" s="1" t="s">
        <v>812</v>
      </c>
      <c r="G569" s="1" t="s">
        <v>963</v>
      </c>
      <c r="H569" s="1" t="s">
        <v>21</v>
      </c>
      <c r="I569">
        <v>-2.9651529999999999</v>
      </c>
      <c r="J569">
        <v>29.79908</v>
      </c>
      <c r="K569" s="1" t="s">
        <v>1498</v>
      </c>
      <c r="L569" s="1" t="s">
        <v>1496</v>
      </c>
      <c r="M569" s="1" t="s">
        <v>617</v>
      </c>
      <c r="N569" s="1" t="s">
        <v>21</v>
      </c>
      <c r="O569" s="1" t="str">
        <f>INT(Matrice1!$P569/12) &amp; " ans et " &amp; MOD(Matrice1!$P569,12) &amp; " mois"</f>
        <v>5 ans et 7 mois</v>
      </c>
      <c r="P569">
        <v>67</v>
      </c>
      <c r="Q569" s="1" t="s">
        <v>22</v>
      </c>
      <c r="R569" s="4">
        <f>Matrice1!$S569/1440</f>
        <v>5.6250000000000001E-2</v>
      </c>
      <c r="S569">
        <v>81</v>
      </c>
      <c r="T569">
        <v>28.52</v>
      </c>
      <c r="U569">
        <v>4</v>
      </c>
      <c r="V569" s="8">
        <f>IF(Matrice1!$Q569="Pro Monde",10%,IF(AND(Matrice1!$R569&gt;12,Matrice1!$O569&gt;5),70%,IF(AND(OR(Matrice1!$R569&gt;=4,Matrice1!$R569&lt;=12,Matrice1!$O569&lt;5,(OR(Matrice1!$Q569="Premium ")))),45%,0%)))</f>
        <v>0.45</v>
      </c>
      <c r="W569">
        <f>Matrice1!$T569* (Matrice1!$V569/100)</f>
        <v>0.12834000000000001</v>
      </c>
    </row>
    <row r="570" spans="1:23" x14ac:dyDescent="0.3">
      <c r="A570" s="1" t="s">
        <v>805</v>
      </c>
      <c r="B570" s="2">
        <v>45214</v>
      </c>
      <c r="C570" s="3">
        <v>0.71319444444444446</v>
      </c>
      <c r="D570" s="1" t="s">
        <v>828</v>
      </c>
      <c r="E570">
        <v>25</v>
      </c>
      <c r="F570" s="1" t="s">
        <v>807</v>
      </c>
      <c r="G570" s="1" t="s">
        <v>828</v>
      </c>
      <c r="H570" s="1" t="s">
        <v>24</v>
      </c>
      <c r="I570">
        <v>0.172153</v>
      </c>
      <c r="J570">
        <v>21.091376</v>
      </c>
      <c r="K570" s="1" t="s">
        <v>1500</v>
      </c>
      <c r="L570" s="1" t="s">
        <v>1496</v>
      </c>
      <c r="M570" s="1" t="s">
        <v>618</v>
      </c>
      <c r="N570" s="1" t="s">
        <v>24</v>
      </c>
      <c r="O570" s="1" t="str">
        <f>INT(Matrice1!$P570/12) &amp; " ans et " &amp; MOD(Matrice1!$P570,12) &amp; " mois"</f>
        <v>1 ans et 9 mois</v>
      </c>
      <c r="P570">
        <v>21</v>
      </c>
      <c r="Q570" s="1" t="s">
        <v>19</v>
      </c>
      <c r="R570" s="4">
        <f>Matrice1!$S570/1440</f>
        <v>0.18541666666666667</v>
      </c>
      <c r="S570">
        <v>267</v>
      </c>
      <c r="T570">
        <v>74.989999999999995</v>
      </c>
      <c r="U570">
        <v>1</v>
      </c>
      <c r="V570" s="8">
        <f>IF(Matrice1!$Q570="Pro Monde",10%,IF(AND(Matrice1!$R570&gt;12,Matrice1!$O570&gt;5),70%,IF(AND(OR(Matrice1!$R570&gt;=4,Matrice1!$R570&lt;=12,Matrice1!$O570&lt;5,(OR(Matrice1!$Q570="Premium ")))),45%,0%)))</f>
        <v>0.45</v>
      </c>
      <c r="W570">
        <f>Matrice1!$T570* (Matrice1!$V570/100)</f>
        <v>0.337455</v>
      </c>
    </row>
    <row r="571" spans="1:23" x14ac:dyDescent="0.3">
      <c r="A571" s="1" t="s">
        <v>1161</v>
      </c>
      <c r="B571" s="2">
        <v>45207</v>
      </c>
      <c r="C571" s="3">
        <v>0.13333333333333333</v>
      </c>
      <c r="D571" s="1" t="s">
        <v>1165</v>
      </c>
      <c r="E571">
        <v>66</v>
      </c>
      <c r="F571" s="1" t="s">
        <v>810</v>
      </c>
      <c r="G571" s="1" t="s">
        <v>1165</v>
      </c>
      <c r="H571" s="1" t="s">
        <v>57</v>
      </c>
      <c r="I571">
        <v>-5.4073029999999997</v>
      </c>
      <c r="J571">
        <v>29.762294000000001</v>
      </c>
      <c r="K571" s="1" t="s">
        <v>1500</v>
      </c>
      <c r="L571" s="1" t="s">
        <v>1496</v>
      </c>
      <c r="M571" s="1" t="s">
        <v>619</v>
      </c>
      <c r="N571" s="1" t="s">
        <v>57</v>
      </c>
      <c r="O571" s="1" t="str">
        <f>INT(Matrice1!$P571/12) &amp; " ans et " &amp; MOD(Matrice1!$P571,12) &amp; " mois"</f>
        <v>4 ans et 8 mois</v>
      </c>
      <c r="P571">
        <v>56</v>
      </c>
      <c r="Q571" s="1" t="s">
        <v>19</v>
      </c>
      <c r="R571" s="4">
        <f>Matrice1!$S571/1440</f>
        <v>0.26319444444444445</v>
      </c>
      <c r="S571">
        <v>379</v>
      </c>
      <c r="T571">
        <v>49.01</v>
      </c>
      <c r="U571">
        <v>0</v>
      </c>
      <c r="V571" s="8">
        <f>IF(Matrice1!$Q571="Pro Monde",10%,IF(AND(Matrice1!$R571&gt;12,Matrice1!$O571&gt;5),70%,IF(AND(OR(Matrice1!$R571&gt;=4,Matrice1!$R571&lt;=12,Matrice1!$O571&lt;5,(OR(Matrice1!$Q571="Premium ")))),45%,0%)))</f>
        <v>0.45</v>
      </c>
      <c r="W571">
        <f>Matrice1!$T571* (Matrice1!$V571/100)</f>
        <v>0.22054500000000002</v>
      </c>
    </row>
    <row r="572" spans="1:23" x14ac:dyDescent="0.3">
      <c r="A572" s="1" t="s">
        <v>805</v>
      </c>
      <c r="B572" s="2">
        <v>45203</v>
      </c>
      <c r="C572" s="3">
        <v>0.51180555555555551</v>
      </c>
      <c r="D572" s="1" t="s">
        <v>835</v>
      </c>
      <c r="E572">
        <v>64</v>
      </c>
      <c r="F572" s="1" t="s">
        <v>812</v>
      </c>
      <c r="G572" s="1" t="s">
        <v>835</v>
      </c>
      <c r="H572" s="1" t="s">
        <v>73</v>
      </c>
      <c r="I572">
        <v>0.23583499999999999</v>
      </c>
      <c r="J572">
        <v>24.889558999999998</v>
      </c>
      <c r="K572" s="1" t="s">
        <v>1500</v>
      </c>
      <c r="L572" s="1" t="s">
        <v>1501</v>
      </c>
      <c r="M572" s="1" t="s">
        <v>620</v>
      </c>
      <c r="N572" s="1" t="s">
        <v>73</v>
      </c>
      <c r="O572" s="1" t="str">
        <f>INT(Matrice1!$P572/12) &amp; " ans et " &amp; MOD(Matrice1!$P572,12) &amp; " mois"</f>
        <v>2 ans et 6 mois</v>
      </c>
      <c r="P572">
        <v>30</v>
      </c>
      <c r="Q572" s="1" t="s">
        <v>19</v>
      </c>
      <c r="R572" s="4">
        <f>Matrice1!$S572/1440</f>
        <v>9.0277777777777776E-2</v>
      </c>
      <c r="S572">
        <v>130</v>
      </c>
      <c r="T572">
        <v>50.15</v>
      </c>
      <c r="U572">
        <v>4</v>
      </c>
      <c r="V572" s="8">
        <f>IF(Matrice1!$Q572="Pro Monde",10%,IF(AND(Matrice1!$R572&gt;12,Matrice1!$O572&gt;5),70%,IF(AND(OR(Matrice1!$R572&gt;=4,Matrice1!$R572&lt;=12,Matrice1!$O572&lt;5,(OR(Matrice1!$Q572="Premium ")))),45%,0%)))</f>
        <v>0.45</v>
      </c>
      <c r="W572">
        <f>Matrice1!$T572* (Matrice1!$V572/100)</f>
        <v>0.22567500000000001</v>
      </c>
    </row>
    <row r="573" spans="1:23" x14ac:dyDescent="0.3">
      <c r="A573" s="1" t="s">
        <v>854</v>
      </c>
      <c r="B573" s="2">
        <v>45213</v>
      </c>
      <c r="C573" s="3">
        <v>0.94861111111111107</v>
      </c>
      <c r="D573" s="1" t="s">
        <v>874</v>
      </c>
      <c r="E573">
        <v>72</v>
      </c>
      <c r="F573" s="1" t="s">
        <v>810</v>
      </c>
      <c r="G573" s="1" t="s">
        <v>874</v>
      </c>
      <c r="H573" s="1" t="s">
        <v>35</v>
      </c>
      <c r="I573">
        <v>-2.7140689999999998</v>
      </c>
      <c r="J573">
        <v>22.222104000000002</v>
      </c>
      <c r="K573" s="1" t="s">
        <v>1498</v>
      </c>
      <c r="L573" s="1" t="s">
        <v>1508</v>
      </c>
      <c r="M573" s="1" t="s">
        <v>621</v>
      </c>
      <c r="N573" s="1" t="s">
        <v>35</v>
      </c>
      <c r="O573" s="1" t="str">
        <f>INT(Matrice1!$P573/12) &amp; " ans et " &amp; MOD(Matrice1!$P573,12) &amp; " mois"</f>
        <v>1 ans et 1 mois</v>
      </c>
      <c r="P573">
        <v>13</v>
      </c>
      <c r="Q573" s="1" t="s">
        <v>14</v>
      </c>
      <c r="R573" s="4">
        <f>Matrice1!$S573/1440</f>
        <v>0.32916666666666666</v>
      </c>
      <c r="S573">
        <v>474</v>
      </c>
      <c r="T573">
        <v>63.67</v>
      </c>
      <c r="U573">
        <v>2</v>
      </c>
      <c r="V573" s="8">
        <f>IF(Matrice1!$Q573="Pro Monde",10%,IF(AND(Matrice1!$R573&gt;12,Matrice1!$O573&gt;5),70%,IF(AND(OR(Matrice1!$R573&gt;=4,Matrice1!$R573&lt;=12,Matrice1!$O573&lt;5,(OR(Matrice1!$Q573="Premium ")))),45%,0%)))</f>
        <v>0.1</v>
      </c>
      <c r="W573">
        <f>Matrice1!$T573* (Matrice1!$V573/100)</f>
        <v>6.3670000000000004E-2</v>
      </c>
    </row>
    <row r="574" spans="1:23" x14ac:dyDescent="0.3">
      <c r="A574" s="1" t="s">
        <v>805</v>
      </c>
      <c r="B574" s="2">
        <v>45218</v>
      </c>
      <c r="C574" s="3">
        <v>0.36875000000000002</v>
      </c>
      <c r="D574" s="1" t="s">
        <v>820</v>
      </c>
      <c r="E574">
        <v>70</v>
      </c>
      <c r="F574" s="1" t="s">
        <v>807</v>
      </c>
      <c r="G574" s="1" t="s">
        <v>820</v>
      </c>
      <c r="H574" s="1" t="s">
        <v>67</v>
      </c>
      <c r="I574">
        <v>-8.4227860000000003</v>
      </c>
      <c r="J574">
        <v>16.781293000000002</v>
      </c>
      <c r="K574" s="1" t="s">
        <v>1498</v>
      </c>
      <c r="L574" s="1" t="s">
        <v>1499</v>
      </c>
      <c r="M574" s="1" t="s">
        <v>622</v>
      </c>
      <c r="N574" s="1" t="s">
        <v>67</v>
      </c>
      <c r="O574" s="1" t="str">
        <f>INT(Matrice1!$P574/12) &amp; " ans et " &amp; MOD(Matrice1!$P574,12) &amp; " mois"</f>
        <v>7 ans et 7 mois</v>
      </c>
      <c r="P574">
        <v>91</v>
      </c>
      <c r="Q574" s="1" t="s">
        <v>19</v>
      </c>
      <c r="R574" s="4">
        <f>Matrice1!$S574/1440</f>
        <v>4.3055555555555555E-2</v>
      </c>
      <c r="S574">
        <v>62</v>
      </c>
      <c r="T574">
        <v>34.450000000000003</v>
      </c>
      <c r="U574">
        <v>5</v>
      </c>
      <c r="V574" s="8">
        <f>IF(Matrice1!$Q574="Pro Monde",10%,IF(AND(Matrice1!$R574&gt;12,Matrice1!$O574&gt;5),70%,IF(AND(OR(Matrice1!$R574&gt;=4,Matrice1!$R574&lt;=12,Matrice1!$O574&lt;5,(OR(Matrice1!$Q574="Premium ")))),45%,0%)))</f>
        <v>0.45</v>
      </c>
      <c r="W574">
        <f>Matrice1!$T574* (Matrice1!$V574/100)</f>
        <v>0.15502500000000002</v>
      </c>
    </row>
    <row r="575" spans="1:23" x14ac:dyDescent="0.3">
      <c r="A575" s="1" t="s">
        <v>854</v>
      </c>
      <c r="B575" s="2">
        <v>45213</v>
      </c>
      <c r="C575" s="3">
        <v>0.25416666666666665</v>
      </c>
      <c r="D575" s="1" t="s">
        <v>857</v>
      </c>
      <c r="E575">
        <v>73</v>
      </c>
      <c r="F575" s="1" t="s">
        <v>812</v>
      </c>
      <c r="G575" s="1" t="s">
        <v>857</v>
      </c>
      <c r="H575" s="1" t="s">
        <v>13</v>
      </c>
      <c r="I575">
        <v>-5.1030600000000002</v>
      </c>
      <c r="J575">
        <v>22.849231</v>
      </c>
      <c r="K575" s="1" t="s">
        <v>1495</v>
      </c>
      <c r="L575" s="1" t="s">
        <v>1501</v>
      </c>
      <c r="M575" s="1" t="s">
        <v>623</v>
      </c>
      <c r="N575" s="1" t="s">
        <v>13</v>
      </c>
      <c r="O575" s="1" t="str">
        <f>INT(Matrice1!$P575/12) &amp; " ans et " &amp; MOD(Matrice1!$P575,12) &amp; " mois"</f>
        <v>8 ans et 7 mois</v>
      </c>
      <c r="P575">
        <v>103</v>
      </c>
      <c r="Q575" s="1" t="s">
        <v>19</v>
      </c>
      <c r="R575" s="4">
        <f>Matrice1!$S575/1440</f>
        <v>6.805555555555555E-2</v>
      </c>
      <c r="S575">
        <v>98</v>
      </c>
      <c r="T575">
        <v>38.69</v>
      </c>
      <c r="U575">
        <v>4</v>
      </c>
      <c r="V575" s="8">
        <f>IF(Matrice1!$Q575="Pro Monde",10%,IF(AND(Matrice1!$R575&gt;12,Matrice1!$O575&gt;5),70%,IF(AND(OR(Matrice1!$R575&gt;=4,Matrice1!$R575&lt;=12,Matrice1!$O575&lt;5,(OR(Matrice1!$Q575="Premium ")))),45%,0%)))</f>
        <v>0.45</v>
      </c>
      <c r="W575">
        <f>Matrice1!$T575* (Matrice1!$V575/100)</f>
        <v>0.17410500000000001</v>
      </c>
    </row>
    <row r="576" spans="1:23" x14ac:dyDescent="0.3">
      <c r="A576" s="1" t="s">
        <v>805</v>
      </c>
      <c r="B576" s="2">
        <v>45218</v>
      </c>
      <c r="C576" s="3">
        <v>0.36875000000000002</v>
      </c>
      <c r="D576" s="1" t="s">
        <v>820</v>
      </c>
      <c r="E576">
        <v>70</v>
      </c>
      <c r="F576" s="1" t="s">
        <v>807</v>
      </c>
      <c r="G576" s="1" t="s">
        <v>820</v>
      </c>
      <c r="H576" s="1" t="s">
        <v>67</v>
      </c>
      <c r="I576">
        <v>-8.4227860000000003</v>
      </c>
      <c r="J576">
        <v>16.781293000000002</v>
      </c>
      <c r="K576" s="1" t="s">
        <v>1498</v>
      </c>
      <c r="L576" s="1" t="s">
        <v>1499</v>
      </c>
      <c r="M576" s="1" t="s">
        <v>624</v>
      </c>
      <c r="N576" s="1" t="s">
        <v>67</v>
      </c>
      <c r="O576" s="1" t="str">
        <f>INT(Matrice1!$P576/12) &amp; " ans et " &amp; MOD(Matrice1!$P576,12) &amp; " mois"</f>
        <v>1 ans et 5 mois</v>
      </c>
      <c r="P576">
        <v>17</v>
      </c>
      <c r="Q576" s="1" t="s">
        <v>22</v>
      </c>
      <c r="R576" s="4">
        <f>Matrice1!$S576/1440</f>
        <v>0.21527777777777779</v>
      </c>
      <c r="S576">
        <v>310</v>
      </c>
      <c r="T576">
        <v>19.68</v>
      </c>
      <c r="U576">
        <v>5</v>
      </c>
      <c r="V576" s="8">
        <f>IF(Matrice1!$Q576="Pro Monde",10%,IF(AND(Matrice1!$R576&gt;12,Matrice1!$O576&gt;5),70%,IF(AND(OR(Matrice1!$R576&gt;=4,Matrice1!$R576&lt;=12,Matrice1!$O576&lt;5,(OR(Matrice1!$Q576="Premium ")))),45%,0%)))</f>
        <v>0.45</v>
      </c>
      <c r="W576">
        <f>Matrice1!$T576* (Matrice1!$V576/100)</f>
        <v>8.8560000000000014E-2</v>
      </c>
    </row>
    <row r="577" spans="1:23" x14ac:dyDescent="0.3">
      <c r="A577" s="1" t="s">
        <v>854</v>
      </c>
      <c r="B577" s="2">
        <v>45213</v>
      </c>
      <c r="C577" s="3">
        <v>0.94861111111111107</v>
      </c>
      <c r="D577" s="1" t="s">
        <v>874</v>
      </c>
      <c r="E577">
        <v>72</v>
      </c>
      <c r="F577" s="1" t="s">
        <v>810</v>
      </c>
      <c r="G577" s="1" t="s">
        <v>874</v>
      </c>
      <c r="H577" s="1" t="s">
        <v>35</v>
      </c>
      <c r="I577">
        <v>-2.7140689999999998</v>
      </c>
      <c r="J577">
        <v>22.222104000000002</v>
      </c>
      <c r="K577" s="1" t="s">
        <v>1498</v>
      </c>
      <c r="L577" s="1" t="s">
        <v>1508</v>
      </c>
      <c r="M577" s="1" t="s">
        <v>625</v>
      </c>
      <c r="N577" s="1" t="s">
        <v>35</v>
      </c>
      <c r="O577" s="1" t="str">
        <f>INT(Matrice1!$P577/12) &amp; " ans et " &amp; MOD(Matrice1!$P577,12) &amp; " mois"</f>
        <v>5 ans et 5 mois</v>
      </c>
      <c r="P577">
        <v>65</v>
      </c>
      <c r="Q577" s="1" t="s">
        <v>11</v>
      </c>
      <c r="R577" s="4">
        <f>Matrice1!$S577/1440</f>
        <v>1.0416666666666666E-2</v>
      </c>
      <c r="S577">
        <v>15</v>
      </c>
      <c r="T577">
        <v>44.47</v>
      </c>
      <c r="U577">
        <v>0</v>
      </c>
      <c r="V577" s="8">
        <f>IF(Matrice1!$Q577="Pro Monde",10%,IF(AND(Matrice1!$R577&gt;12,Matrice1!$O577&gt;5),70%,IF(AND(OR(Matrice1!$R577&gt;=4,Matrice1!$R577&lt;=12,Matrice1!$O577&lt;5,(OR(Matrice1!$Q577="Premium ")))),45%,0%)))</f>
        <v>0.45</v>
      </c>
      <c r="W577">
        <f>Matrice1!$T577* (Matrice1!$V577/100)</f>
        <v>0.20011500000000002</v>
      </c>
    </row>
    <row r="578" spans="1:23" x14ac:dyDescent="0.3">
      <c r="A578" s="1" t="s">
        <v>805</v>
      </c>
      <c r="B578" s="2">
        <v>45214</v>
      </c>
      <c r="C578" s="3">
        <v>0.71319444444444446</v>
      </c>
      <c r="D578" s="1" t="s">
        <v>828</v>
      </c>
      <c r="E578">
        <v>25</v>
      </c>
      <c r="F578" s="1" t="s">
        <v>807</v>
      </c>
      <c r="G578" s="1" t="s">
        <v>828</v>
      </c>
      <c r="H578" s="1" t="s">
        <v>24</v>
      </c>
      <c r="I578">
        <v>0.172153</v>
      </c>
      <c r="J578">
        <v>21.091376</v>
      </c>
      <c r="K578" s="1" t="s">
        <v>1500</v>
      </c>
      <c r="L578" s="1" t="s">
        <v>1496</v>
      </c>
      <c r="M578" s="1" t="s">
        <v>626</v>
      </c>
      <c r="N578" s="1" t="s">
        <v>24</v>
      </c>
      <c r="O578" s="1" t="str">
        <f>INT(Matrice1!$P578/12) &amp; " ans et " &amp; MOD(Matrice1!$P578,12) &amp; " mois"</f>
        <v>1 ans et 4 mois</v>
      </c>
      <c r="P578">
        <v>16</v>
      </c>
      <c r="Q578" s="1" t="s">
        <v>11</v>
      </c>
      <c r="R578" s="4">
        <f>Matrice1!$S578/1440</f>
        <v>0.19027777777777777</v>
      </c>
      <c r="S578">
        <v>274</v>
      </c>
      <c r="T578">
        <v>27.97</v>
      </c>
      <c r="U578">
        <v>4</v>
      </c>
      <c r="V578" s="8">
        <f>IF(Matrice1!$Q578="Pro Monde",10%,IF(AND(Matrice1!$R578&gt;12,Matrice1!$O578&gt;5),70%,IF(AND(OR(Matrice1!$R578&gt;=4,Matrice1!$R578&lt;=12,Matrice1!$O578&lt;5,(OR(Matrice1!$Q578="Premium ")))),45%,0%)))</f>
        <v>0.45</v>
      </c>
      <c r="W578">
        <f>Matrice1!$T578* (Matrice1!$V578/100)</f>
        <v>0.125865</v>
      </c>
    </row>
    <row r="579" spans="1:23" x14ac:dyDescent="0.3">
      <c r="A579" s="1" t="s">
        <v>854</v>
      </c>
      <c r="B579" s="2">
        <v>45219</v>
      </c>
      <c r="C579" s="3">
        <v>0.10138888888888889</v>
      </c>
      <c r="D579" s="1" t="s">
        <v>888</v>
      </c>
      <c r="E579">
        <v>75</v>
      </c>
      <c r="F579" s="1" t="s">
        <v>807</v>
      </c>
      <c r="G579" s="1" t="s">
        <v>888</v>
      </c>
      <c r="H579" s="1" t="s">
        <v>10</v>
      </c>
      <c r="I579">
        <v>-7.0076900000000002</v>
      </c>
      <c r="J579">
        <v>27.367121999999998</v>
      </c>
      <c r="K579" s="1" t="s">
        <v>1500</v>
      </c>
      <c r="L579" s="1" t="s">
        <v>1508</v>
      </c>
      <c r="M579" s="1" t="s">
        <v>627</v>
      </c>
      <c r="N579" s="1" t="s">
        <v>10</v>
      </c>
      <c r="O579" s="1" t="str">
        <f>INT(Matrice1!$P579/12) &amp; " ans et " &amp; MOD(Matrice1!$P579,12) &amp; " mois"</f>
        <v>6 ans et 9 mois</v>
      </c>
      <c r="P579">
        <v>81</v>
      </c>
      <c r="Q579" s="1" t="s">
        <v>22</v>
      </c>
      <c r="R579" s="4">
        <f>Matrice1!$S579/1440</f>
        <v>7.6388888888888886E-3</v>
      </c>
      <c r="S579">
        <v>11</v>
      </c>
      <c r="T579">
        <v>41.76</v>
      </c>
      <c r="U579">
        <v>5</v>
      </c>
      <c r="V579" s="8">
        <f>IF(Matrice1!$Q579="Pro Monde",10%,IF(AND(Matrice1!$R579&gt;12,Matrice1!$O579&gt;5),70%,IF(AND(OR(Matrice1!$R579&gt;=4,Matrice1!$R579&lt;=12,Matrice1!$O579&lt;5,(OR(Matrice1!$Q579="Premium ")))),45%,0%)))</f>
        <v>0.45</v>
      </c>
      <c r="W579">
        <f>Matrice1!$T579* (Matrice1!$V579/100)</f>
        <v>0.18792</v>
      </c>
    </row>
    <row r="580" spans="1:23" x14ac:dyDescent="0.3">
      <c r="A580" s="1" t="s">
        <v>854</v>
      </c>
      <c r="B580" s="2">
        <v>45213</v>
      </c>
      <c r="C580" s="3">
        <v>0.25416666666666665</v>
      </c>
      <c r="D580" s="1" t="s">
        <v>857</v>
      </c>
      <c r="E580">
        <v>73</v>
      </c>
      <c r="F580" s="1" t="s">
        <v>812</v>
      </c>
      <c r="G580" s="1" t="s">
        <v>857</v>
      </c>
      <c r="H580" s="1" t="s">
        <v>13</v>
      </c>
      <c r="I580">
        <v>-5.1030600000000002</v>
      </c>
      <c r="J580">
        <v>22.849231</v>
      </c>
      <c r="K580" s="1" t="s">
        <v>1495</v>
      </c>
      <c r="L580" s="1" t="s">
        <v>1501</v>
      </c>
      <c r="M580" s="1" t="s">
        <v>628</v>
      </c>
      <c r="N580" s="1" t="s">
        <v>13</v>
      </c>
      <c r="O580" s="1" t="str">
        <f>INT(Matrice1!$P580/12) &amp; " ans et " &amp; MOD(Matrice1!$P580,12) &amp; " mois"</f>
        <v>6 ans et 2 mois</v>
      </c>
      <c r="P580">
        <v>74</v>
      </c>
      <c r="Q580" s="1" t="s">
        <v>19</v>
      </c>
      <c r="R580" s="4">
        <f>Matrice1!$S580/1440</f>
        <v>0.18402777777777779</v>
      </c>
      <c r="S580">
        <v>265</v>
      </c>
      <c r="T580">
        <v>90.81</v>
      </c>
      <c r="U580">
        <v>3</v>
      </c>
      <c r="V580" s="8">
        <f>IF(Matrice1!$Q580="Pro Monde",10%,IF(AND(Matrice1!$R580&gt;12,Matrice1!$O580&gt;5),70%,IF(AND(OR(Matrice1!$R580&gt;=4,Matrice1!$R580&lt;=12,Matrice1!$O580&lt;5,(OR(Matrice1!$Q580="Premium ")))),45%,0%)))</f>
        <v>0.45</v>
      </c>
      <c r="W580">
        <f>Matrice1!$T580* (Matrice1!$V580/100)</f>
        <v>0.40864500000000004</v>
      </c>
    </row>
    <row r="581" spans="1:23" x14ac:dyDescent="0.3">
      <c r="A581" s="1" t="s">
        <v>1161</v>
      </c>
      <c r="B581" s="2">
        <v>45207</v>
      </c>
      <c r="C581" s="3">
        <v>0.13333333333333333</v>
      </c>
      <c r="D581" s="1" t="s">
        <v>1165</v>
      </c>
      <c r="E581">
        <v>66</v>
      </c>
      <c r="F581" s="1" t="s">
        <v>810</v>
      </c>
      <c r="G581" s="1" t="s">
        <v>1165</v>
      </c>
      <c r="H581" s="1" t="s">
        <v>57</v>
      </c>
      <c r="I581">
        <v>-5.4073029999999997</v>
      </c>
      <c r="J581">
        <v>29.762294000000001</v>
      </c>
      <c r="K581" s="1" t="s">
        <v>1500</v>
      </c>
      <c r="L581" s="1" t="s">
        <v>1496</v>
      </c>
      <c r="M581" s="1" t="s">
        <v>629</v>
      </c>
      <c r="N581" s="1" t="s">
        <v>57</v>
      </c>
      <c r="O581" s="1" t="str">
        <f>INT(Matrice1!$P581/12) &amp; " ans et " &amp; MOD(Matrice1!$P581,12) &amp; " mois"</f>
        <v>8 ans et 5 mois</v>
      </c>
      <c r="P581">
        <v>101</v>
      </c>
      <c r="Q581" s="1" t="s">
        <v>19</v>
      </c>
      <c r="R581" s="4">
        <f>Matrice1!$S581/1440</f>
        <v>0.18194444444444444</v>
      </c>
      <c r="S581">
        <v>262</v>
      </c>
      <c r="T581">
        <v>83.74</v>
      </c>
      <c r="U581">
        <v>5</v>
      </c>
      <c r="V581" s="8">
        <f>IF(Matrice1!$Q581="Pro Monde",10%,IF(AND(Matrice1!$R581&gt;12,Matrice1!$O581&gt;5),70%,IF(AND(OR(Matrice1!$R581&gt;=4,Matrice1!$R581&lt;=12,Matrice1!$O581&lt;5,(OR(Matrice1!$Q581="Premium ")))),45%,0%)))</f>
        <v>0.45</v>
      </c>
      <c r="W581">
        <f>Matrice1!$T581* (Matrice1!$V581/100)</f>
        <v>0.37683</v>
      </c>
    </row>
    <row r="582" spans="1:23" x14ac:dyDescent="0.3">
      <c r="A582" s="1" t="s">
        <v>898</v>
      </c>
      <c r="B582" s="2">
        <v>45210</v>
      </c>
      <c r="C582" s="3">
        <v>0.56805555555555554</v>
      </c>
      <c r="D582" s="1" t="s">
        <v>904</v>
      </c>
      <c r="E582">
        <v>96</v>
      </c>
      <c r="F582" s="1" t="s">
        <v>807</v>
      </c>
      <c r="G582" s="1" t="s">
        <v>904</v>
      </c>
      <c r="H582" s="1" t="s">
        <v>64</v>
      </c>
      <c r="I582">
        <v>-5.4126279999999998</v>
      </c>
      <c r="J582">
        <v>25.498235999999999</v>
      </c>
      <c r="K582" s="1" t="s">
        <v>1495</v>
      </c>
      <c r="L582" s="1" t="s">
        <v>1501</v>
      </c>
      <c r="M582" s="1" t="s">
        <v>630</v>
      </c>
      <c r="N582" s="1" t="s">
        <v>64</v>
      </c>
      <c r="O582" s="1" t="str">
        <f>INT(Matrice1!$P582/12) &amp; " ans et " &amp; MOD(Matrice1!$P582,12) &amp; " mois"</f>
        <v>4 ans et 3 mois</v>
      </c>
      <c r="P582">
        <v>51</v>
      </c>
      <c r="Q582" s="1" t="s">
        <v>14</v>
      </c>
      <c r="R582" s="4">
        <f>Matrice1!$S582/1440</f>
        <v>0.27013888888888887</v>
      </c>
      <c r="S582">
        <v>389</v>
      </c>
      <c r="T582">
        <v>50.45</v>
      </c>
      <c r="U582">
        <v>3</v>
      </c>
      <c r="V582" s="8">
        <f>IF(Matrice1!$Q582="Pro Monde",10%,IF(AND(Matrice1!$R582&gt;12,Matrice1!$O582&gt;5),70%,IF(AND(OR(Matrice1!$R582&gt;=4,Matrice1!$R582&lt;=12,Matrice1!$O582&lt;5,(OR(Matrice1!$Q582="Premium ")))),45%,0%)))</f>
        <v>0.1</v>
      </c>
      <c r="W582">
        <f>Matrice1!$T582* (Matrice1!$V582/100)</f>
        <v>5.0450000000000002E-2</v>
      </c>
    </row>
    <row r="583" spans="1:23" x14ac:dyDescent="0.3">
      <c r="A583" s="1" t="s">
        <v>854</v>
      </c>
      <c r="B583" s="2">
        <v>45219</v>
      </c>
      <c r="C583" s="3">
        <v>0.10138888888888889</v>
      </c>
      <c r="D583" s="1" t="s">
        <v>888</v>
      </c>
      <c r="E583">
        <v>75</v>
      </c>
      <c r="F583" s="1" t="s">
        <v>807</v>
      </c>
      <c r="G583" s="1" t="s">
        <v>888</v>
      </c>
      <c r="H583" s="1" t="s">
        <v>10</v>
      </c>
      <c r="I583">
        <v>-7.0076900000000002</v>
      </c>
      <c r="J583">
        <v>27.367121999999998</v>
      </c>
      <c r="K583" s="1" t="s">
        <v>1500</v>
      </c>
      <c r="L583" s="1" t="s">
        <v>1508</v>
      </c>
      <c r="M583" s="1" t="s">
        <v>631</v>
      </c>
      <c r="N583" s="1" t="s">
        <v>10</v>
      </c>
      <c r="O583" s="1" t="str">
        <f>INT(Matrice1!$P583/12) &amp; " ans et " &amp; MOD(Matrice1!$P583,12) &amp; " mois"</f>
        <v>9 ans et 0 mois</v>
      </c>
      <c r="P583">
        <v>108</v>
      </c>
      <c r="Q583" s="1" t="s">
        <v>11</v>
      </c>
      <c r="R583" s="4">
        <f>Matrice1!$S583/1440</f>
        <v>5.4166666666666669E-2</v>
      </c>
      <c r="S583">
        <v>78</v>
      </c>
      <c r="T583">
        <v>90.05</v>
      </c>
      <c r="U583">
        <v>2</v>
      </c>
      <c r="V583" s="8">
        <f>IF(Matrice1!$Q583="Pro Monde",10%,IF(AND(Matrice1!$R583&gt;12,Matrice1!$O583&gt;5),70%,IF(AND(OR(Matrice1!$R583&gt;=4,Matrice1!$R583&lt;=12,Matrice1!$O583&lt;5,(OR(Matrice1!$Q583="Premium ")))),45%,0%)))</f>
        <v>0.45</v>
      </c>
      <c r="W583">
        <f>Matrice1!$T583* (Matrice1!$V583/100)</f>
        <v>0.40522500000000006</v>
      </c>
    </row>
    <row r="584" spans="1:23" x14ac:dyDescent="0.3">
      <c r="A584" s="1" t="s">
        <v>805</v>
      </c>
      <c r="B584" s="2">
        <v>45213</v>
      </c>
      <c r="C584" s="3">
        <v>4.2361111111111113E-2</v>
      </c>
      <c r="D584" s="1" t="s">
        <v>814</v>
      </c>
      <c r="E584">
        <v>119</v>
      </c>
      <c r="F584" s="1" t="s">
        <v>810</v>
      </c>
      <c r="G584" s="1" t="s">
        <v>814</v>
      </c>
      <c r="H584" s="1" t="s">
        <v>62</v>
      </c>
      <c r="I584">
        <v>-2.8211520000000001</v>
      </c>
      <c r="J584">
        <v>20.651419000000001</v>
      </c>
      <c r="K584" s="1" t="s">
        <v>1495</v>
      </c>
      <c r="L584" s="1" t="s">
        <v>1496</v>
      </c>
      <c r="M584" s="1" t="s">
        <v>632</v>
      </c>
      <c r="N584" s="1" t="s">
        <v>62</v>
      </c>
      <c r="O584" s="1" t="str">
        <f>INT(Matrice1!$P584/12) &amp; " ans et " &amp; MOD(Matrice1!$P584,12) &amp; " mois"</f>
        <v>8 ans et 2 mois</v>
      </c>
      <c r="P584">
        <v>98</v>
      </c>
      <c r="Q584" s="1" t="s">
        <v>22</v>
      </c>
      <c r="R584" s="4">
        <f>Matrice1!$S584/1440</f>
        <v>7.6388888888888895E-2</v>
      </c>
      <c r="S584">
        <v>110</v>
      </c>
      <c r="T584">
        <v>96.23</v>
      </c>
      <c r="U584">
        <v>2</v>
      </c>
      <c r="V584" s="8">
        <f>IF(Matrice1!$Q584="Pro Monde",10%,IF(AND(Matrice1!$R584&gt;12,Matrice1!$O584&gt;5),70%,IF(AND(OR(Matrice1!$R584&gt;=4,Matrice1!$R584&lt;=12,Matrice1!$O584&lt;5,(OR(Matrice1!$Q584="Premium ")))),45%,0%)))</f>
        <v>0.45</v>
      </c>
      <c r="W584">
        <f>Matrice1!$T584* (Matrice1!$V584/100)</f>
        <v>0.43303500000000006</v>
      </c>
    </row>
    <row r="585" spans="1:23" x14ac:dyDescent="0.3">
      <c r="A585" s="1" t="s">
        <v>898</v>
      </c>
      <c r="B585" s="2">
        <v>45210</v>
      </c>
      <c r="C585" s="3">
        <v>0.56805555555555554</v>
      </c>
      <c r="D585" s="1" t="s">
        <v>904</v>
      </c>
      <c r="E585">
        <v>96</v>
      </c>
      <c r="F585" s="1" t="s">
        <v>807</v>
      </c>
      <c r="G585" s="1" t="s">
        <v>904</v>
      </c>
      <c r="H585" s="1" t="s">
        <v>64</v>
      </c>
      <c r="I585">
        <v>-5.4126279999999998</v>
      </c>
      <c r="J585">
        <v>25.498235999999999</v>
      </c>
      <c r="K585" s="1" t="s">
        <v>1495</v>
      </c>
      <c r="L585" s="1" t="s">
        <v>1501</v>
      </c>
      <c r="M585" s="1" t="s">
        <v>633</v>
      </c>
      <c r="N585" s="1" t="s">
        <v>64</v>
      </c>
      <c r="O585" s="1" t="str">
        <f>INT(Matrice1!$P585/12) &amp; " ans et " &amp; MOD(Matrice1!$P585,12) &amp; " mois"</f>
        <v>6 ans et 9 mois</v>
      </c>
      <c r="P585">
        <v>81</v>
      </c>
      <c r="Q585" s="1" t="s">
        <v>14</v>
      </c>
      <c r="R585" s="4">
        <f>Matrice1!$S585/1440</f>
        <v>0.30763888888888891</v>
      </c>
      <c r="S585">
        <v>443</v>
      </c>
      <c r="T585">
        <v>32.78</v>
      </c>
      <c r="U585">
        <v>1</v>
      </c>
      <c r="V585" s="8">
        <f>IF(Matrice1!$Q585="Pro Monde",10%,IF(AND(Matrice1!$R585&gt;12,Matrice1!$O585&gt;5),70%,IF(AND(OR(Matrice1!$R585&gt;=4,Matrice1!$R585&lt;=12,Matrice1!$O585&lt;5,(OR(Matrice1!$Q585="Premium ")))),45%,0%)))</f>
        <v>0.1</v>
      </c>
      <c r="W585">
        <f>Matrice1!$T585* (Matrice1!$V585/100)</f>
        <v>3.2780000000000004E-2</v>
      </c>
    </row>
    <row r="586" spans="1:23" x14ac:dyDescent="0.3">
      <c r="A586" s="1" t="s">
        <v>898</v>
      </c>
      <c r="B586" s="2">
        <v>45210</v>
      </c>
      <c r="C586" s="3">
        <v>0.56805555555555554</v>
      </c>
      <c r="D586" s="1" t="s">
        <v>904</v>
      </c>
      <c r="E586">
        <v>96</v>
      </c>
      <c r="F586" s="1" t="s">
        <v>807</v>
      </c>
      <c r="G586" s="1" t="s">
        <v>904</v>
      </c>
      <c r="H586" s="1" t="s">
        <v>64</v>
      </c>
      <c r="I586">
        <v>-5.4126279999999998</v>
      </c>
      <c r="J586">
        <v>25.498235999999999</v>
      </c>
      <c r="K586" s="1" t="s">
        <v>1495</v>
      </c>
      <c r="L586" s="1" t="s">
        <v>1501</v>
      </c>
      <c r="M586" s="1" t="s">
        <v>634</v>
      </c>
      <c r="N586" s="1" t="s">
        <v>64</v>
      </c>
      <c r="O586" s="1" t="str">
        <f>INT(Matrice1!$P586/12) &amp; " ans et " &amp; MOD(Matrice1!$P586,12) &amp; " mois"</f>
        <v>9 ans et 10 mois</v>
      </c>
      <c r="P586">
        <v>118</v>
      </c>
      <c r="Q586" s="1" t="s">
        <v>19</v>
      </c>
      <c r="R586" s="4">
        <f>Matrice1!$S586/1440</f>
        <v>0.12916666666666668</v>
      </c>
      <c r="S586">
        <v>186</v>
      </c>
      <c r="T586">
        <v>46.88</v>
      </c>
      <c r="U586">
        <v>1</v>
      </c>
      <c r="V586" s="8">
        <f>IF(Matrice1!$Q586="Pro Monde",10%,IF(AND(Matrice1!$R586&gt;12,Matrice1!$O586&gt;5),70%,IF(AND(OR(Matrice1!$R586&gt;=4,Matrice1!$R586&lt;=12,Matrice1!$O586&lt;5,(OR(Matrice1!$Q586="Premium ")))),45%,0%)))</f>
        <v>0.45</v>
      </c>
      <c r="W586">
        <f>Matrice1!$T586* (Matrice1!$V586/100)</f>
        <v>0.21096000000000004</v>
      </c>
    </row>
    <row r="587" spans="1:23" x14ac:dyDescent="0.3">
      <c r="A587" s="1" t="s">
        <v>1014</v>
      </c>
      <c r="B587" s="2">
        <v>45225</v>
      </c>
      <c r="C587" s="3">
        <v>0.21527777777777779</v>
      </c>
      <c r="D587" s="1" t="s">
        <v>1043</v>
      </c>
      <c r="E587">
        <v>41</v>
      </c>
      <c r="F587" s="1" t="s">
        <v>812</v>
      </c>
      <c r="G587" s="1" t="s">
        <v>1043</v>
      </c>
      <c r="H587" s="1" t="s">
        <v>44</v>
      </c>
      <c r="I587">
        <v>-4.9552579999999997</v>
      </c>
      <c r="J587">
        <v>22.008103999999999</v>
      </c>
      <c r="K587" s="1" t="s">
        <v>1498</v>
      </c>
      <c r="L587" s="1" t="s">
        <v>1499</v>
      </c>
      <c r="M587" s="1" t="s">
        <v>635</v>
      </c>
      <c r="N587" s="1" t="s">
        <v>44</v>
      </c>
      <c r="O587" s="1" t="str">
        <f>INT(Matrice1!$P587/12) &amp; " ans et " &amp; MOD(Matrice1!$P587,12) &amp; " mois"</f>
        <v>2 ans et 10 mois</v>
      </c>
      <c r="P587">
        <v>34</v>
      </c>
      <c r="Q587" s="1" t="s">
        <v>14</v>
      </c>
      <c r="R587" s="4">
        <f>Matrice1!$S587/1440</f>
        <v>4.027777777777778E-2</v>
      </c>
      <c r="S587">
        <v>58</v>
      </c>
      <c r="T587">
        <v>64.349999999999994</v>
      </c>
      <c r="U587">
        <v>0</v>
      </c>
      <c r="V587" s="8">
        <f>IF(Matrice1!$Q587="Pro Monde",10%,IF(AND(Matrice1!$R587&gt;12,Matrice1!$O587&gt;5),70%,IF(AND(OR(Matrice1!$R587&gt;=4,Matrice1!$R587&lt;=12,Matrice1!$O587&lt;5,(OR(Matrice1!$Q587="Premium ")))),45%,0%)))</f>
        <v>0.1</v>
      </c>
      <c r="W587">
        <f>Matrice1!$T587* (Matrice1!$V587/100)</f>
        <v>6.4349999999999991E-2</v>
      </c>
    </row>
    <row r="588" spans="1:23" x14ac:dyDescent="0.3">
      <c r="A588" s="1" t="s">
        <v>805</v>
      </c>
      <c r="B588" s="2">
        <v>45214</v>
      </c>
      <c r="C588" s="3">
        <v>0.71319444444444446</v>
      </c>
      <c r="D588" s="1" t="s">
        <v>828</v>
      </c>
      <c r="E588">
        <v>25</v>
      </c>
      <c r="F588" s="1" t="s">
        <v>807</v>
      </c>
      <c r="G588" s="1" t="s">
        <v>828</v>
      </c>
      <c r="H588" s="1" t="s">
        <v>24</v>
      </c>
      <c r="I588">
        <v>0.172153</v>
      </c>
      <c r="J588">
        <v>21.091376</v>
      </c>
      <c r="K588" s="1" t="s">
        <v>1500</v>
      </c>
      <c r="L588" s="1" t="s">
        <v>1496</v>
      </c>
      <c r="M588" s="1" t="s">
        <v>636</v>
      </c>
      <c r="N588" s="1" t="s">
        <v>24</v>
      </c>
      <c r="O588" s="1" t="str">
        <f>INT(Matrice1!$P588/12) &amp; " ans et " &amp; MOD(Matrice1!$P588,12) &amp; " mois"</f>
        <v>9 ans et 0 mois</v>
      </c>
      <c r="P588">
        <v>108</v>
      </c>
      <c r="Q588" s="1" t="s">
        <v>19</v>
      </c>
      <c r="R588" s="4">
        <f>Matrice1!$S588/1440</f>
        <v>0.31944444444444442</v>
      </c>
      <c r="S588">
        <v>460</v>
      </c>
      <c r="T588">
        <v>88.95</v>
      </c>
      <c r="U588">
        <v>3</v>
      </c>
      <c r="V588" s="8">
        <f>IF(Matrice1!$Q588="Pro Monde",10%,IF(AND(Matrice1!$R588&gt;12,Matrice1!$O588&gt;5),70%,IF(AND(OR(Matrice1!$R588&gt;=4,Matrice1!$R588&lt;=12,Matrice1!$O588&lt;5,(OR(Matrice1!$Q588="Premium ")))),45%,0%)))</f>
        <v>0.45</v>
      </c>
      <c r="W588">
        <f>Matrice1!$T588* (Matrice1!$V588/100)</f>
        <v>0.40027500000000005</v>
      </c>
    </row>
    <row r="589" spans="1:23" x14ac:dyDescent="0.3">
      <c r="A589" s="1" t="s">
        <v>936</v>
      </c>
      <c r="B589" s="2">
        <v>45221</v>
      </c>
      <c r="C589" s="3">
        <v>0.51736111111111116</v>
      </c>
      <c r="D589" s="1" t="s">
        <v>963</v>
      </c>
      <c r="E589">
        <v>83</v>
      </c>
      <c r="F589" s="1" t="s">
        <v>812</v>
      </c>
      <c r="G589" s="1" t="s">
        <v>963</v>
      </c>
      <c r="H589" s="1" t="s">
        <v>21</v>
      </c>
      <c r="I589">
        <v>-2.9651529999999999</v>
      </c>
      <c r="J589">
        <v>29.79908</v>
      </c>
      <c r="K589" s="1" t="s">
        <v>1498</v>
      </c>
      <c r="L589" s="1" t="s">
        <v>1496</v>
      </c>
      <c r="M589" s="1" t="s">
        <v>637</v>
      </c>
      <c r="N589" s="1" t="s">
        <v>21</v>
      </c>
      <c r="O589" s="1" t="str">
        <f>INT(Matrice1!$P589/12) &amp; " ans et " &amp; MOD(Matrice1!$P589,12) &amp; " mois"</f>
        <v>5 ans et 11 mois</v>
      </c>
      <c r="P589">
        <v>71</v>
      </c>
      <c r="Q589" s="1" t="s">
        <v>14</v>
      </c>
      <c r="R589" s="4">
        <f>Matrice1!$S589/1440</f>
        <v>7.7083333333333337E-2</v>
      </c>
      <c r="S589">
        <v>111</v>
      </c>
      <c r="T589">
        <v>95.53</v>
      </c>
      <c r="U589">
        <v>3</v>
      </c>
      <c r="V589" s="8">
        <f>IF(Matrice1!$Q589="Pro Monde",10%,IF(AND(Matrice1!$R589&gt;12,Matrice1!$O589&gt;5),70%,IF(AND(OR(Matrice1!$R589&gt;=4,Matrice1!$R589&lt;=12,Matrice1!$O589&lt;5,(OR(Matrice1!$Q589="Premium ")))),45%,0%)))</f>
        <v>0.1</v>
      </c>
      <c r="W589">
        <f>Matrice1!$T589* (Matrice1!$V589/100)</f>
        <v>9.5530000000000004E-2</v>
      </c>
    </row>
    <row r="590" spans="1:23" x14ac:dyDescent="0.3">
      <c r="A590" s="1" t="s">
        <v>805</v>
      </c>
      <c r="B590" s="2">
        <v>45203</v>
      </c>
      <c r="C590" s="3">
        <v>0.51180555555555551</v>
      </c>
      <c r="D590" s="1" t="s">
        <v>835</v>
      </c>
      <c r="E590">
        <v>64</v>
      </c>
      <c r="F590" s="1" t="s">
        <v>812</v>
      </c>
      <c r="G590" s="1" t="s">
        <v>835</v>
      </c>
      <c r="H590" s="1" t="s">
        <v>73</v>
      </c>
      <c r="I590">
        <v>0.23583499999999999</v>
      </c>
      <c r="J590">
        <v>24.889558999999998</v>
      </c>
      <c r="K590" s="1" t="s">
        <v>1500</v>
      </c>
      <c r="L590" s="1" t="s">
        <v>1501</v>
      </c>
      <c r="M590" s="1" t="s">
        <v>638</v>
      </c>
      <c r="N590" s="1" t="s">
        <v>73</v>
      </c>
      <c r="O590" s="1" t="str">
        <f>INT(Matrice1!$P590/12) &amp; " ans et " &amp; MOD(Matrice1!$P590,12) &amp; " mois"</f>
        <v>1 ans et 9 mois</v>
      </c>
      <c r="P590">
        <v>21</v>
      </c>
      <c r="Q590" s="1" t="s">
        <v>19</v>
      </c>
      <c r="R590" s="4">
        <f>Matrice1!$S590/1440</f>
        <v>1.0416666666666666E-2</v>
      </c>
      <c r="S590">
        <v>15</v>
      </c>
      <c r="T590">
        <v>57.74</v>
      </c>
      <c r="U590">
        <v>0</v>
      </c>
      <c r="V590" s="8">
        <f>IF(Matrice1!$Q590="Pro Monde",10%,IF(AND(Matrice1!$R590&gt;12,Matrice1!$O590&gt;5),70%,IF(AND(OR(Matrice1!$R590&gt;=4,Matrice1!$R590&lt;=12,Matrice1!$O590&lt;5,(OR(Matrice1!$Q590="Premium ")))),45%,0%)))</f>
        <v>0.45</v>
      </c>
      <c r="W590">
        <f>Matrice1!$T590* (Matrice1!$V590/100)</f>
        <v>0.25983000000000006</v>
      </c>
    </row>
    <row r="591" spans="1:23" x14ac:dyDescent="0.3">
      <c r="A591" s="1" t="s">
        <v>1073</v>
      </c>
      <c r="B591" s="2">
        <v>45205</v>
      </c>
      <c r="C591" s="3">
        <v>0.47152777777777777</v>
      </c>
      <c r="D591" s="1" t="s">
        <v>1088</v>
      </c>
      <c r="E591">
        <v>50</v>
      </c>
      <c r="F591" s="1" t="s">
        <v>810</v>
      </c>
      <c r="G591" s="1" t="s">
        <v>1088</v>
      </c>
      <c r="H591" s="1" t="s">
        <v>18</v>
      </c>
      <c r="I591">
        <v>2.628638</v>
      </c>
      <c r="J591">
        <v>28.420582</v>
      </c>
      <c r="K591" s="1" t="s">
        <v>1498</v>
      </c>
      <c r="L591" s="1" t="s">
        <v>1499</v>
      </c>
      <c r="M591" s="1" t="s">
        <v>639</v>
      </c>
      <c r="N591" s="1" t="s">
        <v>18</v>
      </c>
      <c r="O591" s="1" t="str">
        <f>INT(Matrice1!$P591/12) &amp; " ans et " &amp; MOD(Matrice1!$P591,12) &amp; " mois"</f>
        <v>3 ans et 6 mois</v>
      </c>
      <c r="P591">
        <v>42</v>
      </c>
      <c r="Q591" s="1" t="s">
        <v>14</v>
      </c>
      <c r="R591" s="4">
        <f>Matrice1!$S591/1440</f>
        <v>0.11597222222222223</v>
      </c>
      <c r="S591">
        <v>167</v>
      </c>
      <c r="T591">
        <v>45.85</v>
      </c>
      <c r="U591">
        <v>2</v>
      </c>
      <c r="V591" s="8">
        <f>IF(Matrice1!$Q591="Pro Monde",10%,IF(AND(Matrice1!$R591&gt;12,Matrice1!$O591&gt;5),70%,IF(AND(OR(Matrice1!$R591&gt;=4,Matrice1!$R591&lt;=12,Matrice1!$O591&lt;5,(OR(Matrice1!$Q591="Premium ")))),45%,0%)))</f>
        <v>0.1</v>
      </c>
      <c r="W591">
        <f>Matrice1!$T591* (Matrice1!$V591/100)</f>
        <v>4.5850000000000002E-2</v>
      </c>
    </row>
    <row r="592" spans="1:23" x14ac:dyDescent="0.3">
      <c r="A592" s="1" t="s">
        <v>854</v>
      </c>
      <c r="B592" s="2">
        <v>45216</v>
      </c>
      <c r="C592" s="3">
        <v>0.67361111111111116</v>
      </c>
      <c r="D592" s="1" t="s">
        <v>881</v>
      </c>
      <c r="E592">
        <v>117</v>
      </c>
      <c r="F592" s="1" t="s">
        <v>807</v>
      </c>
      <c r="G592" s="1" t="s">
        <v>881</v>
      </c>
      <c r="H592" s="1" t="s">
        <v>31</v>
      </c>
      <c r="I592">
        <v>-12.141233</v>
      </c>
      <c r="J592">
        <v>15.179043999999999</v>
      </c>
      <c r="K592" s="1" t="s">
        <v>1495</v>
      </c>
      <c r="L592" s="1" t="s">
        <v>1496</v>
      </c>
      <c r="M592" s="1" t="s">
        <v>640</v>
      </c>
      <c r="N592" s="1" t="s">
        <v>31</v>
      </c>
      <c r="O592" s="1" t="str">
        <f>INT(Matrice1!$P592/12) &amp; " ans et " &amp; MOD(Matrice1!$P592,12) &amp; " mois"</f>
        <v>2 ans et 3 mois</v>
      </c>
      <c r="P592">
        <v>27</v>
      </c>
      <c r="Q592" s="1" t="s">
        <v>19</v>
      </c>
      <c r="R592" s="4">
        <f>Matrice1!$S592/1440</f>
        <v>4.8611111111111112E-2</v>
      </c>
      <c r="S592">
        <v>70</v>
      </c>
      <c r="T592">
        <v>20.32</v>
      </c>
      <c r="U592">
        <v>3</v>
      </c>
      <c r="V592" s="8">
        <f>IF(Matrice1!$Q592="Pro Monde",10%,IF(AND(Matrice1!$R592&gt;12,Matrice1!$O592&gt;5),70%,IF(AND(OR(Matrice1!$R592&gt;=4,Matrice1!$R592&lt;=12,Matrice1!$O592&lt;5,(OR(Matrice1!$Q592="Premium ")))),45%,0%)))</f>
        <v>0.45</v>
      </c>
      <c r="W592">
        <f>Matrice1!$T592* (Matrice1!$V592/100)</f>
        <v>9.1440000000000007E-2</v>
      </c>
    </row>
    <row r="593" spans="1:23" x14ac:dyDescent="0.3">
      <c r="A593" s="1" t="s">
        <v>1073</v>
      </c>
      <c r="B593" s="2">
        <v>45221</v>
      </c>
      <c r="C593" s="3">
        <v>0.37638888888888888</v>
      </c>
      <c r="D593" s="1" t="s">
        <v>1096</v>
      </c>
      <c r="E593">
        <v>59</v>
      </c>
      <c r="F593" s="1" t="s">
        <v>812</v>
      </c>
      <c r="G593" s="1" t="s">
        <v>1096</v>
      </c>
      <c r="H593" s="1" t="s">
        <v>78</v>
      </c>
      <c r="I593">
        <v>-8.4824669999999998</v>
      </c>
      <c r="J593">
        <v>21.897777999999999</v>
      </c>
      <c r="K593" s="1" t="s">
        <v>1495</v>
      </c>
      <c r="L593" s="1" t="s">
        <v>1496</v>
      </c>
      <c r="M593" s="1" t="s">
        <v>641</v>
      </c>
      <c r="N593" s="1" t="s">
        <v>78</v>
      </c>
      <c r="O593" s="1" t="str">
        <f>INT(Matrice1!$P593/12) &amp; " ans et " &amp; MOD(Matrice1!$P593,12) &amp; " mois"</f>
        <v>1 ans et 0 mois</v>
      </c>
      <c r="P593">
        <v>12</v>
      </c>
      <c r="Q593" s="1" t="s">
        <v>22</v>
      </c>
      <c r="R593" s="4">
        <f>Matrice1!$S593/1440</f>
        <v>7.7777777777777779E-2</v>
      </c>
      <c r="S593">
        <v>112</v>
      </c>
      <c r="T593">
        <v>82.81</v>
      </c>
      <c r="U593">
        <v>0</v>
      </c>
      <c r="V593" s="8">
        <f>IF(Matrice1!$Q593="Pro Monde",10%,IF(AND(Matrice1!$R593&gt;12,Matrice1!$O593&gt;5),70%,IF(AND(OR(Matrice1!$R593&gt;=4,Matrice1!$R593&lt;=12,Matrice1!$O593&lt;5,(OR(Matrice1!$Q593="Premium ")))),45%,0%)))</f>
        <v>0.45</v>
      </c>
      <c r="W593">
        <f>Matrice1!$T593* (Matrice1!$V593/100)</f>
        <v>0.37264500000000006</v>
      </c>
    </row>
    <row r="594" spans="1:23" x14ac:dyDescent="0.3">
      <c r="A594" s="1" t="s">
        <v>1073</v>
      </c>
      <c r="B594" s="2">
        <v>45221</v>
      </c>
      <c r="C594" s="3">
        <v>0.37638888888888888</v>
      </c>
      <c r="D594" s="1" t="s">
        <v>1096</v>
      </c>
      <c r="E594">
        <v>59</v>
      </c>
      <c r="F594" s="1" t="s">
        <v>812</v>
      </c>
      <c r="G594" s="1" t="s">
        <v>1096</v>
      </c>
      <c r="H594" s="1" t="s">
        <v>78</v>
      </c>
      <c r="I594">
        <v>-8.4824669999999998</v>
      </c>
      <c r="J594">
        <v>21.897777999999999</v>
      </c>
      <c r="K594" s="1" t="s">
        <v>1495</v>
      </c>
      <c r="L594" s="1" t="s">
        <v>1496</v>
      </c>
      <c r="M594" s="1" t="s">
        <v>642</v>
      </c>
      <c r="N594" s="1" t="s">
        <v>78</v>
      </c>
      <c r="O594" s="1" t="str">
        <f>INT(Matrice1!$P594/12) &amp; " ans et " &amp; MOD(Matrice1!$P594,12) &amp; " mois"</f>
        <v>1 ans et 0 mois</v>
      </c>
      <c r="P594">
        <v>12</v>
      </c>
      <c r="Q594" s="1" t="s">
        <v>14</v>
      </c>
      <c r="R594" s="4">
        <f>Matrice1!$S594/1440</f>
        <v>2.9166666666666667E-2</v>
      </c>
      <c r="S594">
        <v>42</v>
      </c>
      <c r="T594">
        <v>48.64</v>
      </c>
      <c r="U594">
        <v>0</v>
      </c>
      <c r="V594" s="8">
        <f>IF(Matrice1!$Q594="Pro Monde",10%,IF(AND(Matrice1!$R594&gt;12,Matrice1!$O594&gt;5),70%,IF(AND(OR(Matrice1!$R594&gt;=4,Matrice1!$R594&lt;=12,Matrice1!$O594&lt;5,(OR(Matrice1!$Q594="Premium ")))),45%,0%)))</f>
        <v>0.1</v>
      </c>
      <c r="W594">
        <f>Matrice1!$T594* (Matrice1!$V594/100)</f>
        <v>4.8640000000000003E-2</v>
      </c>
    </row>
    <row r="595" spans="1:23" x14ac:dyDescent="0.3">
      <c r="A595" s="1" t="s">
        <v>805</v>
      </c>
      <c r="B595" s="2">
        <v>45217</v>
      </c>
      <c r="C595" s="3">
        <v>0.96875</v>
      </c>
      <c r="D595" s="1" t="s">
        <v>842</v>
      </c>
      <c r="E595">
        <v>97</v>
      </c>
      <c r="F595" s="1" t="s">
        <v>810</v>
      </c>
      <c r="G595" s="1" t="s">
        <v>842</v>
      </c>
      <c r="H595" s="1" t="s">
        <v>29</v>
      </c>
      <c r="I595">
        <v>-10.059846</v>
      </c>
      <c r="J595">
        <v>14.375757999999999</v>
      </c>
      <c r="K595" s="1" t="s">
        <v>1498</v>
      </c>
      <c r="L595" s="1" t="s">
        <v>1499</v>
      </c>
      <c r="M595" s="1" t="s">
        <v>643</v>
      </c>
      <c r="N595" s="1" t="s">
        <v>29</v>
      </c>
      <c r="O595" s="1" t="str">
        <f>INT(Matrice1!$P595/12) &amp; " ans et " &amp; MOD(Matrice1!$P595,12) &amp; " mois"</f>
        <v>0 ans et 4 mois</v>
      </c>
      <c r="P595">
        <v>4</v>
      </c>
      <c r="Q595" s="1" t="s">
        <v>14</v>
      </c>
      <c r="R595" s="4">
        <f>Matrice1!$S595/1440</f>
        <v>0.25833333333333336</v>
      </c>
      <c r="S595">
        <v>372</v>
      </c>
      <c r="T595">
        <v>26.73</v>
      </c>
      <c r="U595">
        <v>3</v>
      </c>
      <c r="V595" s="8">
        <f>IF(Matrice1!$Q595="Pro Monde",10%,IF(AND(Matrice1!$R595&gt;12,Matrice1!$O595&gt;5),70%,IF(AND(OR(Matrice1!$R595&gt;=4,Matrice1!$R595&lt;=12,Matrice1!$O595&lt;5,(OR(Matrice1!$Q595="Premium ")))),45%,0%)))</f>
        <v>0.1</v>
      </c>
      <c r="W595">
        <f>Matrice1!$T595* (Matrice1!$V595/100)</f>
        <v>2.673E-2</v>
      </c>
    </row>
    <row r="596" spans="1:23" x14ac:dyDescent="0.3">
      <c r="A596" s="1" t="s">
        <v>805</v>
      </c>
      <c r="B596" s="2">
        <v>45211</v>
      </c>
      <c r="C596" s="3">
        <v>0.27916666666666667</v>
      </c>
      <c r="D596" s="1" t="s">
        <v>838</v>
      </c>
      <c r="E596">
        <v>75</v>
      </c>
      <c r="F596" s="1" t="s">
        <v>807</v>
      </c>
      <c r="G596" s="1" t="s">
        <v>838</v>
      </c>
      <c r="H596" s="1" t="s">
        <v>89</v>
      </c>
      <c r="I596">
        <v>-8.1437910000000002</v>
      </c>
      <c r="J596">
        <v>28.946161</v>
      </c>
      <c r="K596" s="1" t="s">
        <v>1498</v>
      </c>
      <c r="L596" s="1" t="s">
        <v>1501</v>
      </c>
      <c r="M596" s="1" t="s">
        <v>644</v>
      </c>
      <c r="N596" s="1" t="s">
        <v>89</v>
      </c>
      <c r="O596" s="1" t="str">
        <f>INT(Matrice1!$P596/12) &amp; " ans et " &amp; MOD(Matrice1!$P596,12) &amp; " mois"</f>
        <v>4 ans et 8 mois</v>
      </c>
      <c r="P596">
        <v>56</v>
      </c>
      <c r="Q596" s="1" t="s">
        <v>11</v>
      </c>
      <c r="R596" s="4">
        <f>Matrice1!$S596/1440</f>
        <v>0.24583333333333332</v>
      </c>
      <c r="S596">
        <v>354</v>
      </c>
      <c r="T596">
        <v>32.08</v>
      </c>
      <c r="U596">
        <v>1</v>
      </c>
      <c r="V596" s="8">
        <f>IF(Matrice1!$Q596="Pro Monde",10%,IF(AND(Matrice1!$R596&gt;12,Matrice1!$O596&gt;5),70%,IF(AND(OR(Matrice1!$R596&gt;=4,Matrice1!$R596&lt;=12,Matrice1!$O596&lt;5,(OR(Matrice1!$Q596="Premium ")))),45%,0%)))</f>
        <v>0.45</v>
      </c>
      <c r="W596">
        <f>Matrice1!$T596* (Matrice1!$V596/100)</f>
        <v>0.14436000000000002</v>
      </c>
    </row>
    <row r="597" spans="1:23" x14ac:dyDescent="0.3">
      <c r="A597" s="1" t="s">
        <v>854</v>
      </c>
      <c r="B597" s="2">
        <v>45219</v>
      </c>
      <c r="C597" s="3">
        <v>0.10138888888888889</v>
      </c>
      <c r="D597" s="1" t="s">
        <v>888</v>
      </c>
      <c r="E597">
        <v>75</v>
      </c>
      <c r="F597" s="1" t="s">
        <v>807</v>
      </c>
      <c r="G597" s="1" t="s">
        <v>888</v>
      </c>
      <c r="H597" s="1" t="s">
        <v>10</v>
      </c>
      <c r="I597">
        <v>-7.0076900000000002</v>
      </c>
      <c r="J597">
        <v>27.367121999999998</v>
      </c>
      <c r="K597" s="1" t="s">
        <v>1500</v>
      </c>
      <c r="L597" s="1" t="s">
        <v>1508</v>
      </c>
      <c r="M597" s="1" t="s">
        <v>645</v>
      </c>
      <c r="N597" s="1" t="s">
        <v>10</v>
      </c>
      <c r="O597" s="1" t="str">
        <f>INT(Matrice1!$P597/12) &amp; " ans et " &amp; MOD(Matrice1!$P597,12) &amp; " mois"</f>
        <v>0 ans et 2 mois</v>
      </c>
      <c r="P597">
        <v>2</v>
      </c>
      <c r="Q597" s="1" t="s">
        <v>14</v>
      </c>
      <c r="R597" s="4">
        <f>Matrice1!$S597/1440</f>
        <v>0.33402777777777776</v>
      </c>
      <c r="S597">
        <v>481</v>
      </c>
      <c r="T597">
        <v>29.37</v>
      </c>
      <c r="U597">
        <v>4</v>
      </c>
      <c r="V597" s="8">
        <f>IF(Matrice1!$Q597="Pro Monde",10%,IF(AND(Matrice1!$R597&gt;12,Matrice1!$O597&gt;5),70%,IF(AND(OR(Matrice1!$R597&gt;=4,Matrice1!$R597&lt;=12,Matrice1!$O597&lt;5,(OR(Matrice1!$Q597="Premium ")))),45%,0%)))</f>
        <v>0.1</v>
      </c>
      <c r="W597">
        <f>Matrice1!$T597* (Matrice1!$V597/100)</f>
        <v>2.937E-2</v>
      </c>
    </row>
    <row r="598" spans="1:23" x14ac:dyDescent="0.3">
      <c r="A598" s="1" t="s">
        <v>1161</v>
      </c>
      <c r="B598" s="2">
        <v>45207</v>
      </c>
      <c r="C598" s="3">
        <v>0.13333333333333333</v>
      </c>
      <c r="D598" s="1" t="s">
        <v>1165</v>
      </c>
      <c r="E598">
        <v>66</v>
      </c>
      <c r="F598" s="1" t="s">
        <v>810</v>
      </c>
      <c r="G598" s="1" t="s">
        <v>1165</v>
      </c>
      <c r="H598" s="1" t="s">
        <v>57</v>
      </c>
      <c r="I598">
        <v>-5.4073029999999997</v>
      </c>
      <c r="J598">
        <v>29.762294000000001</v>
      </c>
      <c r="K598" s="1" t="s">
        <v>1500</v>
      </c>
      <c r="L598" s="1" t="s">
        <v>1496</v>
      </c>
      <c r="M598" s="1" t="s">
        <v>646</v>
      </c>
      <c r="N598" s="1" t="s">
        <v>57</v>
      </c>
      <c r="O598" s="1" t="str">
        <f>INT(Matrice1!$P598/12) &amp; " ans et " &amp; MOD(Matrice1!$P598,12) &amp; " mois"</f>
        <v>6 ans et 9 mois</v>
      </c>
      <c r="P598">
        <v>81</v>
      </c>
      <c r="Q598" s="1" t="s">
        <v>22</v>
      </c>
      <c r="R598" s="4">
        <f>Matrice1!$S598/1440</f>
        <v>4.4444444444444446E-2</v>
      </c>
      <c r="S598">
        <v>64</v>
      </c>
      <c r="T598">
        <v>43.45</v>
      </c>
      <c r="U598">
        <v>2</v>
      </c>
      <c r="V598" s="8">
        <f>IF(Matrice1!$Q598="Pro Monde",10%,IF(AND(Matrice1!$R598&gt;12,Matrice1!$O598&gt;5),70%,IF(AND(OR(Matrice1!$R598&gt;=4,Matrice1!$R598&lt;=12,Matrice1!$O598&lt;5,(OR(Matrice1!$Q598="Premium ")))),45%,0%)))</f>
        <v>0.45</v>
      </c>
      <c r="W598">
        <f>Matrice1!$T598* (Matrice1!$V598/100)</f>
        <v>0.19552500000000003</v>
      </c>
    </row>
    <row r="599" spans="1:23" x14ac:dyDescent="0.3">
      <c r="A599" s="1" t="s">
        <v>1133</v>
      </c>
      <c r="B599" s="2">
        <v>45222</v>
      </c>
      <c r="C599" s="3">
        <v>0.58472222222222225</v>
      </c>
      <c r="D599" s="1" t="s">
        <v>1155</v>
      </c>
      <c r="E599">
        <v>15</v>
      </c>
      <c r="F599" s="1" t="s">
        <v>812</v>
      </c>
      <c r="G599" s="1" t="s">
        <v>1155</v>
      </c>
      <c r="H599" s="1" t="s">
        <v>60</v>
      </c>
      <c r="I599">
        <v>-9.1215879999999991</v>
      </c>
      <c r="J599">
        <v>16.457916999999998</v>
      </c>
      <c r="K599" s="1" t="s">
        <v>1498</v>
      </c>
      <c r="L599" s="1" t="s">
        <v>1508</v>
      </c>
      <c r="M599" s="1" t="s">
        <v>647</v>
      </c>
      <c r="N599" s="1" t="s">
        <v>60</v>
      </c>
      <c r="O599" s="1" t="str">
        <f>INT(Matrice1!$P599/12) &amp; " ans et " &amp; MOD(Matrice1!$P599,12) &amp; " mois"</f>
        <v>8 ans et 3 mois</v>
      </c>
      <c r="P599">
        <v>99</v>
      </c>
      <c r="Q599" s="1" t="s">
        <v>22</v>
      </c>
      <c r="R599" s="4">
        <f>Matrice1!$S599/1440</f>
        <v>9.5138888888888884E-2</v>
      </c>
      <c r="S599">
        <v>137</v>
      </c>
      <c r="T599">
        <v>23.05</v>
      </c>
      <c r="U599">
        <v>4</v>
      </c>
      <c r="V599" s="8">
        <f>IF(Matrice1!$Q599="Pro Monde",10%,IF(AND(Matrice1!$R599&gt;12,Matrice1!$O599&gt;5),70%,IF(AND(OR(Matrice1!$R599&gt;=4,Matrice1!$R599&lt;=12,Matrice1!$O599&lt;5,(OR(Matrice1!$Q599="Premium ")))),45%,0%)))</f>
        <v>0.45</v>
      </c>
      <c r="W599">
        <f>Matrice1!$T599* (Matrice1!$V599/100)</f>
        <v>0.10372500000000001</v>
      </c>
    </row>
    <row r="600" spans="1:23" x14ac:dyDescent="0.3">
      <c r="A600" s="1" t="s">
        <v>854</v>
      </c>
      <c r="B600" s="2">
        <v>45213</v>
      </c>
      <c r="C600" s="3">
        <v>0.94861111111111107</v>
      </c>
      <c r="D600" s="1" t="s">
        <v>874</v>
      </c>
      <c r="E600">
        <v>72</v>
      </c>
      <c r="F600" s="1" t="s">
        <v>810</v>
      </c>
      <c r="G600" s="1" t="s">
        <v>874</v>
      </c>
      <c r="H600" s="1" t="s">
        <v>35</v>
      </c>
      <c r="I600">
        <v>-2.7140689999999998</v>
      </c>
      <c r="J600">
        <v>22.222104000000002</v>
      </c>
      <c r="K600" s="1" t="s">
        <v>1498</v>
      </c>
      <c r="L600" s="1" t="s">
        <v>1508</v>
      </c>
      <c r="M600" s="1" t="s">
        <v>649</v>
      </c>
      <c r="N600" s="1" t="s">
        <v>35</v>
      </c>
      <c r="O600" s="1" t="str">
        <f>INT(Matrice1!$P600/12) &amp; " ans et " &amp; MOD(Matrice1!$P600,12) &amp; " mois"</f>
        <v>1 ans et 6 mois</v>
      </c>
      <c r="P600">
        <v>18</v>
      </c>
      <c r="Q600" s="1" t="s">
        <v>14</v>
      </c>
      <c r="R600" s="4">
        <f>Matrice1!$S600/1440</f>
        <v>5.2083333333333336E-2</v>
      </c>
      <c r="S600">
        <v>75</v>
      </c>
      <c r="T600">
        <v>57.66</v>
      </c>
      <c r="U600">
        <v>1</v>
      </c>
      <c r="V600" s="8">
        <f>IF(Matrice1!$Q600="Pro Monde",10%,IF(AND(Matrice1!$R600&gt;12,Matrice1!$O600&gt;5),70%,IF(AND(OR(Matrice1!$R600&gt;=4,Matrice1!$R600&lt;=12,Matrice1!$O600&lt;5,(OR(Matrice1!$Q600="Premium ")))),45%,0%)))</f>
        <v>0.1</v>
      </c>
      <c r="W600">
        <f>Matrice1!$T600* (Matrice1!$V600/100)</f>
        <v>5.7659999999999996E-2</v>
      </c>
    </row>
    <row r="601" spans="1:23" x14ac:dyDescent="0.3">
      <c r="A601" s="1" t="s">
        <v>898</v>
      </c>
      <c r="B601" s="2">
        <v>45210</v>
      </c>
      <c r="C601" s="3">
        <v>0.56805555555555554</v>
      </c>
      <c r="D601" s="1" t="s">
        <v>904</v>
      </c>
      <c r="E601">
        <v>96</v>
      </c>
      <c r="F601" s="1" t="s">
        <v>807</v>
      </c>
      <c r="G601" s="1" t="s">
        <v>904</v>
      </c>
      <c r="H601" s="1" t="s">
        <v>64</v>
      </c>
      <c r="I601">
        <v>-5.4126279999999998</v>
      </c>
      <c r="J601">
        <v>25.498235999999999</v>
      </c>
      <c r="K601" s="1" t="s">
        <v>1495</v>
      </c>
      <c r="L601" s="1" t="s">
        <v>1501</v>
      </c>
      <c r="M601" s="1" t="s">
        <v>650</v>
      </c>
      <c r="N601" s="1" t="s">
        <v>64</v>
      </c>
      <c r="O601" s="1" t="str">
        <f>INT(Matrice1!$P601/12) &amp; " ans et " &amp; MOD(Matrice1!$P601,12) &amp; " mois"</f>
        <v>1 ans et 2 mois</v>
      </c>
      <c r="P601">
        <v>14</v>
      </c>
      <c r="Q601" s="1" t="s">
        <v>14</v>
      </c>
      <c r="R601" s="4">
        <f>Matrice1!$S601/1440</f>
        <v>0.16388888888888889</v>
      </c>
      <c r="S601">
        <v>236</v>
      </c>
      <c r="T601">
        <v>54.43</v>
      </c>
      <c r="U601">
        <v>3</v>
      </c>
      <c r="V601" s="8">
        <f>IF(Matrice1!$Q601="Pro Monde",10%,IF(AND(Matrice1!$R601&gt;12,Matrice1!$O601&gt;5),70%,IF(AND(OR(Matrice1!$R601&gt;=4,Matrice1!$R601&lt;=12,Matrice1!$O601&lt;5,(OR(Matrice1!$Q601="Premium ")))),45%,0%)))</f>
        <v>0.1</v>
      </c>
      <c r="W601">
        <f>Matrice1!$T601* (Matrice1!$V601/100)</f>
        <v>5.4429999999999999E-2</v>
      </c>
    </row>
    <row r="602" spans="1:23" x14ac:dyDescent="0.3">
      <c r="A602" s="1" t="s">
        <v>854</v>
      </c>
      <c r="B602" s="2">
        <v>45221</v>
      </c>
      <c r="C602" s="3">
        <v>0.77500000000000002</v>
      </c>
      <c r="D602" s="1" t="s">
        <v>889</v>
      </c>
      <c r="E602">
        <v>24</v>
      </c>
      <c r="F602" s="1" t="s">
        <v>807</v>
      </c>
      <c r="G602" s="1" t="s">
        <v>889</v>
      </c>
      <c r="H602" s="1" t="s">
        <v>16</v>
      </c>
      <c r="I602">
        <v>-11.514188000000001</v>
      </c>
      <c r="J602">
        <v>15.971181</v>
      </c>
      <c r="K602" s="1" t="s">
        <v>1495</v>
      </c>
      <c r="L602" s="1" t="s">
        <v>1496</v>
      </c>
      <c r="M602" s="1" t="s">
        <v>651</v>
      </c>
      <c r="N602" s="1" t="s">
        <v>16</v>
      </c>
      <c r="O602" s="1" t="str">
        <f>INT(Matrice1!$P602/12) &amp; " ans et " &amp; MOD(Matrice1!$P602,12) &amp; " mois"</f>
        <v>3 ans et 6 mois</v>
      </c>
      <c r="P602">
        <v>42</v>
      </c>
      <c r="Q602" s="1" t="s">
        <v>19</v>
      </c>
      <c r="R602" s="4">
        <f>Matrice1!$S602/1440</f>
        <v>0.31111111111111112</v>
      </c>
      <c r="S602">
        <v>448</v>
      </c>
      <c r="T602">
        <v>49.02</v>
      </c>
      <c r="U602">
        <v>0</v>
      </c>
      <c r="V602" s="8">
        <f>IF(Matrice1!$Q602="Pro Monde",10%,IF(AND(Matrice1!$R602&gt;12,Matrice1!$O602&gt;5),70%,IF(AND(OR(Matrice1!$R602&gt;=4,Matrice1!$R602&lt;=12,Matrice1!$O602&lt;5,(OR(Matrice1!$Q602="Premium ")))),45%,0%)))</f>
        <v>0.45</v>
      </c>
      <c r="W602">
        <f>Matrice1!$T602* (Matrice1!$V602/100)</f>
        <v>0.22059000000000004</v>
      </c>
    </row>
    <row r="603" spans="1:23" x14ac:dyDescent="0.3">
      <c r="A603" s="1" t="s">
        <v>805</v>
      </c>
      <c r="B603" s="2">
        <v>45214</v>
      </c>
      <c r="C603" s="3">
        <v>0.71319444444444446</v>
      </c>
      <c r="D603" s="1" t="s">
        <v>828</v>
      </c>
      <c r="E603">
        <v>25</v>
      </c>
      <c r="F603" s="1" t="s">
        <v>807</v>
      </c>
      <c r="G603" s="1" t="s">
        <v>828</v>
      </c>
      <c r="H603" s="1" t="s">
        <v>24</v>
      </c>
      <c r="I603">
        <v>0.172153</v>
      </c>
      <c r="J603">
        <v>21.091376</v>
      </c>
      <c r="K603" s="1" t="s">
        <v>1500</v>
      </c>
      <c r="L603" s="1" t="s">
        <v>1496</v>
      </c>
      <c r="M603" s="1" t="s">
        <v>652</v>
      </c>
      <c r="N603" s="1" t="s">
        <v>24</v>
      </c>
      <c r="O603" s="1" t="str">
        <f>INT(Matrice1!$P603/12) &amp; " ans et " &amp; MOD(Matrice1!$P603,12) &amp; " mois"</f>
        <v>9 ans et 3 mois</v>
      </c>
      <c r="P603">
        <v>111</v>
      </c>
      <c r="Q603" s="1" t="s">
        <v>22</v>
      </c>
      <c r="R603" s="4">
        <f>Matrice1!$S603/1440</f>
        <v>3.7499999999999999E-2</v>
      </c>
      <c r="S603">
        <v>54</v>
      </c>
      <c r="T603">
        <v>71.3</v>
      </c>
      <c r="U603">
        <v>0</v>
      </c>
      <c r="V603" s="8">
        <f>IF(Matrice1!$Q603="Pro Monde",10%,IF(AND(Matrice1!$R603&gt;12,Matrice1!$O603&gt;5),70%,IF(AND(OR(Matrice1!$R603&gt;=4,Matrice1!$R603&lt;=12,Matrice1!$O603&lt;5,(OR(Matrice1!$Q603="Premium ")))),45%,0%)))</f>
        <v>0.45</v>
      </c>
      <c r="W603">
        <f>Matrice1!$T603* (Matrice1!$V603/100)</f>
        <v>0.32085000000000002</v>
      </c>
    </row>
    <row r="604" spans="1:23" x14ac:dyDescent="0.3">
      <c r="A604" s="1" t="s">
        <v>805</v>
      </c>
      <c r="B604" s="2">
        <v>45211</v>
      </c>
      <c r="C604" s="3">
        <v>0.27916666666666667</v>
      </c>
      <c r="D604" s="1" t="s">
        <v>838</v>
      </c>
      <c r="E604">
        <v>75</v>
      </c>
      <c r="F604" s="1" t="s">
        <v>807</v>
      </c>
      <c r="G604" s="1" t="s">
        <v>838</v>
      </c>
      <c r="H604" s="1" t="s">
        <v>89</v>
      </c>
      <c r="I604">
        <v>-8.1437910000000002</v>
      </c>
      <c r="J604">
        <v>28.946161</v>
      </c>
      <c r="K604" s="1" t="s">
        <v>1498</v>
      </c>
      <c r="L604" s="1" t="s">
        <v>1501</v>
      </c>
      <c r="M604" s="1" t="s">
        <v>653</v>
      </c>
      <c r="N604" s="1" t="s">
        <v>89</v>
      </c>
      <c r="O604" s="1" t="str">
        <f>INT(Matrice1!$P604/12) &amp; " ans et " &amp; MOD(Matrice1!$P604,12) &amp; " mois"</f>
        <v>7 ans et 5 mois</v>
      </c>
      <c r="P604">
        <v>89</v>
      </c>
      <c r="Q604" s="1" t="s">
        <v>14</v>
      </c>
      <c r="R604" s="4">
        <f>Matrice1!$S604/1440</f>
        <v>0.26458333333333334</v>
      </c>
      <c r="S604">
        <v>381</v>
      </c>
      <c r="T604">
        <v>68.17</v>
      </c>
      <c r="U604">
        <v>0</v>
      </c>
      <c r="V604" s="8">
        <f>IF(Matrice1!$Q604="Pro Monde",10%,IF(AND(Matrice1!$R604&gt;12,Matrice1!$O604&gt;5),70%,IF(AND(OR(Matrice1!$R604&gt;=4,Matrice1!$R604&lt;=12,Matrice1!$O604&lt;5,(OR(Matrice1!$Q604="Premium ")))),45%,0%)))</f>
        <v>0.1</v>
      </c>
      <c r="W604">
        <f>Matrice1!$T604* (Matrice1!$V604/100)</f>
        <v>6.8170000000000008E-2</v>
      </c>
    </row>
    <row r="605" spans="1:23" x14ac:dyDescent="0.3">
      <c r="A605" s="1" t="s">
        <v>898</v>
      </c>
      <c r="B605" s="2">
        <v>45210</v>
      </c>
      <c r="C605" s="3">
        <v>0.56805555555555554</v>
      </c>
      <c r="D605" s="1" t="s">
        <v>904</v>
      </c>
      <c r="E605">
        <v>96</v>
      </c>
      <c r="F605" s="1" t="s">
        <v>807</v>
      </c>
      <c r="G605" s="1" t="s">
        <v>904</v>
      </c>
      <c r="H605" s="1" t="s">
        <v>64</v>
      </c>
      <c r="I605">
        <v>-5.4126279999999998</v>
      </c>
      <c r="J605">
        <v>25.498235999999999</v>
      </c>
      <c r="K605" s="1" t="s">
        <v>1495</v>
      </c>
      <c r="L605" s="1" t="s">
        <v>1501</v>
      </c>
      <c r="M605" s="1" t="s">
        <v>654</v>
      </c>
      <c r="N605" s="1" t="s">
        <v>64</v>
      </c>
      <c r="O605" s="1" t="str">
        <f>INT(Matrice1!$P605/12) &amp; " ans et " &amp; MOD(Matrice1!$P605,12) &amp; " mois"</f>
        <v>7 ans et 9 mois</v>
      </c>
      <c r="P605">
        <v>93</v>
      </c>
      <c r="Q605" s="1" t="s">
        <v>14</v>
      </c>
      <c r="R605" s="4">
        <f>Matrice1!$S605/1440</f>
        <v>3.888888888888889E-2</v>
      </c>
      <c r="S605">
        <v>56</v>
      </c>
      <c r="T605">
        <v>96.31</v>
      </c>
      <c r="U605">
        <v>4</v>
      </c>
      <c r="V605" s="8">
        <f>IF(Matrice1!$Q605="Pro Monde",10%,IF(AND(Matrice1!$R605&gt;12,Matrice1!$O605&gt;5),70%,IF(AND(OR(Matrice1!$R605&gt;=4,Matrice1!$R605&lt;=12,Matrice1!$O605&lt;5,(OR(Matrice1!$Q605="Premium ")))),45%,0%)))</f>
        <v>0.1</v>
      </c>
      <c r="W605">
        <f>Matrice1!$T605* (Matrice1!$V605/100)</f>
        <v>9.6310000000000007E-2</v>
      </c>
    </row>
    <row r="606" spans="1:23" x14ac:dyDescent="0.3">
      <c r="A606" s="1" t="s">
        <v>898</v>
      </c>
      <c r="B606" s="2">
        <v>45206</v>
      </c>
      <c r="C606" s="3">
        <v>0.6875</v>
      </c>
      <c r="D606" s="1" t="s">
        <v>926</v>
      </c>
      <c r="E606">
        <v>76</v>
      </c>
      <c r="F606" s="1" t="s">
        <v>812</v>
      </c>
      <c r="G606" s="1" t="s">
        <v>926</v>
      </c>
      <c r="H606" s="1" t="s">
        <v>127</v>
      </c>
      <c r="I606">
        <v>-12.100756000000001</v>
      </c>
      <c r="J606">
        <v>21.938649999999999</v>
      </c>
      <c r="K606" s="1" t="s">
        <v>1498</v>
      </c>
      <c r="L606" s="1" t="s">
        <v>1499</v>
      </c>
      <c r="M606" s="1" t="s">
        <v>655</v>
      </c>
      <c r="N606" s="1" t="s">
        <v>127</v>
      </c>
      <c r="O606" s="1" t="str">
        <f>INT(Matrice1!$P606/12) &amp; " ans et " &amp; MOD(Matrice1!$P606,12) &amp; " mois"</f>
        <v>4 ans et 8 mois</v>
      </c>
      <c r="P606">
        <v>56</v>
      </c>
      <c r="Q606" s="1" t="s">
        <v>11</v>
      </c>
      <c r="R606" s="4">
        <f>Matrice1!$S606/1440</f>
        <v>8.5416666666666669E-2</v>
      </c>
      <c r="S606">
        <v>123</v>
      </c>
      <c r="T606">
        <v>29.76</v>
      </c>
      <c r="U606">
        <v>5</v>
      </c>
      <c r="V606" s="8">
        <f>IF(Matrice1!$Q606="Pro Monde",10%,IF(AND(Matrice1!$R606&gt;12,Matrice1!$O606&gt;5),70%,IF(AND(OR(Matrice1!$R606&gt;=4,Matrice1!$R606&lt;=12,Matrice1!$O606&lt;5,(OR(Matrice1!$Q606="Premium ")))),45%,0%)))</f>
        <v>0.45</v>
      </c>
      <c r="W606">
        <f>Matrice1!$T606* (Matrice1!$V606/100)</f>
        <v>0.13392000000000001</v>
      </c>
    </row>
    <row r="607" spans="1:23" x14ac:dyDescent="0.3">
      <c r="A607" s="1" t="s">
        <v>854</v>
      </c>
      <c r="B607" s="2">
        <v>45213</v>
      </c>
      <c r="C607" s="3">
        <v>0.94861111111111107</v>
      </c>
      <c r="D607" s="1" t="s">
        <v>874</v>
      </c>
      <c r="E607">
        <v>72</v>
      </c>
      <c r="F607" s="1" t="s">
        <v>810</v>
      </c>
      <c r="G607" s="1" t="s">
        <v>874</v>
      </c>
      <c r="H607" s="1" t="s">
        <v>35</v>
      </c>
      <c r="I607">
        <v>-2.7140689999999998</v>
      </c>
      <c r="J607">
        <v>22.222104000000002</v>
      </c>
      <c r="K607" s="1" t="s">
        <v>1498</v>
      </c>
      <c r="L607" s="1" t="s">
        <v>1508</v>
      </c>
      <c r="M607" s="1" t="s">
        <v>656</v>
      </c>
      <c r="N607" s="1" t="s">
        <v>35</v>
      </c>
      <c r="O607" s="1" t="str">
        <f>INT(Matrice1!$P607/12) &amp; " ans et " &amp; MOD(Matrice1!$P607,12) &amp; " mois"</f>
        <v>2 ans et 5 mois</v>
      </c>
      <c r="P607">
        <v>29</v>
      </c>
      <c r="Q607" s="1" t="s">
        <v>11</v>
      </c>
      <c r="R607" s="4">
        <f>Matrice1!$S607/1440</f>
        <v>5.5555555555555558E-3</v>
      </c>
      <c r="S607">
        <v>8</v>
      </c>
      <c r="T607">
        <v>14.78</v>
      </c>
      <c r="U607">
        <v>2</v>
      </c>
      <c r="V607" s="8">
        <f>IF(Matrice1!$Q607="Pro Monde",10%,IF(AND(Matrice1!$R607&gt;12,Matrice1!$O607&gt;5),70%,IF(AND(OR(Matrice1!$R607&gt;=4,Matrice1!$R607&lt;=12,Matrice1!$O607&lt;5,(OR(Matrice1!$Q607="Premium ")))),45%,0%)))</f>
        <v>0.45</v>
      </c>
      <c r="W607">
        <f>Matrice1!$T607* (Matrice1!$V607/100)</f>
        <v>6.651E-2</v>
      </c>
    </row>
    <row r="608" spans="1:23" x14ac:dyDescent="0.3">
      <c r="A608" s="1" t="s">
        <v>1014</v>
      </c>
      <c r="B608" s="2">
        <v>45225</v>
      </c>
      <c r="C608" s="3">
        <v>0.21527777777777779</v>
      </c>
      <c r="D608" s="1" t="s">
        <v>1043</v>
      </c>
      <c r="E608">
        <v>41</v>
      </c>
      <c r="F608" s="1" t="s">
        <v>812</v>
      </c>
      <c r="G608" s="1" t="s">
        <v>1043</v>
      </c>
      <c r="H608" s="1" t="s">
        <v>44</v>
      </c>
      <c r="I608">
        <v>-4.9552579999999997</v>
      </c>
      <c r="J608">
        <v>22.008103999999999</v>
      </c>
      <c r="K608" s="1" t="s">
        <v>1498</v>
      </c>
      <c r="L608" s="1" t="s">
        <v>1499</v>
      </c>
      <c r="M608" s="1" t="s">
        <v>657</v>
      </c>
      <c r="N608" s="1" t="s">
        <v>44</v>
      </c>
      <c r="O608" s="1" t="str">
        <f>INT(Matrice1!$P608/12) &amp; " ans et " &amp; MOD(Matrice1!$P608,12) &amp; " mois"</f>
        <v>1 ans et 10 mois</v>
      </c>
      <c r="P608">
        <v>22</v>
      </c>
      <c r="Q608" s="1" t="s">
        <v>14</v>
      </c>
      <c r="R608" s="4">
        <f>Matrice1!$S608/1440</f>
        <v>0.31736111111111109</v>
      </c>
      <c r="S608">
        <v>457</v>
      </c>
      <c r="T608">
        <v>13.21</v>
      </c>
      <c r="U608">
        <v>1</v>
      </c>
      <c r="V608" s="8">
        <f>IF(Matrice1!$Q608="Pro Monde",10%,IF(AND(Matrice1!$R608&gt;12,Matrice1!$O608&gt;5),70%,IF(AND(OR(Matrice1!$R608&gt;=4,Matrice1!$R608&lt;=12,Matrice1!$O608&lt;5,(OR(Matrice1!$Q608="Premium ")))),45%,0%)))</f>
        <v>0.1</v>
      </c>
      <c r="W608">
        <f>Matrice1!$T608* (Matrice1!$V608/100)</f>
        <v>1.3210000000000001E-2</v>
      </c>
    </row>
    <row r="609" spans="1:23" x14ac:dyDescent="0.3">
      <c r="A609" s="1" t="s">
        <v>805</v>
      </c>
      <c r="B609" s="2">
        <v>45201</v>
      </c>
      <c r="C609" s="3">
        <v>0.88472222222222219</v>
      </c>
      <c r="D609" s="1" t="s">
        <v>833</v>
      </c>
      <c r="E609">
        <v>54</v>
      </c>
      <c r="F609" s="1" t="s">
        <v>812</v>
      </c>
      <c r="G609" s="1" t="s">
        <v>833</v>
      </c>
      <c r="H609" s="1" t="s">
        <v>131</v>
      </c>
      <c r="I609">
        <v>4.6287159999999998</v>
      </c>
      <c r="J609">
        <v>19.407077999999998</v>
      </c>
      <c r="K609" s="1" t="s">
        <v>1498</v>
      </c>
      <c r="L609" s="1" t="s">
        <v>1496</v>
      </c>
      <c r="M609" s="1" t="s">
        <v>658</v>
      </c>
      <c r="N609" s="1" t="s">
        <v>131</v>
      </c>
      <c r="O609" s="1" t="str">
        <f>INT(Matrice1!$P609/12) &amp; " ans et " &amp; MOD(Matrice1!$P609,12) &amp; " mois"</f>
        <v>1 ans et 0 mois</v>
      </c>
      <c r="P609">
        <v>12</v>
      </c>
      <c r="Q609" s="1" t="s">
        <v>22</v>
      </c>
      <c r="R609" s="4">
        <f>Matrice1!$S609/1440</f>
        <v>0.16319444444444445</v>
      </c>
      <c r="S609">
        <v>235</v>
      </c>
      <c r="T609">
        <v>33.96</v>
      </c>
      <c r="U609">
        <v>4</v>
      </c>
      <c r="V609" s="8">
        <f>IF(Matrice1!$Q609="Pro Monde",10%,IF(AND(Matrice1!$R609&gt;12,Matrice1!$O609&gt;5),70%,IF(AND(OR(Matrice1!$R609&gt;=4,Matrice1!$R609&lt;=12,Matrice1!$O609&lt;5,(OR(Matrice1!$Q609="Premium ")))),45%,0%)))</f>
        <v>0.45</v>
      </c>
      <c r="W609">
        <f>Matrice1!$T609* (Matrice1!$V609/100)</f>
        <v>0.15282000000000001</v>
      </c>
    </row>
    <row r="610" spans="1:23" x14ac:dyDescent="0.3">
      <c r="A610" s="1" t="s">
        <v>805</v>
      </c>
      <c r="B610" s="2">
        <v>45213</v>
      </c>
      <c r="C610" s="3">
        <v>4.2361111111111113E-2</v>
      </c>
      <c r="D610" s="1" t="s">
        <v>814</v>
      </c>
      <c r="E610">
        <v>119</v>
      </c>
      <c r="F610" s="1" t="s">
        <v>810</v>
      </c>
      <c r="G610" s="1" t="s">
        <v>814</v>
      </c>
      <c r="H610" s="1" t="s">
        <v>62</v>
      </c>
      <c r="I610">
        <v>-2.8211520000000001</v>
      </c>
      <c r="J610">
        <v>20.651419000000001</v>
      </c>
      <c r="K610" s="1" t="s">
        <v>1495</v>
      </c>
      <c r="L610" s="1" t="s">
        <v>1496</v>
      </c>
      <c r="M610" s="1" t="s">
        <v>659</v>
      </c>
      <c r="N610" s="1" t="s">
        <v>62</v>
      </c>
      <c r="O610" s="1" t="str">
        <f>INT(Matrice1!$P610/12) &amp; " ans et " &amp; MOD(Matrice1!$P610,12) &amp; " mois"</f>
        <v>2 ans et 1 mois</v>
      </c>
      <c r="P610">
        <v>25</v>
      </c>
      <c r="Q610" s="1" t="s">
        <v>19</v>
      </c>
      <c r="R610" s="4">
        <f>Matrice1!$S610/1440</f>
        <v>6.5972222222222224E-2</v>
      </c>
      <c r="S610">
        <v>95</v>
      </c>
      <c r="T610">
        <v>15.93</v>
      </c>
      <c r="U610">
        <v>4</v>
      </c>
      <c r="V610" s="8">
        <f>IF(Matrice1!$Q610="Pro Monde",10%,IF(AND(Matrice1!$R610&gt;12,Matrice1!$O610&gt;5),70%,IF(AND(OR(Matrice1!$R610&gt;=4,Matrice1!$R610&lt;=12,Matrice1!$O610&lt;5,(OR(Matrice1!$Q610="Premium ")))),45%,0%)))</f>
        <v>0.45</v>
      </c>
      <c r="W610">
        <f>Matrice1!$T610* (Matrice1!$V610/100)</f>
        <v>7.1685000000000013E-2</v>
      </c>
    </row>
    <row r="611" spans="1:23" x14ac:dyDescent="0.3">
      <c r="A611" s="1" t="s">
        <v>1133</v>
      </c>
      <c r="B611" s="2">
        <v>45222</v>
      </c>
      <c r="C611" s="3">
        <v>0.58472222222222225</v>
      </c>
      <c r="D611" s="1" t="s">
        <v>1155</v>
      </c>
      <c r="E611">
        <v>15</v>
      </c>
      <c r="F611" s="1" t="s">
        <v>812</v>
      </c>
      <c r="G611" s="1" t="s">
        <v>1155</v>
      </c>
      <c r="H611" s="1" t="s">
        <v>60</v>
      </c>
      <c r="I611">
        <v>-9.1215879999999991</v>
      </c>
      <c r="J611">
        <v>16.457916999999998</v>
      </c>
      <c r="K611" s="1" t="s">
        <v>1498</v>
      </c>
      <c r="L611" s="1" t="s">
        <v>1508</v>
      </c>
      <c r="M611" s="1" t="s">
        <v>660</v>
      </c>
      <c r="N611" s="1" t="s">
        <v>60</v>
      </c>
      <c r="O611" s="1" t="str">
        <f>INT(Matrice1!$P611/12) &amp; " ans et " &amp; MOD(Matrice1!$P611,12) &amp; " mois"</f>
        <v>7 ans et 9 mois</v>
      </c>
      <c r="P611">
        <v>93</v>
      </c>
      <c r="Q611" s="1" t="s">
        <v>11</v>
      </c>
      <c r="R611" s="4">
        <f>Matrice1!$S611/1440</f>
        <v>9.4444444444444442E-2</v>
      </c>
      <c r="S611">
        <v>136</v>
      </c>
      <c r="T611">
        <v>19.09</v>
      </c>
      <c r="U611">
        <v>1</v>
      </c>
      <c r="V611" s="8">
        <f>IF(Matrice1!$Q611="Pro Monde",10%,IF(AND(Matrice1!$R611&gt;12,Matrice1!$O611&gt;5),70%,IF(AND(OR(Matrice1!$R611&gt;=4,Matrice1!$R611&lt;=12,Matrice1!$O611&lt;5,(OR(Matrice1!$Q611="Premium ")))),45%,0%)))</f>
        <v>0.45</v>
      </c>
      <c r="W611">
        <f>Matrice1!$T611* (Matrice1!$V611/100)</f>
        <v>8.5905000000000009E-2</v>
      </c>
    </row>
    <row r="612" spans="1:23" x14ac:dyDescent="0.3">
      <c r="A612" s="1" t="s">
        <v>805</v>
      </c>
      <c r="B612" s="2">
        <v>45203</v>
      </c>
      <c r="C612" s="3">
        <v>0.51180555555555551</v>
      </c>
      <c r="D612" s="1" t="s">
        <v>835</v>
      </c>
      <c r="E612">
        <v>64</v>
      </c>
      <c r="F612" s="1" t="s">
        <v>812</v>
      </c>
      <c r="G612" s="1" t="s">
        <v>835</v>
      </c>
      <c r="H612" s="1" t="s">
        <v>73</v>
      </c>
      <c r="I612">
        <v>0.23583499999999999</v>
      </c>
      <c r="J612">
        <v>24.889558999999998</v>
      </c>
      <c r="K612" s="1" t="s">
        <v>1500</v>
      </c>
      <c r="L612" s="1" t="s">
        <v>1501</v>
      </c>
      <c r="M612" s="1" t="s">
        <v>661</v>
      </c>
      <c r="N612" s="1" t="s">
        <v>73</v>
      </c>
      <c r="O612" s="1" t="str">
        <f>INT(Matrice1!$P612/12) &amp; " ans et " &amp; MOD(Matrice1!$P612,12) &amp; " mois"</f>
        <v>9 ans et 8 mois</v>
      </c>
      <c r="P612">
        <v>116</v>
      </c>
      <c r="Q612" s="1" t="s">
        <v>11</v>
      </c>
      <c r="R612" s="4">
        <f>Matrice1!$S612/1440</f>
        <v>9.7222222222222224E-3</v>
      </c>
      <c r="S612">
        <v>14</v>
      </c>
      <c r="T612">
        <v>30.38</v>
      </c>
      <c r="U612">
        <v>1</v>
      </c>
      <c r="V612" s="8">
        <f>IF(Matrice1!$Q612="Pro Monde",10%,IF(AND(Matrice1!$R612&gt;12,Matrice1!$O612&gt;5),70%,IF(AND(OR(Matrice1!$R612&gt;=4,Matrice1!$R612&lt;=12,Matrice1!$O612&lt;5,(OR(Matrice1!$Q612="Premium ")))),45%,0%)))</f>
        <v>0.45</v>
      </c>
      <c r="W612">
        <f>Matrice1!$T612* (Matrice1!$V612/100)</f>
        <v>0.13671</v>
      </c>
    </row>
    <row r="613" spans="1:23" x14ac:dyDescent="0.3">
      <c r="A613" s="1" t="s">
        <v>805</v>
      </c>
      <c r="B613" s="2">
        <v>45213</v>
      </c>
      <c r="C613" s="3">
        <v>4.2361111111111113E-2</v>
      </c>
      <c r="D613" s="1" t="s">
        <v>814</v>
      </c>
      <c r="E613">
        <v>119</v>
      </c>
      <c r="F613" s="1" t="s">
        <v>810</v>
      </c>
      <c r="G613" s="1" t="s">
        <v>814</v>
      </c>
      <c r="H613" s="1" t="s">
        <v>62</v>
      </c>
      <c r="I613">
        <v>-2.8211520000000001</v>
      </c>
      <c r="J613">
        <v>20.651419000000001</v>
      </c>
      <c r="K613" s="1" t="s">
        <v>1495</v>
      </c>
      <c r="L613" s="1" t="s">
        <v>1496</v>
      </c>
      <c r="M613" s="1" t="s">
        <v>662</v>
      </c>
      <c r="N613" s="1" t="s">
        <v>62</v>
      </c>
      <c r="O613" s="1" t="str">
        <f>INT(Matrice1!$P613/12) &amp; " ans et " &amp; MOD(Matrice1!$P613,12) &amp; " mois"</f>
        <v>8 ans et 8 mois</v>
      </c>
      <c r="P613">
        <v>104</v>
      </c>
      <c r="Q613" s="1" t="s">
        <v>19</v>
      </c>
      <c r="R613" s="4">
        <f>Matrice1!$S613/1440</f>
        <v>0.16875000000000001</v>
      </c>
      <c r="S613">
        <v>243</v>
      </c>
      <c r="T613">
        <v>65.819999999999993</v>
      </c>
      <c r="U613">
        <v>0</v>
      </c>
      <c r="V613" s="8">
        <f>IF(Matrice1!$Q613="Pro Monde",10%,IF(AND(Matrice1!$R613&gt;12,Matrice1!$O613&gt;5),70%,IF(AND(OR(Matrice1!$R613&gt;=4,Matrice1!$R613&lt;=12,Matrice1!$O613&lt;5,(OR(Matrice1!$Q613="Premium ")))),45%,0%)))</f>
        <v>0.45</v>
      </c>
      <c r="W613">
        <f>Matrice1!$T613* (Matrice1!$V613/100)</f>
        <v>0.29619000000000001</v>
      </c>
    </row>
    <row r="614" spans="1:23" x14ac:dyDescent="0.3">
      <c r="A614" s="1" t="s">
        <v>1073</v>
      </c>
      <c r="B614" s="2">
        <v>45221</v>
      </c>
      <c r="C614" s="3">
        <v>0.37638888888888888</v>
      </c>
      <c r="D614" s="1" t="s">
        <v>1096</v>
      </c>
      <c r="E614">
        <v>59</v>
      </c>
      <c r="F614" s="1" t="s">
        <v>812</v>
      </c>
      <c r="G614" s="1" t="s">
        <v>1096</v>
      </c>
      <c r="H614" s="1" t="s">
        <v>78</v>
      </c>
      <c r="I614">
        <v>-8.4824669999999998</v>
      </c>
      <c r="J614">
        <v>21.897777999999999</v>
      </c>
      <c r="K614" s="1" t="s">
        <v>1495</v>
      </c>
      <c r="L614" s="1" t="s">
        <v>1496</v>
      </c>
      <c r="M614" s="1" t="s">
        <v>663</v>
      </c>
      <c r="N614" s="1" t="s">
        <v>78</v>
      </c>
      <c r="O614" s="1" t="str">
        <f>INT(Matrice1!$P614/12) &amp; " ans et " &amp; MOD(Matrice1!$P614,12) &amp; " mois"</f>
        <v>4 ans et 0 mois</v>
      </c>
      <c r="P614">
        <v>48</v>
      </c>
      <c r="Q614" s="1" t="s">
        <v>11</v>
      </c>
      <c r="R614" s="4">
        <f>Matrice1!$S614/1440</f>
        <v>0.23472222222222222</v>
      </c>
      <c r="S614">
        <v>338</v>
      </c>
      <c r="T614">
        <v>74.42</v>
      </c>
      <c r="U614">
        <v>0</v>
      </c>
      <c r="V614" s="8">
        <f>IF(Matrice1!$Q614="Pro Monde",10%,IF(AND(Matrice1!$R614&gt;12,Matrice1!$O614&gt;5),70%,IF(AND(OR(Matrice1!$R614&gt;=4,Matrice1!$R614&lt;=12,Matrice1!$O614&lt;5,(OR(Matrice1!$Q614="Premium ")))),45%,0%)))</f>
        <v>0.45</v>
      </c>
      <c r="W614">
        <f>Matrice1!$T614* (Matrice1!$V614/100)</f>
        <v>0.33489000000000002</v>
      </c>
    </row>
    <row r="615" spans="1:23" x14ac:dyDescent="0.3">
      <c r="A615" s="1" t="s">
        <v>854</v>
      </c>
      <c r="B615" s="2">
        <v>45221</v>
      </c>
      <c r="C615" s="3">
        <v>0.77500000000000002</v>
      </c>
      <c r="D615" s="1" t="s">
        <v>889</v>
      </c>
      <c r="E615">
        <v>24</v>
      </c>
      <c r="F615" s="1" t="s">
        <v>807</v>
      </c>
      <c r="G615" s="1" t="s">
        <v>889</v>
      </c>
      <c r="H615" s="1" t="s">
        <v>16</v>
      </c>
      <c r="I615">
        <v>-11.514188000000001</v>
      </c>
      <c r="J615">
        <v>15.971181</v>
      </c>
      <c r="K615" s="1" t="s">
        <v>1495</v>
      </c>
      <c r="L615" s="1" t="s">
        <v>1496</v>
      </c>
      <c r="M615" s="1" t="s">
        <v>664</v>
      </c>
      <c r="N615" s="1" t="s">
        <v>16</v>
      </c>
      <c r="O615" s="1" t="str">
        <f>INT(Matrice1!$P615/12) &amp; " ans et " &amp; MOD(Matrice1!$P615,12) &amp; " mois"</f>
        <v>8 ans et 9 mois</v>
      </c>
      <c r="P615">
        <v>105</v>
      </c>
      <c r="Q615" s="1" t="s">
        <v>22</v>
      </c>
      <c r="R615" s="4">
        <f>Matrice1!$S615/1440</f>
        <v>0.18819444444444444</v>
      </c>
      <c r="S615">
        <v>271</v>
      </c>
      <c r="T615">
        <v>45.27</v>
      </c>
      <c r="U615">
        <v>2</v>
      </c>
      <c r="V615" s="8">
        <f>IF(Matrice1!$Q615="Pro Monde",10%,IF(AND(Matrice1!$R615&gt;12,Matrice1!$O615&gt;5),70%,IF(AND(OR(Matrice1!$R615&gt;=4,Matrice1!$R615&lt;=12,Matrice1!$O615&lt;5,(OR(Matrice1!$Q615="Premium ")))),45%,0%)))</f>
        <v>0.45</v>
      </c>
      <c r="W615">
        <f>Matrice1!$T615* (Matrice1!$V615/100)</f>
        <v>0.20371500000000003</v>
      </c>
    </row>
    <row r="616" spans="1:23" x14ac:dyDescent="0.3">
      <c r="A616" s="1" t="s">
        <v>898</v>
      </c>
      <c r="B616" s="2">
        <v>45210</v>
      </c>
      <c r="C616" s="3">
        <v>0.56805555555555554</v>
      </c>
      <c r="D616" s="1" t="s">
        <v>904</v>
      </c>
      <c r="E616">
        <v>96</v>
      </c>
      <c r="F616" s="1" t="s">
        <v>807</v>
      </c>
      <c r="G616" s="1" t="s">
        <v>904</v>
      </c>
      <c r="H616" s="1" t="s">
        <v>64</v>
      </c>
      <c r="I616">
        <v>-5.4126279999999998</v>
      </c>
      <c r="J616">
        <v>25.498235999999999</v>
      </c>
      <c r="K616" s="1" t="s">
        <v>1495</v>
      </c>
      <c r="L616" s="1" t="s">
        <v>1501</v>
      </c>
      <c r="M616" s="1" t="s">
        <v>665</v>
      </c>
      <c r="N616" s="1" t="s">
        <v>64</v>
      </c>
      <c r="O616" s="1" t="str">
        <f>INT(Matrice1!$P616/12) &amp; " ans et " &amp; MOD(Matrice1!$P616,12) &amp; " mois"</f>
        <v>9 ans et 8 mois</v>
      </c>
      <c r="P616">
        <v>116</v>
      </c>
      <c r="Q616" s="1" t="s">
        <v>22</v>
      </c>
      <c r="R616" s="4">
        <f>Matrice1!$S616/1440</f>
        <v>0.16041666666666668</v>
      </c>
      <c r="S616">
        <v>231</v>
      </c>
      <c r="T616">
        <v>19.12</v>
      </c>
      <c r="U616">
        <v>5</v>
      </c>
      <c r="V616" s="8">
        <f>IF(Matrice1!$Q616="Pro Monde",10%,IF(AND(Matrice1!$R616&gt;12,Matrice1!$O616&gt;5),70%,IF(AND(OR(Matrice1!$R616&gt;=4,Matrice1!$R616&lt;=12,Matrice1!$O616&lt;5,(OR(Matrice1!$Q616="Premium ")))),45%,0%)))</f>
        <v>0.45</v>
      </c>
      <c r="W616">
        <f>Matrice1!$T616* (Matrice1!$V616/100)</f>
        <v>8.6040000000000019E-2</v>
      </c>
    </row>
    <row r="617" spans="1:23" x14ac:dyDescent="0.3">
      <c r="A617" s="1" t="s">
        <v>805</v>
      </c>
      <c r="B617" s="2">
        <v>45213</v>
      </c>
      <c r="C617" s="3">
        <v>0.31111111111111112</v>
      </c>
      <c r="D617" s="1" t="s">
        <v>819</v>
      </c>
      <c r="E617">
        <v>22</v>
      </c>
      <c r="F617" s="1" t="s">
        <v>810</v>
      </c>
      <c r="G617" s="1" t="s">
        <v>819</v>
      </c>
      <c r="H617" s="1" t="s">
        <v>40</v>
      </c>
      <c r="I617">
        <v>4.8319039999999998</v>
      </c>
      <c r="J617">
        <v>20.733468999999999</v>
      </c>
      <c r="K617" s="1" t="s">
        <v>1495</v>
      </c>
      <c r="L617" s="1" t="s">
        <v>1496</v>
      </c>
      <c r="M617" s="1" t="s">
        <v>666</v>
      </c>
      <c r="N617" s="1" t="s">
        <v>40</v>
      </c>
      <c r="O617" s="1" t="str">
        <f>INT(Matrice1!$P617/12) &amp; " ans et " &amp; MOD(Matrice1!$P617,12) &amp; " mois"</f>
        <v>5 ans et 9 mois</v>
      </c>
      <c r="P617">
        <v>69</v>
      </c>
      <c r="Q617" s="1" t="s">
        <v>19</v>
      </c>
      <c r="R617" s="4">
        <f>Matrice1!$S617/1440</f>
        <v>0.125</v>
      </c>
      <c r="S617">
        <v>180</v>
      </c>
      <c r="T617">
        <v>76.05</v>
      </c>
      <c r="U617">
        <v>2</v>
      </c>
      <c r="V617" s="8">
        <f>IF(Matrice1!$Q617="Pro Monde",10%,IF(AND(Matrice1!$R617&gt;12,Matrice1!$O617&gt;5),70%,IF(AND(OR(Matrice1!$R617&gt;=4,Matrice1!$R617&lt;=12,Matrice1!$O617&lt;5,(OR(Matrice1!$Q617="Premium ")))),45%,0%)))</f>
        <v>0.45</v>
      </c>
      <c r="W617">
        <f>Matrice1!$T617* (Matrice1!$V617/100)</f>
        <v>0.342225</v>
      </c>
    </row>
    <row r="618" spans="1:23" x14ac:dyDescent="0.3">
      <c r="A618" s="1" t="s">
        <v>854</v>
      </c>
      <c r="B618" s="2">
        <v>45222</v>
      </c>
      <c r="C618" s="3">
        <v>0.42708333333333331</v>
      </c>
      <c r="D618" s="1" t="s">
        <v>892</v>
      </c>
      <c r="E618">
        <v>82</v>
      </c>
      <c r="F618" s="1" t="s">
        <v>807</v>
      </c>
      <c r="G618" s="1" t="s">
        <v>892</v>
      </c>
      <c r="H618" s="1" t="s">
        <v>26</v>
      </c>
      <c r="I618">
        <v>-4.4697000000000001E-2</v>
      </c>
      <c r="J618">
        <v>22.943373000000001</v>
      </c>
      <c r="K618" s="1" t="s">
        <v>1500</v>
      </c>
      <c r="L618" s="1" t="s">
        <v>1499</v>
      </c>
      <c r="M618" s="1" t="s">
        <v>667</v>
      </c>
      <c r="N618" s="1" t="s">
        <v>26</v>
      </c>
      <c r="O618" s="1" t="str">
        <f>INT(Matrice1!$P618/12) &amp; " ans et " &amp; MOD(Matrice1!$P618,12) &amp; " mois"</f>
        <v>0 ans et 1 mois</v>
      </c>
      <c r="P618">
        <v>1</v>
      </c>
      <c r="Q618" s="1" t="s">
        <v>19</v>
      </c>
      <c r="R618" s="4">
        <f>Matrice1!$S618/1440</f>
        <v>9.375E-2</v>
      </c>
      <c r="S618">
        <v>135</v>
      </c>
      <c r="T618">
        <v>89.16</v>
      </c>
      <c r="U618">
        <v>3</v>
      </c>
      <c r="V618" s="8">
        <f>IF(Matrice1!$Q618="Pro Monde",10%,IF(AND(Matrice1!$R618&gt;12,Matrice1!$O618&gt;5),70%,IF(AND(OR(Matrice1!$R618&gt;=4,Matrice1!$R618&lt;=12,Matrice1!$O618&lt;5,(OR(Matrice1!$Q618="Premium ")))),45%,0%)))</f>
        <v>0.45</v>
      </c>
      <c r="W618">
        <f>Matrice1!$T618* (Matrice1!$V618/100)</f>
        <v>0.40122000000000002</v>
      </c>
    </row>
    <row r="619" spans="1:23" x14ac:dyDescent="0.3">
      <c r="A619" s="1" t="s">
        <v>898</v>
      </c>
      <c r="B619" s="2">
        <v>45216</v>
      </c>
      <c r="C619" s="3">
        <v>0.90277777777777779</v>
      </c>
      <c r="D619" s="1" t="s">
        <v>929</v>
      </c>
      <c r="E619">
        <v>20</v>
      </c>
      <c r="F619" s="1" t="s">
        <v>812</v>
      </c>
      <c r="G619" s="1" t="s">
        <v>929</v>
      </c>
      <c r="H619" s="1" t="s">
        <v>51</v>
      </c>
      <c r="I619">
        <v>-4.2408359999999998</v>
      </c>
      <c r="J619">
        <v>26.210014000000001</v>
      </c>
      <c r="K619" s="1" t="s">
        <v>1498</v>
      </c>
      <c r="L619" s="1" t="s">
        <v>1499</v>
      </c>
      <c r="M619" s="1" t="s">
        <v>668</v>
      </c>
      <c r="N619" s="1" t="s">
        <v>51</v>
      </c>
      <c r="O619" s="1" t="str">
        <f>INT(Matrice1!$P619/12) &amp; " ans et " &amp; MOD(Matrice1!$P619,12) &amp; " mois"</f>
        <v>10 ans et 0 mois</v>
      </c>
      <c r="P619">
        <v>120</v>
      </c>
      <c r="Q619" s="1" t="s">
        <v>14</v>
      </c>
      <c r="R619" s="4">
        <f>Matrice1!$S619/1440</f>
        <v>4.1666666666666664E-2</v>
      </c>
      <c r="S619">
        <v>60</v>
      </c>
      <c r="T619">
        <v>34.14</v>
      </c>
      <c r="U619">
        <v>3</v>
      </c>
      <c r="V619" s="8">
        <f>IF(Matrice1!$Q619="Pro Monde",10%,IF(AND(Matrice1!$R619&gt;12,Matrice1!$O619&gt;5),70%,IF(AND(OR(Matrice1!$R619&gt;=4,Matrice1!$R619&lt;=12,Matrice1!$O619&lt;5,(OR(Matrice1!$Q619="Premium ")))),45%,0%)))</f>
        <v>0.1</v>
      </c>
      <c r="W619">
        <f>Matrice1!$T619* (Matrice1!$V619/100)</f>
        <v>3.4140000000000004E-2</v>
      </c>
    </row>
    <row r="620" spans="1:23" x14ac:dyDescent="0.3">
      <c r="A620" s="1" t="s">
        <v>805</v>
      </c>
      <c r="B620" s="2">
        <v>45214</v>
      </c>
      <c r="C620" s="3">
        <v>0.71319444444444446</v>
      </c>
      <c r="D620" s="1" t="s">
        <v>828</v>
      </c>
      <c r="E620">
        <v>25</v>
      </c>
      <c r="F620" s="1" t="s">
        <v>807</v>
      </c>
      <c r="G620" s="1" t="s">
        <v>828</v>
      </c>
      <c r="H620" s="1" t="s">
        <v>24</v>
      </c>
      <c r="I620">
        <v>0.172153</v>
      </c>
      <c r="J620">
        <v>21.091376</v>
      </c>
      <c r="K620" s="1" t="s">
        <v>1500</v>
      </c>
      <c r="L620" s="1" t="s">
        <v>1496</v>
      </c>
      <c r="M620" s="1" t="s">
        <v>669</v>
      </c>
      <c r="N620" s="1" t="s">
        <v>24</v>
      </c>
      <c r="O620" s="1" t="str">
        <f>INT(Matrice1!$P620/12) &amp; " ans et " &amp; MOD(Matrice1!$P620,12) &amp; " mois"</f>
        <v>7 ans et 5 mois</v>
      </c>
      <c r="P620">
        <v>89</v>
      </c>
      <c r="Q620" s="1" t="s">
        <v>19</v>
      </c>
      <c r="R620" s="4">
        <f>Matrice1!$S620/1440</f>
        <v>0.32916666666666666</v>
      </c>
      <c r="S620">
        <v>474</v>
      </c>
      <c r="T620">
        <v>28.51</v>
      </c>
      <c r="U620">
        <v>5</v>
      </c>
      <c r="V620" s="8">
        <f>IF(Matrice1!$Q620="Pro Monde",10%,IF(AND(Matrice1!$R620&gt;12,Matrice1!$O620&gt;5),70%,IF(AND(OR(Matrice1!$R620&gt;=4,Matrice1!$R620&lt;=12,Matrice1!$O620&lt;5,(OR(Matrice1!$Q620="Premium ")))),45%,0%)))</f>
        <v>0.45</v>
      </c>
      <c r="W620">
        <f>Matrice1!$T620* (Matrice1!$V620/100)</f>
        <v>0.12829500000000002</v>
      </c>
    </row>
    <row r="621" spans="1:23" x14ac:dyDescent="0.3">
      <c r="A621" s="1" t="s">
        <v>854</v>
      </c>
      <c r="B621" s="2">
        <v>45219</v>
      </c>
      <c r="C621" s="3">
        <v>0.10138888888888889</v>
      </c>
      <c r="D621" s="1" t="s">
        <v>888</v>
      </c>
      <c r="E621">
        <v>75</v>
      </c>
      <c r="F621" s="1" t="s">
        <v>807</v>
      </c>
      <c r="G621" s="1" t="s">
        <v>888</v>
      </c>
      <c r="H621" s="1" t="s">
        <v>10</v>
      </c>
      <c r="I621">
        <v>-7.0076900000000002</v>
      </c>
      <c r="J621">
        <v>27.367121999999998</v>
      </c>
      <c r="K621" s="1" t="s">
        <v>1500</v>
      </c>
      <c r="L621" s="1" t="s">
        <v>1508</v>
      </c>
      <c r="M621" s="1" t="s">
        <v>670</v>
      </c>
      <c r="N621" s="1" t="s">
        <v>10</v>
      </c>
      <c r="O621" s="1" t="str">
        <f>INT(Matrice1!$P621/12) &amp; " ans et " &amp; MOD(Matrice1!$P621,12) &amp; " mois"</f>
        <v>9 ans et 4 mois</v>
      </c>
      <c r="P621">
        <v>112</v>
      </c>
      <c r="Q621" s="1" t="s">
        <v>22</v>
      </c>
      <c r="R621" s="4">
        <f>Matrice1!$S621/1440</f>
        <v>0.19513888888888889</v>
      </c>
      <c r="S621">
        <v>281</v>
      </c>
      <c r="T621">
        <v>80.72</v>
      </c>
      <c r="U621">
        <v>2</v>
      </c>
      <c r="V621" s="8">
        <f>IF(Matrice1!$Q621="Pro Monde",10%,IF(AND(Matrice1!$R621&gt;12,Matrice1!$O621&gt;5),70%,IF(AND(OR(Matrice1!$R621&gt;=4,Matrice1!$R621&lt;=12,Matrice1!$O621&lt;5,(OR(Matrice1!$Q621="Premium ")))),45%,0%)))</f>
        <v>0.45</v>
      </c>
      <c r="W621">
        <f>Matrice1!$T621* (Matrice1!$V621/100)</f>
        <v>0.36324000000000006</v>
      </c>
    </row>
    <row r="622" spans="1:23" x14ac:dyDescent="0.3">
      <c r="A622" s="1" t="s">
        <v>1073</v>
      </c>
      <c r="B622" s="2">
        <v>45205</v>
      </c>
      <c r="C622" s="3">
        <v>0.47152777777777777</v>
      </c>
      <c r="D622" s="1" t="s">
        <v>1088</v>
      </c>
      <c r="E622">
        <v>50</v>
      </c>
      <c r="F622" s="1" t="s">
        <v>810</v>
      </c>
      <c r="G622" s="1" t="s">
        <v>1088</v>
      </c>
      <c r="H622" s="1" t="s">
        <v>18</v>
      </c>
      <c r="I622">
        <v>2.628638</v>
      </c>
      <c r="J622">
        <v>28.420582</v>
      </c>
      <c r="K622" s="1" t="s">
        <v>1498</v>
      </c>
      <c r="L622" s="1" t="s">
        <v>1499</v>
      </c>
      <c r="M622" s="1" t="s">
        <v>671</v>
      </c>
      <c r="N622" s="1" t="s">
        <v>18</v>
      </c>
      <c r="O622" s="1" t="str">
        <f>INT(Matrice1!$P622/12) &amp; " ans et " &amp; MOD(Matrice1!$P622,12) &amp; " mois"</f>
        <v>0 ans et 7 mois</v>
      </c>
      <c r="P622">
        <v>7</v>
      </c>
      <c r="Q622" s="1" t="s">
        <v>19</v>
      </c>
      <c r="R622" s="4">
        <f>Matrice1!$S622/1440</f>
        <v>2.9861111111111113E-2</v>
      </c>
      <c r="S622">
        <v>43</v>
      </c>
      <c r="T622">
        <v>41.29</v>
      </c>
      <c r="U622">
        <v>4</v>
      </c>
      <c r="V622" s="8">
        <f>IF(Matrice1!$Q622="Pro Monde",10%,IF(AND(Matrice1!$R622&gt;12,Matrice1!$O622&gt;5),70%,IF(AND(OR(Matrice1!$R622&gt;=4,Matrice1!$R622&lt;=12,Matrice1!$O622&lt;5,(OR(Matrice1!$Q622="Premium ")))),45%,0%)))</f>
        <v>0.45</v>
      </c>
      <c r="W622">
        <f>Matrice1!$T622* (Matrice1!$V622/100)</f>
        <v>0.18580500000000003</v>
      </c>
    </row>
    <row r="623" spans="1:23" x14ac:dyDescent="0.3">
      <c r="A623" s="1" t="s">
        <v>854</v>
      </c>
      <c r="B623" s="2">
        <v>45213</v>
      </c>
      <c r="C623" s="3">
        <v>0.94861111111111107</v>
      </c>
      <c r="D623" s="1" t="s">
        <v>874</v>
      </c>
      <c r="E623">
        <v>72</v>
      </c>
      <c r="F623" s="1" t="s">
        <v>810</v>
      </c>
      <c r="G623" s="1" t="s">
        <v>874</v>
      </c>
      <c r="H623" s="1" t="s">
        <v>35</v>
      </c>
      <c r="I623">
        <v>-2.7140689999999998</v>
      </c>
      <c r="J623">
        <v>22.222104000000002</v>
      </c>
      <c r="K623" s="1" t="s">
        <v>1498</v>
      </c>
      <c r="L623" s="1" t="s">
        <v>1508</v>
      </c>
      <c r="M623" s="1" t="s">
        <v>672</v>
      </c>
      <c r="N623" s="1" t="s">
        <v>35</v>
      </c>
      <c r="O623" s="1" t="str">
        <f>INT(Matrice1!$P623/12) &amp; " ans et " &amp; MOD(Matrice1!$P623,12) &amp; " mois"</f>
        <v>2 ans et 10 mois</v>
      </c>
      <c r="P623">
        <v>34</v>
      </c>
      <c r="Q623" s="1" t="s">
        <v>22</v>
      </c>
      <c r="R623" s="4">
        <f>Matrice1!$S623/1440</f>
        <v>0.12569444444444444</v>
      </c>
      <c r="S623">
        <v>181</v>
      </c>
      <c r="T623">
        <v>35.92</v>
      </c>
      <c r="U623">
        <v>2</v>
      </c>
      <c r="V623" s="8">
        <f>IF(Matrice1!$Q623="Pro Monde",10%,IF(AND(Matrice1!$R623&gt;12,Matrice1!$O623&gt;5),70%,IF(AND(OR(Matrice1!$R623&gt;=4,Matrice1!$R623&lt;=12,Matrice1!$O623&lt;5,(OR(Matrice1!$Q623="Premium ")))),45%,0%)))</f>
        <v>0.45</v>
      </c>
      <c r="W623">
        <f>Matrice1!$T623* (Matrice1!$V623/100)</f>
        <v>0.16164000000000003</v>
      </c>
    </row>
    <row r="624" spans="1:23" x14ac:dyDescent="0.3">
      <c r="A624" s="1" t="s">
        <v>805</v>
      </c>
      <c r="B624" s="2">
        <v>45218</v>
      </c>
      <c r="C624" s="3">
        <v>0.36875000000000002</v>
      </c>
      <c r="D624" s="1" t="s">
        <v>820</v>
      </c>
      <c r="E624">
        <v>70</v>
      </c>
      <c r="F624" s="1" t="s">
        <v>807</v>
      </c>
      <c r="G624" s="1" t="s">
        <v>820</v>
      </c>
      <c r="H624" s="1" t="s">
        <v>67</v>
      </c>
      <c r="I624">
        <v>-8.4227860000000003</v>
      </c>
      <c r="J624">
        <v>16.781293000000002</v>
      </c>
      <c r="K624" s="1" t="s">
        <v>1498</v>
      </c>
      <c r="L624" s="1" t="s">
        <v>1499</v>
      </c>
      <c r="M624" s="1" t="s">
        <v>673</v>
      </c>
      <c r="N624" s="1" t="s">
        <v>67</v>
      </c>
      <c r="O624" s="1" t="str">
        <f>INT(Matrice1!$P624/12) &amp; " ans et " &amp; MOD(Matrice1!$P624,12) &amp; " mois"</f>
        <v>9 ans et 6 mois</v>
      </c>
      <c r="P624">
        <v>114</v>
      </c>
      <c r="Q624" s="1" t="s">
        <v>14</v>
      </c>
      <c r="R624" s="4">
        <f>Matrice1!$S624/1440</f>
        <v>0.15277777777777779</v>
      </c>
      <c r="S624">
        <v>220</v>
      </c>
      <c r="T624">
        <v>63.67</v>
      </c>
      <c r="U624">
        <v>5</v>
      </c>
      <c r="V624" s="8">
        <f>IF(Matrice1!$Q624="Pro Monde",10%,IF(AND(Matrice1!$R624&gt;12,Matrice1!$O624&gt;5),70%,IF(AND(OR(Matrice1!$R624&gt;=4,Matrice1!$R624&lt;=12,Matrice1!$O624&lt;5,(OR(Matrice1!$Q624="Premium ")))),45%,0%)))</f>
        <v>0.1</v>
      </c>
      <c r="W624">
        <f>Matrice1!$T624* (Matrice1!$V624/100)</f>
        <v>6.3670000000000004E-2</v>
      </c>
    </row>
    <row r="625" spans="1:23" x14ac:dyDescent="0.3">
      <c r="A625" s="1" t="s">
        <v>1073</v>
      </c>
      <c r="B625" s="2">
        <v>45221</v>
      </c>
      <c r="C625" s="3">
        <v>0.37638888888888888</v>
      </c>
      <c r="D625" s="1" t="s">
        <v>1096</v>
      </c>
      <c r="E625">
        <v>59</v>
      </c>
      <c r="F625" s="1" t="s">
        <v>812</v>
      </c>
      <c r="G625" s="1" t="s">
        <v>1096</v>
      </c>
      <c r="H625" s="1" t="s">
        <v>78</v>
      </c>
      <c r="I625">
        <v>-8.4824669999999998</v>
      </c>
      <c r="J625">
        <v>21.897777999999999</v>
      </c>
      <c r="K625" s="1" t="s">
        <v>1495</v>
      </c>
      <c r="L625" s="1" t="s">
        <v>1496</v>
      </c>
      <c r="M625" s="1" t="s">
        <v>674</v>
      </c>
      <c r="N625" s="1" t="s">
        <v>78</v>
      </c>
      <c r="O625" s="1" t="str">
        <f>INT(Matrice1!$P625/12) &amp; " ans et " &amp; MOD(Matrice1!$P625,12) &amp; " mois"</f>
        <v>8 ans et 5 mois</v>
      </c>
      <c r="P625">
        <v>101</v>
      </c>
      <c r="Q625" s="1" t="s">
        <v>14</v>
      </c>
      <c r="R625" s="4">
        <f>Matrice1!$S625/1440</f>
        <v>7.4999999999999997E-2</v>
      </c>
      <c r="S625">
        <v>108</v>
      </c>
      <c r="T625">
        <v>76.05</v>
      </c>
      <c r="U625">
        <v>3</v>
      </c>
      <c r="V625" s="8">
        <f>IF(Matrice1!$Q625="Pro Monde",10%,IF(AND(Matrice1!$R625&gt;12,Matrice1!$O625&gt;5),70%,IF(AND(OR(Matrice1!$R625&gt;=4,Matrice1!$R625&lt;=12,Matrice1!$O625&lt;5,(OR(Matrice1!$Q625="Premium ")))),45%,0%)))</f>
        <v>0.1</v>
      </c>
      <c r="W625">
        <f>Matrice1!$T625* (Matrice1!$V625/100)</f>
        <v>7.6049999999999993E-2</v>
      </c>
    </row>
    <row r="626" spans="1:23" x14ac:dyDescent="0.3">
      <c r="A626" s="1" t="s">
        <v>854</v>
      </c>
      <c r="B626" s="2">
        <v>45214</v>
      </c>
      <c r="C626" s="3">
        <v>0.9604166666666667</v>
      </c>
      <c r="D626" s="1" t="s">
        <v>859</v>
      </c>
      <c r="E626">
        <v>38</v>
      </c>
      <c r="F626" s="1" t="s">
        <v>807</v>
      </c>
      <c r="G626" s="1" t="s">
        <v>859</v>
      </c>
      <c r="H626" s="1" t="s">
        <v>137</v>
      </c>
      <c r="I626">
        <v>-11.710407999999999</v>
      </c>
      <c r="J626">
        <v>23.741330999999999</v>
      </c>
      <c r="K626" s="1" t="s">
        <v>1500</v>
      </c>
      <c r="L626" s="1" t="s">
        <v>1499</v>
      </c>
      <c r="M626" s="1" t="s">
        <v>675</v>
      </c>
      <c r="N626" s="1" t="s">
        <v>137</v>
      </c>
      <c r="O626" s="1" t="str">
        <f>INT(Matrice1!$P626/12) &amp; " ans et " &amp; MOD(Matrice1!$P626,12) &amp; " mois"</f>
        <v>0 ans et 6 mois</v>
      </c>
      <c r="P626">
        <v>6</v>
      </c>
      <c r="Q626" s="1" t="s">
        <v>22</v>
      </c>
      <c r="R626" s="4">
        <f>Matrice1!$S626/1440</f>
        <v>5.347222222222222E-2</v>
      </c>
      <c r="S626">
        <v>77</v>
      </c>
      <c r="T626">
        <v>18.48</v>
      </c>
      <c r="U626">
        <v>2</v>
      </c>
      <c r="V626" s="8">
        <f>IF(Matrice1!$Q626="Pro Monde",10%,IF(AND(Matrice1!$R626&gt;12,Matrice1!$O626&gt;5),70%,IF(AND(OR(Matrice1!$R626&gt;=4,Matrice1!$R626&lt;=12,Matrice1!$O626&lt;5,(OR(Matrice1!$Q626="Premium ")))),45%,0%)))</f>
        <v>0.45</v>
      </c>
      <c r="W626">
        <f>Matrice1!$T626* (Matrice1!$V626/100)</f>
        <v>8.3160000000000012E-2</v>
      </c>
    </row>
    <row r="627" spans="1:23" x14ac:dyDescent="0.3">
      <c r="A627" s="1" t="s">
        <v>936</v>
      </c>
      <c r="B627" s="2">
        <v>45221</v>
      </c>
      <c r="C627" s="3">
        <v>0.51736111111111116</v>
      </c>
      <c r="D627" s="1" t="s">
        <v>963</v>
      </c>
      <c r="E627">
        <v>83</v>
      </c>
      <c r="F627" s="1" t="s">
        <v>812</v>
      </c>
      <c r="G627" s="1" t="s">
        <v>963</v>
      </c>
      <c r="H627" s="1" t="s">
        <v>21</v>
      </c>
      <c r="I627">
        <v>-2.9651529999999999</v>
      </c>
      <c r="J627">
        <v>29.79908</v>
      </c>
      <c r="K627" s="1" t="s">
        <v>1498</v>
      </c>
      <c r="L627" s="1" t="s">
        <v>1496</v>
      </c>
      <c r="M627" s="1" t="s">
        <v>676</v>
      </c>
      <c r="N627" s="1" t="s">
        <v>21</v>
      </c>
      <c r="O627" s="1" t="str">
        <f>INT(Matrice1!$P627/12) &amp; " ans et " &amp; MOD(Matrice1!$P627,12) &amp; " mois"</f>
        <v>1 ans et 3 mois</v>
      </c>
      <c r="P627">
        <v>15</v>
      </c>
      <c r="Q627" s="1" t="s">
        <v>14</v>
      </c>
      <c r="R627" s="4">
        <f>Matrice1!$S627/1440</f>
        <v>0.14097222222222222</v>
      </c>
      <c r="S627">
        <v>203</v>
      </c>
      <c r="T627">
        <v>55.29</v>
      </c>
      <c r="U627">
        <v>2</v>
      </c>
      <c r="V627" s="8">
        <f>IF(Matrice1!$Q627="Pro Monde",10%,IF(AND(Matrice1!$R627&gt;12,Matrice1!$O627&gt;5),70%,IF(AND(OR(Matrice1!$R627&gt;=4,Matrice1!$R627&lt;=12,Matrice1!$O627&lt;5,(OR(Matrice1!$Q627="Premium ")))),45%,0%)))</f>
        <v>0.1</v>
      </c>
      <c r="W627">
        <f>Matrice1!$T627* (Matrice1!$V627/100)</f>
        <v>5.5289999999999999E-2</v>
      </c>
    </row>
    <row r="628" spans="1:23" x14ac:dyDescent="0.3">
      <c r="A628" s="1" t="s">
        <v>805</v>
      </c>
      <c r="B628" s="2">
        <v>45201</v>
      </c>
      <c r="C628" s="3">
        <v>0.88472222222222219</v>
      </c>
      <c r="D628" s="1" t="s">
        <v>833</v>
      </c>
      <c r="E628">
        <v>54</v>
      </c>
      <c r="F628" s="1" t="s">
        <v>812</v>
      </c>
      <c r="G628" s="1" t="s">
        <v>833</v>
      </c>
      <c r="H628" s="1" t="s">
        <v>131</v>
      </c>
      <c r="I628">
        <v>4.6287159999999998</v>
      </c>
      <c r="J628">
        <v>19.407077999999998</v>
      </c>
      <c r="K628" s="1" t="s">
        <v>1498</v>
      </c>
      <c r="L628" s="1" t="s">
        <v>1496</v>
      </c>
      <c r="M628" s="1" t="s">
        <v>677</v>
      </c>
      <c r="N628" s="1" t="s">
        <v>131</v>
      </c>
      <c r="O628" s="1" t="str">
        <f>INT(Matrice1!$P628/12) &amp; " ans et " &amp; MOD(Matrice1!$P628,12) &amp; " mois"</f>
        <v>0 ans et 7 mois</v>
      </c>
      <c r="P628">
        <v>7</v>
      </c>
      <c r="Q628" s="1" t="s">
        <v>19</v>
      </c>
      <c r="R628" s="4">
        <f>Matrice1!$S628/1440</f>
        <v>0.17847222222222223</v>
      </c>
      <c r="S628">
        <v>257</v>
      </c>
      <c r="T628">
        <v>73.040000000000006</v>
      </c>
      <c r="U628">
        <v>3</v>
      </c>
      <c r="V628" s="8">
        <f>IF(Matrice1!$Q628="Pro Monde",10%,IF(AND(Matrice1!$R628&gt;12,Matrice1!$O628&gt;5),70%,IF(AND(OR(Matrice1!$R628&gt;=4,Matrice1!$R628&lt;=12,Matrice1!$O628&lt;5,(OR(Matrice1!$Q628="Premium ")))),45%,0%)))</f>
        <v>0.45</v>
      </c>
      <c r="W628">
        <f>Matrice1!$T628* (Matrice1!$V628/100)</f>
        <v>0.32868000000000008</v>
      </c>
    </row>
    <row r="629" spans="1:23" x14ac:dyDescent="0.3">
      <c r="A629" s="1" t="s">
        <v>805</v>
      </c>
      <c r="B629" s="2">
        <v>45213</v>
      </c>
      <c r="C629" s="3">
        <v>0.31111111111111112</v>
      </c>
      <c r="D629" s="1" t="s">
        <v>819</v>
      </c>
      <c r="E629">
        <v>22</v>
      </c>
      <c r="F629" s="1" t="s">
        <v>810</v>
      </c>
      <c r="G629" s="1" t="s">
        <v>819</v>
      </c>
      <c r="H629" s="1" t="s">
        <v>40</v>
      </c>
      <c r="I629">
        <v>4.8319039999999998</v>
      </c>
      <c r="J629">
        <v>20.733468999999999</v>
      </c>
      <c r="K629" s="1" t="s">
        <v>1495</v>
      </c>
      <c r="L629" s="1" t="s">
        <v>1496</v>
      </c>
      <c r="M629" s="1" t="s">
        <v>678</v>
      </c>
      <c r="N629" s="1" t="s">
        <v>40</v>
      </c>
      <c r="O629" s="1" t="str">
        <f>INT(Matrice1!$P629/12) &amp; " ans et " &amp; MOD(Matrice1!$P629,12) &amp; " mois"</f>
        <v>3 ans et 3 mois</v>
      </c>
      <c r="P629">
        <v>39</v>
      </c>
      <c r="Q629" s="1" t="s">
        <v>11</v>
      </c>
      <c r="R629" s="4">
        <f>Matrice1!$S629/1440</f>
        <v>0.15277777777777779</v>
      </c>
      <c r="S629">
        <v>220</v>
      </c>
      <c r="T629">
        <v>52.91</v>
      </c>
      <c r="U629">
        <v>0</v>
      </c>
      <c r="V629" s="8">
        <f>IF(Matrice1!$Q629="Pro Monde",10%,IF(AND(Matrice1!$R629&gt;12,Matrice1!$O629&gt;5),70%,IF(AND(OR(Matrice1!$R629&gt;=4,Matrice1!$R629&lt;=12,Matrice1!$O629&lt;5,(OR(Matrice1!$Q629="Premium ")))),45%,0%)))</f>
        <v>0.45</v>
      </c>
      <c r="W629">
        <f>Matrice1!$T629* (Matrice1!$V629/100)</f>
        <v>0.238095</v>
      </c>
    </row>
    <row r="630" spans="1:23" x14ac:dyDescent="0.3">
      <c r="A630" s="1" t="s">
        <v>1133</v>
      </c>
      <c r="B630" s="2">
        <v>45222</v>
      </c>
      <c r="C630" s="3">
        <v>0.58472222222222225</v>
      </c>
      <c r="D630" s="1" t="s">
        <v>1155</v>
      </c>
      <c r="E630">
        <v>15</v>
      </c>
      <c r="F630" s="1" t="s">
        <v>812</v>
      </c>
      <c r="G630" s="1" t="s">
        <v>1155</v>
      </c>
      <c r="H630" s="1" t="s">
        <v>60</v>
      </c>
      <c r="I630">
        <v>-9.1215879999999991</v>
      </c>
      <c r="J630">
        <v>16.457916999999998</v>
      </c>
      <c r="K630" s="1" t="s">
        <v>1498</v>
      </c>
      <c r="L630" s="1" t="s">
        <v>1508</v>
      </c>
      <c r="M630" s="1" t="s">
        <v>679</v>
      </c>
      <c r="N630" s="1" t="s">
        <v>60</v>
      </c>
      <c r="O630" s="1" t="str">
        <f>INT(Matrice1!$P630/12) &amp; " ans et " &amp; MOD(Matrice1!$P630,12) &amp; " mois"</f>
        <v>0 ans et 10 mois</v>
      </c>
      <c r="P630">
        <v>10</v>
      </c>
      <c r="Q630" s="1" t="s">
        <v>22</v>
      </c>
      <c r="R630" s="4">
        <f>Matrice1!$S630/1440</f>
        <v>0.18055555555555555</v>
      </c>
      <c r="S630">
        <v>260</v>
      </c>
      <c r="T630">
        <v>37.479999999999997</v>
      </c>
      <c r="U630">
        <v>2</v>
      </c>
      <c r="V630" s="8">
        <f>IF(Matrice1!$Q630="Pro Monde",10%,IF(AND(Matrice1!$R630&gt;12,Matrice1!$O630&gt;5),70%,IF(AND(OR(Matrice1!$R630&gt;=4,Matrice1!$R630&lt;=12,Matrice1!$O630&lt;5,(OR(Matrice1!$Q630="Premium ")))),45%,0%)))</f>
        <v>0.45</v>
      </c>
      <c r="W630">
        <f>Matrice1!$T630* (Matrice1!$V630/100)</f>
        <v>0.16866</v>
      </c>
    </row>
    <row r="631" spans="1:23" x14ac:dyDescent="0.3">
      <c r="A631" s="1" t="s">
        <v>854</v>
      </c>
      <c r="B631" s="2">
        <v>45214</v>
      </c>
      <c r="C631" s="3">
        <v>0.9604166666666667</v>
      </c>
      <c r="D631" s="1" t="s">
        <v>859</v>
      </c>
      <c r="E631">
        <v>38</v>
      </c>
      <c r="F631" s="1" t="s">
        <v>807</v>
      </c>
      <c r="G631" s="1" t="s">
        <v>859</v>
      </c>
      <c r="H631" s="1" t="s">
        <v>137</v>
      </c>
      <c r="I631">
        <v>-11.710407999999999</v>
      </c>
      <c r="J631">
        <v>23.741330999999999</v>
      </c>
      <c r="K631" s="1" t="s">
        <v>1500</v>
      </c>
      <c r="L631" s="1" t="s">
        <v>1499</v>
      </c>
      <c r="M631" s="1" t="s">
        <v>680</v>
      </c>
      <c r="N631" s="1" t="s">
        <v>137</v>
      </c>
      <c r="O631" s="1" t="str">
        <f>INT(Matrice1!$P631/12) &amp; " ans et " &amp; MOD(Matrice1!$P631,12) &amp; " mois"</f>
        <v>2 ans et 10 mois</v>
      </c>
      <c r="P631">
        <v>34</v>
      </c>
      <c r="Q631" s="1" t="s">
        <v>11</v>
      </c>
      <c r="R631" s="4">
        <f>Matrice1!$S631/1440</f>
        <v>0.11805555555555555</v>
      </c>
      <c r="S631">
        <v>170</v>
      </c>
      <c r="T631">
        <v>91.6</v>
      </c>
      <c r="U631">
        <v>2</v>
      </c>
      <c r="V631" s="8">
        <f>IF(Matrice1!$Q631="Pro Monde",10%,IF(AND(Matrice1!$R631&gt;12,Matrice1!$O631&gt;5),70%,IF(AND(OR(Matrice1!$R631&gt;=4,Matrice1!$R631&lt;=12,Matrice1!$O631&lt;5,(OR(Matrice1!$Q631="Premium ")))),45%,0%)))</f>
        <v>0.45</v>
      </c>
      <c r="W631">
        <f>Matrice1!$T631* (Matrice1!$V631/100)</f>
        <v>0.41220000000000001</v>
      </c>
    </row>
    <row r="632" spans="1:23" x14ac:dyDescent="0.3">
      <c r="A632" s="1" t="s">
        <v>1073</v>
      </c>
      <c r="B632" s="2">
        <v>45221</v>
      </c>
      <c r="C632" s="3">
        <v>0.37638888888888888</v>
      </c>
      <c r="D632" s="1" t="s">
        <v>1096</v>
      </c>
      <c r="E632">
        <v>59</v>
      </c>
      <c r="F632" s="1" t="s">
        <v>812</v>
      </c>
      <c r="G632" s="1" t="s">
        <v>1096</v>
      </c>
      <c r="H632" s="1" t="s">
        <v>78</v>
      </c>
      <c r="I632">
        <v>-8.4824669999999998</v>
      </c>
      <c r="J632">
        <v>21.897777999999999</v>
      </c>
      <c r="K632" s="1" t="s">
        <v>1495</v>
      </c>
      <c r="L632" s="1" t="s">
        <v>1496</v>
      </c>
      <c r="M632" s="1" t="s">
        <v>681</v>
      </c>
      <c r="N632" s="1" t="s">
        <v>78</v>
      </c>
      <c r="O632" s="1" t="str">
        <f>INT(Matrice1!$P632/12) &amp; " ans et " &amp; MOD(Matrice1!$P632,12) &amp; " mois"</f>
        <v>3 ans et 7 mois</v>
      </c>
      <c r="P632">
        <v>43</v>
      </c>
      <c r="Q632" s="1" t="s">
        <v>11</v>
      </c>
      <c r="R632" s="4">
        <f>Matrice1!$S632/1440</f>
        <v>1.8749999999999999E-2</v>
      </c>
      <c r="S632">
        <v>27</v>
      </c>
      <c r="T632">
        <v>31.48</v>
      </c>
      <c r="U632">
        <v>5</v>
      </c>
      <c r="V632" s="8">
        <f>IF(Matrice1!$Q632="Pro Monde",10%,IF(AND(Matrice1!$R632&gt;12,Matrice1!$O632&gt;5),70%,IF(AND(OR(Matrice1!$R632&gt;=4,Matrice1!$R632&lt;=12,Matrice1!$O632&lt;5,(OR(Matrice1!$Q632="Premium ")))),45%,0%)))</f>
        <v>0.45</v>
      </c>
      <c r="W632">
        <f>Matrice1!$T632* (Matrice1!$V632/100)</f>
        <v>0.14166000000000001</v>
      </c>
    </row>
    <row r="633" spans="1:23" x14ac:dyDescent="0.3">
      <c r="A633" s="1" t="s">
        <v>854</v>
      </c>
      <c r="B633" s="2">
        <v>45222</v>
      </c>
      <c r="C633" s="3">
        <v>0.42708333333333331</v>
      </c>
      <c r="D633" s="1" t="s">
        <v>892</v>
      </c>
      <c r="E633">
        <v>82</v>
      </c>
      <c r="F633" s="1" t="s">
        <v>807</v>
      </c>
      <c r="G633" s="1" t="s">
        <v>892</v>
      </c>
      <c r="H633" s="1" t="s">
        <v>26</v>
      </c>
      <c r="I633">
        <v>-4.4697000000000001E-2</v>
      </c>
      <c r="J633">
        <v>22.943373000000001</v>
      </c>
      <c r="K633" s="1" t="s">
        <v>1500</v>
      </c>
      <c r="L633" s="1" t="s">
        <v>1499</v>
      </c>
      <c r="M633" s="1" t="s">
        <v>682</v>
      </c>
      <c r="N633" s="1" t="s">
        <v>26</v>
      </c>
      <c r="O633" s="1" t="str">
        <f>INT(Matrice1!$P633/12) &amp; " ans et " &amp; MOD(Matrice1!$P633,12) &amp; " mois"</f>
        <v>7 ans et 5 mois</v>
      </c>
      <c r="P633">
        <v>89</v>
      </c>
      <c r="Q633" s="1" t="s">
        <v>14</v>
      </c>
      <c r="R633" s="4">
        <f>Matrice1!$S633/1440</f>
        <v>0.15625</v>
      </c>
      <c r="S633">
        <v>225</v>
      </c>
      <c r="T633">
        <v>38.36</v>
      </c>
      <c r="U633">
        <v>2</v>
      </c>
      <c r="V633" s="8">
        <f>IF(Matrice1!$Q633="Pro Monde",10%,IF(AND(Matrice1!$R633&gt;12,Matrice1!$O633&gt;5),70%,IF(AND(OR(Matrice1!$R633&gt;=4,Matrice1!$R633&lt;=12,Matrice1!$O633&lt;5,(OR(Matrice1!$Q633="Premium ")))),45%,0%)))</f>
        <v>0.1</v>
      </c>
      <c r="W633">
        <f>Matrice1!$T633* (Matrice1!$V633/100)</f>
        <v>3.8359999999999998E-2</v>
      </c>
    </row>
    <row r="634" spans="1:23" x14ac:dyDescent="0.3">
      <c r="A634" s="1" t="s">
        <v>854</v>
      </c>
      <c r="B634" s="2">
        <v>45216</v>
      </c>
      <c r="C634" s="3">
        <v>0.67361111111111116</v>
      </c>
      <c r="D634" s="1" t="s">
        <v>881</v>
      </c>
      <c r="E634">
        <v>117</v>
      </c>
      <c r="F634" s="1" t="s">
        <v>807</v>
      </c>
      <c r="G634" s="1" t="s">
        <v>881</v>
      </c>
      <c r="H634" s="1" t="s">
        <v>31</v>
      </c>
      <c r="I634">
        <v>-12.141233</v>
      </c>
      <c r="J634">
        <v>15.179043999999999</v>
      </c>
      <c r="K634" s="1" t="s">
        <v>1495</v>
      </c>
      <c r="L634" s="1" t="s">
        <v>1496</v>
      </c>
      <c r="M634" s="1" t="s">
        <v>683</v>
      </c>
      <c r="N634" s="1" t="s">
        <v>31</v>
      </c>
      <c r="O634" s="1" t="str">
        <f>INT(Matrice1!$P634/12) &amp; " ans et " &amp; MOD(Matrice1!$P634,12) &amp; " mois"</f>
        <v>6 ans et 7 mois</v>
      </c>
      <c r="P634">
        <v>79</v>
      </c>
      <c r="Q634" s="1" t="s">
        <v>22</v>
      </c>
      <c r="R634" s="4">
        <f>Matrice1!$S634/1440</f>
        <v>9.6527777777777782E-2</v>
      </c>
      <c r="S634">
        <v>139</v>
      </c>
      <c r="T634">
        <v>16.25</v>
      </c>
      <c r="U634">
        <v>4</v>
      </c>
      <c r="V634" s="8">
        <f>IF(Matrice1!$Q634="Pro Monde",10%,IF(AND(Matrice1!$R634&gt;12,Matrice1!$O634&gt;5),70%,IF(AND(OR(Matrice1!$R634&gt;=4,Matrice1!$R634&lt;=12,Matrice1!$O634&lt;5,(OR(Matrice1!$Q634="Premium ")))),45%,0%)))</f>
        <v>0.45</v>
      </c>
      <c r="W634">
        <f>Matrice1!$T634* (Matrice1!$V634/100)</f>
        <v>7.3125000000000009E-2</v>
      </c>
    </row>
    <row r="635" spans="1:23" x14ac:dyDescent="0.3">
      <c r="A635" s="1" t="s">
        <v>805</v>
      </c>
      <c r="B635" s="2">
        <v>45213</v>
      </c>
      <c r="C635" s="3">
        <v>4.2361111111111113E-2</v>
      </c>
      <c r="D635" s="1" t="s">
        <v>814</v>
      </c>
      <c r="E635">
        <v>119</v>
      </c>
      <c r="F635" s="1" t="s">
        <v>810</v>
      </c>
      <c r="G635" s="1" t="s">
        <v>814</v>
      </c>
      <c r="H635" s="1" t="s">
        <v>62</v>
      </c>
      <c r="I635">
        <v>-2.8211520000000001</v>
      </c>
      <c r="J635">
        <v>20.651419000000001</v>
      </c>
      <c r="K635" s="1" t="s">
        <v>1495</v>
      </c>
      <c r="L635" s="1" t="s">
        <v>1496</v>
      </c>
      <c r="M635" s="1" t="s">
        <v>684</v>
      </c>
      <c r="N635" s="1" t="s">
        <v>62</v>
      </c>
      <c r="O635" s="1" t="str">
        <f>INT(Matrice1!$P635/12) &amp; " ans et " &amp; MOD(Matrice1!$P635,12) &amp; " mois"</f>
        <v>8 ans et 6 mois</v>
      </c>
      <c r="P635">
        <v>102</v>
      </c>
      <c r="Q635" s="1" t="s">
        <v>19</v>
      </c>
      <c r="R635" s="4">
        <f>Matrice1!$S635/1440</f>
        <v>0.13125000000000001</v>
      </c>
      <c r="S635">
        <v>189</v>
      </c>
      <c r="T635">
        <v>26.86</v>
      </c>
      <c r="U635">
        <v>5</v>
      </c>
      <c r="V635" s="8">
        <f>IF(Matrice1!$Q635="Pro Monde",10%,IF(AND(Matrice1!$R635&gt;12,Matrice1!$O635&gt;5),70%,IF(AND(OR(Matrice1!$R635&gt;=4,Matrice1!$R635&lt;=12,Matrice1!$O635&lt;5,(OR(Matrice1!$Q635="Premium ")))),45%,0%)))</f>
        <v>0.45</v>
      </c>
      <c r="W635">
        <f>Matrice1!$T635* (Matrice1!$V635/100)</f>
        <v>0.12087000000000001</v>
      </c>
    </row>
    <row r="636" spans="1:23" x14ac:dyDescent="0.3">
      <c r="A636" s="1" t="s">
        <v>805</v>
      </c>
      <c r="B636" s="2">
        <v>45201</v>
      </c>
      <c r="C636" s="3">
        <v>0.88472222222222219</v>
      </c>
      <c r="D636" s="1" t="s">
        <v>833</v>
      </c>
      <c r="E636">
        <v>54</v>
      </c>
      <c r="F636" s="1" t="s">
        <v>812</v>
      </c>
      <c r="G636" s="1" t="s">
        <v>833</v>
      </c>
      <c r="H636" s="1" t="s">
        <v>131</v>
      </c>
      <c r="I636">
        <v>4.6287159999999998</v>
      </c>
      <c r="J636">
        <v>19.407077999999998</v>
      </c>
      <c r="K636" s="1" t="s">
        <v>1498</v>
      </c>
      <c r="L636" s="1" t="s">
        <v>1496</v>
      </c>
      <c r="M636" s="1" t="s">
        <v>685</v>
      </c>
      <c r="N636" s="1" t="s">
        <v>131</v>
      </c>
      <c r="O636" s="1" t="str">
        <f>INT(Matrice1!$P636/12) &amp; " ans et " &amp; MOD(Matrice1!$P636,12) &amp; " mois"</f>
        <v>8 ans et 8 mois</v>
      </c>
      <c r="P636">
        <v>104</v>
      </c>
      <c r="Q636" s="1" t="s">
        <v>22</v>
      </c>
      <c r="R636" s="4">
        <f>Matrice1!$S636/1440</f>
        <v>3.4722222222222224E-2</v>
      </c>
      <c r="S636">
        <v>50</v>
      </c>
      <c r="T636">
        <v>90.99</v>
      </c>
      <c r="U636">
        <v>4</v>
      </c>
      <c r="V636" s="8">
        <f>IF(Matrice1!$Q636="Pro Monde",10%,IF(AND(Matrice1!$R636&gt;12,Matrice1!$O636&gt;5),70%,IF(AND(OR(Matrice1!$R636&gt;=4,Matrice1!$R636&lt;=12,Matrice1!$O636&lt;5,(OR(Matrice1!$Q636="Premium ")))),45%,0%)))</f>
        <v>0.45</v>
      </c>
      <c r="W636">
        <f>Matrice1!$T636* (Matrice1!$V636/100)</f>
        <v>0.40945500000000001</v>
      </c>
    </row>
    <row r="637" spans="1:23" x14ac:dyDescent="0.3">
      <c r="A637" s="1" t="s">
        <v>854</v>
      </c>
      <c r="B637" s="2">
        <v>45213</v>
      </c>
      <c r="C637" s="3">
        <v>0.94861111111111107</v>
      </c>
      <c r="D637" s="1" t="s">
        <v>874</v>
      </c>
      <c r="E637">
        <v>72</v>
      </c>
      <c r="F637" s="1" t="s">
        <v>810</v>
      </c>
      <c r="G637" s="1" t="s">
        <v>874</v>
      </c>
      <c r="H637" s="1" t="s">
        <v>35</v>
      </c>
      <c r="I637">
        <v>-2.7140689999999998</v>
      </c>
      <c r="J637">
        <v>22.222104000000002</v>
      </c>
      <c r="K637" s="1" t="s">
        <v>1498</v>
      </c>
      <c r="L637" s="1" t="s">
        <v>1508</v>
      </c>
      <c r="M637" s="1" t="s">
        <v>686</v>
      </c>
      <c r="N637" s="1" t="s">
        <v>35</v>
      </c>
      <c r="O637" s="1" t="str">
        <f>INT(Matrice1!$P637/12) &amp; " ans et " &amp; MOD(Matrice1!$P637,12) &amp; " mois"</f>
        <v>4 ans et 1 mois</v>
      </c>
      <c r="P637">
        <v>49</v>
      </c>
      <c r="Q637" s="1" t="s">
        <v>22</v>
      </c>
      <c r="R637" s="4">
        <f>Matrice1!$S637/1440</f>
        <v>1.7361111111111112E-2</v>
      </c>
      <c r="S637">
        <v>25</v>
      </c>
      <c r="T637">
        <v>22.77</v>
      </c>
      <c r="U637">
        <v>3</v>
      </c>
      <c r="V637" s="8">
        <f>IF(Matrice1!$Q637="Pro Monde",10%,IF(AND(Matrice1!$R637&gt;12,Matrice1!$O637&gt;5),70%,IF(AND(OR(Matrice1!$R637&gt;=4,Matrice1!$R637&lt;=12,Matrice1!$O637&lt;5,(OR(Matrice1!$Q637="Premium ")))),45%,0%)))</f>
        <v>0.45</v>
      </c>
      <c r="W637">
        <f>Matrice1!$T637* (Matrice1!$V637/100)</f>
        <v>0.10246500000000001</v>
      </c>
    </row>
    <row r="638" spans="1:23" x14ac:dyDescent="0.3">
      <c r="A638" s="1" t="s">
        <v>805</v>
      </c>
      <c r="B638" s="2">
        <v>45212</v>
      </c>
      <c r="C638" s="3">
        <v>0.14027777777777778</v>
      </c>
      <c r="D638" s="1" t="s">
        <v>826</v>
      </c>
      <c r="E638">
        <v>19</v>
      </c>
      <c r="F638" s="1" t="s">
        <v>810</v>
      </c>
      <c r="G638" s="1" t="s">
        <v>826</v>
      </c>
      <c r="H638" s="1" t="s">
        <v>37</v>
      </c>
      <c r="I638">
        <v>-9.4708620000000003</v>
      </c>
      <c r="J638">
        <v>29.234387999999999</v>
      </c>
      <c r="K638" s="1" t="s">
        <v>1500</v>
      </c>
      <c r="L638" s="1" t="s">
        <v>1501</v>
      </c>
      <c r="M638" s="1" t="s">
        <v>687</v>
      </c>
      <c r="N638" s="1" t="s">
        <v>37</v>
      </c>
      <c r="O638" s="1" t="str">
        <f>INT(Matrice1!$P638/12) &amp; " ans et " &amp; MOD(Matrice1!$P638,12) &amp; " mois"</f>
        <v>2 ans et 11 mois</v>
      </c>
      <c r="P638">
        <v>35</v>
      </c>
      <c r="Q638" s="1" t="s">
        <v>11</v>
      </c>
      <c r="R638" s="4">
        <f>Matrice1!$S638/1440</f>
        <v>0.23055555555555557</v>
      </c>
      <c r="S638">
        <v>332</v>
      </c>
      <c r="T638">
        <v>11.15</v>
      </c>
      <c r="U638">
        <v>0</v>
      </c>
      <c r="V638" s="8">
        <f>IF(Matrice1!$Q638="Pro Monde",10%,IF(AND(Matrice1!$R638&gt;12,Matrice1!$O638&gt;5),70%,IF(AND(OR(Matrice1!$R638&gt;=4,Matrice1!$R638&lt;=12,Matrice1!$O638&lt;5,(OR(Matrice1!$Q638="Premium ")))),45%,0%)))</f>
        <v>0.45</v>
      </c>
      <c r="W638">
        <f>Matrice1!$T638* (Matrice1!$V638/100)</f>
        <v>5.0175000000000004E-2</v>
      </c>
    </row>
    <row r="639" spans="1:23" x14ac:dyDescent="0.3">
      <c r="A639" s="1" t="s">
        <v>898</v>
      </c>
      <c r="B639" s="2">
        <v>45206</v>
      </c>
      <c r="C639" s="3">
        <v>0.6875</v>
      </c>
      <c r="D639" s="1" t="s">
        <v>926</v>
      </c>
      <c r="E639">
        <v>76</v>
      </c>
      <c r="F639" s="1" t="s">
        <v>812</v>
      </c>
      <c r="G639" s="1" t="s">
        <v>926</v>
      </c>
      <c r="H639" s="1" t="s">
        <v>127</v>
      </c>
      <c r="I639">
        <v>-12.100756000000001</v>
      </c>
      <c r="J639">
        <v>21.938649999999999</v>
      </c>
      <c r="K639" s="1" t="s">
        <v>1498</v>
      </c>
      <c r="L639" s="1" t="s">
        <v>1499</v>
      </c>
      <c r="M639" s="1" t="s">
        <v>688</v>
      </c>
      <c r="N639" s="1" t="s">
        <v>127</v>
      </c>
      <c r="O639" s="1" t="str">
        <f>INT(Matrice1!$P639/12) &amp; " ans et " &amp; MOD(Matrice1!$P639,12) &amp; " mois"</f>
        <v>7 ans et 6 mois</v>
      </c>
      <c r="P639">
        <v>90</v>
      </c>
      <c r="Q639" s="1" t="s">
        <v>14</v>
      </c>
      <c r="R639" s="4">
        <f>Matrice1!$S639/1440</f>
        <v>0.13541666666666666</v>
      </c>
      <c r="S639">
        <v>195</v>
      </c>
      <c r="T639">
        <v>52.71</v>
      </c>
      <c r="U639">
        <v>2</v>
      </c>
      <c r="V639" s="8">
        <f>IF(Matrice1!$Q639="Pro Monde",10%,IF(AND(Matrice1!$R639&gt;12,Matrice1!$O639&gt;5),70%,IF(AND(OR(Matrice1!$R639&gt;=4,Matrice1!$R639&lt;=12,Matrice1!$O639&lt;5,(OR(Matrice1!$Q639="Premium ")))),45%,0%)))</f>
        <v>0.1</v>
      </c>
      <c r="W639">
        <f>Matrice1!$T639* (Matrice1!$V639/100)</f>
        <v>5.271E-2</v>
      </c>
    </row>
    <row r="640" spans="1:23" x14ac:dyDescent="0.3">
      <c r="A640" s="1" t="s">
        <v>854</v>
      </c>
      <c r="B640" s="2">
        <v>45222</v>
      </c>
      <c r="C640" s="3">
        <v>0.42708333333333331</v>
      </c>
      <c r="D640" s="1" t="s">
        <v>892</v>
      </c>
      <c r="E640">
        <v>82</v>
      </c>
      <c r="F640" s="1" t="s">
        <v>807</v>
      </c>
      <c r="G640" s="1" t="s">
        <v>892</v>
      </c>
      <c r="H640" s="1" t="s">
        <v>26</v>
      </c>
      <c r="I640">
        <v>-4.4697000000000001E-2</v>
      </c>
      <c r="J640">
        <v>22.943373000000001</v>
      </c>
      <c r="K640" s="1" t="s">
        <v>1500</v>
      </c>
      <c r="L640" s="1" t="s">
        <v>1499</v>
      </c>
      <c r="M640" s="1" t="s">
        <v>689</v>
      </c>
      <c r="N640" s="1" t="s">
        <v>26</v>
      </c>
      <c r="O640" s="1" t="str">
        <f>INT(Matrice1!$P640/12) &amp; " ans et " &amp; MOD(Matrice1!$P640,12) &amp; " mois"</f>
        <v>1 ans et 10 mois</v>
      </c>
      <c r="P640">
        <v>22</v>
      </c>
      <c r="Q640" s="1" t="s">
        <v>14</v>
      </c>
      <c r="R640" s="4">
        <f>Matrice1!$S640/1440</f>
        <v>0.25972222222222224</v>
      </c>
      <c r="S640">
        <v>374</v>
      </c>
      <c r="T640">
        <v>40.06</v>
      </c>
      <c r="U640">
        <v>5</v>
      </c>
      <c r="V640" s="8">
        <f>IF(Matrice1!$Q640="Pro Monde",10%,IF(AND(Matrice1!$R640&gt;12,Matrice1!$O640&gt;5),70%,IF(AND(OR(Matrice1!$R640&gt;=4,Matrice1!$R640&lt;=12,Matrice1!$O640&lt;5,(OR(Matrice1!$Q640="Premium ")))),45%,0%)))</f>
        <v>0.1</v>
      </c>
      <c r="W640">
        <f>Matrice1!$T640* (Matrice1!$V640/100)</f>
        <v>4.0060000000000005E-2</v>
      </c>
    </row>
    <row r="641" spans="1:23" x14ac:dyDescent="0.3">
      <c r="A641" s="1" t="s">
        <v>854</v>
      </c>
      <c r="B641" s="2">
        <v>45221</v>
      </c>
      <c r="C641" s="3">
        <v>0.77500000000000002</v>
      </c>
      <c r="D641" s="1" t="s">
        <v>889</v>
      </c>
      <c r="E641">
        <v>24</v>
      </c>
      <c r="F641" s="1" t="s">
        <v>807</v>
      </c>
      <c r="G641" s="1" t="s">
        <v>889</v>
      </c>
      <c r="H641" s="1" t="s">
        <v>16</v>
      </c>
      <c r="I641">
        <v>-11.514188000000001</v>
      </c>
      <c r="J641">
        <v>15.971181</v>
      </c>
      <c r="K641" s="1" t="s">
        <v>1495</v>
      </c>
      <c r="L641" s="1" t="s">
        <v>1496</v>
      </c>
      <c r="M641" s="1" t="s">
        <v>690</v>
      </c>
      <c r="N641" s="1" t="s">
        <v>16</v>
      </c>
      <c r="O641" s="1" t="str">
        <f>INT(Matrice1!$P641/12) &amp; " ans et " &amp; MOD(Matrice1!$P641,12) &amp; " mois"</f>
        <v>9 ans et 11 mois</v>
      </c>
      <c r="P641">
        <v>119</v>
      </c>
      <c r="Q641" s="1" t="s">
        <v>22</v>
      </c>
      <c r="R641" s="4">
        <f>Matrice1!$S641/1440</f>
        <v>0.3298611111111111</v>
      </c>
      <c r="S641">
        <v>475</v>
      </c>
      <c r="T641">
        <v>25.98</v>
      </c>
      <c r="U641">
        <v>4</v>
      </c>
      <c r="V641" s="8">
        <f>IF(Matrice1!$Q641="Pro Monde",10%,IF(AND(Matrice1!$R641&gt;12,Matrice1!$O641&gt;5),70%,IF(AND(OR(Matrice1!$R641&gt;=4,Matrice1!$R641&lt;=12,Matrice1!$O641&lt;5,(OR(Matrice1!$Q641="Premium ")))),45%,0%)))</f>
        <v>0.45</v>
      </c>
      <c r="W641">
        <f>Matrice1!$T641* (Matrice1!$V641/100)</f>
        <v>0.11691000000000001</v>
      </c>
    </row>
    <row r="642" spans="1:23" x14ac:dyDescent="0.3">
      <c r="A642" s="1" t="s">
        <v>898</v>
      </c>
      <c r="B642" s="2">
        <v>45216</v>
      </c>
      <c r="C642" s="3">
        <v>0.90277777777777779</v>
      </c>
      <c r="D642" s="1" t="s">
        <v>929</v>
      </c>
      <c r="E642">
        <v>20</v>
      </c>
      <c r="F642" s="1" t="s">
        <v>812</v>
      </c>
      <c r="G642" s="1" t="s">
        <v>929</v>
      </c>
      <c r="H642" s="1" t="s">
        <v>51</v>
      </c>
      <c r="I642">
        <v>-4.2408359999999998</v>
      </c>
      <c r="J642">
        <v>26.210014000000001</v>
      </c>
      <c r="K642" s="1" t="s">
        <v>1498</v>
      </c>
      <c r="L642" s="1" t="s">
        <v>1499</v>
      </c>
      <c r="M642" s="1" t="s">
        <v>691</v>
      </c>
      <c r="N642" s="1" t="s">
        <v>51</v>
      </c>
      <c r="O642" s="1" t="str">
        <f>INT(Matrice1!$P642/12) &amp; " ans et " &amp; MOD(Matrice1!$P642,12) &amp; " mois"</f>
        <v>1 ans et 6 mois</v>
      </c>
      <c r="P642">
        <v>18</v>
      </c>
      <c r="Q642" s="1" t="s">
        <v>14</v>
      </c>
      <c r="R642" s="4">
        <f>Matrice1!$S642/1440</f>
        <v>0.15</v>
      </c>
      <c r="S642">
        <v>216</v>
      </c>
      <c r="T642">
        <v>33.74</v>
      </c>
      <c r="U642">
        <v>5</v>
      </c>
      <c r="V642" s="8">
        <f>IF(Matrice1!$Q642="Pro Monde",10%,IF(AND(Matrice1!$R642&gt;12,Matrice1!$O642&gt;5),70%,IF(AND(OR(Matrice1!$R642&gt;=4,Matrice1!$R642&lt;=12,Matrice1!$O642&lt;5,(OR(Matrice1!$Q642="Premium ")))),45%,0%)))</f>
        <v>0.1</v>
      </c>
      <c r="W642">
        <f>Matrice1!$T642* (Matrice1!$V642/100)</f>
        <v>3.3740000000000006E-2</v>
      </c>
    </row>
    <row r="643" spans="1:23" x14ac:dyDescent="0.3">
      <c r="A643" s="1" t="s">
        <v>936</v>
      </c>
      <c r="B643" s="2">
        <v>45221</v>
      </c>
      <c r="C643" s="3">
        <v>0.51736111111111116</v>
      </c>
      <c r="D643" s="1" t="s">
        <v>963</v>
      </c>
      <c r="E643">
        <v>83</v>
      </c>
      <c r="F643" s="1" t="s">
        <v>812</v>
      </c>
      <c r="G643" s="1" t="s">
        <v>963</v>
      </c>
      <c r="H643" s="1" t="s">
        <v>21</v>
      </c>
      <c r="I643">
        <v>-2.9651529999999999</v>
      </c>
      <c r="J643">
        <v>29.79908</v>
      </c>
      <c r="K643" s="1" t="s">
        <v>1498</v>
      </c>
      <c r="L643" s="1" t="s">
        <v>1496</v>
      </c>
      <c r="M643" s="1" t="s">
        <v>692</v>
      </c>
      <c r="N643" s="1" t="s">
        <v>21</v>
      </c>
      <c r="O643" s="1" t="str">
        <f>INT(Matrice1!$P643/12) &amp; " ans et " &amp; MOD(Matrice1!$P643,12) &amp; " mois"</f>
        <v>6 ans et 3 mois</v>
      </c>
      <c r="P643">
        <v>75</v>
      </c>
      <c r="Q643" s="1" t="s">
        <v>22</v>
      </c>
      <c r="R643" s="4">
        <f>Matrice1!$S643/1440</f>
        <v>6.8750000000000006E-2</v>
      </c>
      <c r="S643">
        <v>99</v>
      </c>
      <c r="T643">
        <v>16.93</v>
      </c>
      <c r="U643">
        <v>5</v>
      </c>
      <c r="V643" s="8">
        <f>IF(Matrice1!$Q643="Pro Monde",10%,IF(AND(Matrice1!$R643&gt;12,Matrice1!$O643&gt;5),70%,IF(AND(OR(Matrice1!$R643&gt;=4,Matrice1!$R643&lt;=12,Matrice1!$O643&lt;5,(OR(Matrice1!$Q643="Premium ")))),45%,0%)))</f>
        <v>0.45</v>
      </c>
      <c r="W643">
        <f>Matrice1!$T643* (Matrice1!$V643/100)</f>
        <v>7.6185000000000003E-2</v>
      </c>
    </row>
    <row r="644" spans="1:23" x14ac:dyDescent="0.3">
      <c r="A644" s="1" t="s">
        <v>854</v>
      </c>
      <c r="B644" s="2">
        <v>45216</v>
      </c>
      <c r="C644" s="3">
        <v>0.67361111111111116</v>
      </c>
      <c r="D644" s="1" t="s">
        <v>881</v>
      </c>
      <c r="E644">
        <v>117</v>
      </c>
      <c r="F644" s="1" t="s">
        <v>807</v>
      </c>
      <c r="G644" s="1" t="s">
        <v>881</v>
      </c>
      <c r="H644" s="1" t="s">
        <v>31</v>
      </c>
      <c r="I644">
        <v>-12.141233</v>
      </c>
      <c r="J644">
        <v>15.179043999999999</v>
      </c>
      <c r="K644" s="1" t="s">
        <v>1495</v>
      </c>
      <c r="L644" s="1" t="s">
        <v>1496</v>
      </c>
      <c r="M644" s="1" t="s">
        <v>693</v>
      </c>
      <c r="N644" s="1" t="s">
        <v>31</v>
      </c>
      <c r="O644" s="1" t="str">
        <f>INT(Matrice1!$P644/12) &amp; " ans et " &amp; MOD(Matrice1!$P644,12) &amp; " mois"</f>
        <v>4 ans et 11 mois</v>
      </c>
      <c r="P644">
        <v>59</v>
      </c>
      <c r="Q644" s="1" t="s">
        <v>19</v>
      </c>
      <c r="R644" s="4">
        <f>Matrice1!$S644/1440</f>
        <v>0.10416666666666667</v>
      </c>
      <c r="S644">
        <v>150</v>
      </c>
      <c r="T644">
        <v>71.13</v>
      </c>
      <c r="U644">
        <v>0</v>
      </c>
      <c r="V644" s="8">
        <f>IF(Matrice1!$Q644="Pro Monde",10%,IF(AND(Matrice1!$R644&gt;12,Matrice1!$O644&gt;5),70%,IF(AND(OR(Matrice1!$R644&gt;=4,Matrice1!$R644&lt;=12,Matrice1!$O644&lt;5,(OR(Matrice1!$Q644="Premium ")))),45%,0%)))</f>
        <v>0.45</v>
      </c>
      <c r="W644">
        <f>Matrice1!$T644* (Matrice1!$V644/100)</f>
        <v>0.32008500000000001</v>
      </c>
    </row>
    <row r="645" spans="1:23" x14ac:dyDescent="0.3">
      <c r="A645" s="1" t="s">
        <v>898</v>
      </c>
      <c r="B645" s="2">
        <v>45216</v>
      </c>
      <c r="C645" s="3">
        <v>0.90277777777777779</v>
      </c>
      <c r="D645" s="1" t="s">
        <v>929</v>
      </c>
      <c r="E645">
        <v>20</v>
      </c>
      <c r="F645" s="1" t="s">
        <v>812</v>
      </c>
      <c r="G645" s="1" t="s">
        <v>929</v>
      </c>
      <c r="H645" s="1" t="s">
        <v>51</v>
      </c>
      <c r="I645">
        <v>-4.2408359999999998</v>
      </c>
      <c r="J645">
        <v>26.210014000000001</v>
      </c>
      <c r="K645" s="1" t="s">
        <v>1498</v>
      </c>
      <c r="L645" s="1" t="s">
        <v>1499</v>
      </c>
      <c r="M645" s="1" t="s">
        <v>694</v>
      </c>
      <c r="N645" s="1" t="s">
        <v>51</v>
      </c>
      <c r="O645" s="1" t="str">
        <f>INT(Matrice1!$P645/12) &amp; " ans et " &amp; MOD(Matrice1!$P645,12) &amp; " mois"</f>
        <v>1 ans et 4 mois</v>
      </c>
      <c r="P645">
        <v>16</v>
      </c>
      <c r="Q645" s="1" t="s">
        <v>11</v>
      </c>
      <c r="R645" s="4">
        <f>Matrice1!$S645/1440</f>
        <v>6.6666666666666666E-2</v>
      </c>
      <c r="S645">
        <v>96</v>
      </c>
      <c r="T645">
        <v>86.78</v>
      </c>
      <c r="U645">
        <v>1</v>
      </c>
      <c r="V645" s="8">
        <f>IF(Matrice1!$Q645="Pro Monde",10%,IF(AND(Matrice1!$R645&gt;12,Matrice1!$O645&gt;5),70%,IF(AND(OR(Matrice1!$R645&gt;=4,Matrice1!$R645&lt;=12,Matrice1!$O645&lt;5,(OR(Matrice1!$Q645="Premium ")))),45%,0%)))</f>
        <v>0.45</v>
      </c>
      <c r="W645">
        <f>Matrice1!$T645* (Matrice1!$V645/100)</f>
        <v>0.39051000000000002</v>
      </c>
    </row>
    <row r="646" spans="1:23" x14ac:dyDescent="0.3">
      <c r="A646" s="1" t="s">
        <v>898</v>
      </c>
      <c r="B646" s="2">
        <v>45210</v>
      </c>
      <c r="C646" s="3">
        <v>0.56805555555555554</v>
      </c>
      <c r="D646" s="1" t="s">
        <v>904</v>
      </c>
      <c r="E646">
        <v>96</v>
      </c>
      <c r="F646" s="1" t="s">
        <v>807</v>
      </c>
      <c r="G646" s="1" t="s">
        <v>904</v>
      </c>
      <c r="H646" s="1" t="s">
        <v>64</v>
      </c>
      <c r="I646">
        <v>-5.4126279999999998</v>
      </c>
      <c r="J646">
        <v>25.498235999999999</v>
      </c>
      <c r="K646" s="1" t="s">
        <v>1495</v>
      </c>
      <c r="L646" s="1" t="s">
        <v>1501</v>
      </c>
      <c r="M646" s="1" t="s">
        <v>695</v>
      </c>
      <c r="N646" s="1" t="s">
        <v>64</v>
      </c>
      <c r="O646" s="1" t="str">
        <f>INT(Matrice1!$P646/12) &amp; " ans et " &amp; MOD(Matrice1!$P646,12) &amp; " mois"</f>
        <v>1 ans et 5 mois</v>
      </c>
      <c r="P646">
        <v>17</v>
      </c>
      <c r="Q646" s="1" t="s">
        <v>14</v>
      </c>
      <c r="R646" s="4">
        <f>Matrice1!$S646/1440</f>
        <v>0.14305555555555555</v>
      </c>
      <c r="S646">
        <v>206</v>
      </c>
      <c r="T646">
        <v>63.46</v>
      </c>
      <c r="U646">
        <v>3</v>
      </c>
      <c r="V646" s="8">
        <f>IF(Matrice1!$Q646="Pro Monde",10%,IF(AND(Matrice1!$R646&gt;12,Matrice1!$O646&gt;5),70%,IF(AND(OR(Matrice1!$R646&gt;=4,Matrice1!$R646&lt;=12,Matrice1!$O646&lt;5,(OR(Matrice1!$Q646="Premium ")))),45%,0%)))</f>
        <v>0.1</v>
      </c>
      <c r="W646">
        <f>Matrice1!$T646* (Matrice1!$V646/100)</f>
        <v>6.3460000000000003E-2</v>
      </c>
    </row>
    <row r="647" spans="1:23" x14ac:dyDescent="0.3">
      <c r="A647" s="1" t="s">
        <v>1161</v>
      </c>
      <c r="B647" s="2">
        <v>45207</v>
      </c>
      <c r="C647" s="3">
        <v>0.13333333333333333</v>
      </c>
      <c r="D647" s="1" t="s">
        <v>1165</v>
      </c>
      <c r="E647">
        <v>66</v>
      </c>
      <c r="F647" s="1" t="s">
        <v>810</v>
      </c>
      <c r="G647" s="1" t="s">
        <v>1165</v>
      </c>
      <c r="H647" s="1" t="s">
        <v>57</v>
      </c>
      <c r="I647">
        <v>-5.4073029999999997</v>
      </c>
      <c r="J647">
        <v>29.762294000000001</v>
      </c>
      <c r="K647" s="1" t="s">
        <v>1500</v>
      </c>
      <c r="L647" s="1" t="s">
        <v>1496</v>
      </c>
      <c r="M647" s="1" t="s">
        <v>696</v>
      </c>
      <c r="N647" s="1" t="s">
        <v>57</v>
      </c>
      <c r="O647" s="1" t="str">
        <f>INT(Matrice1!$P647/12) &amp; " ans et " &amp; MOD(Matrice1!$P647,12) &amp; " mois"</f>
        <v>3 ans et 5 mois</v>
      </c>
      <c r="P647">
        <v>41</v>
      </c>
      <c r="Q647" s="1" t="s">
        <v>22</v>
      </c>
      <c r="R647" s="4">
        <f>Matrice1!$S647/1440</f>
        <v>6.25E-2</v>
      </c>
      <c r="S647">
        <v>90</v>
      </c>
      <c r="T647">
        <v>97.26</v>
      </c>
      <c r="U647">
        <v>1</v>
      </c>
      <c r="V647" s="8">
        <f>IF(Matrice1!$Q647="Pro Monde",10%,IF(AND(Matrice1!$R647&gt;12,Matrice1!$O647&gt;5),70%,IF(AND(OR(Matrice1!$R647&gt;=4,Matrice1!$R647&lt;=12,Matrice1!$O647&lt;5,(OR(Matrice1!$Q647="Premium ")))),45%,0%)))</f>
        <v>0.45</v>
      </c>
      <c r="W647">
        <f>Matrice1!$T647* (Matrice1!$V647/100)</f>
        <v>0.43767000000000006</v>
      </c>
    </row>
    <row r="648" spans="1:23" x14ac:dyDescent="0.3">
      <c r="A648" s="1" t="s">
        <v>805</v>
      </c>
      <c r="B648" s="2">
        <v>45213</v>
      </c>
      <c r="C648" s="3">
        <v>4.2361111111111113E-2</v>
      </c>
      <c r="D648" s="1" t="s">
        <v>814</v>
      </c>
      <c r="E648">
        <v>119</v>
      </c>
      <c r="F648" s="1" t="s">
        <v>810</v>
      </c>
      <c r="G648" s="1" t="s">
        <v>814</v>
      </c>
      <c r="H648" s="1" t="s">
        <v>62</v>
      </c>
      <c r="I648">
        <v>-2.8211520000000001</v>
      </c>
      <c r="J648">
        <v>20.651419000000001</v>
      </c>
      <c r="K648" s="1" t="s">
        <v>1495</v>
      </c>
      <c r="L648" s="1" t="s">
        <v>1496</v>
      </c>
      <c r="M648" s="1" t="s">
        <v>697</v>
      </c>
      <c r="N648" s="1" t="s">
        <v>62</v>
      </c>
      <c r="O648" s="1" t="str">
        <f>INT(Matrice1!$P648/12) &amp; " ans et " &amp; MOD(Matrice1!$P648,12) &amp; " mois"</f>
        <v>9 ans et 3 mois</v>
      </c>
      <c r="P648">
        <v>111</v>
      </c>
      <c r="Q648" s="1" t="s">
        <v>11</v>
      </c>
      <c r="R648" s="4">
        <f>Matrice1!$S648/1440</f>
        <v>0.21111111111111111</v>
      </c>
      <c r="S648">
        <v>304</v>
      </c>
      <c r="T648">
        <v>62.48</v>
      </c>
      <c r="U648">
        <v>5</v>
      </c>
      <c r="V648" s="8">
        <f>IF(Matrice1!$Q648="Pro Monde",10%,IF(AND(Matrice1!$R648&gt;12,Matrice1!$O648&gt;5),70%,IF(AND(OR(Matrice1!$R648&gt;=4,Matrice1!$R648&lt;=12,Matrice1!$O648&lt;5,(OR(Matrice1!$Q648="Premium ")))),45%,0%)))</f>
        <v>0.45</v>
      </c>
      <c r="W648">
        <f>Matrice1!$T648* (Matrice1!$V648/100)</f>
        <v>0.28116000000000002</v>
      </c>
    </row>
    <row r="649" spans="1:23" x14ac:dyDescent="0.3">
      <c r="A649" s="1" t="s">
        <v>898</v>
      </c>
      <c r="B649" s="2">
        <v>45210</v>
      </c>
      <c r="C649" s="3">
        <v>0.56805555555555554</v>
      </c>
      <c r="D649" s="1" t="s">
        <v>904</v>
      </c>
      <c r="E649">
        <v>96</v>
      </c>
      <c r="F649" s="1" t="s">
        <v>807</v>
      </c>
      <c r="G649" s="1" t="s">
        <v>904</v>
      </c>
      <c r="H649" s="1" t="s">
        <v>64</v>
      </c>
      <c r="I649">
        <v>-5.4126279999999998</v>
      </c>
      <c r="J649">
        <v>25.498235999999999</v>
      </c>
      <c r="K649" s="1" t="s">
        <v>1495</v>
      </c>
      <c r="L649" s="1" t="s">
        <v>1501</v>
      </c>
      <c r="M649" s="1" t="s">
        <v>698</v>
      </c>
      <c r="N649" s="1" t="s">
        <v>64</v>
      </c>
      <c r="O649" s="1" t="str">
        <f>INT(Matrice1!$P649/12) &amp; " ans et " &amp; MOD(Matrice1!$P649,12) &amp; " mois"</f>
        <v>1 ans et 7 mois</v>
      </c>
      <c r="P649">
        <v>19</v>
      </c>
      <c r="Q649" s="1" t="s">
        <v>19</v>
      </c>
      <c r="R649" s="4">
        <f>Matrice1!$S649/1440</f>
        <v>9.7916666666666666E-2</v>
      </c>
      <c r="S649">
        <v>141</v>
      </c>
      <c r="T649">
        <v>53.95</v>
      </c>
      <c r="U649">
        <v>1</v>
      </c>
      <c r="V649" s="8">
        <f>IF(Matrice1!$Q649="Pro Monde",10%,IF(AND(Matrice1!$R649&gt;12,Matrice1!$O649&gt;5),70%,IF(AND(OR(Matrice1!$R649&gt;=4,Matrice1!$R649&lt;=12,Matrice1!$O649&lt;5,(OR(Matrice1!$Q649="Premium ")))),45%,0%)))</f>
        <v>0.45</v>
      </c>
      <c r="W649">
        <f>Matrice1!$T649* (Matrice1!$V649/100)</f>
        <v>0.24277500000000005</v>
      </c>
    </row>
    <row r="650" spans="1:23" x14ac:dyDescent="0.3">
      <c r="A650" s="1" t="s">
        <v>1073</v>
      </c>
      <c r="B650" s="2">
        <v>45205</v>
      </c>
      <c r="C650" s="3">
        <v>0.47152777777777777</v>
      </c>
      <c r="D650" s="1" t="s">
        <v>1088</v>
      </c>
      <c r="E650">
        <v>50</v>
      </c>
      <c r="F650" s="1" t="s">
        <v>810</v>
      </c>
      <c r="G650" s="1" t="s">
        <v>1088</v>
      </c>
      <c r="H650" s="1" t="s">
        <v>18</v>
      </c>
      <c r="I650">
        <v>2.628638</v>
      </c>
      <c r="J650">
        <v>28.420582</v>
      </c>
      <c r="K650" s="1" t="s">
        <v>1498</v>
      </c>
      <c r="L650" s="1" t="s">
        <v>1499</v>
      </c>
      <c r="M650" s="1" t="s">
        <v>700</v>
      </c>
      <c r="N650" s="1" t="s">
        <v>18</v>
      </c>
      <c r="O650" s="1" t="str">
        <f>INT(Matrice1!$P650/12) &amp; " ans et " &amp; MOD(Matrice1!$P650,12) &amp; " mois"</f>
        <v>1 ans et 8 mois</v>
      </c>
      <c r="P650">
        <v>20</v>
      </c>
      <c r="Q650" s="1" t="s">
        <v>19</v>
      </c>
      <c r="R650" s="4">
        <f>Matrice1!$S650/1440</f>
        <v>0.20624999999999999</v>
      </c>
      <c r="S650">
        <v>297</v>
      </c>
      <c r="T650">
        <v>14.77</v>
      </c>
      <c r="U650">
        <v>0</v>
      </c>
      <c r="V650" s="8">
        <f>IF(Matrice1!$Q650="Pro Monde",10%,IF(AND(Matrice1!$R650&gt;12,Matrice1!$O650&gt;5),70%,IF(AND(OR(Matrice1!$R650&gt;=4,Matrice1!$R650&lt;=12,Matrice1!$O650&lt;5,(OR(Matrice1!$Q650="Premium ")))),45%,0%)))</f>
        <v>0.45</v>
      </c>
      <c r="W650">
        <f>Matrice1!$T650* (Matrice1!$V650/100)</f>
        <v>6.646500000000001E-2</v>
      </c>
    </row>
    <row r="651" spans="1:23" x14ac:dyDescent="0.3">
      <c r="A651" s="1" t="s">
        <v>805</v>
      </c>
      <c r="B651" s="2">
        <v>45212</v>
      </c>
      <c r="C651" s="3">
        <v>0.14027777777777778</v>
      </c>
      <c r="D651" s="1" t="s">
        <v>826</v>
      </c>
      <c r="E651">
        <v>19</v>
      </c>
      <c r="F651" s="1" t="s">
        <v>810</v>
      </c>
      <c r="G651" s="1" t="s">
        <v>826</v>
      </c>
      <c r="H651" s="1" t="s">
        <v>37</v>
      </c>
      <c r="I651">
        <v>-9.4708620000000003</v>
      </c>
      <c r="J651">
        <v>29.234387999999999</v>
      </c>
      <c r="K651" s="1" t="s">
        <v>1500</v>
      </c>
      <c r="L651" s="1" t="s">
        <v>1501</v>
      </c>
      <c r="M651" s="1" t="s">
        <v>701</v>
      </c>
      <c r="N651" s="1" t="s">
        <v>37</v>
      </c>
      <c r="O651" s="1" t="str">
        <f>INT(Matrice1!$P651/12) &amp; " ans et " &amp; MOD(Matrice1!$P651,12) &amp; " mois"</f>
        <v>5 ans et 7 mois</v>
      </c>
      <c r="P651">
        <v>67</v>
      </c>
      <c r="Q651" s="1" t="s">
        <v>11</v>
      </c>
      <c r="R651" s="4">
        <f>Matrice1!$S651/1440</f>
        <v>0.18194444444444444</v>
      </c>
      <c r="S651">
        <v>262</v>
      </c>
      <c r="T651">
        <v>28.46</v>
      </c>
      <c r="U651">
        <v>3</v>
      </c>
      <c r="V651" s="8">
        <f>IF(Matrice1!$Q651="Pro Monde",10%,IF(AND(Matrice1!$R651&gt;12,Matrice1!$O651&gt;5),70%,IF(AND(OR(Matrice1!$R651&gt;=4,Matrice1!$R651&lt;=12,Matrice1!$O651&lt;5,(OR(Matrice1!$Q651="Premium ")))),45%,0%)))</f>
        <v>0.45</v>
      </c>
      <c r="W651">
        <f>Matrice1!$T651* (Matrice1!$V651/100)</f>
        <v>0.12807000000000002</v>
      </c>
    </row>
    <row r="652" spans="1:23" x14ac:dyDescent="0.3">
      <c r="A652" s="1" t="s">
        <v>854</v>
      </c>
      <c r="B652" s="2">
        <v>45219</v>
      </c>
      <c r="C652" s="3">
        <v>0.10138888888888889</v>
      </c>
      <c r="D652" s="1" t="s">
        <v>888</v>
      </c>
      <c r="E652">
        <v>75</v>
      </c>
      <c r="F652" s="1" t="s">
        <v>807</v>
      </c>
      <c r="G652" s="1" t="s">
        <v>888</v>
      </c>
      <c r="H652" s="1" t="s">
        <v>10</v>
      </c>
      <c r="I652">
        <v>-7.0076900000000002</v>
      </c>
      <c r="J652">
        <v>27.367121999999998</v>
      </c>
      <c r="K652" s="1" t="s">
        <v>1500</v>
      </c>
      <c r="L652" s="1" t="s">
        <v>1508</v>
      </c>
      <c r="M652" s="1" t="s">
        <v>702</v>
      </c>
      <c r="N652" s="1" t="s">
        <v>10</v>
      </c>
      <c r="O652" s="1" t="str">
        <f>INT(Matrice1!$P652/12) &amp; " ans et " &amp; MOD(Matrice1!$P652,12) &amp; " mois"</f>
        <v>3 ans et 2 mois</v>
      </c>
      <c r="P652">
        <v>38</v>
      </c>
      <c r="Q652" s="1" t="s">
        <v>22</v>
      </c>
      <c r="R652" s="4">
        <f>Matrice1!$S652/1440</f>
        <v>0.13263888888888889</v>
      </c>
      <c r="S652">
        <v>191</v>
      </c>
      <c r="T652">
        <v>22.97</v>
      </c>
      <c r="U652">
        <v>3</v>
      </c>
      <c r="V652" s="8">
        <f>IF(Matrice1!$Q652="Pro Monde",10%,IF(AND(Matrice1!$R652&gt;12,Matrice1!$O652&gt;5),70%,IF(AND(OR(Matrice1!$R652&gt;=4,Matrice1!$R652&lt;=12,Matrice1!$O652&lt;5,(OR(Matrice1!$Q652="Premium ")))),45%,0%)))</f>
        <v>0.45</v>
      </c>
      <c r="W652">
        <f>Matrice1!$T652* (Matrice1!$V652/100)</f>
        <v>0.10336500000000001</v>
      </c>
    </row>
    <row r="653" spans="1:23" x14ac:dyDescent="0.3">
      <c r="A653" s="1" t="s">
        <v>936</v>
      </c>
      <c r="B653" s="2">
        <v>45221</v>
      </c>
      <c r="C653" s="3">
        <v>0.51736111111111116</v>
      </c>
      <c r="D653" s="1" t="s">
        <v>963</v>
      </c>
      <c r="E653">
        <v>83</v>
      </c>
      <c r="F653" s="1" t="s">
        <v>812</v>
      </c>
      <c r="G653" s="1" t="s">
        <v>963</v>
      </c>
      <c r="H653" s="1" t="s">
        <v>21</v>
      </c>
      <c r="I653">
        <v>-2.9651529999999999</v>
      </c>
      <c r="J653">
        <v>29.79908</v>
      </c>
      <c r="K653" s="1" t="s">
        <v>1498</v>
      </c>
      <c r="L653" s="1" t="s">
        <v>1496</v>
      </c>
      <c r="M653" s="1" t="s">
        <v>703</v>
      </c>
      <c r="N653" s="1" t="s">
        <v>21</v>
      </c>
      <c r="O653" s="1" t="str">
        <f>INT(Matrice1!$P653/12) &amp; " ans et " &amp; MOD(Matrice1!$P653,12) &amp; " mois"</f>
        <v>6 ans et 8 mois</v>
      </c>
      <c r="P653">
        <v>80</v>
      </c>
      <c r="Q653" s="1" t="s">
        <v>19</v>
      </c>
      <c r="R653" s="4">
        <f>Matrice1!$S653/1440</f>
        <v>4.5138888888888888E-2</v>
      </c>
      <c r="S653">
        <v>65</v>
      </c>
      <c r="T653">
        <v>76.64</v>
      </c>
      <c r="U653">
        <v>3</v>
      </c>
      <c r="V653" s="8">
        <f>IF(Matrice1!$Q653="Pro Monde",10%,IF(AND(Matrice1!$R653&gt;12,Matrice1!$O653&gt;5),70%,IF(AND(OR(Matrice1!$R653&gt;=4,Matrice1!$R653&lt;=12,Matrice1!$O653&lt;5,(OR(Matrice1!$Q653="Premium ")))),45%,0%)))</f>
        <v>0.45</v>
      </c>
      <c r="W653">
        <f>Matrice1!$T653* (Matrice1!$V653/100)</f>
        <v>0.34488000000000002</v>
      </c>
    </row>
    <row r="654" spans="1:23" x14ac:dyDescent="0.3">
      <c r="A654" s="1" t="s">
        <v>805</v>
      </c>
      <c r="B654" s="2">
        <v>45202</v>
      </c>
      <c r="C654" s="3">
        <v>0.25972222222222224</v>
      </c>
      <c r="D654" s="1" t="s">
        <v>815</v>
      </c>
      <c r="E654">
        <v>79</v>
      </c>
      <c r="F654" s="1" t="s">
        <v>807</v>
      </c>
      <c r="G654" s="1" t="s">
        <v>815</v>
      </c>
      <c r="H654" s="1" t="s">
        <v>33</v>
      </c>
      <c r="I654">
        <v>-1.648264</v>
      </c>
      <c r="J654">
        <v>28.866143999999998</v>
      </c>
      <c r="K654" s="1" t="s">
        <v>1495</v>
      </c>
      <c r="L654" s="1" t="s">
        <v>1496</v>
      </c>
      <c r="M654" s="1" t="s">
        <v>704</v>
      </c>
      <c r="N654" s="1" t="s">
        <v>33</v>
      </c>
      <c r="O654" s="1" t="str">
        <f>INT(Matrice1!$P654/12) &amp; " ans et " &amp; MOD(Matrice1!$P654,12) &amp; " mois"</f>
        <v>6 ans et 0 mois</v>
      </c>
      <c r="P654">
        <v>72</v>
      </c>
      <c r="Q654" s="1" t="s">
        <v>14</v>
      </c>
      <c r="R654" s="4">
        <f>Matrice1!$S654/1440</f>
        <v>0.22013888888888888</v>
      </c>
      <c r="S654">
        <v>317</v>
      </c>
      <c r="T654">
        <v>54.58</v>
      </c>
      <c r="U654">
        <v>1</v>
      </c>
      <c r="V654" s="8">
        <f>IF(Matrice1!$Q654="Pro Monde",10%,IF(AND(Matrice1!$R654&gt;12,Matrice1!$O654&gt;5),70%,IF(AND(OR(Matrice1!$R654&gt;=4,Matrice1!$R654&lt;=12,Matrice1!$O654&lt;5,(OR(Matrice1!$Q654="Premium ")))),45%,0%)))</f>
        <v>0.1</v>
      </c>
      <c r="W654">
        <f>Matrice1!$T654* (Matrice1!$V654/100)</f>
        <v>5.4579999999999997E-2</v>
      </c>
    </row>
    <row r="655" spans="1:23" x14ac:dyDescent="0.3">
      <c r="A655" s="1" t="s">
        <v>1073</v>
      </c>
      <c r="B655" s="2">
        <v>45205</v>
      </c>
      <c r="C655" s="3">
        <v>0.47152777777777777</v>
      </c>
      <c r="D655" s="1" t="s">
        <v>1088</v>
      </c>
      <c r="E655">
        <v>50</v>
      </c>
      <c r="F655" s="1" t="s">
        <v>810</v>
      </c>
      <c r="G655" s="1" t="s">
        <v>1088</v>
      </c>
      <c r="H655" s="1" t="s">
        <v>18</v>
      </c>
      <c r="I655">
        <v>2.628638</v>
      </c>
      <c r="J655">
        <v>28.420582</v>
      </c>
      <c r="K655" s="1" t="s">
        <v>1498</v>
      </c>
      <c r="L655" s="1" t="s">
        <v>1499</v>
      </c>
      <c r="M655" s="1" t="s">
        <v>705</v>
      </c>
      <c r="N655" s="1" t="s">
        <v>18</v>
      </c>
      <c r="O655" s="1" t="str">
        <f>INT(Matrice1!$P655/12) &amp; " ans et " &amp; MOD(Matrice1!$P655,12) &amp; " mois"</f>
        <v>7 ans et 2 mois</v>
      </c>
      <c r="P655">
        <v>86</v>
      </c>
      <c r="Q655" s="1" t="s">
        <v>11</v>
      </c>
      <c r="R655" s="4">
        <f>Matrice1!$S655/1440</f>
        <v>0.19305555555555556</v>
      </c>
      <c r="S655">
        <v>278</v>
      </c>
      <c r="T655">
        <v>30.12</v>
      </c>
      <c r="U655">
        <v>0</v>
      </c>
      <c r="V655" s="8">
        <f>IF(Matrice1!$Q655="Pro Monde",10%,IF(AND(Matrice1!$R655&gt;12,Matrice1!$O655&gt;5),70%,IF(AND(OR(Matrice1!$R655&gt;=4,Matrice1!$R655&lt;=12,Matrice1!$O655&lt;5,(OR(Matrice1!$Q655="Premium ")))),45%,0%)))</f>
        <v>0.45</v>
      </c>
      <c r="W655">
        <f>Matrice1!$T655* (Matrice1!$V655/100)</f>
        <v>0.13554000000000002</v>
      </c>
    </row>
    <row r="656" spans="1:23" x14ac:dyDescent="0.3">
      <c r="A656" s="1" t="s">
        <v>805</v>
      </c>
      <c r="B656" s="2">
        <v>45213</v>
      </c>
      <c r="C656" s="3">
        <v>0.31111111111111112</v>
      </c>
      <c r="D656" s="1" t="s">
        <v>819</v>
      </c>
      <c r="E656">
        <v>22</v>
      </c>
      <c r="F656" s="1" t="s">
        <v>810</v>
      </c>
      <c r="G656" s="1" t="s">
        <v>819</v>
      </c>
      <c r="H656" s="1" t="s">
        <v>40</v>
      </c>
      <c r="I656">
        <v>4.8319039999999998</v>
      </c>
      <c r="J656">
        <v>20.733468999999999</v>
      </c>
      <c r="K656" s="1" t="s">
        <v>1495</v>
      </c>
      <c r="L656" s="1" t="s">
        <v>1496</v>
      </c>
      <c r="M656" s="1" t="s">
        <v>706</v>
      </c>
      <c r="N656" s="1" t="s">
        <v>40</v>
      </c>
      <c r="O656" s="1" t="str">
        <f>INT(Matrice1!$P656/12) &amp; " ans et " &amp; MOD(Matrice1!$P656,12) &amp; " mois"</f>
        <v>1 ans et 9 mois</v>
      </c>
      <c r="P656">
        <v>21</v>
      </c>
      <c r="Q656" s="1" t="s">
        <v>22</v>
      </c>
      <c r="R656" s="4">
        <f>Matrice1!$S656/1440</f>
        <v>0.31944444444444442</v>
      </c>
      <c r="S656">
        <v>460</v>
      </c>
      <c r="T656">
        <v>70.81</v>
      </c>
      <c r="U656">
        <v>2</v>
      </c>
      <c r="V656" s="8">
        <f>IF(Matrice1!$Q656="Pro Monde",10%,IF(AND(Matrice1!$R656&gt;12,Matrice1!$O656&gt;5),70%,IF(AND(OR(Matrice1!$R656&gt;=4,Matrice1!$R656&lt;=12,Matrice1!$O656&lt;5,(OR(Matrice1!$Q656="Premium ")))),45%,0%)))</f>
        <v>0.45</v>
      </c>
      <c r="W656">
        <f>Matrice1!$T656* (Matrice1!$V656/100)</f>
        <v>0.31864500000000007</v>
      </c>
    </row>
    <row r="657" spans="1:23" x14ac:dyDescent="0.3">
      <c r="A657" s="1" t="s">
        <v>805</v>
      </c>
      <c r="B657" s="2">
        <v>45202</v>
      </c>
      <c r="C657" s="3">
        <v>0.25972222222222224</v>
      </c>
      <c r="D657" s="1" t="s">
        <v>815</v>
      </c>
      <c r="E657">
        <v>79</v>
      </c>
      <c r="F657" s="1" t="s">
        <v>807</v>
      </c>
      <c r="G657" s="1" t="s">
        <v>815</v>
      </c>
      <c r="H657" s="1" t="s">
        <v>33</v>
      </c>
      <c r="I657">
        <v>-1.648264</v>
      </c>
      <c r="J657">
        <v>28.866143999999998</v>
      </c>
      <c r="K657" s="1" t="s">
        <v>1495</v>
      </c>
      <c r="L657" s="1" t="s">
        <v>1496</v>
      </c>
      <c r="M657" s="1" t="s">
        <v>707</v>
      </c>
      <c r="N657" s="1" t="s">
        <v>33</v>
      </c>
      <c r="O657" s="1" t="str">
        <f>INT(Matrice1!$P657/12) &amp; " ans et " &amp; MOD(Matrice1!$P657,12) &amp; " mois"</f>
        <v>3 ans et 3 mois</v>
      </c>
      <c r="P657">
        <v>39</v>
      </c>
      <c r="Q657" s="1" t="s">
        <v>14</v>
      </c>
      <c r="R657" s="4">
        <f>Matrice1!$S657/1440</f>
        <v>0.20069444444444445</v>
      </c>
      <c r="S657">
        <v>289</v>
      </c>
      <c r="T657">
        <v>86.7</v>
      </c>
      <c r="U657">
        <v>3</v>
      </c>
      <c r="V657" s="8">
        <f>IF(Matrice1!$Q657="Pro Monde",10%,IF(AND(Matrice1!$R657&gt;12,Matrice1!$O657&gt;5),70%,IF(AND(OR(Matrice1!$R657&gt;=4,Matrice1!$R657&lt;=12,Matrice1!$O657&lt;5,(OR(Matrice1!$Q657="Premium ")))),45%,0%)))</f>
        <v>0.1</v>
      </c>
      <c r="W657">
        <f>Matrice1!$T657* (Matrice1!$V657/100)</f>
        <v>8.6699999999999999E-2</v>
      </c>
    </row>
    <row r="658" spans="1:23" x14ac:dyDescent="0.3">
      <c r="A658" s="1" t="s">
        <v>805</v>
      </c>
      <c r="B658" s="2">
        <v>45201</v>
      </c>
      <c r="C658" s="3">
        <v>0.88472222222222219</v>
      </c>
      <c r="D658" s="1" t="s">
        <v>833</v>
      </c>
      <c r="E658">
        <v>54</v>
      </c>
      <c r="F658" s="1" t="s">
        <v>812</v>
      </c>
      <c r="G658" s="1" t="s">
        <v>833</v>
      </c>
      <c r="H658" s="1" t="s">
        <v>131</v>
      </c>
      <c r="I658">
        <v>4.6287159999999998</v>
      </c>
      <c r="J658">
        <v>19.407077999999998</v>
      </c>
      <c r="K658" s="1" t="s">
        <v>1498</v>
      </c>
      <c r="L658" s="1" t="s">
        <v>1496</v>
      </c>
      <c r="M658" s="1" t="s">
        <v>708</v>
      </c>
      <c r="N658" s="1" t="s">
        <v>131</v>
      </c>
      <c r="O658" s="1" t="str">
        <f>INT(Matrice1!$P658/12) &amp; " ans et " &amp; MOD(Matrice1!$P658,12) &amp; " mois"</f>
        <v>5 ans et 3 mois</v>
      </c>
      <c r="P658">
        <v>63</v>
      </c>
      <c r="Q658" s="1" t="s">
        <v>14</v>
      </c>
      <c r="R658" s="4">
        <f>Matrice1!$S658/1440</f>
        <v>0.31180555555555556</v>
      </c>
      <c r="S658">
        <v>449</v>
      </c>
      <c r="T658">
        <v>37.08</v>
      </c>
      <c r="U658">
        <v>0</v>
      </c>
      <c r="V658" s="8">
        <f>IF(Matrice1!$Q658="Pro Monde",10%,IF(AND(Matrice1!$R658&gt;12,Matrice1!$O658&gt;5),70%,IF(AND(OR(Matrice1!$R658&gt;=4,Matrice1!$R658&lt;=12,Matrice1!$O658&lt;5,(OR(Matrice1!$Q658="Premium ")))),45%,0%)))</f>
        <v>0.1</v>
      </c>
      <c r="W658">
        <f>Matrice1!$T658* (Matrice1!$V658/100)</f>
        <v>3.7080000000000002E-2</v>
      </c>
    </row>
    <row r="659" spans="1:23" x14ac:dyDescent="0.3">
      <c r="A659" s="1" t="s">
        <v>854</v>
      </c>
      <c r="B659" s="2">
        <v>45221</v>
      </c>
      <c r="C659" s="3">
        <v>0.77500000000000002</v>
      </c>
      <c r="D659" s="1" t="s">
        <v>889</v>
      </c>
      <c r="E659">
        <v>24</v>
      </c>
      <c r="F659" s="1" t="s">
        <v>807</v>
      </c>
      <c r="G659" s="1" t="s">
        <v>889</v>
      </c>
      <c r="H659" s="1" t="s">
        <v>16</v>
      </c>
      <c r="I659">
        <v>-11.514188000000001</v>
      </c>
      <c r="J659">
        <v>15.971181</v>
      </c>
      <c r="K659" s="1" t="s">
        <v>1495</v>
      </c>
      <c r="L659" s="1" t="s">
        <v>1496</v>
      </c>
      <c r="M659" s="1" t="s">
        <v>709</v>
      </c>
      <c r="N659" s="1" t="s">
        <v>16</v>
      </c>
      <c r="O659" s="1" t="str">
        <f>INT(Matrice1!$P659/12) &amp; " ans et " &amp; MOD(Matrice1!$P659,12) &amp; " mois"</f>
        <v>3 ans et 1 mois</v>
      </c>
      <c r="P659">
        <v>37</v>
      </c>
      <c r="Q659" s="1" t="s">
        <v>14</v>
      </c>
      <c r="R659" s="4">
        <f>Matrice1!$S659/1440</f>
        <v>0.10416666666666667</v>
      </c>
      <c r="S659">
        <v>150</v>
      </c>
      <c r="T659">
        <v>37.979999999999997</v>
      </c>
      <c r="U659">
        <v>4</v>
      </c>
      <c r="V659" s="8">
        <f>IF(Matrice1!$Q659="Pro Monde",10%,IF(AND(Matrice1!$R659&gt;12,Matrice1!$O659&gt;5),70%,IF(AND(OR(Matrice1!$R659&gt;=4,Matrice1!$R659&lt;=12,Matrice1!$O659&lt;5,(OR(Matrice1!$Q659="Premium ")))),45%,0%)))</f>
        <v>0.1</v>
      </c>
      <c r="W659">
        <f>Matrice1!$T659* (Matrice1!$V659/100)</f>
        <v>3.798E-2</v>
      </c>
    </row>
    <row r="660" spans="1:23" x14ac:dyDescent="0.3">
      <c r="A660" s="1" t="s">
        <v>898</v>
      </c>
      <c r="B660" s="2">
        <v>45216</v>
      </c>
      <c r="C660" s="3">
        <v>0.90277777777777779</v>
      </c>
      <c r="D660" s="1" t="s">
        <v>929</v>
      </c>
      <c r="E660">
        <v>20</v>
      </c>
      <c r="F660" s="1" t="s">
        <v>812</v>
      </c>
      <c r="G660" s="1" t="s">
        <v>929</v>
      </c>
      <c r="H660" s="1" t="s">
        <v>51</v>
      </c>
      <c r="I660">
        <v>-4.2408359999999998</v>
      </c>
      <c r="J660">
        <v>26.210014000000001</v>
      </c>
      <c r="K660" s="1" t="s">
        <v>1498</v>
      </c>
      <c r="L660" s="1" t="s">
        <v>1499</v>
      </c>
      <c r="M660" s="1" t="s">
        <v>710</v>
      </c>
      <c r="N660" s="1" t="s">
        <v>51</v>
      </c>
      <c r="O660" s="1" t="str">
        <f>INT(Matrice1!$P660/12) &amp; " ans et " &amp; MOD(Matrice1!$P660,12) &amp; " mois"</f>
        <v>0 ans et 9 mois</v>
      </c>
      <c r="P660">
        <v>9</v>
      </c>
      <c r="Q660" s="1" t="s">
        <v>19</v>
      </c>
      <c r="R660" s="4">
        <f>Matrice1!$S660/1440</f>
        <v>1.8749999999999999E-2</v>
      </c>
      <c r="S660">
        <v>27</v>
      </c>
      <c r="T660">
        <v>99.02</v>
      </c>
      <c r="U660">
        <v>3</v>
      </c>
      <c r="V660" s="8">
        <f>IF(Matrice1!$Q660="Pro Monde",10%,IF(AND(Matrice1!$R660&gt;12,Matrice1!$O660&gt;5),70%,IF(AND(OR(Matrice1!$R660&gt;=4,Matrice1!$R660&lt;=12,Matrice1!$O660&lt;5,(OR(Matrice1!$Q660="Premium ")))),45%,0%)))</f>
        <v>0.45</v>
      </c>
      <c r="W660">
        <f>Matrice1!$T660* (Matrice1!$V660/100)</f>
        <v>0.44559000000000004</v>
      </c>
    </row>
    <row r="661" spans="1:23" x14ac:dyDescent="0.3">
      <c r="A661" s="1" t="s">
        <v>805</v>
      </c>
      <c r="B661" s="2">
        <v>45218</v>
      </c>
      <c r="C661" s="3">
        <v>0.36875000000000002</v>
      </c>
      <c r="D661" s="1" t="s">
        <v>820</v>
      </c>
      <c r="E661">
        <v>70</v>
      </c>
      <c r="F661" s="1" t="s">
        <v>807</v>
      </c>
      <c r="G661" s="1" t="s">
        <v>820</v>
      </c>
      <c r="H661" s="1" t="s">
        <v>67</v>
      </c>
      <c r="I661">
        <v>-8.4227860000000003</v>
      </c>
      <c r="J661">
        <v>16.781293000000002</v>
      </c>
      <c r="K661" s="1" t="s">
        <v>1498</v>
      </c>
      <c r="L661" s="1" t="s">
        <v>1499</v>
      </c>
      <c r="M661" s="1" t="s">
        <v>711</v>
      </c>
      <c r="N661" s="1" t="s">
        <v>67</v>
      </c>
      <c r="O661" s="1" t="str">
        <f>INT(Matrice1!$P661/12) &amp; " ans et " &amp; MOD(Matrice1!$P661,12) &amp; " mois"</f>
        <v>8 ans et 7 mois</v>
      </c>
      <c r="P661">
        <v>103</v>
      </c>
      <c r="Q661" s="1" t="s">
        <v>11</v>
      </c>
      <c r="R661" s="4">
        <f>Matrice1!$S661/1440</f>
        <v>0.26805555555555555</v>
      </c>
      <c r="S661">
        <v>386</v>
      </c>
      <c r="T661">
        <v>10.58</v>
      </c>
      <c r="U661">
        <v>0</v>
      </c>
      <c r="V661" s="8">
        <f>IF(Matrice1!$Q661="Pro Monde",10%,IF(AND(Matrice1!$R661&gt;12,Matrice1!$O661&gt;5),70%,IF(AND(OR(Matrice1!$R661&gt;=4,Matrice1!$R661&lt;=12,Matrice1!$O661&lt;5,(OR(Matrice1!$Q661="Premium ")))),45%,0%)))</f>
        <v>0.45</v>
      </c>
      <c r="W661">
        <f>Matrice1!$T661* (Matrice1!$V661/100)</f>
        <v>4.7610000000000006E-2</v>
      </c>
    </row>
    <row r="662" spans="1:23" x14ac:dyDescent="0.3">
      <c r="A662" s="1" t="s">
        <v>854</v>
      </c>
      <c r="B662" s="2">
        <v>45221</v>
      </c>
      <c r="C662" s="3">
        <v>0.77500000000000002</v>
      </c>
      <c r="D662" s="1" t="s">
        <v>889</v>
      </c>
      <c r="E662">
        <v>24</v>
      </c>
      <c r="F662" s="1" t="s">
        <v>807</v>
      </c>
      <c r="G662" s="1" t="s">
        <v>889</v>
      </c>
      <c r="H662" s="1" t="s">
        <v>16</v>
      </c>
      <c r="I662">
        <v>-11.514188000000001</v>
      </c>
      <c r="J662">
        <v>15.971181</v>
      </c>
      <c r="K662" s="1" t="s">
        <v>1495</v>
      </c>
      <c r="L662" s="1" t="s">
        <v>1496</v>
      </c>
      <c r="M662" s="1" t="s">
        <v>712</v>
      </c>
      <c r="N662" s="1" t="s">
        <v>16</v>
      </c>
      <c r="O662" s="1" t="str">
        <f>INT(Matrice1!$P662/12) &amp; " ans et " &amp; MOD(Matrice1!$P662,12) &amp; " mois"</f>
        <v>3 ans et 2 mois</v>
      </c>
      <c r="P662">
        <v>38</v>
      </c>
      <c r="Q662" s="1" t="s">
        <v>11</v>
      </c>
      <c r="R662" s="4">
        <f>Matrice1!$S662/1440</f>
        <v>0.3</v>
      </c>
      <c r="S662">
        <v>432</v>
      </c>
      <c r="T662">
        <v>53.65</v>
      </c>
      <c r="U662">
        <v>4</v>
      </c>
      <c r="V662" s="8">
        <f>IF(Matrice1!$Q662="Pro Monde",10%,IF(AND(Matrice1!$R662&gt;12,Matrice1!$O662&gt;5),70%,IF(AND(OR(Matrice1!$R662&gt;=4,Matrice1!$R662&lt;=12,Matrice1!$O662&lt;5,(OR(Matrice1!$Q662="Premium ")))),45%,0%)))</f>
        <v>0.45</v>
      </c>
      <c r="W662">
        <f>Matrice1!$T662* (Matrice1!$V662/100)</f>
        <v>0.24142500000000003</v>
      </c>
    </row>
    <row r="663" spans="1:23" x14ac:dyDescent="0.3">
      <c r="A663" s="1" t="s">
        <v>854</v>
      </c>
      <c r="B663" s="2">
        <v>45213</v>
      </c>
      <c r="C663" s="3">
        <v>0.25416666666666665</v>
      </c>
      <c r="D663" s="1" t="s">
        <v>857</v>
      </c>
      <c r="E663">
        <v>73</v>
      </c>
      <c r="F663" s="1" t="s">
        <v>812</v>
      </c>
      <c r="G663" s="1" t="s">
        <v>857</v>
      </c>
      <c r="H663" s="1" t="s">
        <v>13</v>
      </c>
      <c r="I663">
        <v>-5.1030600000000002</v>
      </c>
      <c r="J663">
        <v>22.849231</v>
      </c>
      <c r="K663" s="1" t="s">
        <v>1495</v>
      </c>
      <c r="L663" s="1" t="s">
        <v>1501</v>
      </c>
      <c r="M663" s="1" t="s">
        <v>713</v>
      </c>
      <c r="N663" s="1" t="s">
        <v>13</v>
      </c>
      <c r="O663" s="1" t="str">
        <f>INT(Matrice1!$P663/12) &amp; " ans et " &amp; MOD(Matrice1!$P663,12) &amp; " mois"</f>
        <v>0 ans et 2 mois</v>
      </c>
      <c r="P663">
        <v>2</v>
      </c>
      <c r="Q663" s="1" t="s">
        <v>11</v>
      </c>
      <c r="R663" s="4">
        <f>Matrice1!$S663/1440</f>
        <v>0.13958333333333334</v>
      </c>
      <c r="S663">
        <v>201</v>
      </c>
      <c r="T663">
        <v>71.900000000000006</v>
      </c>
      <c r="U663">
        <v>2</v>
      </c>
      <c r="V663" s="8">
        <f>IF(Matrice1!$Q663="Pro Monde",10%,IF(AND(Matrice1!$R663&gt;12,Matrice1!$O663&gt;5),70%,IF(AND(OR(Matrice1!$R663&gt;=4,Matrice1!$R663&lt;=12,Matrice1!$O663&lt;5,(OR(Matrice1!$Q663="Premium ")))),45%,0%)))</f>
        <v>0.45</v>
      </c>
      <c r="W663">
        <f>Matrice1!$T663* (Matrice1!$V663/100)</f>
        <v>0.32355000000000006</v>
      </c>
    </row>
    <row r="664" spans="1:23" x14ac:dyDescent="0.3">
      <c r="A664" s="1" t="s">
        <v>1133</v>
      </c>
      <c r="B664" s="2">
        <v>45222</v>
      </c>
      <c r="C664" s="3">
        <v>0.58472222222222225</v>
      </c>
      <c r="D664" s="1" t="s">
        <v>1155</v>
      </c>
      <c r="E664">
        <v>15</v>
      </c>
      <c r="F664" s="1" t="s">
        <v>812</v>
      </c>
      <c r="G664" s="1" t="s">
        <v>1155</v>
      </c>
      <c r="H664" s="1" t="s">
        <v>60</v>
      </c>
      <c r="I664">
        <v>-9.1215879999999991</v>
      </c>
      <c r="J664">
        <v>16.457916999999998</v>
      </c>
      <c r="K664" s="1" t="s">
        <v>1498</v>
      </c>
      <c r="L664" s="1" t="s">
        <v>1508</v>
      </c>
      <c r="M664" s="1" t="s">
        <v>714</v>
      </c>
      <c r="N664" s="1" t="s">
        <v>60</v>
      </c>
      <c r="O664" s="1" t="str">
        <f>INT(Matrice1!$P664/12) &amp; " ans et " &amp; MOD(Matrice1!$P664,12) &amp; " mois"</f>
        <v>4 ans et 11 mois</v>
      </c>
      <c r="P664">
        <v>59</v>
      </c>
      <c r="Q664" s="1" t="s">
        <v>22</v>
      </c>
      <c r="R664" s="4">
        <f>Matrice1!$S664/1440</f>
        <v>4.4444444444444446E-2</v>
      </c>
      <c r="S664">
        <v>64</v>
      </c>
      <c r="T664">
        <v>20.32</v>
      </c>
      <c r="U664">
        <v>0</v>
      </c>
      <c r="V664" s="8">
        <f>IF(Matrice1!$Q664="Pro Monde",10%,IF(AND(Matrice1!$R664&gt;12,Matrice1!$O664&gt;5),70%,IF(AND(OR(Matrice1!$R664&gt;=4,Matrice1!$R664&lt;=12,Matrice1!$O664&lt;5,(OR(Matrice1!$Q664="Premium ")))),45%,0%)))</f>
        <v>0.45</v>
      </c>
      <c r="W664">
        <f>Matrice1!$T664* (Matrice1!$V664/100)</f>
        <v>9.1440000000000007E-2</v>
      </c>
    </row>
    <row r="665" spans="1:23" x14ac:dyDescent="0.3">
      <c r="A665" s="1" t="s">
        <v>898</v>
      </c>
      <c r="B665" s="2">
        <v>45206</v>
      </c>
      <c r="C665" s="3">
        <v>0.6875</v>
      </c>
      <c r="D665" s="1" t="s">
        <v>926</v>
      </c>
      <c r="E665">
        <v>76</v>
      </c>
      <c r="F665" s="1" t="s">
        <v>812</v>
      </c>
      <c r="G665" s="1" t="s">
        <v>926</v>
      </c>
      <c r="H665" s="1" t="s">
        <v>127</v>
      </c>
      <c r="I665">
        <v>-12.100756000000001</v>
      </c>
      <c r="J665">
        <v>21.938649999999999</v>
      </c>
      <c r="K665" s="1" t="s">
        <v>1498</v>
      </c>
      <c r="L665" s="1" t="s">
        <v>1499</v>
      </c>
      <c r="M665" s="1" t="s">
        <v>715</v>
      </c>
      <c r="N665" s="1" t="s">
        <v>127</v>
      </c>
      <c r="O665" s="1" t="str">
        <f>INT(Matrice1!$P665/12) &amp; " ans et " &amp; MOD(Matrice1!$P665,12) &amp; " mois"</f>
        <v>0 ans et 6 mois</v>
      </c>
      <c r="P665">
        <v>6</v>
      </c>
      <c r="Q665" s="1" t="s">
        <v>14</v>
      </c>
      <c r="R665" s="4">
        <f>Matrice1!$S665/1440</f>
        <v>0.14305555555555555</v>
      </c>
      <c r="S665">
        <v>206</v>
      </c>
      <c r="T665">
        <v>10</v>
      </c>
      <c r="U665">
        <v>5</v>
      </c>
      <c r="V665" s="8">
        <f>IF(Matrice1!$Q665="Pro Monde",10%,IF(AND(Matrice1!$R665&gt;12,Matrice1!$O665&gt;5),70%,IF(AND(OR(Matrice1!$R665&gt;=4,Matrice1!$R665&lt;=12,Matrice1!$O665&lt;5,(OR(Matrice1!$Q665="Premium ")))),45%,0%)))</f>
        <v>0.1</v>
      </c>
      <c r="W665">
        <f>Matrice1!$T665* (Matrice1!$V665/100)</f>
        <v>0.01</v>
      </c>
    </row>
    <row r="666" spans="1:23" x14ac:dyDescent="0.3">
      <c r="A666" s="1" t="s">
        <v>805</v>
      </c>
      <c r="B666" s="2">
        <v>45203</v>
      </c>
      <c r="C666" s="3">
        <v>0.51180555555555551</v>
      </c>
      <c r="D666" s="1" t="s">
        <v>835</v>
      </c>
      <c r="E666">
        <v>64</v>
      </c>
      <c r="F666" s="1" t="s">
        <v>812</v>
      </c>
      <c r="G666" s="1" t="s">
        <v>835</v>
      </c>
      <c r="H666" s="1" t="s">
        <v>73</v>
      </c>
      <c r="I666">
        <v>0.23583499999999999</v>
      </c>
      <c r="J666">
        <v>24.889558999999998</v>
      </c>
      <c r="K666" s="1" t="s">
        <v>1500</v>
      </c>
      <c r="L666" s="1" t="s">
        <v>1501</v>
      </c>
      <c r="M666" s="1" t="s">
        <v>716</v>
      </c>
      <c r="N666" s="1" t="s">
        <v>73</v>
      </c>
      <c r="O666" s="1" t="str">
        <f>INT(Matrice1!$P666/12) &amp; " ans et " &amp; MOD(Matrice1!$P666,12) &amp; " mois"</f>
        <v>2 ans et 4 mois</v>
      </c>
      <c r="P666">
        <v>28</v>
      </c>
      <c r="Q666" s="1" t="s">
        <v>11</v>
      </c>
      <c r="R666" s="4">
        <f>Matrice1!$S666/1440</f>
        <v>0.23819444444444443</v>
      </c>
      <c r="S666">
        <v>343</v>
      </c>
      <c r="T666">
        <v>64.34</v>
      </c>
      <c r="U666">
        <v>5</v>
      </c>
      <c r="V666" s="8">
        <f>IF(Matrice1!$Q666="Pro Monde",10%,IF(AND(Matrice1!$R666&gt;12,Matrice1!$O666&gt;5),70%,IF(AND(OR(Matrice1!$R666&gt;=4,Matrice1!$R666&lt;=12,Matrice1!$O666&lt;5,(OR(Matrice1!$Q666="Premium ")))),45%,0%)))</f>
        <v>0.45</v>
      </c>
      <c r="W666">
        <f>Matrice1!$T666* (Matrice1!$V666/100)</f>
        <v>0.28953000000000007</v>
      </c>
    </row>
    <row r="667" spans="1:23" x14ac:dyDescent="0.3">
      <c r="A667" s="1" t="s">
        <v>805</v>
      </c>
      <c r="B667" s="2">
        <v>45217</v>
      </c>
      <c r="C667" s="3">
        <v>0.96875</v>
      </c>
      <c r="D667" s="1" t="s">
        <v>842</v>
      </c>
      <c r="E667">
        <v>97</v>
      </c>
      <c r="F667" s="1" t="s">
        <v>810</v>
      </c>
      <c r="G667" s="1" t="s">
        <v>842</v>
      </c>
      <c r="H667" s="1" t="s">
        <v>29</v>
      </c>
      <c r="I667">
        <v>-10.059846</v>
      </c>
      <c r="J667">
        <v>14.375757999999999</v>
      </c>
      <c r="K667" s="1" t="s">
        <v>1498</v>
      </c>
      <c r="L667" s="1" t="s">
        <v>1499</v>
      </c>
      <c r="M667" s="1" t="s">
        <v>717</v>
      </c>
      <c r="N667" s="1" t="s">
        <v>29</v>
      </c>
      <c r="O667" s="1" t="str">
        <f>INT(Matrice1!$P667/12) &amp; " ans et " &amp; MOD(Matrice1!$P667,12) &amp; " mois"</f>
        <v>3 ans et 1 mois</v>
      </c>
      <c r="P667">
        <v>37</v>
      </c>
      <c r="Q667" s="1" t="s">
        <v>22</v>
      </c>
      <c r="R667" s="4">
        <f>Matrice1!$S667/1440</f>
        <v>2.0833333333333333E-3</v>
      </c>
      <c r="S667">
        <v>3</v>
      </c>
      <c r="T667">
        <v>20.89</v>
      </c>
      <c r="U667">
        <v>5</v>
      </c>
      <c r="V667" s="8">
        <f>IF(Matrice1!$Q667="Pro Monde",10%,IF(AND(Matrice1!$R667&gt;12,Matrice1!$O667&gt;5),70%,IF(AND(OR(Matrice1!$R667&gt;=4,Matrice1!$R667&lt;=12,Matrice1!$O667&lt;5,(OR(Matrice1!$Q667="Premium ")))),45%,0%)))</f>
        <v>0.45</v>
      </c>
      <c r="W667">
        <f>Matrice1!$T667* (Matrice1!$V667/100)</f>
        <v>9.4005000000000019E-2</v>
      </c>
    </row>
    <row r="668" spans="1:23" x14ac:dyDescent="0.3">
      <c r="A668" s="1" t="s">
        <v>805</v>
      </c>
      <c r="B668" s="2">
        <v>45218</v>
      </c>
      <c r="C668" s="3">
        <v>0.36875000000000002</v>
      </c>
      <c r="D668" s="1" t="s">
        <v>820</v>
      </c>
      <c r="E668">
        <v>70</v>
      </c>
      <c r="F668" s="1" t="s">
        <v>807</v>
      </c>
      <c r="G668" s="1" t="s">
        <v>820</v>
      </c>
      <c r="H668" s="1" t="s">
        <v>67</v>
      </c>
      <c r="I668">
        <v>-8.4227860000000003</v>
      </c>
      <c r="J668">
        <v>16.781293000000002</v>
      </c>
      <c r="K668" s="1" t="s">
        <v>1498</v>
      </c>
      <c r="L668" s="1" t="s">
        <v>1499</v>
      </c>
      <c r="M668" s="1" t="s">
        <v>718</v>
      </c>
      <c r="N668" s="1" t="s">
        <v>67</v>
      </c>
      <c r="O668" s="1" t="str">
        <f>INT(Matrice1!$P668/12) &amp; " ans et " &amp; MOD(Matrice1!$P668,12) &amp; " mois"</f>
        <v>8 ans et 10 mois</v>
      </c>
      <c r="P668">
        <v>106</v>
      </c>
      <c r="Q668" s="1" t="s">
        <v>22</v>
      </c>
      <c r="R668" s="4">
        <f>Matrice1!$S668/1440</f>
        <v>0.16388888888888889</v>
      </c>
      <c r="S668">
        <v>236</v>
      </c>
      <c r="T668">
        <v>18.72</v>
      </c>
      <c r="U668">
        <v>4</v>
      </c>
      <c r="V668" s="8">
        <f>IF(Matrice1!$Q668="Pro Monde",10%,IF(AND(Matrice1!$R668&gt;12,Matrice1!$O668&gt;5),70%,IF(AND(OR(Matrice1!$R668&gt;=4,Matrice1!$R668&lt;=12,Matrice1!$O668&lt;5,(OR(Matrice1!$Q668="Premium ")))),45%,0%)))</f>
        <v>0.45</v>
      </c>
      <c r="W668">
        <f>Matrice1!$T668* (Matrice1!$V668/100)</f>
        <v>8.4240000000000009E-2</v>
      </c>
    </row>
    <row r="669" spans="1:23" x14ac:dyDescent="0.3">
      <c r="A669" s="1" t="s">
        <v>854</v>
      </c>
      <c r="B669" s="2">
        <v>45213</v>
      </c>
      <c r="C669" s="3">
        <v>0.25416666666666665</v>
      </c>
      <c r="D669" s="1" t="s">
        <v>857</v>
      </c>
      <c r="E669">
        <v>73</v>
      </c>
      <c r="F669" s="1" t="s">
        <v>812</v>
      </c>
      <c r="G669" s="1" t="s">
        <v>857</v>
      </c>
      <c r="H669" s="1" t="s">
        <v>13</v>
      </c>
      <c r="I669">
        <v>-5.1030600000000002</v>
      </c>
      <c r="J669">
        <v>22.849231</v>
      </c>
      <c r="K669" s="1" t="s">
        <v>1495</v>
      </c>
      <c r="L669" s="1" t="s">
        <v>1501</v>
      </c>
      <c r="M669" s="1" t="s">
        <v>719</v>
      </c>
      <c r="N669" s="1" t="s">
        <v>13</v>
      </c>
      <c r="O669" s="1" t="str">
        <f>INT(Matrice1!$P669/12) &amp; " ans et " &amp; MOD(Matrice1!$P669,12) &amp; " mois"</f>
        <v>6 ans et 4 mois</v>
      </c>
      <c r="P669">
        <v>76</v>
      </c>
      <c r="Q669" s="1" t="s">
        <v>11</v>
      </c>
      <c r="R669" s="4">
        <f>Matrice1!$S669/1440</f>
        <v>0.28680555555555554</v>
      </c>
      <c r="S669">
        <v>413</v>
      </c>
      <c r="T669">
        <v>28.39</v>
      </c>
      <c r="U669">
        <v>3</v>
      </c>
      <c r="V669" s="8">
        <f>IF(Matrice1!$Q669="Pro Monde",10%,IF(AND(Matrice1!$R669&gt;12,Matrice1!$O669&gt;5),70%,IF(AND(OR(Matrice1!$R669&gt;=4,Matrice1!$R669&lt;=12,Matrice1!$O669&lt;5,(OR(Matrice1!$Q669="Premium ")))),45%,0%)))</f>
        <v>0.45</v>
      </c>
      <c r="W669">
        <f>Matrice1!$T669* (Matrice1!$V669/100)</f>
        <v>0.12775500000000001</v>
      </c>
    </row>
    <row r="670" spans="1:23" x14ac:dyDescent="0.3">
      <c r="A670" s="1" t="s">
        <v>936</v>
      </c>
      <c r="B670" s="2">
        <v>45221</v>
      </c>
      <c r="C670" s="3">
        <v>0.51736111111111116</v>
      </c>
      <c r="D670" s="1" t="s">
        <v>963</v>
      </c>
      <c r="E670">
        <v>83</v>
      </c>
      <c r="F670" s="1" t="s">
        <v>812</v>
      </c>
      <c r="G670" s="1" t="s">
        <v>963</v>
      </c>
      <c r="H670" s="1" t="s">
        <v>21</v>
      </c>
      <c r="I670">
        <v>-2.9651529999999999</v>
      </c>
      <c r="J670">
        <v>29.79908</v>
      </c>
      <c r="K670" s="1" t="s">
        <v>1498</v>
      </c>
      <c r="L670" s="1" t="s">
        <v>1496</v>
      </c>
      <c r="M670" s="1" t="s">
        <v>720</v>
      </c>
      <c r="N670" s="1" t="s">
        <v>21</v>
      </c>
      <c r="O670" s="1" t="str">
        <f>INT(Matrice1!$P670/12) &amp; " ans et " &amp; MOD(Matrice1!$P670,12) &amp; " mois"</f>
        <v>1 ans et 4 mois</v>
      </c>
      <c r="P670">
        <v>16</v>
      </c>
      <c r="Q670" s="1" t="s">
        <v>22</v>
      </c>
      <c r="R670" s="4">
        <f>Matrice1!$S670/1440</f>
        <v>0.27083333333333331</v>
      </c>
      <c r="S670">
        <v>390</v>
      </c>
      <c r="T670">
        <v>52.64</v>
      </c>
      <c r="U670">
        <v>0</v>
      </c>
      <c r="V670" s="8">
        <f>IF(Matrice1!$Q670="Pro Monde",10%,IF(AND(Matrice1!$R670&gt;12,Matrice1!$O670&gt;5),70%,IF(AND(OR(Matrice1!$R670&gt;=4,Matrice1!$R670&lt;=12,Matrice1!$O670&lt;5,(OR(Matrice1!$Q670="Premium ")))),45%,0%)))</f>
        <v>0.45</v>
      </c>
      <c r="W670">
        <f>Matrice1!$T670* (Matrice1!$V670/100)</f>
        <v>0.23688000000000003</v>
      </c>
    </row>
    <row r="671" spans="1:23" x14ac:dyDescent="0.3">
      <c r="A671" s="1" t="s">
        <v>1073</v>
      </c>
      <c r="B671" s="2">
        <v>45221</v>
      </c>
      <c r="C671" s="3">
        <v>0.37638888888888888</v>
      </c>
      <c r="D671" s="1" t="s">
        <v>1096</v>
      </c>
      <c r="E671">
        <v>59</v>
      </c>
      <c r="F671" s="1" t="s">
        <v>812</v>
      </c>
      <c r="G671" s="1" t="s">
        <v>1096</v>
      </c>
      <c r="H671" s="1" t="s">
        <v>78</v>
      </c>
      <c r="I671">
        <v>-8.4824669999999998</v>
      </c>
      <c r="J671">
        <v>21.897777999999999</v>
      </c>
      <c r="K671" s="1" t="s">
        <v>1495</v>
      </c>
      <c r="L671" s="1" t="s">
        <v>1496</v>
      </c>
      <c r="M671" s="1" t="s">
        <v>721</v>
      </c>
      <c r="N671" s="1" t="s">
        <v>78</v>
      </c>
      <c r="O671" s="1" t="str">
        <f>INT(Matrice1!$P671/12) &amp; " ans et " &amp; MOD(Matrice1!$P671,12) &amp; " mois"</f>
        <v>0 ans et 7 mois</v>
      </c>
      <c r="P671">
        <v>7</v>
      </c>
      <c r="Q671" s="1" t="s">
        <v>14</v>
      </c>
      <c r="R671" s="4">
        <f>Matrice1!$S671/1440</f>
        <v>0.31041666666666667</v>
      </c>
      <c r="S671">
        <v>447</v>
      </c>
      <c r="T671">
        <v>84.95</v>
      </c>
      <c r="U671">
        <v>2</v>
      </c>
      <c r="V671" s="8">
        <f>IF(Matrice1!$Q671="Pro Monde",10%,IF(AND(Matrice1!$R671&gt;12,Matrice1!$O671&gt;5),70%,IF(AND(OR(Matrice1!$R671&gt;=4,Matrice1!$R671&lt;=12,Matrice1!$O671&lt;5,(OR(Matrice1!$Q671="Premium ")))),45%,0%)))</f>
        <v>0.1</v>
      </c>
      <c r="W671">
        <f>Matrice1!$T671* (Matrice1!$V671/100)</f>
        <v>8.4949999999999998E-2</v>
      </c>
    </row>
    <row r="672" spans="1:23" x14ac:dyDescent="0.3">
      <c r="A672" s="1" t="s">
        <v>805</v>
      </c>
      <c r="B672" s="2">
        <v>45201</v>
      </c>
      <c r="C672" s="3">
        <v>0.88472222222222219</v>
      </c>
      <c r="D672" s="1" t="s">
        <v>833</v>
      </c>
      <c r="E672">
        <v>54</v>
      </c>
      <c r="F672" s="1" t="s">
        <v>812</v>
      </c>
      <c r="G672" s="1" t="s">
        <v>833</v>
      </c>
      <c r="H672" s="1" t="s">
        <v>131</v>
      </c>
      <c r="I672">
        <v>4.6287159999999998</v>
      </c>
      <c r="J672">
        <v>19.407077999999998</v>
      </c>
      <c r="K672" s="1" t="s">
        <v>1498</v>
      </c>
      <c r="L672" s="1" t="s">
        <v>1496</v>
      </c>
      <c r="M672" s="1" t="s">
        <v>722</v>
      </c>
      <c r="N672" s="1" t="s">
        <v>131</v>
      </c>
      <c r="O672" s="1" t="str">
        <f>INT(Matrice1!$P672/12) &amp; " ans et " &amp; MOD(Matrice1!$P672,12) &amp; " mois"</f>
        <v>5 ans et 3 mois</v>
      </c>
      <c r="P672">
        <v>63</v>
      </c>
      <c r="Q672" s="1" t="s">
        <v>22</v>
      </c>
      <c r="R672" s="4">
        <f>Matrice1!$S672/1440</f>
        <v>0.18402777777777779</v>
      </c>
      <c r="S672">
        <v>265</v>
      </c>
      <c r="T672">
        <v>49.94</v>
      </c>
      <c r="U672">
        <v>1</v>
      </c>
      <c r="V672" s="8">
        <f>IF(Matrice1!$Q672="Pro Monde",10%,IF(AND(Matrice1!$R672&gt;12,Matrice1!$O672&gt;5),70%,IF(AND(OR(Matrice1!$R672&gt;=4,Matrice1!$R672&lt;=12,Matrice1!$O672&lt;5,(OR(Matrice1!$Q672="Premium ")))),45%,0%)))</f>
        <v>0.45</v>
      </c>
      <c r="W672">
        <f>Matrice1!$T672* (Matrice1!$V672/100)</f>
        <v>0.22473000000000001</v>
      </c>
    </row>
    <row r="673" spans="1:23" x14ac:dyDescent="0.3">
      <c r="A673" s="1" t="s">
        <v>805</v>
      </c>
      <c r="B673" s="2">
        <v>45211</v>
      </c>
      <c r="C673" s="3">
        <v>0.27916666666666667</v>
      </c>
      <c r="D673" s="1" t="s">
        <v>838</v>
      </c>
      <c r="E673">
        <v>75</v>
      </c>
      <c r="F673" s="1" t="s">
        <v>807</v>
      </c>
      <c r="G673" s="1" t="s">
        <v>838</v>
      </c>
      <c r="H673" s="1" t="s">
        <v>89</v>
      </c>
      <c r="I673">
        <v>-8.1437910000000002</v>
      </c>
      <c r="J673">
        <v>28.946161</v>
      </c>
      <c r="K673" s="1" t="s">
        <v>1498</v>
      </c>
      <c r="L673" s="1" t="s">
        <v>1501</v>
      </c>
      <c r="M673" s="1" t="s">
        <v>723</v>
      </c>
      <c r="N673" s="1" t="s">
        <v>89</v>
      </c>
      <c r="O673" s="1" t="str">
        <f>INT(Matrice1!$P673/12) &amp; " ans et " &amp; MOD(Matrice1!$P673,12) &amp; " mois"</f>
        <v>3 ans et 4 mois</v>
      </c>
      <c r="P673">
        <v>40</v>
      </c>
      <c r="Q673" s="1" t="s">
        <v>11</v>
      </c>
      <c r="R673" s="4">
        <f>Matrice1!$S673/1440</f>
        <v>0.16319444444444445</v>
      </c>
      <c r="S673">
        <v>235</v>
      </c>
      <c r="T673">
        <v>15.01</v>
      </c>
      <c r="U673">
        <v>3</v>
      </c>
      <c r="V673" s="8">
        <f>IF(Matrice1!$Q673="Pro Monde",10%,IF(AND(Matrice1!$R673&gt;12,Matrice1!$O673&gt;5),70%,IF(AND(OR(Matrice1!$R673&gt;=4,Matrice1!$R673&lt;=12,Matrice1!$O673&lt;5,(OR(Matrice1!$Q673="Premium ")))),45%,0%)))</f>
        <v>0.45</v>
      </c>
      <c r="W673">
        <f>Matrice1!$T673* (Matrice1!$V673/100)</f>
        <v>6.7545000000000008E-2</v>
      </c>
    </row>
    <row r="674" spans="1:23" x14ac:dyDescent="0.3">
      <c r="A674" s="1" t="s">
        <v>854</v>
      </c>
      <c r="B674" s="2">
        <v>45219</v>
      </c>
      <c r="C674" s="3">
        <v>0.10138888888888889</v>
      </c>
      <c r="D674" s="1" t="s">
        <v>888</v>
      </c>
      <c r="E674">
        <v>75</v>
      </c>
      <c r="F674" s="1" t="s">
        <v>807</v>
      </c>
      <c r="G674" s="1" t="s">
        <v>888</v>
      </c>
      <c r="H674" s="1" t="s">
        <v>10</v>
      </c>
      <c r="I674">
        <v>-7.0076900000000002</v>
      </c>
      <c r="J674">
        <v>27.367121999999998</v>
      </c>
      <c r="K674" s="1" t="s">
        <v>1500</v>
      </c>
      <c r="L674" s="1" t="s">
        <v>1508</v>
      </c>
      <c r="M674" s="1" t="s">
        <v>724</v>
      </c>
      <c r="N674" s="1" t="s">
        <v>10</v>
      </c>
      <c r="O674" s="1" t="str">
        <f>INT(Matrice1!$P674/12) &amp; " ans et " &amp; MOD(Matrice1!$P674,12) &amp; " mois"</f>
        <v>0 ans et 1 mois</v>
      </c>
      <c r="P674">
        <v>1</v>
      </c>
      <c r="Q674" s="1" t="s">
        <v>11</v>
      </c>
      <c r="R674" s="4">
        <f>Matrice1!$S674/1440</f>
        <v>0.29791666666666666</v>
      </c>
      <c r="S674">
        <v>429</v>
      </c>
      <c r="T674">
        <v>20.96</v>
      </c>
      <c r="U674">
        <v>5</v>
      </c>
      <c r="V674" s="8">
        <f>IF(Matrice1!$Q674="Pro Monde",10%,IF(AND(Matrice1!$R674&gt;12,Matrice1!$O674&gt;5),70%,IF(AND(OR(Matrice1!$R674&gt;=4,Matrice1!$R674&lt;=12,Matrice1!$O674&lt;5,(OR(Matrice1!$Q674="Premium ")))),45%,0%)))</f>
        <v>0.45</v>
      </c>
      <c r="W674">
        <f>Matrice1!$T674* (Matrice1!$V674/100)</f>
        <v>9.4320000000000015E-2</v>
      </c>
    </row>
    <row r="675" spans="1:23" x14ac:dyDescent="0.3">
      <c r="A675" s="1" t="s">
        <v>805</v>
      </c>
      <c r="B675" s="2">
        <v>45218</v>
      </c>
      <c r="C675" s="3">
        <v>0.36875000000000002</v>
      </c>
      <c r="D675" s="1" t="s">
        <v>820</v>
      </c>
      <c r="E675">
        <v>70</v>
      </c>
      <c r="F675" s="1" t="s">
        <v>807</v>
      </c>
      <c r="G675" s="1" t="s">
        <v>820</v>
      </c>
      <c r="H675" s="1" t="s">
        <v>67</v>
      </c>
      <c r="I675">
        <v>-8.4227860000000003</v>
      </c>
      <c r="J675">
        <v>16.781293000000002</v>
      </c>
      <c r="K675" s="1" t="s">
        <v>1498</v>
      </c>
      <c r="L675" s="1" t="s">
        <v>1499</v>
      </c>
      <c r="M675" s="1" t="s">
        <v>725</v>
      </c>
      <c r="N675" s="1" t="s">
        <v>67</v>
      </c>
      <c r="O675" s="1" t="str">
        <f>INT(Matrice1!$P675/12) &amp; " ans et " &amp; MOD(Matrice1!$P675,12) &amp; " mois"</f>
        <v>4 ans et 8 mois</v>
      </c>
      <c r="P675">
        <v>56</v>
      </c>
      <c r="Q675" s="1" t="s">
        <v>19</v>
      </c>
      <c r="R675" s="4">
        <f>Matrice1!$S675/1440</f>
        <v>1.8749999999999999E-2</v>
      </c>
      <c r="S675">
        <v>27</v>
      </c>
      <c r="T675">
        <v>46.41</v>
      </c>
      <c r="U675">
        <v>3</v>
      </c>
      <c r="V675" s="8">
        <f>IF(Matrice1!$Q675="Pro Monde",10%,IF(AND(Matrice1!$R675&gt;12,Matrice1!$O675&gt;5),70%,IF(AND(OR(Matrice1!$R675&gt;=4,Matrice1!$R675&lt;=12,Matrice1!$O675&lt;5,(OR(Matrice1!$Q675="Premium ")))),45%,0%)))</f>
        <v>0.45</v>
      </c>
      <c r="W675">
        <f>Matrice1!$T675* (Matrice1!$V675/100)</f>
        <v>0.208845</v>
      </c>
    </row>
    <row r="676" spans="1:23" x14ac:dyDescent="0.3">
      <c r="A676" s="1" t="s">
        <v>854</v>
      </c>
      <c r="B676" s="2">
        <v>45213</v>
      </c>
      <c r="C676" s="3">
        <v>0.94861111111111107</v>
      </c>
      <c r="D676" s="1" t="s">
        <v>874</v>
      </c>
      <c r="E676">
        <v>72</v>
      </c>
      <c r="F676" s="1" t="s">
        <v>810</v>
      </c>
      <c r="G676" s="1" t="s">
        <v>874</v>
      </c>
      <c r="H676" s="1" t="s">
        <v>35</v>
      </c>
      <c r="I676">
        <v>-2.7140689999999998</v>
      </c>
      <c r="J676">
        <v>22.222104000000002</v>
      </c>
      <c r="K676" s="1" t="s">
        <v>1498</v>
      </c>
      <c r="L676" s="1" t="s">
        <v>1508</v>
      </c>
      <c r="M676" s="1" t="s">
        <v>726</v>
      </c>
      <c r="N676" s="1" t="s">
        <v>35</v>
      </c>
      <c r="O676" s="1" t="str">
        <f>INT(Matrice1!$P676/12) &amp; " ans et " &amp; MOD(Matrice1!$P676,12) &amp; " mois"</f>
        <v>3 ans et 10 mois</v>
      </c>
      <c r="P676">
        <v>46</v>
      </c>
      <c r="Q676" s="1" t="s">
        <v>11</v>
      </c>
      <c r="R676" s="4">
        <f>Matrice1!$S676/1440</f>
        <v>2.9861111111111113E-2</v>
      </c>
      <c r="S676">
        <v>43</v>
      </c>
      <c r="T676">
        <v>98.44</v>
      </c>
      <c r="U676">
        <v>2</v>
      </c>
      <c r="V676" s="8">
        <f>IF(Matrice1!$Q676="Pro Monde",10%,IF(AND(Matrice1!$R676&gt;12,Matrice1!$O676&gt;5),70%,IF(AND(OR(Matrice1!$R676&gt;=4,Matrice1!$R676&lt;=12,Matrice1!$O676&lt;5,(OR(Matrice1!$Q676="Premium ")))),45%,0%)))</f>
        <v>0.45</v>
      </c>
      <c r="W676">
        <f>Matrice1!$T676* (Matrice1!$V676/100)</f>
        <v>0.44298000000000004</v>
      </c>
    </row>
    <row r="677" spans="1:23" x14ac:dyDescent="0.3">
      <c r="A677" s="1" t="s">
        <v>805</v>
      </c>
      <c r="B677" s="2">
        <v>45202</v>
      </c>
      <c r="C677" s="3">
        <v>0.25972222222222224</v>
      </c>
      <c r="D677" s="1" t="s">
        <v>815</v>
      </c>
      <c r="E677">
        <v>79</v>
      </c>
      <c r="F677" s="1" t="s">
        <v>807</v>
      </c>
      <c r="G677" s="1" t="s">
        <v>815</v>
      </c>
      <c r="H677" s="1" t="s">
        <v>33</v>
      </c>
      <c r="I677">
        <v>-1.648264</v>
      </c>
      <c r="J677">
        <v>28.866143999999998</v>
      </c>
      <c r="K677" s="1" t="s">
        <v>1495</v>
      </c>
      <c r="L677" s="1" t="s">
        <v>1496</v>
      </c>
      <c r="M677" s="1" t="s">
        <v>727</v>
      </c>
      <c r="N677" s="1" t="s">
        <v>33</v>
      </c>
      <c r="O677" s="1" t="str">
        <f>INT(Matrice1!$P677/12) &amp; " ans et " &amp; MOD(Matrice1!$P677,12) &amp; " mois"</f>
        <v>7 ans et 1 mois</v>
      </c>
      <c r="P677">
        <v>85</v>
      </c>
      <c r="Q677" s="1" t="s">
        <v>14</v>
      </c>
      <c r="R677" s="4">
        <f>Matrice1!$S677/1440</f>
        <v>1.9444444444444445E-2</v>
      </c>
      <c r="S677">
        <v>28</v>
      </c>
      <c r="T677">
        <v>83.82</v>
      </c>
      <c r="U677">
        <v>0</v>
      </c>
      <c r="V677" s="8">
        <f>IF(Matrice1!$Q677="Pro Monde",10%,IF(AND(Matrice1!$R677&gt;12,Matrice1!$O677&gt;5),70%,IF(AND(OR(Matrice1!$R677&gt;=4,Matrice1!$R677&lt;=12,Matrice1!$O677&lt;5,(OR(Matrice1!$Q677="Premium ")))),45%,0%)))</f>
        <v>0.1</v>
      </c>
      <c r="W677">
        <f>Matrice1!$T677* (Matrice1!$V677/100)</f>
        <v>8.3819999999999992E-2</v>
      </c>
    </row>
    <row r="678" spans="1:23" x14ac:dyDescent="0.3">
      <c r="A678" s="1" t="s">
        <v>805</v>
      </c>
      <c r="B678" s="2">
        <v>45213</v>
      </c>
      <c r="C678" s="3">
        <v>4.2361111111111113E-2</v>
      </c>
      <c r="D678" s="1" t="s">
        <v>814</v>
      </c>
      <c r="E678">
        <v>119</v>
      </c>
      <c r="F678" s="1" t="s">
        <v>810</v>
      </c>
      <c r="G678" s="1" t="s">
        <v>814</v>
      </c>
      <c r="H678" s="1" t="s">
        <v>62</v>
      </c>
      <c r="I678">
        <v>-2.8211520000000001</v>
      </c>
      <c r="J678">
        <v>20.651419000000001</v>
      </c>
      <c r="K678" s="1" t="s">
        <v>1495</v>
      </c>
      <c r="L678" s="1" t="s">
        <v>1496</v>
      </c>
      <c r="M678" s="1" t="s">
        <v>728</v>
      </c>
      <c r="N678" s="1" t="s">
        <v>62</v>
      </c>
      <c r="O678" s="1" t="str">
        <f>INT(Matrice1!$P678/12) &amp; " ans et " &amp; MOD(Matrice1!$P678,12) &amp; " mois"</f>
        <v>8 ans et 11 mois</v>
      </c>
      <c r="P678">
        <v>107</v>
      </c>
      <c r="Q678" s="1" t="s">
        <v>22</v>
      </c>
      <c r="R678" s="4">
        <f>Matrice1!$S678/1440</f>
        <v>9.583333333333334E-2</v>
      </c>
      <c r="S678">
        <v>138</v>
      </c>
      <c r="T678">
        <v>85.75</v>
      </c>
      <c r="U678">
        <v>1</v>
      </c>
      <c r="V678" s="8">
        <f>IF(Matrice1!$Q678="Pro Monde",10%,IF(AND(Matrice1!$R678&gt;12,Matrice1!$O678&gt;5),70%,IF(AND(OR(Matrice1!$R678&gt;=4,Matrice1!$R678&lt;=12,Matrice1!$O678&lt;5,(OR(Matrice1!$Q678="Premium ")))),45%,0%)))</f>
        <v>0.45</v>
      </c>
      <c r="W678">
        <f>Matrice1!$T678* (Matrice1!$V678/100)</f>
        <v>0.38587500000000002</v>
      </c>
    </row>
    <row r="679" spans="1:23" x14ac:dyDescent="0.3">
      <c r="A679" s="1" t="s">
        <v>805</v>
      </c>
      <c r="B679" s="2">
        <v>45211</v>
      </c>
      <c r="C679" s="3">
        <v>0.27916666666666667</v>
      </c>
      <c r="D679" s="1" t="s">
        <v>838</v>
      </c>
      <c r="E679">
        <v>75</v>
      </c>
      <c r="F679" s="1" t="s">
        <v>807</v>
      </c>
      <c r="G679" s="1" t="s">
        <v>838</v>
      </c>
      <c r="H679" s="1" t="s">
        <v>89</v>
      </c>
      <c r="I679">
        <v>-8.1437910000000002</v>
      </c>
      <c r="J679">
        <v>28.946161</v>
      </c>
      <c r="K679" s="1" t="s">
        <v>1498</v>
      </c>
      <c r="L679" s="1" t="s">
        <v>1501</v>
      </c>
      <c r="M679" s="1" t="s">
        <v>729</v>
      </c>
      <c r="N679" s="1" t="s">
        <v>89</v>
      </c>
      <c r="O679" s="1" t="str">
        <f>INT(Matrice1!$P679/12) &amp; " ans et " &amp; MOD(Matrice1!$P679,12) &amp; " mois"</f>
        <v>0 ans et 1 mois</v>
      </c>
      <c r="P679">
        <v>1</v>
      </c>
      <c r="Q679" s="1" t="s">
        <v>14</v>
      </c>
      <c r="R679" s="4">
        <f>Matrice1!$S679/1440</f>
        <v>0.29444444444444445</v>
      </c>
      <c r="S679">
        <v>424</v>
      </c>
      <c r="T679">
        <v>59.2</v>
      </c>
      <c r="U679">
        <v>2</v>
      </c>
      <c r="V679" s="8">
        <f>IF(Matrice1!$Q679="Pro Monde",10%,IF(AND(Matrice1!$R679&gt;12,Matrice1!$O679&gt;5),70%,IF(AND(OR(Matrice1!$R679&gt;=4,Matrice1!$R679&lt;=12,Matrice1!$O679&lt;5,(OR(Matrice1!$Q679="Premium ")))),45%,0%)))</f>
        <v>0.1</v>
      </c>
      <c r="W679">
        <f>Matrice1!$T679* (Matrice1!$V679/100)</f>
        <v>5.9200000000000003E-2</v>
      </c>
    </row>
    <row r="680" spans="1:23" x14ac:dyDescent="0.3">
      <c r="A680" s="1" t="s">
        <v>805</v>
      </c>
      <c r="B680" s="2">
        <v>45203</v>
      </c>
      <c r="C680" s="3">
        <v>0.51180555555555551</v>
      </c>
      <c r="D680" s="1" t="s">
        <v>835</v>
      </c>
      <c r="E680">
        <v>64</v>
      </c>
      <c r="F680" s="1" t="s">
        <v>812</v>
      </c>
      <c r="G680" s="1" t="s">
        <v>835</v>
      </c>
      <c r="H680" s="1" t="s">
        <v>73</v>
      </c>
      <c r="I680">
        <v>0.23583499999999999</v>
      </c>
      <c r="J680">
        <v>24.889558999999998</v>
      </c>
      <c r="K680" s="1" t="s">
        <v>1500</v>
      </c>
      <c r="L680" s="1" t="s">
        <v>1501</v>
      </c>
      <c r="M680" s="1" t="s">
        <v>730</v>
      </c>
      <c r="N680" s="1" t="s">
        <v>73</v>
      </c>
      <c r="O680" s="1" t="str">
        <f>INT(Matrice1!$P680/12) &amp; " ans et " &amp; MOD(Matrice1!$P680,12) &amp; " mois"</f>
        <v>0 ans et 7 mois</v>
      </c>
      <c r="P680">
        <v>7</v>
      </c>
      <c r="Q680" s="1" t="s">
        <v>14</v>
      </c>
      <c r="R680" s="4">
        <f>Matrice1!$S680/1440</f>
        <v>0.23055555555555557</v>
      </c>
      <c r="S680">
        <v>332</v>
      </c>
      <c r="T680">
        <v>83.95</v>
      </c>
      <c r="U680">
        <v>4</v>
      </c>
      <c r="V680" s="8">
        <f>IF(Matrice1!$Q680="Pro Monde",10%,IF(AND(Matrice1!$R680&gt;12,Matrice1!$O680&gt;5),70%,IF(AND(OR(Matrice1!$R680&gt;=4,Matrice1!$R680&lt;=12,Matrice1!$O680&lt;5,(OR(Matrice1!$Q680="Premium ")))),45%,0%)))</f>
        <v>0.1</v>
      </c>
      <c r="W680">
        <f>Matrice1!$T680* (Matrice1!$V680/100)</f>
        <v>8.3950000000000011E-2</v>
      </c>
    </row>
    <row r="681" spans="1:23" x14ac:dyDescent="0.3">
      <c r="A681" s="1" t="s">
        <v>805</v>
      </c>
      <c r="B681" s="2">
        <v>45212</v>
      </c>
      <c r="C681" s="3">
        <v>0.14027777777777778</v>
      </c>
      <c r="D681" s="1" t="s">
        <v>826</v>
      </c>
      <c r="E681">
        <v>19</v>
      </c>
      <c r="F681" s="1" t="s">
        <v>810</v>
      </c>
      <c r="G681" s="1" t="s">
        <v>826</v>
      </c>
      <c r="H681" s="1" t="s">
        <v>37</v>
      </c>
      <c r="I681">
        <v>-9.4708620000000003</v>
      </c>
      <c r="J681">
        <v>29.234387999999999</v>
      </c>
      <c r="K681" s="1" t="s">
        <v>1500</v>
      </c>
      <c r="L681" s="1" t="s">
        <v>1501</v>
      </c>
      <c r="M681" s="1" t="s">
        <v>731</v>
      </c>
      <c r="N681" s="1" t="s">
        <v>37</v>
      </c>
      <c r="O681" s="1" t="str">
        <f>INT(Matrice1!$P681/12) &amp; " ans et " &amp; MOD(Matrice1!$P681,12) &amp; " mois"</f>
        <v>2 ans et 9 mois</v>
      </c>
      <c r="P681">
        <v>33</v>
      </c>
      <c r="Q681" s="1" t="s">
        <v>19</v>
      </c>
      <c r="R681" s="4">
        <f>Matrice1!$S681/1440</f>
        <v>3.7499999999999999E-2</v>
      </c>
      <c r="S681">
        <v>54</v>
      </c>
      <c r="T681">
        <v>71.319999999999993</v>
      </c>
      <c r="U681">
        <v>4</v>
      </c>
      <c r="V681" s="8">
        <f>IF(Matrice1!$Q681="Pro Monde",10%,IF(AND(Matrice1!$R681&gt;12,Matrice1!$O681&gt;5),70%,IF(AND(OR(Matrice1!$R681&gt;=4,Matrice1!$R681&lt;=12,Matrice1!$O681&lt;5,(OR(Matrice1!$Q681="Premium ")))),45%,0%)))</f>
        <v>0.45</v>
      </c>
      <c r="W681">
        <f>Matrice1!$T681* (Matrice1!$V681/100)</f>
        <v>0.32094</v>
      </c>
    </row>
    <row r="682" spans="1:23" x14ac:dyDescent="0.3">
      <c r="A682" s="1" t="s">
        <v>1073</v>
      </c>
      <c r="B682" s="2">
        <v>45221</v>
      </c>
      <c r="C682" s="3">
        <v>0.37638888888888888</v>
      </c>
      <c r="D682" s="1" t="s">
        <v>1096</v>
      </c>
      <c r="E682">
        <v>59</v>
      </c>
      <c r="F682" s="1" t="s">
        <v>812</v>
      </c>
      <c r="G682" s="1" t="s">
        <v>1096</v>
      </c>
      <c r="H682" s="1" t="s">
        <v>78</v>
      </c>
      <c r="I682">
        <v>-8.4824669999999998</v>
      </c>
      <c r="J682">
        <v>21.897777999999999</v>
      </c>
      <c r="K682" s="1" t="s">
        <v>1495</v>
      </c>
      <c r="L682" s="1" t="s">
        <v>1496</v>
      </c>
      <c r="M682" s="1" t="s">
        <v>732</v>
      </c>
      <c r="N682" s="1" t="s">
        <v>78</v>
      </c>
      <c r="O682" s="1" t="str">
        <f>INT(Matrice1!$P682/12) &amp; " ans et " &amp; MOD(Matrice1!$P682,12) &amp; " mois"</f>
        <v>1 ans et 6 mois</v>
      </c>
      <c r="P682">
        <v>18</v>
      </c>
      <c r="Q682" s="1" t="s">
        <v>22</v>
      </c>
      <c r="R682" s="4">
        <f>Matrice1!$S682/1440</f>
        <v>0.11805555555555555</v>
      </c>
      <c r="S682">
        <v>170</v>
      </c>
      <c r="T682">
        <v>87.34</v>
      </c>
      <c r="U682">
        <v>1</v>
      </c>
      <c r="V682" s="8">
        <f>IF(Matrice1!$Q682="Pro Monde",10%,IF(AND(Matrice1!$R682&gt;12,Matrice1!$O682&gt;5),70%,IF(AND(OR(Matrice1!$R682&gt;=4,Matrice1!$R682&lt;=12,Matrice1!$O682&lt;5,(OR(Matrice1!$Q682="Premium ")))),45%,0%)))</f>
        <v>0.45</v>
      </c>
      <c r="W682">
        <f>Matrice1!$T682* (Matrice1!$V682/100)</f>
        <v>0.39303000000000005</v>
      </c>
    </row>
    <row r="683" spans="1:23" x14ac:dyDescent="0.3">
      <c r="A683" s="1" t="s">
        <v>854</v>
      </c>
      <c r="B683" s="2">
        <v>45216</v>
      </c>
      <c r="C683" s="3">
        <v>0.67361111111111116</v>
      </c>
      <c r="D683" s="1" t="s">
        <v>881</v>
      </c>
      <c r="E683">
        <v>117</v>
      </c>
      <c r="F683" s="1" t="s">
        <v>807</v>
      </c>
      <c r="G683" s="1" t="s">
        <v>881</v>
      </c>
      <c r="H683" s="1" t="s">
        <v>31</v>
      </c>
      <c r="I683">
        <v>-12.141233</v>
      </c>
      <c r="J683">
        <v>15.179043999999999</v>
      </c>
      <c r="K683" s="1" t="s">
        <v>1495</v>
      </c>
      <c r="L683" s="1" t="s">
        <v>1496</v>
      </c>
      <c r="M683" s="1" t="s">
        <v>733</v>
      </c>
      <c r="N683" s="1" t="s">
        <v>31</v>
      </c>
      <c r="O683" s="1" t="str">
        <f>INT(Matrice1!$P683/12) &amp; " ans et " &amp; MOD(Matrice1!$P683,12) &amp; " mois"</f>
        <v>3 ans et 9 mois</v>
      </c>
      <c r="P683">
        <v>45</v>
      </c>
      <c r="Q683" s="1" t="s">
        <v>14</v>
      </c>
      <c r="R683" s="4">
        <f>Matrice1!$S683/1440</f>
        <v>0.21111111111111111</v>
      </c>
      <c r="S683">
        <v>304</v>
      </c>
      <c r="T683">
        <v>65.540000000000006</v>
      </c>
      <c r="U683">
        <v>2</v>
      </c>
      <c r="V683" s="8">
        <f>IF(Matrice1!$Q683="Pro Monde",10%,IF(AND(Matrice1!$R683&gt;12,Matrice1!$O683&gt;5),70%,IF(AND(OR(Matrice1!$R683&gt;=4,Matrice1!$R683&lt;=12,Matrice1!$O683&lt;5,(OR(Matrice1!$Q683="Premium ")))),45%,0%)))</f>
        <v>0.1</v>
      </c>
      <c r="W683">
        <f>Matrice1!$T683* (Matrice1!$V683/100)</f>
        <v>6.5540000000000001E-2</v>
      </c>
    </row>
    <row r="684" spans="1:23" x14ac:dyDescent="0.3">
      <c r="A684" s="1" t="s">
        <v>898</v>
      </c>
      <c r="B684" s="2">
        <v>45216</v>
      </c>
      <c r="C684" s="3">
        <v>0.90277777777777779</v>
      </c>
      <c r="D684" s="1" t="s">
        <v>929</v>
      </c>
      <c r="E684">
        <v>20</v>
      </c>
      <c r="F684" s="1" t="s">
        <v>812</v>
      </c>
      <c r="G684" s="1" t="s">
        <v>929</v>
      </c>
      <c r="H684" s="1" t="s">
        <v>51</v>
      </c>
      <c r="I684">
        <v>-4.2408359999999998</v>
      </c>
      <c r="J684">
        <v>26.210014000000001</v>
      </c>
      <c r="K684" s="1" t="s">
        <v>1498</v>
      </c>
      <c r="L684" s="1" t="s">
        <v>1499</v>
      </c>
      <c r="M684" s="1" t="s">
        <v>734</v>
      </c>
      <c r="N684" s="1" t="s">
        <v>51</v>
      </c>
      <c r="O684" s="1" t="str">
        <f>INT(Matrice1!$P684/12) &amp; " ans et " &amp; MOD(Matrice1!$P684,12) &amp; " mois"</f>
        <v>9 ans et 5 mois</v>
      </c>
      <c r="P684">
        <v>113</v>
      </c>
      <c r="Q684" s="1" t="s">
        <v>11</v>
      </c>
      <c r="R684" s="4">
        <f>Matrice1!$S684/1440</f>
        <v>3.4027777777777775E-2</v>
      </c>
      <c r="S684">
        <v>49</v>
      </c>
      <c r="T684">
        <v>48.91</v>
      </c>
      <c r="U684">
        <v>5</v>
      </c>
      <c r="V684" s="8">
        <f>IF(Matrice1!$Q684="Pro Monde",10%,IF(AND(Matrice1!$R684&gt;12,Matrice1!$O684&gt;5),70%,IF(AND(OR(Matrice1!$R684&gt;=4,Matrice1!$R684&lt;=12,Matrice1!$O684&lt;5,(OR(Matrice1!$Q684="Premium ")))),45%,0%)))</f>
        <v>0.45</v>
      </c>
      <c r="W684">
        <f>Matrice1!$T684* (Matrice1!$V684/100)</f>
        <v>0.22009500000000001</v>
      </c>
    </row>
    <row r="685" spans="1:23" x14ac:dyDescent="0.3">
      <c r="A685" s="1" t="s">
        <v>854</v>
      </c>
      <c r="B685" s="2">
        <v>45219</v>
      </c>
      <c r="C685" s="3">
        <v>0.10138888888888889</v>
      </c>
      <c r="D685" s="1" t="s">
        <v>888</v>
      </c>
      <c r="E685">
        <v>75</v>
      </c>
      <c r="F685" s="1" t="s">
        <v>807</v>
      </c>
      <c r="G685" s="1" t="s">
        <v>888</v>
      </c>
      <c r="H685" s="1" t="s">
        <v>10</v>
      </c>
      <c r="I685">
        <v>-7.0076900000000002</v>
      </c>
      <c r="J685">
        <v>27.367121999999998</v>
      </c>
      <c r="K685" s="1" t="s">
        <v>1500</v>
      </c>
      <c r="L685" s="1" t="s">
        <v>1508</v>
      </c>
      <c r="M685" s="1" t="s">
        <v>735</v>
      </c>
      <c r="N685" s="1" t="s">
        <v>10</v>
      </c>
      <c r="O685" s="1" t="str">
        <f>INT(Matrice1!$P685/12) &amp; " ans et " &amp; MOD(Matrice1!$P685,12) &amp; " mois"</f>
        <v>3 ans et 1 mois</v>
      </c>
      <c r="P685">
        <v>37</v>
      </c>
      <c r="Q685" s="1" t="s">
        <v>11</v>
      </c>
      <c r="R685" s="4">
        <f>Matrice1!$S685/1440</f>
        <v>0.29166666666666669</v>
      </c>
      <c r="S685">
        <v>420</v>
      </c>
      <c r="T685">
        <v>67.260000000000005</v>
      </c>
      <c r="U685">
        <v>4</v>
      </c>
      <c r="V685" s="8">
        <f>IF(Matrice1!$Q685="Pro Monde",10%,IF(AND(Matrice1!$R685&gt;12,Matrice1!$O685&gt;5),70%,IF(AND(OR(Matrice1!$R685&gt;=4,Matrice1!$R685&lt;=12,Matrice1!$O685&lt;5,(OR(Matrice1!$Q685="Premium ")))),45%,0%)))</f>
        <v>0.45</v>
      </c>
      <c r="W685">
        <f>Matrice1!$T685* (Matrice1!$V685/100)</f>
        <v>0.30267000000000005</v>
      </c>
    </row>
    <row r="686" spans="1:23" x14ac:dyDescent="0.3">
      <c r="A686" s="1" t="s">
        <v>805</v>
      </c>
      <c r="B686" s="2">
        <v>45214</v>
      </c>
      <c r="C686" s="3">
        <v>0.71319444444444446</v>
      </c>
      <c r="D686" s="1" t="s">
        <v>828</v>
      </c>
      <c r="E686">
        <v>25</v>
      </c>
      <c r="F686" s="1" t="s">
        <v>807</v>
      </c>
      <c r="G686" s="1" t="s">
        <v>828</v>
      </c>
      <c r="H686" s="1" t="s">
        <v>24</v>
      </c>
      <c r="I686">
        <v>0.172153</v>
      </c>
      <c r="J686">
        <v>21.091376</v>
      </c>
      <c r="K686" s="1" t="s">
        <v>1500</v>
      </c>
      <c r="L686" s="1" t="s">
        <v>1496</v>
      </c>
      <c r="M686" s="1" t="s">
        <v>736</v>
      </c>
      <c r="N686" s="1" t="s">
        <v>24</v>
      </c>
      <c r="O686" s="1" t="str">
        <f>INT(Matrice1!$P686/12) &amp; " ans et " &amp; MOD(Matrice1!$P686,12) &amp; " mois"</f>
        <v>8 ans et 5 mois</v>
      </c>
      <c r="P686">
        <v>101</v>
      </c>
      <c r="Q686" s="1" t="s">
        <v>14</v>
      </c>
      <c r="R686" s="4">
        <f>Matrice1!$S686/1440</f>
        <v>0.10277777777777777</v>
      </c>
      <c r="S686">
        <v>148</v>
      </c>
      <c r="T686">
        <v>26.63</v>
      </c>
      <c r="U686">
        <v>3</v>
      </c>
      <c r="V686" s="8">
        <f>IF(Matrice1!$Q686="Pro Monde",10%,IF(AND(Matrice1!$R686&gt;12,Matrice1!$O686&gt;5),70%,IF(AND(OR(Matrice1!$R686&gt;=4,Matrice1!$R686&lt;=12,Matrice1!$O686&lt;5,(OR(Matrice1!$Q686="Premium ")))),45%,0%)))</f>
        <v>0.1</v>
      </c>
      <c r="W686">
        <f>Matrice1!$T686* (Matrice1!$V686/100)</f>
        <v>2.6630000000000001E-2</v>
      </c>
    </row>
    <row r="687" spans="1:23" x14ac:dyDescent="0.3">
      <c r="A687" s="1" t="s">
        <v>898</v>
      </c>
      <c r="B687" s="2">
        <v>45206</v>
      </c>
      <c r="C687" s="3">
        <v>0.6875</v>
      </c>
      <c r="D687" s="1" t="s">
        <v>926</v>
      </c>
      <c r="E687">
        <v>76</v>
      </c>
      <c r="F687" s="1" t="s">
        <v>812</v>
      </c>
      <c r="G687" s="1" t="s">
        <v>926</v>
      </c>
      <c r="H687" s="1" t="s">
        <v>127</v>
      </c>
      <c r="I687">
        <v>-12.100756000000001</v>
      </c>
      <c r="J687">
        <v>21.938649999999999</v>
      </c>
      <c r="K687" s="1" t="s">
        <v>1498</v>
      </c>
      <c r="L687" s="1" t="s">
        <v>1499</v>
      </c>
      <c r="M687" s="1" t="s">
        <v>737</v>
      </c>
      <c r="N687" s="1" t="s">
        <v>127</v>
      </c>
      <c r="O687" s="1" t="str">
        <f>INT(Matrice1!$P687/12) &amp; " ans et " &amp; MOD(Matrice1!$P687,12) &amp; " mois"</f>
        <v>9 ans et 2 mois</v>
      </c>
      <c r="P687">
        <v>110</v>
      </c>
      <c r="Q687" s="1" t="s">
        <v>11</v>
      </c>
      <c r="R687" s="4">
        <f>Matrice1!$S687/1440</f>
        <v>0.20069444444444445</v>
      </c>
      <c r="S687">
        <v>289</v>
      </c>
      <c r="T687">
        <v>83.67</v>
      </c>
      <c r="U687">
        <v>4</v>
      </c>
      <c r="V687" s="8">
        <f>IF(Matrice1!$Q687="Pro Monde",10%,IF(AND(Matrice1!$R687&gt;12,Matrice1!$O687&gt;5),70%,IF(AND(OR(Matrice1!$R687&gt;=4,Matrice1!$R687&lt;=12,Matrice1!$O687&lt;5,(OR(Matrice1!$Q687="Premium ")))),45%,0%)))</f>
        <v>0.45</v>
      </c>
      <c r="W687">
        <f>Matrice1!$T687* (Matrice1!$V687/100)</f>
        <v>0.37651500000000004</v>
      </c>
    </row>
    <row r="688" spans="1:23" x14ac:dyDescent="0.3">
      <c r="A688" s="1" t="s">
        <v>805</v>
      </c>
      <c r="B688" s="2">
        <v>45211</v>
      </c>
      <c r="C688" s="3">
        <v>0.27916666666666667</v>
      </c>
      <c r="D688" s="1" t="s">
        <v>838</v>
      </c>
      <c r="E688">
        <v>75</v>
      </c>
      <c r="F688" s="1" t="s">
        <v>807</v>
      </c>
      <c r="G688" s="1" t="s">
        <v>838</v>
      </c>
      <c r="H688" s="1" t="s">
        <v>89</v>
      </c>
      <c r="I688">
        <v>-8.1437910000000002</v>
      </c>
      <c r="J688">
        <v>28.946161</v>
      </c>
      <c r="K688" s="1" t="s">
        <v>1498</v>
      </c>
      <c r="L688" s="1" t="s">
        <v>1501</v>
      </c>
      <c r="M688" s="1" t="s">
        <v>738</v>
      </c>
      <c r="N688" s="1" t="s">
        <v>89</v>
      </c>
      <c r="O688" s="1" t="str">
        <f>INT(Matrice1!$P688/12) &amp; " ans et " &amp; MOD(Matrice1!$P688,12) &amp; " mois"</f>
        <v>5 ans et 5 mois</v>
      </c>
      <c r="P688">
        <v>65</v>
      </c>
      <c r="Q688" s="1" t="s">
        <v>14</v>
      </c>
      <c r="R688" s="4">
        <f>Matrice1!$S688/1440</f>
        <v>0.17083333333333334</v>
      </c>
      <c r="S688">
        <v>246</v>
      </c>
      <c r="T688">
        <v>69.17</v>
      </c>
      <c r="U688">
        <v>0</v>
      </c>
      <c r="V688" s="8">
        <f>IF(Matrice1!$Q688="Pro Monde",10%,IF(AND(Matrice1!$R688&gt;12,Matrice1!$O688&gt;5),70%,IF(AND(OR(Matrice1!$R688&gt;=4,Matrice1!$R688&lt;=12,Matrice1!$O688&lt;5,(OR(Matrice1!$Q688="Premium ")))),45%,0%)))</f>
        <v>0.1</v>
      </c>
      <c r="W688">
        <f>Matrice1!$T688* (Matrice1!$V688/100)</f>
        <v>6.9170000000000009E-2</v>
      </c>
    </row>
    <row r="689" spans="1:23" x14ac:dyDescent="0.3">
      <c r="A689" s="1" t="s">
        <v>805</v>
      </c>
      <c r="B689" s="2">
        <v>45214</v>
      </c>
      <c r="C689" s="3">
        <v>0.71319444444444446</v>
      </c>
      <c r="D689" s="1" t="s">
        <v>828</v>
      </c>
      <c r="E689">
        <v>25</v>
      </c>
      <c r="F689" s="1" t="s">
        <v>807</v>
      </c>
      <c r="G689" s="1" t="s">
        <v>828</v>
      </c>
      <c r="H689" s="1" t="s">
        <v>24</v>
      </c>
      <c r="I689">
        <v>0.172153</v>
      </c>
      <c r="J689">
        <v>21.091376</v>
      </c>
      <c r="K689" s="1" t="s">
        <v>1500</v>
      </c>
      <c r="L689" s="1" t="s">
        <v>1496</v>
      </c>
      <c r="M689" s="1" t="s">
        <v>739</v>
      </c>
      <c r="N689" s="1" t="s">
        <v>24</v>
      </c>
      <c r="O689" s="1" t="str">
        <f>INT(Matrice1!$P689/12) &amp; " ans et " &amp; MOD(Matrice1!$P689,12) &amp; " mois"</f>
        <v>7 ans et 2 mois</v>
      </c>
      <c r="P689">
        <v>86</v>
      </c>
      <c r="Q689" s="1" t="s">
        <v>14</v>
      </c>
      <c r="R689" s="4">
        <f>Matrice1!$S689/1440</f>
        <v>0.24513888888888888</v>
      </c>
      <c r="S689">
        <v>353</v>
      </c>
      <c r="T689">
        <v>25.37</v>
      </c>
      <c r="U689">
        <v>1</v>
      </c>
      <c r="V689" s="8">
        <f>IF(Matrice1!$Q689="Pro Monde",10%,IF(AND(Matrice1!$R689&gt;12,Matrice1!$O689&gt;5),70%,IF(AND(OR(Matrice1!$R689&gt;=4,Matrice1!$R689&lt;=12,Matrice1!$O689&lt;5,(OR(Matrice1!$Q689="Premium ")))),45%,0%)))</f>
        <v>0.1</v>
      </c>
      <c r="W689">
        <f>Matrice1!$T689* (Matrice1!$V689/100)</f>
        <v>2.537E-2</v>
      </c>
    </row>
    <row r="690" spans="1:23" x14ac:dyDescent="0.3">
      <c r="A690" s="1" t="s">
        <v>805</v>
      </c>
      <c r="B690" s="2">
        <v>45214</v>
      </c>
      <c r="C690" s="3">
        <v>0.71319444444444446</v>
      </c>
      <c r="D690" s="1" t="s">
        <v>828</v>
      </c>
      <c r="E690">
        <v>25</v>
      </c>
      <c r="F690" s="1" t="s">
        <v>807</v>
      </c>
      <c r="G690" s="1" t="s">
        <v>828</v>
      </c>
      <c r="H690" s="1" t="s">
        <v>24</v>
      </c>
      <c r="I690">
        <v>0.172153</v>
      </c>
      <c r="J690">
        <v>21.091376</v>
      </c>
      <c r="K690" s="1" t="s">
        <v>1500</v>
      </c>
      <c r="L690" s="1" t="s">
        <v>1496</v>
      </c>
      <c r="M690" s="1" t="s">
        <v>740</v>
      </c>
      <c r="N690" s="1" t="s">
        <v>24</v>
      </c>
      <c r="O690" s="1" t="str">
        <f>INT(Matrice1!$P690/12) &amp; " ans et " &amp; MOD(Matrice1!$P690,12) &amp; " mois"</f>
        <v>8 ans et 3 mois</v>
      </c>
      <c r="P690">
        <v>99</v>
      </c>
      <c r="Q690" s="1" t="s">
        <v>14</v>
      </c>
      <c r="R690" s="4">
        <f>Matrice1!$S690/1440</f>
        <v>0.11736111111111111</v>
      </c>
      <c r="S690">
        <v>169</v>
      </c>
      <c r="T690">
        <v>76.75</v>
      </c>
      <c r="U690">
        <v>5</v>
      </c>
      <c r="V690" s="8">
        <f>IF(Matrice1!$Q690="Pro Monde",10%,IF(AND(Matrice1!$R690&gt;12,Matrice1!$O690&gt;5),70%,IF(AND(OR(Matrice1!$R690&gt;=4,Matrice1!$R690&lt;=12,Matrice1!$O690&lt;5,(OR(Matrice1!$Q690="Premium ")))),45%,0%)))</f>
        <v>0.1</v>
      </c>
      <c r="W690">
        <f>Matrice1!$T690* (Matrice1!$V690/100)</f>
        <v>7.6749999999999999E-2</v>
      </c>
    </row>
    <row r="691" spans="1:23" x14ac:dyDescent="0.3">
      <c r="A691" s="1" t="s">
        <v>936</v>
      </c>
      <c r="B691" s="2">
        <v>45221</v>
      </c>
      <c r="C691" s="3">
        <v>0.51736111111111116</v>
      </c>
      <c r="D691" s="1" t="s">
        <v>963</v>
      </c>
      <c r="E691">
        <v>83</v>
      </c>
      <c r="F691" s="1" t="s">
        <v>812</v>
      </c>
      <c r="G691" s="1" t="s">
        <v>963</v>
      </c>
      <c r="H691" s="1" t="s">
        <v>21</v>
      </c>
      <c r="I691">
        <v>-2.9651529999999999</v>
      </c>
      <c r="J691">
        <v>29.79908</v>
      </c>
      <c r="K691" s="1" t="s">
        <v>1498</v>
      </c>
      <c r="L691" s="1" t="s">
        <v>1496</v>
      </c>
      <c r="M691" s="1" t="s">
        <v>741</v>
      </c>
      <c r="N691" s="1" t="s">
        <v>21</v>
      </c>
      <c r="O691" s="1" t="str">
        <f>INT(Matrice1!$P691/12) &amp; " ans et " &amp; MOD(Matrice1!$P691,12) &amp; " mois"</f>
        <v>6 ans et 0 mois</v>
      </c>
      <c r="P691">
        <v>72</v>
      </c>
      <c r="Q691" s="1" t="s">
        <v>14</v>
      </c>
      <c r="R691" s="4">
        <f>Matrice1!$S691/1440</f>
        <v>0.30694444444444446</v>
      </c>
      <c r="S691">
        <v>442</v>
      </c>
      <c r="T691">
        <v>59.2</v>
      </c>
      <c r="U691">
        <v>1</v>
      </c>
      <c r="V691" s="8">
        <f>IF(Matrice1!$Q691="Pro Monde",10%,IF(AND(Matrice1!$R691&gt;12,Matrice1!$O691&gt;5),70%,IF(AND(OR(Matrice1!$R691&gt;=4,Matrice1!$R691&lt;=12,Matrice1!$O691&lt;5,(OR(Matrice1!$Q691="Premium ")))),45%,0%)))</f>
        <v>0.1</v>
      </c>
      <c r="W691">
        <f>Matrice1!$T691* (Matrice1!$V691/100)</f>
        <v>5.9200000000000003E-2</v>
      </c>
    </row>
    <row r="692" spans="1:23" x14ac:dyDescent="0.3">
      <c r="A692" s="1" t="s">
        <v>854</v>
      </c>
      <c r="B692" s="2">
        <v>45213</v>
      </c>
      <c r="C692" s="3">
        <v>0.94861111111111107</v>
      </c>
      <c r="D692" s="1" t="s">
        <v>874</v>
      </c>
      <c r="E692">
        <v>72</v>
      </c>
      <c r="F692" s="1" t="s">
        <v>810</v>
      </c>
      <c r="G692" s="1" t="s">
        <v>874</v>
      </c>
      <c r="H692" s="1" t="s">
        <v>35</v>
      </c>
      <c r="I692">
        <v>-2.7140689999999998</v>
      </c>
      <c r="J692">
        <v>22.222104000000002</v>
      </c>
      <c r="K692" s="1" t="s">
        <v>1498</v>
      </c>
      <c r="L692" s="1" t="s">
        <v>1508</v>
      </c>
      <c r="M692" s="1" t="s">
        <v>742</v>
      </c>
      <c r="N692" s="1" t="s">
        <v>35</v>
      </c>
      <c r="O692" s="1" t="str">
        <f>INT(Matrice1!$P692/12) &amp; " ans et " &amp; MOD(Matrice1!$P692,12) &amp; " mois"</f>
        <v>1 ans et 8 mois</v>
      </c>
      <c r="P692">
        <v>20</v>
      </c>
      <c r="Q692" s="1" t="s">
        <v>14</v>
      </c>
      <c r="R692" s="4">
        <f>Matrice1!$S692/1440</f>
        <v>2.1527777777777778E-2</v>
      </c>
      <c r="S692">
        <v>31</v>
      </c>
      <c r="T692">
        <v>52.85</v>
      </c>
      <c r="U692">
        <v>2</v>
      </c>
      <c r="V692" s="8">
        <f>IF(Matrice1!$Q692="Pro Monde",10%,IF(AND(Matrice1!$R692&gt;12,Matrice1!$O692&gt;5),70%,IF(AND(OR(Matrice1!$R692&gt;=4,Matrice1!$R692&lt;=12,Matrice1!$O692&lt;5,(OR(Matrice1!$Q692="Premium ")))),45%,0%)))</f>
        <v>0.1</v>
      </c>
      <c r="W692">
        <f>Matrice1!$T692* (Matrice1!$V692/100)</f>
        <v>5.2850000000000001E-2</v>
      </c>
    </row>
    <row r="693" spans="1:23" x14ac:dyDescent="0.3">
      <c r="A693" s="1" t="s">
        <v>898</v>
      </c>
      <c r="B693" s="2">
        <v>45216</v>
      </c>
      <c r="C693" s="3">
        <v>0.90277777777777779</v>
      </c>
      <c r="D693" s="1" t="s">
        <v>929</v>
      </c>
      <c r="E693">
        <v>20</v>
      </c>
      <c r="F693" s="1" t="s">
        <v>812</v>
      </c>
      <c r="G693" s="1" t="s">
        <v>929</v>
      </c>
      <c r="H693" s="1" t="s">
        <v>51</v>
      </c>
      <c r="I693">
        <v>-4.2408359999999998</v>
      </c>
      <c r="J693">
        <v>26.210014000000001</v>
      </c>
      <c r="K693" s="1" t="s">
        <v>1498</v>
      </c>
      <c r="L693" s="1" t="s">
        <v>1499</v>
      </c>
      <c r="M693" s="1" t="s">
        <v>743</v>
      </c>
      <c r="N693" s="1" t="s">
        <v>51</v>
      </c>
      <c r="O693" s="1" t="str">
        <f>INT(Matrice1!$P693/12) &amp; " ans et " &amp; MOD(Matrice1!$P693,12) &amp; " mois"</f>
        <v>1 ans et 0 mois</v>
      </c>
      <c r="P693">
        <v>12</v>
      </c>
      <c r="Q693" s="1" t="s">
        <v>19</v>
      </c>
      <c r="R693" s="4">
        <f>Matrice1!$S693/1440</f>
        <v>4.3055555555555555E-2</v>
      </c>
      <c r="S693">
        <v>62</v>
      </c>
      <c r="T693">
        <v>36.1</v>
      </c>
      <c r="U693">
        <v>5</v>
      </c>
      <c r="V693" s="8">
        <f>IF(Matrice1!$Q693="Pro Monde",10%,IF(AND(Matrice1!$R693&gt;12,Matrice1!$O693&gt;5),70%,IF(AND(OR(Matrice1!$R693&gt;=4,Matrice1!$R693&lt;=12,Matrice1!$O693&lt;5,(OR(Matrice1!$Q693="Premium ")))),45%,0%)))</f>
        <v>0.45</v>
      </c>
      <c r="W693">
        <f>Matrice1!$T693* (Matrice1!$V693/100)</f>
        <v>0.16245000000000004</v>
      </c>
    </row>
    <row r="694" spans="1:23" x14ac:dyDescent="0.3">
      <c r="A694" s="1" t="s">
        <v>898</v>
      </c>
      <c r="B694" s="2">
        <v>45210</v>
      </c>
      <c r="C694" s="3">
        <v>0.56805555555555554</v>
      </c>
      <c r="D694" s="1" t="s">
        <v>904</v>
      </c>
      <c r="E694">
        <v>96</v>
      </c>
      <c r="F694" s="1" t="s">
        <v>807</v>
      </c>
      <c r="G694" s="1" t="s">
        <v>904</v>
      </c>
      <c r="H694" s="1" t="s">
        <v>64</v>
      </c>
      <c r="I694">
        <v>-5.4126279999999998</v>
      </c>
      <c r="J694">
        <v>25.498235999999999</v>
      </c>
      <c r="K694" s="1" t="s">
        <v>1495</v>
      </c>
      <c r="L694" s="1" t="s">
        <v>1501</v>
      </c>
      <c r="M694" s="1" t="s">
        <v>744</v>
      </c>
      <c r="N694" s="1" t="s">
        <v>64</v>
      </c>
      <c r="O694" s="1" t="str">
        <f>INT(Matrice1!$P694/12) &amp; " ans et " &amp; MOD(Matrice1!$P694,12) &amp; " mois"</f>
        <v>7 ans et 8 mois</v>
      </c>
      <c r="P694">
        <v>92</v>
      </c>
      <c r="Q694" s="1" t="s">
        <v>19</v>
      </c>
      <c r="R694" s="4">
        <f>Matrice1!$S694/1440</f>
        <v>0.26319444444444445</v>
      </c>
      <c r="S694">
        <v>379</v>
      </c>
      <c r="T694">
        <v>70.08</v>
      </c>
      <c r="U694">
        <v>5</v>
      </c>
      <c r="V694" s="8">
        <f>IF(Matrice1!$Q694="Pro Monde",10%,IF(AND(Matrice1!$R694&gt;12,Matrice1!$O694&gt;5),70%,IF(AND(OR(Matrice1!$R694&gt;=4,Matrice1!$R694&lt;=12,Matrice1!$O694&lt;5,(OR(Matrice1!$Q694="Premium ")))),45%,0%)))</f>
        <v>0.45</v>
      </c>
      <c r="W694">
        <f>Matrice1!$T694* (Matrice1!$V694/100)</f>
        <v>0.31536000000000003</v>
      </c>
    </row>
    <row r="695" spans="1:23" x14ac:dyDescent="0.3">
      <c r="A695" s="1" t="s">
        <v>854</v>
      </c>
      <c r="B695" s="2">
        <v>45222</v>
      </c>
      <c r="C695" s="3">
        <v>0.42708333333333331</v>
      </c>
      <c r="D695" s="1" t="s">
        <v>892</v>
      </c>
      <c r="E695">
        <v>82</v>
      </c>
      <c r="F695" s="1" t="s">
        <v>807</v>
      </c>
      <c r="G695" s="1" t="s">
        <v>892</v>
      </c>
      <c r="H695" s="1" t="s">
        <v>26</v>
      </c>
      <c r="I695">
        <v>-4.4697000000000001E-2</v>
      </c>
      <c r="J695">
        <v>22.943373000000001</v>
      </c>
      <c r="K695" s="1" t="s">
        <v>1500</v>
      </c>
      <c r="L695" s="1" t="s">
        <v>1499</v>
      </c>
      <c r="M695" s="1" t="s">
        <v>745</v>
      </c>
      <c r="N695" s="1" t="s">
        <v>26</v>
      </c>
      <c r="O695" s="1" t="str">
        <f>INT(Matrice1!$P695/12) &amp; " ans et " &amp; MOD(Matrice1!$P695,12) &amp; " mois"</f>
        <v>2 ans et 11 mois</v>
      </c>
      <c r="P695">
        <v>35</v>
      </c>
      <c r="Q695" s="1" t="s">
        <v>14</v>
      </c>
      <c r="R695" s="4">
        <f>Matrice1!$S695/1440</f>
        <v>0.2076388888888889</v>
      </c>
      <c r="S695">
        <v>299</v>
      </c>
      <c r="T695">
        <v>96.32</v>
      </c>
      <c r="U695">
        <v>4</v>
      </c>
      <c r="V695" s="8">
        <f>IF(Matrice1!$Q695="Pro Monde",10%,IF(AND(Matrice1!$R695&gt;12,Matrice1!$O695&gt;5),70%,IF(AND(OR(Matrice1!$R695&gt;=4,Matrice1!$R695&lt;=12,Matrice1!$O695&lt;5,(OR(Matrice1!$Q695="Premium ")))),45%,0%)))</f>
        <v>0.1</v>
      </c>
      <c r="W695">
        <f>Matrice1!$T695* (Matrice1!$V695/100)</f>
        <v>9.6319999999999989E-2</v>
      </c>
    </row>
    <row r="696" spans="1:23" x14ac:dyDescent="0.3">
      <c r="A696" s="1" t="s">
        <v>854</v>
      </c>
      <c r="B696" s="2">
        <v>45213</v>
      </c>
      <c r="C696" s="3">
        <v>0.25416666666666665</v>
      </c>
      <c r="D696" s="1" t="s">
        <v>857</v>
      </c>
      <c r="E696">
        <v>73</v>
      </c>
      <c r="F696" s="1" t="s">
        <v>812</v>
      </c>
      <c r="G696" s="1" t="s">
        <v>857</v>
      </c>
      <c r="H696" s="1" t="s">
        <v>13</v>
      </c>
      <c r="I696">
        <v>-5.1030600000000002</v>
      </c>
      <c r="J696">
        <v>22.849231</v>
      </c>
      <c r="K696" s="1" t="s">
        <v>1495</v>
      </c>
      <c r="L696" s="1" t="s">
        <v>1501</v>
      </c>
      <c r="M696" s="1" t="s">
        <v>746</v>
      </c>
      <c r="N696" s="1" t="s">
        <v>13</v>
      </c>
      <c r="O696" s="1" t="str">
        <f>INT(Matrice1!$P696/12) &amp; " ans et " &amp; MOD(Matrice1!$P696,12) &amp; " mois"</f>
        <v>1 ans et 7 mois</v>
      </c>
      <c r="P696">
        <v>19</v>
      </c>
      <c r="Q696" s="1" t="s">
        <v>19</v>
      </c>
      <c r="R696" s="4">
        <f>Matrice1!$S696/1440</f>
        <v>0.23958333333333334</v>
      </c>
      <c r="S696">
        <v>345</v>
      </c>
      <c r="T696">
        <v>54.37</v>
      </c>
      <c r="U696">
        <v>2</v>
      </c>
      <c r="V696" s="8">
        <f>IF(Matrice1!$Q696="Pro Monde",10%,IF(AND(Matrice1!$R696&gt;12,Matrice1!$O696&gt;5),70%,IF(AND(OR(Matrice1!$R696&gt;=4,Matrice1!$R696&lt;=12,Matrice1!$O696&lt;5,(OR(Matrice1!$Q696="Premium ")))),45%,0%)))</f>
        <v>0.45</v>
      </c>
      <c r="W696">
        <f>Matrice1!$T696* (Matrice1!$V696/100)</f>
        <v>0.24466500000000002</v>
      </c>
    </row>
    <row r="697" spans="1:23" x14ac:dyDescent="0.3">
      <c r="A697" s="1" t="s">
        <v>1014</v>
      </c>
      <c r="B697" s="2">
        <v>45225</v>
      </c>
      <c r="C697" s="3">
        <v>0.21527777777777779</v>
      </c>
      <c r="D697" s="1" t="s">
        <v>1043</v>
      </c>
      <c r="E697">
        <v>41</v>
      </c>
      <c r="F697" s="1" t="s">
        <v>812</v>
      </c>
      <c r="G697" s="1" t="s">
        <v>1043</v>
      </c>
      <c r="H697" s="1" t="s">
        <v>44</v>
      </c>
      <c r="I697">
        <v>-4.9552579999999997</v>
      </c>
      <c r="J697">
        <v>22.008103999999999</v>
      </c>
      <c r="K697" s="1" t="s">
        <v>1498</v>
      </c>
      <c r="L697" s="1" t="s">
        <v>1499</v>
      </c>
      <c r="M697" s="1" t="s">
        <v>747</v>
      </c>
      <c r="N697" s="1" t="s">
        <v>44</v>
      </c>
      <c r="O697" s="1" t="str">
        <f>INT(Matrice1!$P697/12) &amp; " ans et " &amp; MOD(Matrice1!$P697,12) &amp; " mois"</f>
        <v>7 ans et 10 mois</v>
      </c>
      <c r="P697">
        <v>94</v>
      </c>
      <c r="Q697" s="1" t="s">
        <v>22</v>
      </c>
      <c r="R697" s="4">
        <f>Matrice1!$S697/1440</f>
        <v>0.18124999999999999</v>
      </c>
      <c r="S697">
        <v>261</v>
      </c>
      <c r="T697">
        <v>70.09</v>
      </c>
      <c r="U697">
        <v>3</v>
      </c>
      <c r="V697" s="8">
        <f>IF(Matrice1!$Q697="Pro Monde",10%,IF(AND(Matrice1!$R697&gt;12,Matrice1!$O697&gt;5),70%,IF(AND(OR(Matrice1!$R697&gt;=4,Matrice1!$R697&lt;=12,Matrice1!$O697&lt;5,(OR(Matrice1!$Q697="Premium ")))),45%,0%)))</f>
        <v>0.45</v>
      </c>
      <c r="W697">
        <f>Matrice1!$T697* (Matrice1!$V697/100)</f>
        <v>0.31540500000000005</v>
      </c>
    </row>
    <row r="698" spans="1:23" x14ac:dyDescent="0.3">
      <c r="A698" s="1" t="s">
        <v>898</v>
      </c>
      <c r="B698" s="2">
        <v>45206</v>
      </c>
      <c r="C698" s="3">
        <v>0.6875</v>
      </c>
      <c r="D698" s="1" t="s">
        <v>926</v>
      </c>
      <c r="E698">
        <v>76</v>
      </c>
      <c r="F698" s="1" t="s">
        <v>812</v>
      </c>
      <c r="G698" s="1" t="s">
        <v>926</v>
      </c>
      <c r="H698" s="1" t="s">
        <v>127</v>
      </c>
      <c r="I698">
        <v>-12.100756000000001</v>
      </c>
      <c r="J698">
        <v>21.938649999999999</v>
      </c>
      <c r="K698" s="1" t="s">
        <v>1498</v>
      </c>
      <c r="L698" s="1" t="s">
        <v>1499</v>
      </c>
      <c r="M698" s="1" t="s">
        <v>748</v>
      </c>
      <c r="N698" s="1" t="s">
        <v>127</v>
      </c>
      <c r="O698" s="1" t="str">
        <f>INT(Matrice1!$P698/12) &amp; " ans et " &amp; MOD(Matrice1!$P698,12) &amp; " mois"</f>
        <v>2 ans et 2 mois</v>
      </c>
      <c r="P698">
        <v>26</v>
      </c>
      <c r="Q698" s="1" t="s">
        <v>11</v>
      </c>
      <c r="R698" s="4">
        <f>Matrice1!$S698/1440</f>
        <v>0.26250000000000001</v>
      </c>
      <c r="S698">
        <v>378</v>
      </c>
      <c r="T698">
        <v>45.21</v>
      </c>
      <c r="U698">
        <v>5</v>
      </c>
      <c r="V698" s="8">
        <f>IF(Matrice1!$Q698="Pro Monde",10%,IF(AND(Matrice1!$R698&gt;12,Matrice1!$O698&gt;5),70%,IF(AND(OR(Matrice1!$R698&gt;=4,Matrice1!$R698&lt;=12,Matrice1!$O698&lt;5,(OR(Matrice1!$Q698="Premium ")))),45%,0%)))</f>
        <v>0.45</v>
      </c>
      <c r="W698">
        <f>Matrice1!$T698* (Matrice1!$V698/100)</f>
        <v>0.20344500000000001</v>
      </c>
    </row>
    <row r="699" spans="1:23" x14ac:dyDescent="0.3">
      <c r="A699" s="1" t="s">
        <v>854</v>
      </c>
      <c r="B699" s="2">
        <v>45213</v>
      </c>
      <c r="C699" s="3">
        <v>0.25416666666666665</v>
      </c>
      <c r="D699" s="1" t="s">
        <v>857</v>
      </c>
      <c r="E699">
        <v>73</v>
      </c>
      <c r="F699" s="1" t="s">
        <v>812</v>
      </c>
      <c r="G699" s="1" t="s">
        <v>857</v>
      </c>
      <c r="H699" s="1" t="s">
        <v>13</v>
      </c>
      <c r="I699">
        <v>-5.1030600000000002</v>
      </c>
      <c r="J699">
        <v>22.849231</v>
      </c>
      <c r="K699" s="1" t="s">
        <v>1495</v>
      </c>
      <c r="L699" s="1" t="s">
        <v>1501</v>
      </c>
      <c r="M699" s="1" t="s">
        <v>749</v>
      </c>
      <c r="N699" s="1" t="s">
        <v>13</v>
      </c>
      <c r="O699" s="1" t="str">
        <f>INT(Matrice1!$P699/12) &amp; " ans et " &amp; MOD(Matrice1!$P699,12) &amp; " mois"</f>
        <v>4 ans et 8 mois</v>
      </c>
      <c r="P699">
        <v>56</v>
      </c>
      <c r="Q699" s="1" t="s">
        <v>22</v>
      </c>
      <c r="R699" s="4">
        <f>Matrice1!$S699/1440</f>
        <v>0.25486111111111109</v>
      </c>
      <c r="S699">
        <v>367</v>
      </c>
      <c r="T699">
        <v>72.790000000000006</v>
      </c>
      <c r="U699">
        <v>1</v>
      </c>
      <c r="V699" s="8">
        <f>IF(Matrice1!$Q699="Pro Monde",10%,IF(AND(Matrice1!$R699&gt;12,Matrice1!$O699&gt;5),70%,IF(AND(OR(Matrice1!$R699&gt;=4,Matrice1!$R699&lt;=12,Matrice1!$O699&lt;5,(OR(Matrice1!$Q699="Premium ")))),45%,0%)))</f>
        <v>0.45</v>
      </c>
      <c r="W699">
        <f>Matrice1!$T699* (Matrice1!$V699/100)</f>
        <v>0.32755500000000004</v>
      </c>
    </row>
    <row r="700" spans="1:23" x14ac:dyDescent="0.3">
      <c r="A700" s="1" t="s">
        <v>854</v>
      </c>
      <c r="B700" s="2">
        <v>45213</v>
      </c>
      <c r="C700" s="3">
        <v>0.94861111111111107</v>
      </c>
      <c r="D700" s="1" t="s">
        <v>874</v>
      </c>
      <c r="E700">
        <v>72</v>
      </c>
      <c r="F700" s="1" t="s">
        <v>810</v>
      </c>
      <c r="G700" s="1" t="s">
        <v>874</v>
      </c>
      <c r="H700" s="1" t="s">
        <v>35</v>
      </c>
      <c r="I700">
        <v>-2.7140689999999998</v>
      </c>
      <c r="J700">
        <v>22.222104000000002</v>
      </c>
      <c r="K700" s="1" t="s">
        <v>1498</v>
      </c>
      <c r="L700" s="1" t="s">
        <v>1508</v>
      </c>
      <c r="M700" s="1" t="s">
        <v>751</v>
      </c>
      <c r="N700" s="1" t="s">
        <v>35</v>
      </c>
      <c r="O700" s="1" t="str">
        <f>INT(Matrice1!$P700/12) &amp; " ans et " &amp; MOD(Matrice1!$P700,12) &amp; " mois"</f>
        <v>8 ans et 1 mois</v>
      </c>
      <c r="P700">
        <v>97</v>
      </c>
      <c r="Q700" s="1" t="s">
        <v>19</v>
      </c>
      <c r="R700" s="4">
        <f>Matrice1!$S700/1440</f>
        <v>0.12013888888888889</v>
      </c>
      <c r="S700">
        <v>173</v>
      </c>
      <c r="T700">
        <v>19.37</v>
      </c>
      <c r="U700">
        <v>5</v>
      </c>
      <c r="V700" s="8">
        <f>IF(Matrice1!$Q700="Pro Monde",10%,IF(AND(Matrice1!$R700&gt;12,Matrice1!$O700&gt;5),70%,IF(AND(OR(Matrice1!$R700&gt;=4,Matrice1!$R700&lt;=12,Matrice1!$O700&lt;5,(OR(Matrice1!$Q700="Premium ")))),45%,0%)))</f>
        <v>0.45</v>
      </c>
      <c r="W700">
        <f>Matrice1!$T700* (Matrice1!$V700/100)</f>
        <v>8.716500000000002E-2</v>
      </c>
    </row>
    <row r="701" spans="1:23" x14ac:dyDescent="0.3">
      <c r="A701" s="1" t="s">
        <v>805</v>
      </c>
      <c r="B701" s="2">
        <v>45201</v>
      </c>
      <c r="C701" s="3">
        <v>0.88472222222222219</v>
      </c>
      <c r="D701" s="1" t="s">
        <v>833</v>
      </c>
      <c r="E701">
        <v>54</v>
      </c>
      <c r="F701" s="1" t="s">
        <v>812</v>
      </c>
      <c r="G701" s="1" t="s">
        <v>833</v>
      </c>
      <c r="H701" s="1" t="s">
        <v>131</v>
      </c>
      <c r="I701">
        <v>4.6287159999999998</v>
      </c>
      <c r="J701">
        <v>19.407077999999998</v>
      </c>
      <c r="K701" s="1" t="s">
        <v>1498</v>
      </c>
      <c r="L701" s="1" t="s">
        <v>1496</v>
      </c>
      <c r="M701" s="1" t="s">
        <v>752</v>
      </c>
      <c r="N701" s="1" t="s">
        <v>131</v>
      </c>
      <c r="O701" s="1" t="str">
        <f>INT(Matrice1!$P701/12) &amp; " ans et " &amp; MOD(Matrice1!$P701,12) &amp; " mois"</f>
        <v>4 ans et 6 mois</v>
      </c>
      <c r="P701">
        <v>54</v>
      </c>
      <c r="Q701" s="1" t="s">
        <v>22</v>
      </c>
      <c r="R701" s="4">
        <f>Matrice1!$S701/1440</f>
        <v>0.14930555555555555</v>
      </c>
      <c r="S701">
        <v>215</v>
      </c>
      <c r="T701">
        <v>54.69</v>
      </c>
      <c r="U701">
        <v>0</v>
      </c>
      <c r="V701" s="8">
        <f>IF(Matrice1!$Q701="Pro Monde",10%,IF(AND(Matrice1!$R701&gt;12,Matrice1!$O701&gt;5),70%,IF(AND(OR(Matrice1!$R701&gt;=4,Matrice1!$R701&lt;=12,Matrice1!$O701&lt;5,(OR(Matrice1!$Q701="Premium ")))),45%,0%)))</f>
        <v>0.45</v>
      </c>
      <c r="W701">
        <f>Matrice1!$T701* (Matrice1!$V701/100)</f>
        <v>0.24610500000000002</v>
      </c>
    </row>
    <row r="702" spans="1:23" x14ac:dyDescent="0.3">
      <c r="A702" s="1" t="s">
        <v>805</v>
      </c>
      <c r="B702" s="2">
        <v>45213</v>
      </c>
      <c r="C702" s="3">
        <v>0.31111111111111112</v>
      </c>
      <c r="D702" s="1" t="s">
        <v>819</v>
      </c>
      <c r="E702">
        <v>22</v>
      </c>
      <c r="F702" s="1" t="s">
        <v>810</v>
      </c>
      <c r="G702" s="1" t="s">
        <v>819</v>
      </c>
      <c r="H702" s="1" t="s">
        <v>40</v>
      </c>
      <c r="I702">
        <v>4.8319039999999998</v>
      </c>
      <c r="J702">
        <v>20.733468999999999</v>
      </c>
      <c r="K702" s="1" t="s">
        <v>1495</v>
      </c>
      <c r="L702" s="1" t="s">
        <v>1496</v>
      </c>
      <c r="M702" s="1" t="s">
        <v>753</v>
      </c>
      <c r="N702" s="1" t="s">
        <v>40</v>
      </c>
      <c r="O702" s="1" t="str">
        <f>INT(Matrice1!$P702/12) &amp; " ans et " &amp; MOD(Matrice1!$P702,12) &amp; " mois"</f>
        <v>9 ans et 11 mois</v>
      </c>
      <c r="P702">
        <v>119</v>
      </c>
      <c r="Q702" s="1" t="s">
        <v>19</v>
      </c>
      <c r="R702" s="4">
        <f>Matrice1!$S702/1440</f>
        <v>9.2361111111111116E-2</v>
      </c>
      <c r="S702">
        <v>133</v>
      </c>
      <c r="T702">
        <v>30.27</v>
      </c>
      <c r="U702">
        <v>5</v>
      </c>
      <c r="V702" s="8">
        <f>IF(Matrice1!$Q702="Pro Monde",10%,IF(AND(Matrice1!$R702&gt;12,Matrice1!$O702&gt;5),70%,IF(AND(OR(Matrice1!$R702&gt;=4,Matrice1!$R702&lt;=12,Matrice1!$O702&lt;5,(OR(Matrice1!$Q702="Premium ")))),45%,0%)))</f>
        <v>0.45</v>
      </c>
      <c r="W702">
        <f>Matrice1!$T702* (Matrice1!$V702/100)</f>
        <v>0.136215</v>
      </c>
    </row>
    <row r="703" spans="1:23" x14ac:dyDescent="0.3">
      <c r="A703" s="1" t="s">
        <v>854</v>
      </c>
      <c r="B703" s="2">
        <v>45221</v>
      </c>
      <c r="C703" s="3">
        <v>0.77500000000000002</v>
      </c>
      <c r="D703" s="1" t="s">
        <v>889</v>
      </c>
      <c r="E703">
        <v>24</v>
      </c>
      <c r="F703" s="1" t="s">
        <v>807</v>
      </c>
      <c r="G703" s="1" t="s">
        <v>889</v>
      </c>
      <c r="H703" s="1" t="s">
        <v>16</v>
      </c>
      <c r="I703">
        <v>-11.514188000000001</v>
      </c>
      <c r="J703">
        <v>15.971181</v>
      </c>
      <c r="K703" s="1" t="s">
        <v>1495</v>
      </c>
      <c r="L703" s="1" t="s">
        <v>1496</v>
      </c>
      <c r="M703" s="1" t="s">
        <v>754</v>
      </c>
      <c r="N703" s="1" t="s">
        <v>16</v>
      </c>
      <c r="O703" s="1" t="str">
        <f>INT(Matrice1!$P703/12) &amp; " ans et " &amp; MOD(Matrice1!$P703,12) &amp; " mois"</f>
        <v>0 ans et 9 mois</v>
      </c>
      <c r="P703">
        <v>9</v>
      </c>
      <c r="Q703" s="1" t="s">
        <v>22</v>
      </c>
      <c r="R703" s="4">
        <f>Matrice1!$S703/1440</f>
        <v>7.0833333333333331E-2</v>
      </c>
      <c r="S703">
        <v>102</v>
      </c>
      <c r="T703">
        <v>41.52</v>
      </c>
      <c r="U703">
        <v>0</v>
      </c>
      <c r="V703" s="8">
        <f>IF(Matrice1!$Q703="Pro Monde",10%,IF(AND(Matrice1!$R703&gt;12,Matrice1!$O703&gt;5),70%,IF(AND(OR(Matrice1!$R703&gt;=4,Matrice1!$R703&lt;=12,Matrice1!$O703&lt;5,(OR(Matrice1!$Q703="Premium ")))),45%,0%)))</f>
        <v>0.45</v>
      </c>
      <c r="W703">
        <f>Matrice1!$T703* (Matrice1!$V703/100)</f>
        <v>0.18684000000000003</v>
      </c>
    </row>
    <row r="704" spans="1:23" x14ac:dyDescent="0.3">
      <c r="A704" s="1" t="s">
        <v>854</v>
      </c>
      <c r="B704" s="2">
        <v>45222</v>
      </c>
      <c r="C704" s="3">
        <v>0.42708333333333331</v>
      </c>
      <c r="D704" s="1" t="s">
        <v>892</v>
      </c>
      <c r="E704">
        <v>82</v>
      </c>
      <c r="F704" s="1" t="s">
        <v>807</v>
      </c>
      <c r="G704" s="1" t="s">
        <v>892</v>
      </c>
      <c r="H704" s="1" t="s">
        <v>26</v>
      </c>
      <c r="I704">
        <v>-4.4697000000000001E-2</v>
      </c>
      <c r="J704">
        <v>22.943373000000001</v>
      </c>
      <c r="K704" s="1" t="s">
        <v>1500</v>
      </c>
      <c r="L704" s="1" t="s">
        <v>1499</v>
      </c>
      <c r="M704" s="1" t="s">
        <v>755</v>
      </c>
      <c r="N704" s="1" t="s">
        <v>26</v>
      </c>
      <c r="O704" s="1" t="str">
        <f>INT(Matrice1!$P704/12) &amp; " ans et " &amp; MOD(Matrice1!$P704,12) &amp; " mois"</f>
        <v>0 ans et 8 mois</v>
      </c>
      <c r="P704">
        <v>8</v>
      </c>
      <c r="Q704" s="1" t="s">
        <v>19</v>
      </c>
      <c r="R704" s="4">
        <f>Matrice1!$S704/1440</f>
        <v>0.11874999999999999</v>
      </c>
      <c r="S704">
        <v>171</v>
      </c>
      <c r="T704">
        <v>52.98</v>
      </c>
      <c r="U704">
        <v>0</v>
      </c>
      <c r="V704" s="8">
        <f>IF(Matrice1!$Q704="Pro Monde",10%,IF(AND(Matrice1!$R704&gt;12,Matrice1!$O704&gt;5),70%,IF(AND(OR(Matrice1!$R704&gt;=4,Matrice1!$R704&lt;=12,Matrice1!$O704&lt;5,(OR(Matrice1!$Q704="Premium ")))),45%,0%)))</f>
        <v>0.45</v>
      </c>
      <c r="W704">
        <f>Matrice1!$T704* (Matrice1!$V704/100)</f>
        <v>0.23841000000000001</v>
      </c>
    </row>
    <row r="705" spans="1:23" x14ac:dyDescent="0.3">
      <c r="A705" s="1" t="s">
        <v>805</v>
      </c>
      <c r="B705" s="2">
        <v>45201</v>
      </c>
      <c r="C705" s="3">
        <v>0.88472222222222219</v>
      </c>
      <c r="D705" s="1" t="s">
        <v>833</v>
      </c>
      <c r="E705">
        <v>54</v>
      </c>
      <c r="F705" s="1" t="s">
        <v>812</v>
      </c>
      <c r="G705" s="1" t="s">
        <v>833</v>
      </c>
      <c r="H705" s="1" t="s">
        <v>131</v>
      </c>
      <c r="I705">
        <v>4.6287159999999998</v>
      </c>
      <c r="J705">
        <v>19.407077999999998</v>
      </c>
      <c r="K705" s="1" t="s">
        <v>1498</v>
      </c>
      <c r="L705" s="1" t="s">
        <v>1496</v>
      </c>
      <c r="M705" s="1" t="s">
        <v>756</v>
      </c>
      <c r="N705" s="1" t="s">
        <v>131</v>
      </c>
      <c r="O705" s="1" t="str">
        <f>INT(Matrice1!$P705/12) &amp; " ans et " &amp; MOD(Matrice1!$P705,12) &amp; " mois"</f>
        <v>6 ans et 7 mois</v>
      </c>
      <c r="P705">
        <v>79</v>
      </c>
      <c r="Q705" s="1" t="s">
        <v>11</v>
      </c>
      <c r="R705" s="4">
        <f>Matrice1!$S705/1440</f>
        <v>0.31527777777777777</v>
      </c>
      <c r="S705">
        <v>454</v>
      </c>
      <c r="T705">
        <v>80.34</v>
      </c>
      <c r="U705">
        <v>2</v>
      </c>
      <c r="V705" s="8">
        <f>IF(Matrice1!$Q705="Pro Monde",10%,IF(AND(Matrice1!$R705&gt;12,Matrice1!$O705&gt;5),70%,IF(AND(OR(Matrice1!$R705&gt;=4,Matrice1!$R705&lt;=12,Matrice1!$O705&lt;5,(OR(Matrice1!$Q705="Premium ")))),45%,0%)))</f>
        <v>0.45</v>
      </c>
      <c r="W705">
        <f>Matrice1!$T705* (Matrice1!$V705/100)</f>
        <v>0.36153000000000007</v>
      </c>
    </row>
    <row r="706" spans="1:23" x14ac:dyDescent="0.3">
      <c r="A706" s="1" t="s">
        <v>854</v>
      </c>
      <c r="B706" s="2">
        <v>45222</v>
      </c>
      <c r="C706" s="3">
        <v>0.42708333333333331</v>
      </c>
      <c r="D706" s="1" t="s">
        <v>892</v>
      </c>
      <c r="E706">
        <v>82</v>
      </c>
      <c r="F706" s="1" t="s">
        <v>807</v>
      </c>
      <c r="G706" s="1" t="s">
        <v>892</v>
      </c>
      <c r="H706" s="1" t="s">
        <v>26</v>
      </c>
      <c r="I706">
        <v>-4.4697000000000001E-2</v>
      </c>
      <c r="J706">
        <v>22.943373000000001</v>
      </c>
      <c r="K706" s="1" t="s">
        <v>1500</v>
      </c>
      <c r="L706" s="1" t="s">
        <v>1499</v>
      </c>
      <c r="M706" s="1" t="s">
        <v>757</v>
      </c>
      <c r="N706" s="1" t="s">
        <v>26</v>
      </c>
      <c r="O706" s="1" t="str">
        <f>INT(Matrice1!$P706/12) &amp; " ans et " &amp; MOD(Matrice1!$P706,12) &amp; " mois"</f>
        <v>2 ans et 9 mois</v>
      </c>
      <c r="P706">
        <v>33</v>
      </c>
      <c r="Q706" s="1" t="s">
        <v>14</v>
      </c>
      <c r="R706" s="4">
        <f>Matrice1!$S706/1440</f>
        <v>0.27152777777777776</v>
      </c>
      <c r="S706">
        <v>391</v>
      </c>
      <c r="T706">
        <v>88.88</v>
      </c>
      <c r="U706">
        <v>4</v>
      </c>
      <c r="V706" s="8">
        <f>IF(Matrice1!$Q706="Pro Monde",10%,IF(AND(Matrice1!$R706&gt;12,Matrice1!$O706&gt;5),70%,IF(AND(OR(Matrice1!$R706&gt;=4,Matrice1!$R706&lt;=12,Matrice1!$O706&lt;5,(OR(Matrice1!$Q706="Premium ")))),45%,0%)))</f>
        <v>0.1</v>
      </c>
      <c r="W706">
        <f>Matrice1!$T706* (Matrice1!$V706/100)</f>
        <v>8.8880000000000001E-2</v>
      </c>
    </row>
    <row r="707" spans="1:23" x14ac:dyDescent="0.3">
      <c r="A707" s="1" t="s">
        <v>854</v>
      </c>
      <c r="B707" s="2">
        <v>45216</v>
      </c>
      <c r="C707" s="3">
        <v>0.67361111111111116</v>
      </c>
      <c r="D707" s="1" t="s">
        <v>881</v>
      </c>
      <c r="E707">
        <v>117</v>
      </c>
      <c r="F707" s="1" t="s">
        <v>807</v>
      </c>
      <c r="G707" s="1" t="s">
        <v>881</v>
      </c>
      <c r="H707" s="1" t="s">
        <v>31</v>
      </c>
      <c r="I707">
        <v>-12.141233</v>
      </c>
      <c r="J707">
        <v>15.179043999999999</v>
      </c>
      <c r="K707" s="1" t="s">
        <v>1495</v>
      </c>
      <c r="L707" s="1" t="s">
        <v>1496</v>
      </c>
      <c r="M707" s="1" t="s">
        <v>758</v>
      </c>
      <c r="N707" s="1" t="s">
        <v>31</v>
      </c>
      <c r="O707" s="1" t="str">
        <f>INT(Matrice1!$P707/12) &amp; " ans et " &amp; MOD(Matrice1!$P707,12) &amp; " mois"</f>
        <v>1 ans et 3 mois</v>
      </c>
      <c r="P707">
        <v>15</v>
      </c>
      <c r="Q707" s="1" t="s">
        <v>19</v>
      </c>
      <c r="R707" s="4">
        <f>Matrice1!$S707/1440</f>
        <v>2.0833333333333332E-2</v>
      </c>
      <c r="S707">
        <v>30</v>
      </c>
      <c r="T707">
        <v>30.5</v>
      </c>
      <c r="U707">
        <v>1</v>
      </c>
      <c r="V707" s="8">
        <f>IF(Matrice1!$Q707="Pro Monde",10%,IF(AND(Matrice1!$R707&gt;12,Matrice1!$O707&gt;5),70%,IF(AND(OR(Matrice1!$R707&gt;=4,Matrice1!$R707&lt;=12,Matrice1!$O707&lt;5,(OR(Matrice1!$Q707="Premium ")))),45%,0%)))</f>
        <v>0.45</v>
      </c>
      <c r="W707">
        <f>Matrice1!$T707* (Matrice1!$V707/100)</f>
        <v>0.13725000000000001</v>
      </c>
    </row>
    <row r="708" spans="1:23" x14ac:dyDescent="0.3">
      <c r="A708" s="1" t="s">
        <v>854</v>
      </c>
      <c r="B708" s="2">
        <v>45213</v>
      </c>
      <c r="C708" s="3">
        <v>0.25416666666666665</v>
      </c>
      <c r="D708" s="1" t="s">
        <v>857</v>
      </c>
      <c r="E708">
        <v>73</v>
      </c>
      <c r="F708" s="1" t="s">
        <v>812</v>
      </c>
      <c r="G708" s="1" t="s">
        <v>857</v>
      </c>
      <c r="H708" s="1" t="s">
        <v>13</v>
      </c>
      <c r="I708">
        <v>-5.1030600000000002</v>
      </c>
      <c r="J708">
        <v>22.849231</v>
      </c>
      <c r="K708" s="1" t="s">
        <v>1495</v>
      </c>
      <c r="L708" s="1" t="s">
        <v>1501</v>
      </c>
      <c r="M708" s="1" t="s">
        <v>759</v>
      </c>
      <c r="N708" s="1" t="s">
        <v>13</v>
      </c>
      <c r="O708" s="1" t="str">
        <f>INT(Matrice1!$P708/12) &amp; " ans et " &amp; MOD(Matrice1!$P708,12) &amp; " mois"</f>
        <v>0 ans et 5 mois</v>
      </c>
      <c r="P708">
        <v>5</v>
      </c>
      <c r="Q708" s="1" t="s">
        <v>11</v>
      </c>
      <c r="R708" s="4">
        <f>Matrice1!$S708/1440</f>
        <v>4.9305555555555554E-2</v>
      </c>
      <c r="S708">
        <v>71</v>
      </c>
      <c r="T708">
        <v>93.81</v>
      </c>
      <c r="U708">
        <v>3</v>
      </c>
      <c r="V708" s="8">
        <f>IF(Matrice1!$Q708="Pro Monde",10%,IF(AND(Matrice1!$R708&gt;12,Matrice1!$O708&gt;5),70%,IF(AND(OR(Matrice1!$R708&gt;=4,Matrice1!$R708&lt;=12,Matrice1!$O708&lt;5,(OR(Matrice1!$Q708="Premium ")))),45%,0%)))</f>
        <v>0.45</v>
      </c>
      <c r="W708">
        <f>Matrice1!$T708* (Matrice1!$V708/100)</f>
        <v>0.42214500000000005</v>
      </c>
    </row>
    <row r="709" spans="1:23" x14ac:dyDescent="0.3">
      <c r="A709" s="1" t="s">
        <v>805</v>
      </c>
      <c r="B709" s="2">
        <v>45217</v>
      </c>
      <c r="C709" s="3">
        <v>0.96875</v>
      </c>
      <c r="D709" s="1" t="s">
        <v>842</v>
      </c>
      <c r="E709">
        <v>97</v>
      </c>
      <c r="F709" s="1" t="s">
        <v>810</v>
      </c>
      <c r="G709" s="1" t="s">
        <v>842</v>
      </c>
      <c r="H709" s="1" t="s">
        <v>29</v>
      </c>
      <c r="I709">
        <v>-10.059846</v>
      </c>
      <c r="J709">
        <v>14.375757999999999</v>
      </c>
      <c r="K709" s="1" t="s">
        <v>1498</v>
      </c>
      <c r="L709" s="1" t="s">
        <v>1499</v>
      </c>
      <c r="M709" s="1" t="s">
        <v>760</v>
      </c>
      <c r="N709" s="1" t="s">
        <v>29</v>
      </c>
      <c r="O709" s="1" t="str">
        <f>INT(Matrice1!$P709/12) &amp; " ans et " &amp; MOD(Matrice1!$P709,12) &amp; " mois"</f>
        <v>9 ans et 1 mois</v>
      </c>
      <c r="P709">
        <v>109</v>
      </c>
      <c r="Q709" s="1" t="s">
        <v>22</v>
      </c>
      <c r="R709" s="4">
        <f>Matrice1!$S709/1440</f>
        <v>7.2222222222222215E-2</v>
      </c>
      <c r="S709">
        <v>104</v>
      </c>
      <c r="T709">
        <v>12.37</v>
      </c>
      <c r="U709">
        <v>5</v>
      </c>
      <c r="V709" s="8">
        <f>IF(Matrice1!$Q709="Pro Monde",10%,IF(AND(Matrice1!$R709&gt;12,Matrice1!$O709&gt;5),70%,IF(AND(OR(Matrice1!$R709&gt;=4,Matrice1!$R709&lt;=12,Matrice1!$O709&lt;5,(OR(Matrice1!$Q709="Premium ")))),45%,0%)))</f>
        <v>0.45</v>
      </c>
      <c r="W709">
        <f>Matrice1!$T709* (Matrice1!$V709/100)</f>
        <v>5.5665000000000006E-2</v>
      </c>
    </row>
    <row r="710" spans="1:23" x14ac:dyDescent="0.3">
      <c r="A710" s="1" t="s">
        <v>805</v>
      </c>
      <c r="B710" s="2">
        <v>45211</v>
      </c>
      <c r="C710" s="3">
        <v>0.27916666666666667</v>
      </c>
      <c r="D710" s="1" t="s">
        <v>838</v>
      </c>
      <c r="E710">
        <v>75</v>
      </c>
      <c r="F710" s="1" t="s">
        <v>807</v>
      </c>
      <c r="G710" s="1" t="s">
        <v>838</v>
      </c>
      <c r="H710" s="1" t="s">
        <v>89</v>
      </c>
      <c r="I710">
        <v>-8.1437910000000002</v>
      </c>
      <c r="J710">
        <v>28.946161</v>
      </c>
      <c r="K710" s="1" t="s">
        <v>1498</v>
      </c>
      <c r="L710" s="1" t="s">
        <v>1501</v>
      </c>
      <c r="M710" s="1" t="s">
        <v>761</v>
      </c>
      <c r="N710" s="1" t="s">
        <v>89</v>
      </c>
      <c r="O710" s="1" t="str">
        <f>INT(Matrice1!$P710/12) &amp; " ans et " &amp; MOD(Matrice1!$P710,12) &amp; " mois"</f>
        <v>8 ans et 0 mois</v>
      </c>
      <c r="P710">
        <v>96</v>
      </c>
      <c r="Q710" s="1" t="s">
        <v>14</v>
      </c>
      <c r="R710" s="4">
        <f>Matrice1!$S710/1440</f>
        <v>0.19444444444444445</v>
      </c>
      <c r="S710">
        <v>280</v>
      </c>
      <c r="T710">
        <v>80.36</v>
      </c>
      <c r="U710">
        <v>5</v>
      </c>
      <c r="V710" s="8">
        <f>IF(Matrice1!$Q710="Pro Monde",10%,IF(AND(Matrice1!$R710&gt;12,Matrice1!$O710&gt;5),70%,IF(AND(OR(Matrice1!$R710&gt;=4,Matrice1!$R710&lt;=12,Matrice1!$O710&lt;5,(OR(Matrice1!$Q710="Premium ")))),45%,0%)))</f>
        <v>0.1</v>
      </c>
      <c r="W710">
        <f>Matrice1!$T710* (Matrice1!$V710/100)</f>
        <v>8.0360000000000001E-2</v>
      </c>
    </row>
    <row r="711" spans="1:23" x14ac:dyDescent="0.3">
      <c r="A711" s="1" t="s">
        <v>805</v>
      </c>
      <c r="B711" s="2">
        <v>45212</v>
      </c>
      <c r="C711" s="3">
        <v>0.14027777777777778</v>
      </c>
      <c r="D711" s="1" t="s">
        <v>826</v>
      </c>
      <c r="E711">
        <v>19</v>
      </c>
      <c r="F711" s="1" t="s">
        <v>810</v>
      </c>
      <c r="G711" s="1" t="s">
        <v>826</v>
      </c>
      <c r="H711" s="1" t="s">
        <v>37</v>
      </c>
      <c r="I711">
        <v>-9.4708620000000003</v>
      </c>
      <c r="J711">
        <v>29.234387999999999</v>
      </c>
      <c r="K711" s="1" t="s">
        <v>1500</v>
      </c>
      <c r="L711" s="1" t="s">
        <v>1501</v>
      </c>
      <c r="M711" s="1" t="s">
        <v>762</v>
      </c>
      <c r="N711" s="1" t="s">
        <v>37</v>
      </c>
      <c r="O711" s="1" t="str">
        <f>INT(Matrice1!$P711/12) &amp; " ans et " &amp; MOD(Matrice1!$P711,12) &amp; " mois"</f>
        <v>0 ans et 10 mois</v>
      </c>
      <c r="P711">
        <v>10</v>
      </c>
      <c r="Q711" s="1" t="s">
        <v>22</v>
      </c>
      <c r="R711" s="4">
        <f>Matrice1!$S711/1440</f>
        <v>0.2902777777777778</v>
      </c>
      <c r="S711">
        <v>418</v>
      </c>
      <c r="T711">
        <v>27.66</v>
      </c>
      <c r="U711">
        <v>2</v>
      </c>
      <c r="V711" s="8">
        <f>IF(Matrice1!$Q711="Pro Monde",10%,IF(AND(Matrice1!$R711&gt;12,Matrice1!$O711&gt;5),70%,IF(AND(OR(Matrice1!$R711&gt;=4,Matrice1!$R711&lt;=12,Matrice1!$O711&lt;5,(OR(Matrice1!$Q711="Premium ")))),45%,0%)))</f>
        <v>0.45</v>
      </c>
      <c r="W711">
        <f>Matrice1!$T711* (Matrice1!$V711/100)</f>
        <v>0.12447000000000001</v>
      </c>
    </row>
    <row r="712" spans="1:23" x14ac:dyDescent="0.3">
      <c r="A712" s="1" t="s">
        <v>805</v>
      </c>
      <c r="B712" s="2">
        <v>45203</v>
      </c>
      <c r="C712" s="3">
        <v>0.51180555555555551</v>
      </c>
      <c r="D712" s="1" t="s">
        <v>835</v>
      </c>
      <c r="E712">
        <v>64</v>
      </c>
      <c r="F712" s="1" t="s">
        <v>812</v>
      </c>
      <c r="G712" s="1" t="s">
        <v>835</v>
      </c>
      <c r="H712" s="1" t="s">
        <v>73</v>
      </c>
      <c r="I712">
        <v>0.23583499999999999</v>
      </c>
      <c r="J712">
        <v>24.889558999999998</v>
      </c>
      <c r="K712" s="1" t="s">
        <v>1500</v>
      </c>
      <c r="L712" s="1" t="s">
        <v>1501</v>
      </c>
      <c r="M712" s="1" t="s">
        <v>763</v>
      </c>
      <c r="N712" s="1" t="s">
        <v>73</v>
      </c>
      <c r="O712" s="1" t="str">
        <f>INT(Matrice1!$P712/12) &amp; " ans et " &amp; MOD(Matrice1!$P712,12) &amp; " mois"</f>
        <v>4 ans et 9 mois</v>
      </c>
      <c r="P712">
        <v>57</v>
      </c>
      <c r="Q712" s="1" t="s">
        <v>22</v>
      </c>
      <c r="R712" s="4">
        <f>Matrice1!$S712/1440</f>
        <v>0.26041666666666669</v>
      </c>
      <c r="S712">
        <v>375</v>
      </c>
      <c r="T712">
        <v>64.73</v>
      </c>
      <c r="U712">
        <v>1</v>
      </c>
      <c r="V712" s="8">
        <f>IF(Matrice1!$Q712="Pro Monde",10%,IF(AND(Matrice1!$R712&gt;12,Matrice1!$O712&gt;5),70%,IF(AND(OR(Matrice1!$R712&gt;=4,Matrice1!$R712&lt;=12,Matrice1!$O712&lt;5,(OR(Matrice1!$Q712="Premium ")))),45%,0%)))</f>
        <v>0.45</v>
      </c>
      <c r="W712">
        <f>Matrice1!$T712* (Matrice1!$V712/100)</f>
        <v>0.29128500000000007</v>
      </c>
    </row>
    <row r="713" spans="1:23" x14ac:dyDescent="0.3">
      <c r="A713" s="1" t="s">
        <v>854</v>
      </c>
      <c r="B713" s="2">
        <v>45214</v>
      </c>
      <c r="C713" s="3">
        <v>0.9604166666666667</v>
      </c>
      <c r="D713" s="1" t="s">
        <v>859</v>
      </c>
      <c r="E713">
        <v>38</v>
      </c>
      <c r="F713" s="1" t="s">
        <v>807</v>
      </c>
      <c r="G713" s="1" t="s">
        <v>859</v>
      </c>
      <c r="H713" s="1" t="s">
        <v>137</v>
      </c>
      <c r="I713">
        <v>-11.710407999999999</v>
      </c>
      <c r="J713">
        <v>23.741330999999999</v>
      </c>
      <c r="K713" s="1" t="s">
        <v>1500</v>
      </c>
      <c r="L713" s="1" t="s">
        <v>1499</v>
      </c>
      <c r="M713" s="1" t="s">
        <v>764</v>
      </c>
      <c r="N713" s="1" t="s">
        <v>137</v>
      </c>
      <c r="O713" s="1" t="str">
        <f>INT(Matrice1!$P713/12) &amp; " ans et " &amp; MOD(Matrice1!$P713,12) &amp; " mois"</f>
        <v>8 ans et 2 mois</v>
      </c>
      <c r="P713">
        <v>98</v>
      </c>
      <c r="Q713" s="1" t="s">
        <v>14</v>
      </c>
      <c r="R713" s="4">
        <f>Matrice1!$S713/1440</f>
        <v>0.11666666666666667</v>
      </c>
      <c r="S713">
        <v>168</v>
      </c>
      <c r="T713">
        <v>44.14</v>
      </c>
      <c r="U713">
        <v>3</v>
      </c>
      <c r="V713" s="8">
        <f>IF(Matrice1!$Q713="Pro Monde",10%,IF(AND(Matrice1!$R713&gt;12,Matrice1!$O713&gt;5),70%,IF(AND(OR(Matrice1!$R713&gt;=4,Matrice1!$R713&lt;=12,Matrice1!$O713&lt;5,(OR(Matrice1!$Q713="Premium ")))),45%,0%)))</f>
        <v>0.1</v>
      </c>
      <c r="W713">
        <f>Matrice1!$T713* (Matrice1!$V713/100)</f>
        <v>4.4139999999999999E-2</v>
      </c>
    </row>
    <row r="714" spans="1:23" x14ac:dyDescent="0.3">
      <c r="A714" s="1" t="s">
        <v>854</v>
      </c>
      <c r="B714" s="2">
        <v>45213</v>
      </c>
      <c r="C714" s="3">
        <v>0.25416666666666665</v>
      </c>
      <c r="D714" s="1" t="s">
        <v>857</v>
      </c>
      <c r="E714">
        <v>73</v>
      </c>
      <c r="F714" s="1" t="s">
        <v>812</v>
      </c>
      <c r="G714" s="1" t="s">
        <v>857</v>
      </c>
      <c r="H714" s="1" t="s">
        <v>13</v>
      </c>
      <c r="I714">
        <v>-5.1030600000000002</v>
      </c>
      <c r="J714">
        <v>22.849231</v>
      </c>
      <c r="K714" s="1" t="s">
        <v>1495</v>
      </c>
      <c r="L714" s="1" t="s">
        <v>1501</v>
      </c>
      <c r="M714" s="1" t="s">
        <v>765</v>
      </c>
      <c r="N714" s="1" t="s">
        <v>13</v>
      </c>
      <c r="O714" s="1" t="str">
        <f>INT(Matrice1!$P714/12) &amp; " ans et " &amp; MOD(Matrice1!$P714,12) &amp; " mois"</f>
        <v>4 ans et 0 mois</v>
      </c>
      <c r="P714">
        <v>48</v>
      </c>
      <c r="Q714" s="1" t="s">
        <v>11</v>
      </c>
      <c r="R714" s="4">
        <f>Matrice1!$S714/1440</f>
        <v>0.32847222222222222</v>
      </c>
      <c r="S714">
        <v>473</v>
      </c>
      <c r="T714">
        <v>71.52</v>
      </c>
      <c r="U714">
        <v>5</v>
      </c>
      <c r="V714" s="8">
        <f>IF(Matrice1!$Q714="Pro Monde",10%,IF(AND(Matrice1!$R714&gt;12,Matrice1!$O714&gt;5),70%,IF(AND(OR(Matrice1!$R714&gt;=4,Matrice1!$R714&lt;=12,Matrice1!$O714&lt;5,(OR(Matrice1!$Q714="Premium ")))),45%,0%)))</f>
        <v>0.45</v>
      </c>
      <c r="W714">
        <f>Matrice1!$T714* (Matrice1!$V714/100)</f>
        <v>0.32184000000000001</v>
      </c>
    </row>
    <row r="715" spans="1:23" x14ac:dyDescent="0.3">
      <c r="A715" s="1" t="s">
        <v>805</v>
      </c>
      <c r="B715" s="2">
        <v>45203</v>
      </c>
      <c r="C715" s="3">
        <v>0.51180555555555551</v>
      </c>
      <c r="D715" s="1" t="s">
        <v>835</v>
      </c>
      <c r="E715">
        <v>64</v>
      </c>
      <c r="F715" s="1" t="s">
        <v>812</v>
      </c>
      <c r="G715" s="1" t="s">
        <v>835</v>
      </c>
      <c r="H715" s="1" t="s">
        <v>73</v>
      </c>
      <c r="I715">
        <v>0.23583499999999999</v>
      </c>
      <c r="J715">
        <v>24.889558999999998</v>
      </c>
      <c r="K715" s="1" t="s">
        <v>1500</v>
      </c>
      <c r="L715" s="1" t="s">
        <v>1501</v>
      </c>
      <c r="M715" s="1" t="s">
        <v>766</v>
      </c>
      <c r="N715" s="1" t="s">
        <v>73</v>
      </c>
      <c r="O715" s="1" t="str">
        <f>INT(Matrice1!$P715/12) &amp; " ans et " &amp; MOD(Matrice1!$P715,12) &amp; " mois"</f>
        <v>6 ans et 6 mois</v>
      </c>
      <c r="P715">
        <v>78</v>
      </c>
      <c r="Q715" s="1" t="s">
        <v>11</v>
      </c>
      <c r="R715" s="4">
        <f>Matrice1!$S715/1440</f>
        <v>0.26874999999999999</v>
      </c>
      <c r="S715">
        <v>387</v>
      </c>
      <c r="T715">
        <v>11.63</v>
      </c>
      <c r="U715">
        <v>2</v>
      </c>
      <c r="V715" s="8">
        <f>IF(Matrice1!$Q715="Pro Monde",10%,IF(AND(Matrice1!$R715&gt;12,Matrice1!$O715&gt;5),70%,IF(AND(OR(Matrice1!$R715&gt;=4,Matrice1!$R715&lt;=12,Matrice1!$O715&lt;5,(OR(Matrice1!$Q715="Premium ")))),45%,0%)))</f>
        <v>0.45</v>
      </c>
      <c r="W715">
        <f>Matrice1!$T715* (Matrice1!$V715/100)</f>
        <v>5.2335000000000007E-2</v>
      </c>
    </row>
    <row r="716" spans="1:23" x14ac:dyDescent="0.3">
      <c r="A716" s="1" t="s">
        <v>805</v>
      </c>
      <c r="B716" s="2">
        <v>45218</v>
      </c>
      <c r="C716" s="3">
        <v>0.36875000000000002</v>
      </c>
      <c r="D716" s="1" t="s">
        <v>820</v>
      </c>
      <c r="E716">
        <v>70</v>
      </c>
      <c r="F716" s="1" t="s">
        <v>807</v>
      </c>
      <c r="G716" s="1" t="s">
        <v>820</v>
      </c>
      <c r="H716" s="1" t="s">
        <v>67</v>
      </c>
      <c r="I716">
        <v>-8.4227860000000003</v>
      </c>
      <c r="J716">
        <v>16.781293000000002</v>
      </c>
      <c r="K716" s="1" t="s">
        <v>1498</v>
      </c>
      <c r="L716" s="1" t="s">
        <v>1499</v>
      </c>
      <c r="M716" s="1" t="s">
        <v>767</v>
      </c>
      <c r="N716" s="1" t="s">
        <v>67</v>
      </c>
      <c r="O716" s="1" t="str">
        <f>INT(Matrice1!$P716/12) &amp; " ans et " &amp; MOD(Matrice1!$P716,12) &amp; " mois"</f>
        <v>6 ans et 9 mois</v>
      </c>
      <c r="P716">
        <v>81</v>
      </c>
      <c r="Q716" s="1" t="s">
        <v>22</v>
      </c>
      <c r="R716" s="4">
        <f>Matrice1!$S716/1440</f>
        <v>0.23541666666666666</v>
      </c>
      <c r="S716">
        <v>339</v>
      </c>
      <c r="T716">
        <v>53.4</v>
      </c>
      <c r="U716">
        <v>2</v>
      </c>
      <c r="V716" s="8">
        <f>IF(Matrice1!$Q716="Pro Monde",10%,IF(AND(Matrice1!$R716&gt;12,Matrice1!$O716&gt;5),70%,IF(AND(OR(Matrice1!$R716&gt;=4,Matrice1!$R716&lt;=12,Matrice1!$O716&lt;5,(OR(Matrice1!$Q716="Premium ")))),45%,0%)))</f>
        <v>0.45</v>
      </c>
      <c r="W716">
        <f>Matrice1!$T716* (Matrice1!$V716/100)</f>
        <v>0.24030000000000001</v>
      </c>
    </row>
    <row r="717" spans="1:23" x14ac:dyDescent="0.3">
      <c r="A717" s="1" t="s">
        <v>1014</v>
      </c>
      <c r="B717" s="2">
        <v>45225</v>
      </c>
      <c r="C717" s="3">
        <v>0.21527777777777779</v>
      </c>
      <c r="D717" s="1" t="s">
        <v>1043</v>
      </c>
      <c r="E717">
        <v>41</v>
      </c>
      <c r="F717" s="1" t="s">
        <v>812</v>
      </c>
      <c r="G717" s="1" t="s">
        <v>1043</v>
      </c>
      <c r="H717" s="1" t="s">
        <v>44</v>
      </c>
      <c r="I717">
        <v>-4.9552579999999997</v>
      </c>
      <c r="J717">
        <v>22.008103999999999</v>
      </c>
      <c r="K717" s="1" t="s">
        <v>1498</v>
      </c>
      <c r="L717" s="1" t="s">
        <v>1499</v>
      </c>
      <c r="M717" s="1" t="s">
        <v>768</v>
      </c>
      <c r="N717" s="1" t="s">
        <v>44</v>
      </c>
      <c r="O717" s="1" t="str">
        <f>INT(Matrice1!$P717/12) &amp; " ans et " &amp; MOD(Matrice1!$P717,12) &amp; " mois"</f>
        <v>9 ans et 0 mois</v>
      </c>
      <c r="P717">
        <v>108</v>
      </c>
      <c r="Q717" s="1" t="s">
        <v>19</v>
      </c>
      <c r="R717" s="4">
        <f>Matrice1!$S717/1440</f>
        <v>0.32430555555555557</v>
      </c>
      <c r="S717">
        <v>467</v>
      </c>
      <c r="T717">
        <v>44.84</v>
      </c>
      <c r="U717">
        <v>4</v>
      </c>
      <c r="V717" s="8">
        <f>IF(Matrice1!$Q717="Pro Monde",10%,IF(AND(Matrice1!$R717&gt;12,Matrice1!$O717&gt;5),70%,IF(AND(OR(Matrice1!$R717&gt;=4,Matrice1!$R717&lt;=12,Matrice1!$O717&lt;5,(OR(Matrice1!$Q717="Premium ")))),45%,0%)))</f>
        <v>0.45</v>
      </c>
      <c r="W717">
        <f>Matrice1!$T717* (Matrice1!$V717/100)</f>
        <v>0.20178000000000004</v>
      </c>
    </row>
    <row r="718" spans="1:23" x14ac:dyDescent="0.3">
      <c r="A718" s="1" t="s">
        <v>805</v>
      </c>
      <c r="B718" s="2">
        <v>45212</v>
      </c>
      <c r="C718" s="3">
        <v>0.14027777777777778</v>
      </c>
      <c r="D718" s="1" t="s">
        <v>826</v>
      </c>
      <c r="E718">
        <v>19</v>
      </c>
      <c r="F718" s="1" t="s">
        <v>810</v>
      </c>
      <c r="G718" s="1" t="s">
        <v>826</v>
      </c>
      <c r="H718" s="1" t="s">
        <v>37</v>
      </c>
      <c r="I718">
        <v>-9.4708620000000003</v>
      </c>
      <c r="J718">
        <v>29.234387999999999</v>
      </c>
      <c r="K718" s="1" t="s">
        <v>1500</v>
      </c>
      <c r="L718" s="1" t="s">
        <v>1501</v>
      </c>
      <c r="M718" s="1" t="s">
        <v>769</v>
      </c>
      <c r="N718" s="1" t="s">
        <v>37</v>
      </c>
      <c r="O718" s="1" t="str">
        <f>INT(Matrice1!$P718/12) &amp; " ans et " &amp; MOD(Matrice1!$P718,12) &amp; " mois"</f>
        <v>0 ans et 4 mois</v>
      </c>
      <c r="P718">
        <v>4</v>
      </c>
      <c r="Q718" s="1" t="s">
        <v>14</v>
      </c>
      <c r="R718" s="4">
        <f>Matrice1!$S718/1440</f>
        <v>0.31180555555555556</v>
      </c>
      <c r="S718">
        <v>449</v>
      </c>
      <c r="T718">
        <v>43.95</v>
      </c>
      <c r="U718">
        <v>2</v>
      </c>
      <c r="V718" s="8">
        <f>IF(Matrice1!$Q718="Pro Monde",10%,IF(AND(Matrice1!$R718&gt;12,Matrice1!$O718&gt;5),70%,IF(AND(OR(Matrice1!$R718&gt;=4,Matrice1!$R718&lt;=12,Matrice1!$O718&lt;5,(OR(Matrice1!$Q718="Premium ")))),45%,0%)))</f>
        <v>0.1</v>
      </c>
      <c r="W718">
        <f>Matrice1!$T718* (Matrice1!$V718/100)</f>
        <v>4.3950000000000003E-2</v>
      </c>
    </row>
    <row r="719" spans="1:23" x14ac:dyDescent="0.3">
      <c r="A719" s="1" t="s">
        <v>1073</v>
      </c>
      <c r="B719" s="2">
        <v>45221</v>
      </c>
      <c r="C719" s="3">
        <v>0.37638888888888888</v>
      </c>
      <c r="D719" s="1" t="s">
        <v>1096</v>
      </c>
      <c r="E719">
        <v>59</v>
      </c>
      <c r="F719" s="1" t="s">
        <v>812</v>
      </c>
      <c r="G719" s="1" t="s">
        <v>1096</v>
      </c>
      <c r="H719" s="1" t="s">
        <v>78</v>
      </c>
      <c r="I719">
        <v>-8.4824669999999998</v>
      </c>
      <c r="J719">
        <v>21.897777999999999</v>
      </c>
      <c r="K719" s="1" t="s">
        <v>1495</v>
      </c>
      <c r="L719" s="1" t="s">
        <v>1496</v>
      </c>
      <c r="M719" s="1" t="s">
        <v>770</v>
      </c>
      <c r="N719" s="1" t="s">
        <v>78</v>
      </c>
      <c r="O719" s="1" t="str">
        <f>INT(Matrice1!$P719/12) &amp; " ans et " &amp; MOD(Matrice1!$P719,12) &amp; " mois"</f>
        <v>9 ans et 11 mois</v>
      </c>
      <c r="P719">
        <v>119</v>
      </c>
      <c r="Q719" s="1" t="s">
        <v>14</v>
      </c>
      <c r="R719" s="4">
        <f>Matrice1!$S719/1440</f>
        <v>2.1527777777777778E-2</v>
      </c>
      <c r="S719">
        <v>31</v>
      </c>
      <c r="T719">
        <v>21.27</v>
      </c>
      <c r="U719">
        <v>5</v>
      </c>
      <c r="V719" s="8">
        <f>IF(Matrice1!$Q719="Pro Monde",10%,IF(AND(Matrice1!$R719&gt;12,Matrice1!$O719&gt;5),70%,IF(AND(OR(Matrice1!$R719&gt;=4,Matrice1!$R719&lt;=12,Matrice1!$O719&lt;5,(OR(Matrice1!$Q719="Premium ")))),45%,0%)))</f>
        <v>0.1</v>
      </c>
      <c r="W719">
        <f>Matrice1!$T719* (Matrice1!$V719/100)</f>
        <v>2.1270000000000001E-2</v>
      </c>
    </row>
    <row r="720" spans="1:23" x14ac:dyDescent="0.3">
      <c r="A720" s="1" t="s">
        <v>805</v>
      </c>
      <c r="B720" s="2">
        <v>45211</v>
      </c>
      <c r="C720" s="3">
        <v>0.27916666666666667</v>
      </c>
      <c r="D720" s="1" t="s">
        <v>838</v>
      </c>
      <c r="E720">
        <v>75</v>
      </c>
      <c r="F720" s="1" t="s">
        <v>807</v>
      </c>
      <c r="G720" s="1" t="s">
        <v>838</v>
      </c>
      <c r="H720" s="1" t="s">
        <v>89</v>
      </c>
      <c r="I720">
        <v>-8.1437910000000002</v>
      </c>
      <c r="J720">
        <v>28.946161</v>
      </c>
      <c r="K720" s="1" t="s">
        <v>1498</v>
      </c>
      <c r="L720" s="1" t="s">
        <v>1501</v>
      </c>
      <c r="M720" s="1" t="s">
        <v>771</v>
      </c>
      <c r="N720" s="1" t="s">
        <v>89</v>
      </c>
      <c r="O720" s="1" t="str">
        <f>INT(Matrice1!$P720/12) &amp; " ans et " &amp; MOD(Matrice1!$P720,12) &amp; " mois"</f>
        <v>1 ans et 11 mois</v>
      </c>
      <c r="P720">
        <v>23</v>
      </c>
      <c r="Q720" s="1" t="s">
        <v>14</v>
      </c>
      <c r="R720" s="4">
        <f>Matrice1!$S720/1440</f>
        <v>8.3333333333333329E-2</v>
      </c>
      <c r="S720">
        <v>120</v>
      </c>
      <c r="T720">
        <v>73.12</v>
      </c>
      <c r="U720">
        <v>1</v>
      </c>
      <c r="V720" s="8">
        <f>IF(Matrice1!$Q720="Pro Monde",10%,IF(AND(Matrice1!$R720&gt;12,Matrice1!$O720&gt;5),70%,IF(AND(OR(Matrice1!$R720&gt;=4,Matrice1!$R720&lt;=12,Matrice1!$O720&lt;5,(OR(Matrice1!$Q720="Premium ")))),45%,0%)))</f>
        <v>0.1</v>
      </c>
      <c r="W720">
        <f>Matrice1!$T720* (Matrice1!$V720/100)</f>
        <v>7.3120000000000004E-2</v>
      </c>
    </row>
    <row r="721" spans="1:23" x14ac:dyDescent="0.3">
      <c r="A721" s="1" t="s">
        <v>805</v>
      </c>
      <c r="B721" s="2">
        <v>45211</v>
      </c>
      <c r="C721" s="3">
        <v>0.27916666666666667</v>
      </c>
      <c r="D721" s="1" t="s">
        <v>838</v>
      </c>
      <c r="E721">
        <v>75</v>
      </c>
      <c r="F721" s="1" t="s">
        <v>807</v>
      </c>
      <c r="G721" s="1" t="s">
        <v>838</v>
      </c>
      <c r="H721" s="1" t="s">
        <v>89</v>
      </c>
      <c r="I721">
        <v>-8.1437910000000002</v>
      </c>
      <c r="J721">
        <v>28.946161</v>
      </c>
      <c r="K721" s="1" t="s">
        <v>1498</v>
      </c>
      <c r="L721" s="1" t="s">
        <v>1501</v>
      </c>
      <c r="M721" s="1" t="s">
        <v>772</v>
      </c>
      <c r="N721" s="1" t="s">
        <v>89</v>
      </c>
      <c r="O721" s="1" t="str">
        <f>INT(Matrice1!$P721/12) &amp; " ans et " &amp; MOD(Matrice1!$P721,12) &amp; " mois"</f>
        <v>3 ans et 6 mois</v>
      </c>
      <c r="P721">
        <v>42</v>
      </c>
      <c r="Q721" s="1" t="s">
        <v>19</v>
      </c>
      <c r="R721" s="4">
        <f>Matrice1!$S721/1440</f>
        <v>0.17499999999999999</v>
      </c>
      <c r="S721">
        <v>252</v>
      </c>
      <c r="T721">
        <v>59.46</v>
      </c>
      <c r="U721">
        <v>4</v>
      </c>
      <c r="V721" s="8">
        <f>IF(Matrice1!$Q721="Pro Monde",10%,IF(AND(Matrice1!$R721&gt;12,Matrice1!$O721&gt;5),70%,IF(AND(OR(Matrice1!$R721&gt;=4,Matrice1!$R721&lt;=12,Matrice1!$O721&lt;5,(OR(Matrice1!$Q721="Premium ")))),45%,0%)))</f>
        <v>0.45</v>
      </c>
      <c r="W721">
        <f>Matrice1!$T721* (Matrice1!$V721/100)</f>
        <v>0.26757000000000003</v>
      </c>
    </row>
    <row r="722" spans="1:23" x14ac:dyDescent="0.3">
      <c r="A722" s="1" t="s">
        <v>936</v>
      </c>
      <c r="B722" s="2">
        <v>45221</v>
      </c>
      <c r="C722" s="3">
        <v>0.51736111111111116</v>
      </c>
      <c r="D722" s="1" t="s">
        <v>963</v>
      </c>
      <c r="E722">
        <v>83</v>
      </c>
      <c r="F722" s="1" t="s">
        <v>812</v>
      </c>
      <c r="G722" s="1" t="s">
        <v>963</v>
      </c>
      <c r="H722" s="1" t="s">
        <v>21</v>
      </c>
      <c r="I722">
        <v>-2.9651529999999999</v>
      </c>
      <c r="J722">
        <v>29.79908</v>
      </c>
      <c r="K722" s="1" t="s">
        <v>1498</v>
      </c>
      <c r="L722" s="1" t="s">
        <v>1496</v>
      </c>
      <c r="M722" s="1" t="s">
        <v>773</v>
      </c>
      <c r="N722" s="1" t="s">
        <v>21</v>
      </c>
      <c r="O722" s="1" t="str">
        <f>INT(Matrice1!$P722/12) &amp; " ans et " &amp; MOD(Matrice1!$P722,12) &amp; " mois"</f>
        <v>1 ans et 2 mois</v>
      </c>
      <c r="P722">
        <v>14</v>
      </c>
      <c r="Q722" s="1" t="s">
        <v>19</v>
      </c>
      <c r="R722" s="4">
        <f>Matrice1!$S722/1440</f>
        <v>2.5694444444444443E-2</v>
      </c>
      <c r="S722">
        <v>37</v>
      </c>
      <c r="T722">
        <v>20.399999999999999</v>
      </c>
      <c r="U722">
        <v>2</v>
      </c>
      <c r="V722" s="8">
        <f>IF(Matrice1!$Q722="Pro Monde",10%,IF(AND(Matrice1!$R722&gt;12,Matrice1!$O722&gt;5),70%,IF(AND(OR(Matrice1!$R722&gt;=4,Matrice1!$R722&lt;=12,Matrice1!$O722&lt;5,(OR(Matrice1!$Q722="Premium ")))),45%,0%)))</f>
        <v>0.45</v>
      </c>
      <c r="W722">
        <f>Matrice1!$T722* (Matrice1!$V722/100)</f>
        <v>9.1800000000000007E-2</v>
      </c>
    </row>
    <row r="723" spans="1:23" x14ac:dyDescent="0.3">
      <c r="A723" s="1" t="s">
        <v>805</v>
      </c>
      <c r="B723" s="2">
        <v>45211</v>
      </c>
      <c r="C723" s="3">
        <v>0.27916666666666667</v>
      </c>
      <c r="D723" s="1" t="s">
        <v>838</v>
      </c>
      <c r="E723">
        <v>75</v>
      </c>
      <c r="F723" s="1" t="s">
        <v>807</v>
      </c>
      <c r="G723" s="1" t="s">
        <v>838</v>
      </c>
      <c r="H723" s="1" t="s">
        <v>89</v>
      </c>
      <c r="I723">
        <v>-8.1437910000000002</v>
      </c>
      <c r="J723">
        <v>28.946161</v>
      </c>
      <c r="K723" s="1" t="s">
        <v>1498</v>
      </c>
      <c r="L723" s="1" t="s">
        <v>1501</v>
      </c>
      <c r="M723" s="1" t="s">
        <v>774</v>
      </c>
      <c r="N723" s="1" t="s">
        <v>89</v>
      </c>
      <c r="O723" s="1" t="str">
        <f>INT(Matrice1!$P723/12) &amp; " ans et " &amp; MOD(Matrice1!$P723,12) &amp; " mois"</f>
        <v>7 ans et 6 mois</v>
      </c>
      <c r="P723">
        <v>90</v>
      </c>
      <c r="Q723" s="1" t="s">
        <v>22</v>
      </c>
      <c r="R723" s="4">
        <f>Matrice1!$S723/1440</f>
        <v>0.28611111111111109</v>
      </c>
      <c r="S723">
        <v>412</v>
      </c>
      <c r="T723">
        <v>20.62</v>
      </c>
      <c r="U723">
        <v>2</v>
      </c>
      <c r="V723" s="8">
        <f>IF(Matrice1!$Q723="Pro Monde",10%,IF(AND(Matrice1!$R723&gt;12,Matrice1!$O723&gt;5),70%,IF(AND(OR(Matrice1!$R723&gt;=4,Matrice1!$R723&lt;=12,Matrice1!$O723&lt;5,(OR(Matrice1!$Q723="Premium ")))),45%,0%)))</f>
        <v>0.45</v>
      </c>
      <c r="W723">
        <f>Matrice1!$T723* (Matrice1!$V723/100)</f>
        <v>9.2790000000000011E-2</v>
      </c>
    </row>
    <row r="724" spans="1:23" x14ac:dyDescent="0.3">
      <c r="A724" s="1" t="s">
        <v>854</v>
      </c>
      <c r="B724" s="2">
        <v>45216</v>
      </c>
      <c r="C724" s="3">
        <v>0.67361111111111116</v>
      </c>
      <c r="D724" s="1" t="s">
        <v>881</v>
      </c>
      <c r="E724">
        <v>117</v>
      </c>
      <c r="F724" s="1" t="s">
        <v>807</v>
      </c>
      <c r="G724" s="1" t="s">
        <v>881</v>
      </c>
      <c r="H724" s="1" t="s">
        <v>31</v>
      </c>
      <c r="I724">
        <v>-12.141233</v>
      </c>
      <c r="J724">
        <v>15.179043999999999</v>
      </c>
      <c r="K724" s="1" t="s">
        <v>1495</v>
      </c>
      <c r="L724" s="1" t="s">
        <v>1496</v>
      </c>
      <c r="M724" s="1" t="s">
        <v>775</v>
      </c>
      <c r="N724" s="1" t="s">
        <v>31</v>
      </c>
      <c r="O724" s="1" t="str">
        <f>INT(Matrice1!$P724/12) &amp; " ans et " &amp; MOD(Matrice1!$P724,12) &amp; " mois"</f>
        <v>4 ans et 10 mois</v>
      </c>
      <c r="P724">
        <v>58</v>
      </c>
      <c r="Q724" s="1" t="s">
        <v>11</v>
      </c>
      <c r="R724" s="4">
        <f>Matrice1!$S724/1440</f>
        <v>0.33680555555555558</v>
      </c>
      <c r="S724">
        <v>485</v>
      </c>
      <c r="T724">
        <v>65.41</v>
      </c>
      <c r="U724">
        <v>5</v>
      </c>
      <c r="V724" s="8">
        <f>IF(Matrice1!$Q724="Pro Monde",10%,IF(AND(Matrice1!$R724&gt;12,Matrice1!$O724&gt;5),70%,IF(AND(OR(Matrice1!$R724&gt;=4,Matrice1!$R724&lt;=12,Matrice1!$O724&lt;5,(OR(Matrice1!$Q724="Premium ")))),45%,0%)))</f>
        <v>0.45</v>
      </c>
      <c r="W724">
        <f>Matrice1!$T724* (Matrice1!$V724/100)</f>
        <v>0.29434500000000002</v>
      </c>
    </row>
    <row r="725" spans="1:23" x14ac:dyDescent="0.3">
      <c r="A725" s="1" t="s">
        <v>805</v>
      </c>
      <c r="B725" s="2">
        <v>45201</v>
      </c>
      <c r="C725" s="3">
        <v>0.88472222222222219</v>
      </c>
      <c r="D725" s="1" t="s">
        <v>833</v>
      </c>
      <c r="E725">
        <v>54</v>
      </c>
      <c r="F725" s="1" t="s">
        <v>812</v>
      </c>
      <c r="G725" s="1" t="s">
        <v>833</v>
      </c>
      <c r="H725" s="1" t="s">
        <v>131</v>
      </c>
      <c r="I725">
        <v>4.6287159999999998</v>
      </c>
      <c r="J725">
        <v>19.407077999999998</v>
      </c>
      <c r="K725" s="1" t="s">
        <v>1498</v>
      </c>
      <c r="L725" s="1" t="s">
        <v>1496</v>
      </c>
      <c r="M725" s="1" t="s">
        <v>776</v>
      </c>
      <c r="N725" s="1" t="s">
        <v>131</v>
      </c>
      <c r="O725" s="1" t="str">
        <f>INT(Matrice1!$P725/12) &amp; " ans et " &amp; MOD(Matrice1!$P725,12) &amp; " mois"</f>
        <v>4 ans et 1 mois</v>
      </c>
      <c r="P725">
        <v>49</v>
      </c>
      <c r="Q725" s="1" t="s">
        <v>19</v>
      </c>
      <c r="R725" s="4">
        <f>Matrice1!$S725/1440</f>
        <v>0.2</v>
      </c>
      <c r="S725">
        <v>288</v>
      </c>
      <c r="T725">
        <v>91.32</v>
      </c>
      <c r="U725">
        <v>4</v>
      </c>
      <c r="V725" s="8">
        <f>IF(Matrice1!$Q725="Pro Monde",10%,IF(AND(Matrice1!$R725&gt;12,Matrice1!$O725&gt;5),70%,IF(AND(OR(Matrice1!$R725&gt;=4,Matrice1!$R725&lt;=12,Matrice1!$O725&lt;5,(OR(Matrice1!$Q725="Premium ")))),45%,0%)))</f>
        <v>0.45</v>
      </c>
      <c r="W725">
        <f>Matrice1!$T725* (Matrice1!$V725/100)</f>
        <v>0.41094000000000003</v>
      </c>
    </row>
    <row r="726" spans="1:23" x14ac:dyDescent="0.3">
      <c r="A726" s="1" t="s">
        <v>805</v>
      </c>
      <c r="B726" s="2">
        <v>45213</v>
      </c>
      <c r="C726" s="3">
        <v>0.31111111111111112</v>
      </c>
      <c r="D726" s="1" t="s">
        <v>819</v>
      </c>
      <c r="E726">
        <v>22</v>
      </c>
      <c r="F726" s="1" t="s">
        <v>810</v>
      </c>
      <c r="G726" s="1" t="s">
        <v>819</v>
      </c>
      <c r="H726" s="1" t="s">
        <v>40</v>
      </c>
      <c r="I726">
        <v>4.8319039999999998</v>
      </c>
      <c r="J726">
        <v>20.733468999999999</v>
      </c>
      <c r="K726" s="1" t="s">
        <v>1495</v>
      </c>
      <c r="L726" s="1" t="s">
        <v>1496</v>
      </c>
      <c r="M726" s="1" t="s">
        <v>777</v>
      </c>
      <c r="N726" s="1" t="s">
        <v>40</v>
      </c>
      <c r="O726" s="1" t="str">
        <f>INT(Matrice1!$P726/12) &amp; " ans et " &amp; MOD(Matrice1!$P726,12) &amp; " mois"</f>
        <v>1 ans et 6 mois</v>
      </c>
      <c r="P726">
        <v>18</v>
      </c>
      <c r="Q726" s="1" t="s">
        <v>19</v>
      </c>
      <c r="R726" s="4">
        <f>Matrice1!$S726/1440</f>
        <v>0.3215277777777778</v>
      </c>
      <c r="S726">
        <v>463</v>
      </c>
      <c r="T726">
        <v>41.66</v>
      </c>
      <c r="U726">
        <v>4</v>
      </c>
      <c r="V726" s="8">
        <f>IF(Matrice1!$Q726="Pro Monde",10%,IF(AND(Matrice1!$R726&gt;12,Matrice1!$O726&gt;5),70%,IF(AND(OR(Matrice1!$R726&gt;=4,Matrice1!$R726&lt;=12,Matrice1!$O726&lt;5,(OR(Matrice1!$Q726="Premium ")))),45%,0%)))</f>
        <v>0.45</v>
      </c>
      <c r="W726">
        <f>Matrice1!$T726* (Matrice1!$V726/100)</f>
        <v>0.18747</v>
      </c>
    </row>
    <row r="727" spans="1:23" x14ac:dyDescent="0.3">
      <c r="A727" s="1" t="s">
        <v>805</v>
      </c>
      <c r="B727" s="2">
        <v>45213</v>
      </c>
      <c r="C727" s="3">
        <v>4.2361111111111113E-2</v>
      </c>
      <c r="D727" s="1" t="s">
        <v>814</v>
      </c>
      <c r="E727">
        <v>119</v>
      </c>
      <c r="F727" s="1" t="s">
        <v>810</v>
      </c>
      <c r="G727" s="1" t="s">
        <v>814</v>
      </c>
      <c r="H727" s="1" t="s">
        <v>62</v>
      </c>
      <c r="I727">
        <v>-2.8211520000000001</v>
      </c>
      <c r="J727">
        <v>20.651419000000001</v>
      </c>
      <c r="K727" s="1" t="s">
        <v>1495</v>
      </c>
      <c r="L727" s="1" t="s">
        <v>1496</v>
      </c>
      <c r="M727" s="1" t="s">
        <v>778</v>
      </c>
      <c r="N727" s="1" t="s">
        <v>62</v>
      </c>
      <c r="O727" s="1" t="str">
        <f>INT(Matrice1!$P727/12) &amp; " ans et " &amp; MOD(Matrice1!$P727,12) &amp; " mois"</f>
        <v>6 ans et 10 mois</v>
      </c>
      <c r="P727">
        <v>82</v>
      </c>
      <c r="Q727" s="1" t="s">
        <v>14</v>
      </c>
      <c r="R727" s="4">
        <f>Matrice1!$S727/1440</f>
        <v>0.21666666666666667</v>
      </c>
      <c r="S727">
        <v>312</v>
      </c>
      <c r="T727">
        <v>40.880000000000003</v>
      </c>
      <c r="U727">
        <v>0</v>
      </c>
      <c r="V727" s="8">
        <f>IF(Matrice1!$Q727="Pro Monde",10%,IF(AND(Matrice1!$R727&gt;12,Matrice1!$O727&gt;5),70%,IF(AND(OR(Matrice1!$R727&gt;=4,Matrice1!$R727&lt;=12,Matrice1!$O727&lt;5,(OR(Matrice1!$Q727="Premium ")))),45%,0%)))</f>
        <v>0.1</v>
      </c>
      <c r="W727">
        <f>Matrice1!$T727* (Matrice1!$V727/100)</f>
        <v>4.0880000000000007E-2</v>
      </c>
    </row>
    <row r="728" spans="1:23" x14ac:dyDescent="0.3">
      <c r="A728" s="1" t="s">
        <v>898</v>
      </c>
      <c r="B728" s="2">
        <v>45210</v>
      </c>
      <c r="C728" s="3">
        <v>0.56805555555555554</v>
      </c>
      <c r="D728" s="1" t="s">
        <v>904</v>
      </c>
      <c r="E728">
        <v>96</v>
      </c>
      <c r="F728" s="1" t="s">
        <v>807</v>
      </c>
      <c r="G728" s="1" t="s">
        <v>904</v>
      </c>
      <c r="H728" s="1" t="s">
        <v>64</v>
      </c>
      <c r="I728">
        <v>-5.4126279999999998</v>
      </c>
      <c r="J728">
        <v>25.498235999999999</v>
      </c>
      <c r="K728" s="1" t="s">
        <v>1495</v>
      </c>
      <c r="L728" s="1" t="s">
        <v>1501</v>
      </c>
      <c r="M728" s="1" t="s">
        <v>779</v>
      </c>
      <c r="N728" s="1" t="s">
        <v>64</v>
      </c>
      <c r="O728" s="1" t="str">
        <f>INT(Matrice1!$P728/12) &amp; " ans et " &amp; MOD(Matrice1!$P728,12) &amp; " mois"</f>
        <v>6 ans et 2 mois</v>
      </c>
      <c r="P728">
        <v>74</v>
      </c>
      <c r="Q728" s="1" t="s">
        <v>22</v>
      </c>
      <c r="R728" s="4">
        <f>Matrice1!$S728/1440</f>
        <v>0.24930555555555556</v>
      </c>
      <c r="S728">
        <v>359</v>
      </c>
      <c r="T728">
        <v>92.63</v>
      </c>
      <c r="U728">
        <v>0</v>
      </c>
      <c r="V728" s="8">
        <f>IF(Matrice1!$Q728="Pro Monde",10%,IF(AND(Matrice1!$R728&gt;12,Matrice1!$O728&gt;5),70%,IF(AND(OR(Matrice1!$R728&gt;=4,Matrice1!$R728&lt;=12,Matrice1!$O728&lt;5,(OR(Matrice1!$Q728="Premium ")))),45%,0%)))</f>
        <v>0.45</v>
      </c>
      <c r="W728">
        <f>Matrice1!$T728* (Matrice1!$V728/100)</f>
        <v>0.41683500000000001</v>
      </c>
    </row>
    <row r="729" spans="1:23" x14ac:dyDescent="0.3">
      <c r="A729" s="1" t="s">
        <v>1073</v>
      </c>
      <c r="B729" s="2">
        <v>45205</v>
      </c>
      <c r="C729" s="3">
        <v>0.47152777777777777</v>
      </c>
      <c r="D729" s="1" t="s">
        <v>1088</v>
      </c>
      <c r="E729">
        <v>50</v>
      </c>
      <c r="F729" s="1" t="s">
        <v>810</v>
      </c>
      <c r="G729" s="1" t="s">
        <v>1088</v>
      </c>
      <c r="H729" s="1" t="s">
        <v>18</v>
      </c>
      <c r="I729">
        <v>2.628638</v>
      </c>
      <c r="J729">
        <v>28.420582</v>
      </c>
      <c r="K729" s="1" t="s">
        <v>1498</v>
      </c>
      <c r="L729" s="1" t="s">
        <v>1499</v>
      </c>
      <c r="M729" s="1" t="s">
        <v>780</v>
      </c>
      <c r="N729" s="1" t="s">
        <v>18</v>
      </c>
      <c r="O729" s="1" t="str">
        <f>INT(Matrice1!$P729/12) &amp; " ans et " &amp; MOD(Matrice1!$P729,12) &amp; " mois"</f>
        <v>6 ans et 0 mois</v>
      </c>
      <c r="P729">
        <v>72</v>
      </c>
      <c r="Q729" s="1" t="s">
        <v>19</v>
      </c>
      <c r="R729" s="4">
        <f>Matrice1!$S729/1440</f>
        <v>0.29652777777777778</v>
      </c>
      <c r="S729">
        <v>427</v>
      </c>
      <c r="T729">
        <v>31.44</v>
      </c>
      <c r="U729">
        <v>2</v>
      </c>
      <c r="V729" s="8">
        <f>IF(Matrice1!$Q729="Pro Monde",10%,IF(AND(Matrice1!$R729&gt;12,Matrice1!$O729&gt;5),70%,IF(AND(OR(Matrice1!$R729&gt;=4,Matrice1!$R729&lt;=12,Matrice1!$O729&lt;5,(OR(Matrice1!$Q729="Premium ")))),45%,0%)))</f>
        <v>0.45</v>
      </c>
      <c r="W729">
        <f>Matrice1!$T729* (Matrice1!$V729/100)</f>
        <v>0.14148000000000002</v>
      </c>
    </row>
    <row r="730" spans="1:23" x14ac:dyDescent="0.3">
      <c r="A730" s="1" t="s">
        <v>805</v>
      </c>
      <c r="B730" s="2">
        <v>45217</v>
      </c>
      <c r="C730" s="3">
        <v>0.96875</v>
      </c>
      <c r="D730" s="1" t="s">
        <v>842</v>
      </c>
      <c r="E730">
        <v>97</v>
      </c>
      <c r="F730" s="1" t="s">
        <v>810</v>
      </c>
      <c r="G730" s="1" t="s">
        <v>842</v>
      </c>
      <c r="H730" s="1" t="s">
        <v>29</v>
      </c>
      <c r="I730">
        <v>-10.059846</v>
      </c>
      <c r="J730">
        <v>14.375757999999999</v>
      </c>
      <c r="K730" s="1" t="s">
        <v>1498</v>
      </c>
      <c r="L730" s="1" t="s">
        <v>1499</v>
      </c>
      <c r="M730" s="1" t="s">
        <v>781</v>
      </c>
      <c r="N730" s="1" t="s">
        <v>29</v>
      </c>
      <c r="O730" s="1" t="str">
        <f>INT(Matrice1!$P730/12) &amp; " ans et " &amp; MOD(Matrice1!$P730,12) &amp; " mois"</f>
        <v>2 ans et 2 mois</v>
      </c>
      <c r="P730">
        <v>26</v>
      </c>
      <c r="Q730" s="1" t="s">
        <v>11</v>
      </c>
      <c r="R730" s="4">
        <f>Matrice1!$S730/1440</f>
        <v>0.27152777777777776</v>
      </c>
      <c r="S730">
        <v>391</v>
      </c>
      <c r="T730">
        <v>18.28</v>
      </c>
      <c r="U730">
        <v>3</v>
      </c>
      <c r="V730" s="8">
        <f>IF(Matrice1!$Q730="Pro Monde",10%,IF(AND(Matrice1!$R730&gt;12,Matrice1!$O730&gt;5),70%,IF(AND(OR(Matrice1!$R730&gt;=4,Matrice1!$R730&lt;=12,Matrice1!$O730&lt;5,(OR(Matrice1!$Q730="Premium ")))),45%,0%)))</f>
        <v>0.45</v>
      </c>
      <c r="W730">
        <f>Matrice1!$T730* (Matrice1!$V730/100)</f>
        <v>8.2260000000000014E-2</v>
      </c>
    </row>
    <row r="731" spans="1:23" x14ac:dyDescent="0.3">
      <c r="A731" s="1" t="s">
        <v>1161</v>
      </c>
      <c r="B731" s="2">
        <v>45207</v>
      </c>
      <c r="C731" s="3">
        <v>0.13333333333333333</v>
      </c>
      <c r="D731" s="1" t="s">
        <v>1165</v>
      </c>
      <c r="E731">
        <v>66</v>
      </c>
      <c r="F731" s="1" t="s">
        <v>810</v>
      </c>
      <c r="G731" s="1" t="s">
        <v>1165</v>
      </c>
      <c r="H731" s="1" t="s">
        <v>57</v>
      </c>
      <c r="I731">
        <v>-5.4073029999999997</v>
      </c>
      <c r="J731">
        <v>29.762294000000001</v>
      </c>
      <c r="K731" s="1" t="s">
        <v>1500</v>
      </c>
      <c r="L731" s="1" t="s">
        <v>1496</v>
      </c>
      <c r="M731" s="1" t="s">
        <v>782</v>
      </c>
      <c r="N731" s="1" t="s">
        <v>57</v>
      </c>
      <c r="O731" s="1" t="str">
        <f>INT(Matrice1!$P731/12) &amp; " ans et " &amp; MOD(Matrice1!$P731,12) &amp; " mois"</f>
        <v>2 ans et 2 mois</v>
      </c>
      <c r="P731">
        <v>26</v>
      </c>
      <c r="Q731" s="1" t="s">
        <v>19</v>
      </c>
      <c r="R731" s="4">
        <f>Matrice1!$S731/1440</f>
        <v>0.28680555555555554</v>
      </c>
      <c r="S731">
        <v>413</v>
      </c>
      <c r="T731">
        <v>10.9</v>
      </c>
      <c r="U731">
        <v>5</v>
      </c>
      <c r="V731" s="8">
        <f>IF(Matrice1!$Q731="Pro Monde",10%,IF(AND(Matrice1!$R731&gt;12,Matrice1!$O731&gt;5),70%,IF(AND(OR(Matrice1!$R731&gt;=4,Matrice1!$R731&lt;=12,Matrice1!$O731&lt;5,(OR(Matrice1!$Q731="Premium ")))),45%,0%)))</f>
        <v>0.45</v>
      </c>
      <c r="W731">
        <f>Matrice1!$T731* (Matrice1!$V731/100)</f>
        <v>4.905000000000001E-2</v>
      </c>
    </row>
    <row r="732" spans="1:23" x14ac:dyDescent="0.3">
      <c r="A732" s="1" t="s">
        <v>898</v>
      </c>
      <c r="B732" s="2">
        <v>45216</v>
      </c>
      <c r="C732" s="3">
        <v>0.90277777777777779</v>
      </c>
      <c r="D732" s="1" t="s">
        <v>929</v>
      </c>
      <c r="E732">
        <v>20</v>
      </c>
      <c r="F732" s="1" t="s">
        <v>812</v>
      </c>
      <c r="G732" s="1" t="s">
        <v>929</v>
      </c>
      <c r="H732" s="1" t="s">
        <v>51</v>
      </c>
      <c r="I732">
        <v>-4.2408359999999998</v>
      </c>
      <c r="J732">
        <v>26.210014000000001</v>
      </c>
      <c r="K732" s="1" t="s">
        <v>1498</v>
      </c>
      <c r="L732" s="1" t="s">
        <v>1499</v>
      </c>
      <c r="M732" s="1" t="s">
        <v>783</v>
      </c>
      <c r="N732" s="1" t="s">
        <v>51</v>
      </c>
      <c r="O732" s="1" t="str">
        <f>INT(Matrice1!$P732/12) &amp; " ans et " &amp; MOD(Matrice1!$P732,12) &amp; " mois"</f>
        <v>2 ans et 9 mois</v>
      </c>
      <c r="P732">
        <v>33</v>
      </c>
      <c r="Q732" s="1" t="s">
        <v>22</v>
      </c>
      <c r="R732" s="4">
        <f>Matrice1!$S732/1440</f>
        <v>1.2500000000000001E-2</v>
      </c>
      <c r="S732">
        <v>18</v>
      </c>
      <c r="T732">
        <v>47.18</v>
      </c>
      <c r="U732">
        <v>4</v>
      </c>
      <c r="V732" s="8">
        <f>IF(Matrice1!$Q732="Pro Monde",10%,IF(AND(Matrice1!$R732&gt;12,Matrice1!$O732&gt;5),70%,IF(AND(OR(Matrice1!$R732&gt;=4,Matrice1!$R732&lt;=12,Matrice1!$O732&lt;5,(OR(Matrice1!$Q732="Premium ")))),45%,0%)))</f>
        <v>0.45</v>
      </c>
      <c r="W732">
        <f>Matrice1!$T732* (Matrice1!$V732/100)</f>
        <v>0.21231000000000003</v>
      </c>
    </row>
    <row r="733" spans="1:23" x14ac:dyDescent="0.3">
      <c r="A733" s="1" t="s">
        <v>854</v>
      </c>
      <c r="B733" s="2">
        <v>45213</v>
      </c>
      <c r="C733" s="3">
        <v>0.25416666666666665</v>
      </c>
      <c r="D733" s="1" t="s">
        <v>857</v>
      </c>
      <c r="E733">
        <v>73</v>
      </c>
      <c r="F733" s="1" t="s">
        <v>812</v>
      </c>
      <c r="G733" s="1" t="s">
        <v>857</v>
      </c>
      <c r="H733" s="1" t="s">
        <v>13</v>
      </c>
      <c r="I733">
        <v>-5.1030600000000002</v>
      </c>
      <c r="J733">
        <v>22.849231</v>
      </c>
      <c r="K733" s="1" t="s">
        <v>1495</v>
      </c>
      <c r="L733" s="1" t="s">
        <v>1501</v>
      </c>
      <c r="M733" s="1" t="s">
        <v>784</v>
      </c>
      <c r="N733" s="1" t="s">
        <v>13</v>
      </c>
      <c r="O733" s="1" t="str">
        <f>INT(Matrice1!$P733/12) &amp; " ans et " &amp; MOD(Matrice1!$P733,12) &amp; " mois"</f>
        <v>5 ans et 3 mois</v>
      </c>
      <c r="P733">
        <v>63</v>
      </c>
      <c r="Q733" s="1" t="s">
        <v>11</v>
      </c>
      <c r="R733" s="4">
        <f>Matrice1!$S733/1440</f>
        <v>0.12291666666666666</v>
      </c>
      <c r="S733">
        <v>177</v>
      </c>
      <c r="T733">
        <v>77.73</v>
      </c>
      <c r="U733">
        <v>3</v>
      </c>
      <c r="V733" s="8">
        <f>IF(Matrice1!$Q733="Pro Monde",10%,IF(AND(Matrice1!$R733&gt;12,Matrice1!$O733&gt;5),70%,IF(AND(OR(Matrice1!$R733&gt;=4,Matrice1!$R733&lt;=12,Matrice1!$O733&lt;5,(OR(Matrice1!$Q733="Premium ")))),45%,0%)))</f>
        <v>0.45</v>
      </c>
      <c r="W733">
        <f>Matrice1!$T733* (Matrice1!$V733/100)</f>
        <v>0.34978500000000007</v>
      </c>
    </row>
    <row r="734" spans="1:23" x14ac:dyDescent="0.3">
      <c r="A734" s="1" t="s">
        <v>898</v>
      </c>
      <c r="B734" s="2">
        <v>45216</v>
      </c>
      <c r="C734" s="3">
        <v>0.90277777777777779</v>
      </c>
      <c r="D734" s="1" t="s">
        <v>929</v>
      </c>
      <c r="E734">
        <v>20</v>
      </c>
      <c r="F734" s="1" t="s">
        <v>812</v>
      </c>
      <c r="G734" s="1" t="s">
        <v>929</v>
      </c>
      <c r="H734" s="1" t="s">
        <v>51</v>
      </c>
      <c r="I734">
        <v>-4.2408359999999998</v>
      </c>
      <c r="J734">
        <v>26.210014000000001</v>
      </c>
      <c r="K734" s="1" t="s">
        <v>1498</v>
      </c>
      <c r="L734" s="1" t="s">
        <v>1499</v>
      </c>
      <c r="M734" s="1" t="s">
        <v>785</v>
      </c>
      <c r="N734" s="1" t="s">
        <v>51</v>
      </c>
      <c r="O734" s="1" t="str">
        <f>INT(Matrice1!$P734/12) &amp; " ans et " &amp; MOD(Matrice1!$P734,12) &amp; " mois"</f>
        <v>4 ans et 9 mois</v>
      </c>
      <c r="P734">
        <v>57</v>
      </c>
      <c r="Q734" s="1" t="s">
        <v>11</v>
      </c>
      <c r="R734" s="4">
        <f>Matrice1!$S734/1440</f>
        <v>2.5000000000000001E-2</v>
      </c>
      <c r="S734">
        <v>36</v>
      </c>
      <c r="T734">
        <v>82.7</v>
      </c>
      <c r="U734">
        <v>2</v>
      </c>
      <c r="V734" s="8">
        <f>IF(Matrice1!$Q734="Pro Monde",10%,IF(AND(Matrice1!$R734&gt;12,Matrice1!$O734&gt;5),70%,IF(AND(OR(Matrice1!$R734&gt;=4,Matrice1!$R734&lt;=12,Matrice1!$O734&lt;5,(OR(Matrice1!$Q734="Premium ")))),45%,0%)))</f>
        <v>0.45</v>
      </c>
      <c r="W734">
        <f>Matrice1!$T734* (Matrice1!$V734/100)</f>
        <v>0.37215000000000004</v>
      </c>
    </row>
    <row r="735" spans="1:23" x14ac:dyDescent="0.3">
      <c r="A735" s="1" t="s">
        <v>854</v>
      </c>
      <c r="B735" s="2">
        <v>45222</v>
      </c>
      <c r="C735" s="3">
        <v>0.42708333333333331</v>
      </c>
      <c r="D735" s="1" t="s">
        <v>892</v>
      </c>
      <c r="E735">
        <v>82</v>
      </c>
      <c r="F735" s="1" t="s">
        <v>807</v>
      </c>
      <c r="G735" s="1" t="s">
        <v>892</v>
      </c>
      <c r="H735" s="1" t="s">
        <v>26</v>
      </c>
      <c r="I735">
        <v>-4.4697000000000001E-2</v>
      </c>
      <c r="J735">
        <v>22.943373000000001</v>
      </c>
      <c r="K735" s="1" t="s">
        <v>1500</v>
      </c>
      <c r="L735" s="1" t="s">
        <v>1499</v>
      </c>
      <c r="M735" s="1" t="s">
        <v>786</v>
      </c>
      <c r="N735" s="1" t="s">
        <v>26</v>
      </c>
      <c r="O735" s="1" t="str">
        <f>INT(Matrice1!$P735/12) &amp; " ans et " &amp; MOD(Matrice1!$P735,12) &amp; " mois"</f>
        <v>7 ans et 3 mois</v>
      </c>
      <c r="P735">
        <v>87</v>
      </c>
      <c r="Q735" s="1" t="s">
        <v>14</v>
      </c>
      <c r="R735" s="4">
        <f>Matrice1!$S735/1440</f>
        <v>0.33750000000000002</v>
      </c>
      <c r="S735">
        <v>486</v>
      </c>
      <c r="T735">
        <v>58.26</v>
      </c>
      <c r="U735">
        <v>0</v>
      </c>
      <c r="V735" s="8">
        <f>IF(Matrice1!$Q735="Pro Monde",10%,IF(AND(Matrice1!$R735&gt;12,Matrice1!$O735&gt;5),70%,IF(AND(OR(Matrice1!$R735&gt;=4,Matrice1!$R735&lt;=12,Matrice1!$O735&lt;5,(OR(Matrice1!$Q735="Premium ")))),45%,0%)))</f>
        <v>0.1</v>
      </c>
      <c r="W735">
        <f>Matrice1!$T735* (Matrice1!$V735/100)</f>
        <v>5.8259999999999999E-2</v>
      </c>
    </row>
    <row r="736" spans="1:23" x14ac:dyDescent="0.3">
      <c r="A736" s="1" t="s">
        <v>854</v>
      </c>
      <c r="B736" s="2">
        <v>45213</v>
      </c>
      <c r="C736" s="3">
        <v>0.25416666666666665</v>
      </c>
      <c r="D736" s="1" t="s">
        <v>857</v>
      </c>
      <c r="E736">
        <v>73</v>
      </c>
      <c r="F736" s="1" t="s">
        <v>812</v>
      </c>
      <c r="G736" s="1" t="s">
        <v>857</v>
      </c>
      <c r="H736" s="1" t="s">
        <v>13</v>
      </c>
      <c r="I736">
        <v>-5.1030600000000002</v>
      </c>
      <c r="J736">
        <v>22.849231</v>
      </c>
      <c r="K736" s="1" t="s">
        <v>1495</v>
      </c>
      <c r="L736" s="1" t="s">
        <v>1501</v>
      </c>
      <c r="M736" s="1" t="s">
        <v>787</v>
      </c>
      <c r="N736" s="1" t="s">
        <v>13</v>
      </c>
      <c r="O736" s="1" t="str">
        <f>INT(Matrice1!$P736/12) &amp; " ans et " &amp; MOD(Matrice1!$P736,12) &amp; " mois"</f>
        <v>3 ans et 1 mois</v>
      </c>
      <c r="P736">
        <v>37</v>
      </c>
      <c r="Q736" s="1" t="s">
        <v>11</v>
      </c>
      <c r="R736" s="4">
        <f>Matrice1!$S736/1440</f>
        <v>0.14791666666666667</v>
      </c>
      <c r="S736">
        <v>213</v>
      </c>
      <c r="T736">
        <v>14.12</v>
      </c>
      <c r="U736">
        <v>1</v>
      </c>
      <c r="V736" s="8">
        <f>IF(Matrice1!$Q736="Pro Monde",10%,IF(AND(Matrice1!$R736&gt;12,Matrice1!$O736&gt;5),70%,IF(AND(OR(Matrice1!$R736&gt;=4,Matrice1!$R736&lt;=12,Matrice1!$O736&lt;5,(OR(Matrice1!$Q736="Premium ")))),45%,0%)))</f>
        <v>0.45</v>
      </c>
      <c r="W736">
        <f>Matrice1!$T736* (Matrice1!$V736/100)</f>
        <v>6.3539999999999999E-2</v>
      </c>
    </row>
    <row r="737" spans="1:23" x14ac:dyDescent="0.3">
      <c r="A737" s="1" t="s">
        <v>854</v>
      </c>
      <c r="B737" s="2">
        <v>45222</v>
      </c>
      <c r="C737" s="3">
        <v>0.42708333333333331</v>
      </c>
      <c r="D737" s="1" t="s">
        <v>892</v>
      </c>
      <c r="E737">
        <v>82</v>
      </c>
      <c r="F737" s="1" t="s">
        <v>807</v>
      </c>
      <c r="G737" s="1" t="s">
        <v>892</v>
      </c>
      <c r="H737" s="1" t="s">
        <v>26</v>
      </c>
      <c r="I737">
        <v>-4.4697000000000001E-2</v>
      </c>
      <c r="J737">
        <v>22.943373000000001</v>
      </c>
      <c r="K737" s="1" t="s">
        <v>1500</v>
      </c>
      <c r="L737" s="1" t="s">
        <v>1499</v>
      </c>
      <c r="M737" s="1" t="s">
        <v>788</v>
      </c>
      <c r="N737" s="1" t="s">
        <v>26</v>
      </c>
      <c r="O737" s="1" t="str">
        <f>INT(Matrice1!$P737/12) &amp; " ans et " &amp; MOD(Matrice1!$P737,12) &amp; " mois"</f>
        <v>2 ans et 5 mois</v>
      </c>
      <c r="P737">
        <v>29</v>
      </c>
      <c r="Q737" s="1" t="s">
        <v>19</v>
      </c>
      <c r="R737" s="4">
        <f>Matrice1!$S737/1440</f>
        <v>0.21249999999999999</v>
      </c>
      <c r="S737">
        <v>306</v>
      </c>
      <c r="T737">
        <v>82.16</v>
      </c>
      <c r="U737">
        <v>1</v>
      </c>
      <c r="V737" s="8">
        <f>IF(Matrice1!$Q737="Pro Monde",10%,IF(AND(Matrice1!$R737&gt;12,Matrice1!$O737&gt;5),70%,IF(AND(OR(Matrice1!$R737&gt;=4,Matrice1!$R737&lt;=12,Matrice1!$O737&lt;5,(OR(Matrice1!$Q737="Premium ")))),45%,0%)))</f>
        <v>0.45</v>
      </c>
      <c r="W737">
        <f>Matrice1!$T737* (Matrice1!$V737/100)</f>
        <v>0.36972000000000005</v>
      </c>
    </row>
    <row r="738" spans="1:23" x14ac:dyDescent="0.3">
      <c r="A738" s="1" t="s">
        <v>1073</v>
      </c>
      <c r="B738" s="2">
        <v>45221</v>
      </c>
      <c r="C738" s="3">
        <v>0.37638888888888888</v>
      </c>
      <c r="D738" s="1" t="s">
        <v>1096</v>
      </c>
      <c r="E738">
        <v>59</v>
      </c>
      <c r="F738" s="1" t="s">
        <v>812</v>
      </c>
      <c r="G738" s="1" t="s">
        <v>1096</v>
      </c>
      <c r="H738" s="1" t="s">
        <v>78</v>
      </c>
      <c r="I738">
        <v>-8.4824669999999998</v>
      </c>
      <c r="J738">
        <v>21.897777999999999</v>
      </c>
      <c r="K738" s="1" t="s">
        <v>1495</v>
      </c>
      <c r="L738" s="1" t="s">
        <v>1496</v>
      </c>
      <c r="M738" s="1" t="s">
        <v>789</v>
      </c>
      <c r="N738" s="1" t="s">
        <v>78</v>
      </c>
      <c r="O738" s="1" t="str">
        <f>INT(Matrice1!$P738/12) &amp; " ans et " &amp; MOD(Matrice1!$P738,12) &amp; " mois"</f>
        <v>2 ans et 2 mois</v>
      </c>
      <c r="P738">
        <v>26</v>
      </c>
      <c r="Q738" s="1" t="s">
        <v>22</v>
      </c>
      <c r="R738" s="4">
        <f>Matrice1!$S738/1440</f>
        <v>0.26250000000000001</v>
      </c>
      <c r="S738">
        <v>378</v>
      </c>
      <c r="T738">
        <v>88.59</v>
      </c>
      <c r="U738">
        <v>4</v>
      </c>
      <c r="V738" s="8">
        <f>IF(Matrice1!$Q738="Pro Monde",10%,IF(AND(Matrice1!$R738&gt;12,Matrice1!$O738&gt;5),70%,IF(AND(OR(Matrice1!$R738&gt;=4,Matrice1!$R738&lt;=12,Matrice1!$O738&lt;5,(OR(Matrice1!$Q738="Premium ")))),45%,0%)))</f>
        <v>0.45</v>
      </c>
      <c r="W738">
        <f>Matrice1!$T738* (Matrice1!$V738/100)</f>
        <v>0.39865500000000004</v>
      </c>
    </row>
    <row r="739" spans="1:23" x14ac:dyDescent="0.3">
      <c r="A739" s="1" t="s">
        <v>854</v>
      </c>
      <c r="B739" s="2">
        <v>45214</v>
      </c>
      <c r="C739" s="3">
        <v>0.9604166666666667</v>
      </c>
      <c r="D739" s="1" t="s">
        <v>859</v>
      </c>
      <c r="E739">
        <v>38</v>
      </c>
      <c r="F739" s="1" t="s">
        <v>807</v>
      </c>
      <c r="G739" s="1" t="s">
        <v>859</v>
      </c>
      <c r="H739" s="1" t="s">
        <v>137</v>
      </c>
      <c r="I739">
        <v>-11.710407999999999</v>
      </c>
      <c r="J739">
        <v>23.741330999999999</v>
      </c>
      <c r="K739" s="1" t="s">
        <v>1500</v>
      </c>
      <c r="L739" s="1" t="s">
        <v>1499</v>
      </c>
      <c r="M739" s="1" t="s">
        <v>790</v>
      </c>
      <c r="N739" s="1" t="s">
        <v>137</v>
      </c>
      <c r="O739" s="1" t="str">
        <f>INT(Matrice1!$P739/12) &amp; " ans et " &amp; MOD(Matrice1!$P739,12) &amp; " mois"</f>
        <v>7 ans et 11 mois</v>
      </c>
      <c r="P739">
        <v>95</v>
      </c>
      <c r="Q739" s="1" t="s">
        <v>11</v>
      </c>
      <c r="R739" s="4">
        <f>Matrice1!$S739/1440</f>
        <v>0.21736111111111112</v>
      </c>
      <c r="S739">
        <v>313</v>
      </c>
      <c r="T739">
        <v>32.49</v>
      </c>
      <c r="U739">
        <v>1</v>
      </c>
      <c r="V739" s="8">
        <f>IF(Matrice1!$Q739="Pro Monde",10%,IF(AND(Matrice1!$R739&gt;12,Matrice1!$O739&gt;5),70%,IF(AND(OR(Matrice1!$R739&gt;=4,Matrice1!$R739&lt;=12,Matrice1!$O739&lt;5,(OR(Matrice1!$Q739="Premium ")))),45%,0%)))</f>
        <v>0.45</v>
      </c>
      <c r="W739">
        <f>Matrice1!$T739* (Matrice1!$V739/100)</f>
        <v>0.14620500000000003</v>
      </c>
    </row>
    <row r="740" spans="1:23" x14ac:dyDescent="0.3">
      <c r="A740" s="1" t="s">
        <v>1161</v>
      </c>
      <c r="B740" s="2">
        <v>45207</v>
      </c>
      <c r="C740" s="3">
        <v>0.13333333333333333</v>
      </c>
      <c r="D740" s="1" t="s">
        <v>1165</v>
      </c>
      <c r="E740">
        <v>66</v>
      </c>
      <c r="F740" s="1" t="s">
        <v>810</v>
      </c>
      <c r="G740" s="1" t="s">
        <v>1165</v>
      </c>
      <c r="H740" s="1" t="s">
        <v>57</v>
      </c>
      <c r="I740">
        <v>-5.4073029999999997</v>
      </c>
      <c r="J740">
        <v>29.762294000000001</v>
      </c>
      <c r="K740" s="1" t="s">
        <v>1500</v>
      </c>
      <c r="L740" s="1" t="s">
        <v>1496</v>
      </c>
      <c r="M740" s="1" t="s">
        <v>791</v>
      </c>
      <c r="N740" s="1" t="s">
        <v>57</v>
      </c>
      <c r="O740" s="1" t="str">
        <f>INT(Matrice1!$P740/12) &amp; " ans et " &amp; MOD(Matrice1!$P740,12) &amp; " mois"</f>
        <v>1 ans et 9 mois</v>
      </c>
      <c r="P740">
        <v>21</v>
      </c>
      <c r="Q740" s="1" t="s">
        <v>19</v>
      </c>
      <c r="R740" s="4">
        <f>Matrice1!$S740/1440</f>
        <v>0.3298611111111111</v>
      </c>
      <c r="S740">
        <v>475</v>
      </c>
      <c r="T740">
        <v>15.12</v>
      </c>
      <c r="U740">
        <v>2</v>
      </c>
      <c r="V740" s="8">
        <f>IF(Matrice1!$Q740="Pro Monde",10%,IF(AND(Matrice1!$R740&gt;12,Matrice1!$O740&gt;5),70%,IF(AND(OR(Matrice1!$R740&gt;=4,Matrice1!$R740&lt;=12,Matrice1!$O740&lt;5,(OR(Matrice1!$Q740="Premium ")))),45%,0%)))</f>
        <v>0.45</v>
      </c>
      <c r="W740">
        <f>Matrice1!$T740* (Matrice1!$V740/100)</f>
        <v>6.8040000000000003E-2</v>
      </c>
    </row>
    <row r="741" spans="1:23" x14ac:dyDescent="0.3">
      <c r="A741" s="1" t="s">
        <v>854</v>
      </c>
      <c r="B741" s="2">
        <v>45214</v>
      </c>
      <c r="C741" s="3">
        <v>0.9604166666666667</v>
      </c>
      <c r="D741" s="1" t="s">
        <v>859</v>
      </c>
      <c r="E741">
        <v>38</v>
      </c>
      <c r="F741" s="1" t="s">
        <v>807</v>
      </c>
      <c r="G741" s="1" t="s">
        <v>859</v>
      </c>
      <c r="H741" s="1" t="s">
        <v>137</v>
      </c>
      <c r="I741">
        <v>-11.710407999999999</v>
      </c>
      <c r="J741">
        <v>23.741330999999999</v>
      </c>
      <c r="K741" s="1" t="s">
        <v>1500</v>
      </c>
      <c r="L741" s="1" t="s">
        <v>1499</v>
      </c>
      <c r="M741" s="1" t="s">
        <v>792</v>
      </c>
      <c r="N741" s="1" t="s">
        <v>137</v>
      </c>
      <c r="O741" s="1" t="str">
        <f>INT(Matrice1!$P741/12) &amp; " ans et " &amp; MOD(Matrice1!$P741,12) &amp; " mois"</f>
        <v>4 ans et 8 mois</v>
      </c>
      <c r="P741">
        <v>56</v>
      </c>
      <c r="Q741" s="1" t="s">
        <v>22</v>
      </c>
      <c r="R741" s="4">
        <f>Matrice1!$S741/1440</f>
        <v>2.8472222222222222E-2</v>
      </c>
      <c r="S741">
        <v>41</v>
      </c>
      <c r="T741">
        <v>15.1</v>
      </c>
      <c r="U741">
        <v>5</v>
      </c>
      <c r="V741" s="8">
        <f>IF(Matrice1!$Q741="Pro Monde",10%,IF(AND(Matrice1!$R741&gt;12,Matrice1!$O741&gt;5),70%,IF(AND(OR(Matrice1!$R741&gt;=4,Matrice1!$R741&lt;=12,Matrice1!$O741&lt;5,(OR(Matrice1!$Q741="Premium ")))),45%,0%)))</f>
        <v>0.45</v>
      </c>
      <c r="W741">
        <f>Matrice1!$T741* (Matrice1!$V741/100)</f>
        <v>6.795000000000001E-2</v>
      </c>
    </row>
    <row r="742" spans="1:23" x14ac:dyDescent="0.3">
      <c r="A742" s="1" t="s">
        <v>805</v>
      </c>
      <c r="B742" s="2">
        <v>45214</v>
      </c>
      <c r="C742" s="3">
        <v>0.71319444444444446</v>
      </c>
      <c r="D742" s="1" t="s">
        <v>828</v>
      </c>
      <c r="E742">
        <v>25</v>
      </c>
      <c r="F742" s="1" t="s">
        <v>807</v>
      </c>
      <c r="G742" s="1" t="s">
        <v>828</v>
      </c>
      <c r="H742" s="1" t="s">
        <v>24</v>
      </c>
      <c r="I742">
        <v>0.172153</v>
      </c>
      <c r="J742">
        <v>21.091376</v>
      </c>
      <c r="K742" s="1" t="s">
        <v>1500</v>
      </c>
      <c r="L742" s="1" t="s">
        <v>1496</v>
      </c>
      <c r="M742" s="1" t="s">
        <v>793</v>
      </c>
      <c r="N742" s="1" t="s">
        <v>24</v>
      </c>
      <c r="O742" s="1" t="str">
        <f>INT(Matrice1!$P742/12) &amp; " ans et " &amp; MOD(Matrice1!$P742,12) &amp; " mois"</f>
        <v>8 ans et 9 mois</v>
      </c>
      <c r="P742">
        <v>105</v>
      </c>
      <c r="Q742" s="1" t="s">
        <v>11</v>
      </c>
      <c r="R742" s="4">
        <f>Matrice1!$S742/1440</f>
        <v>0.31527777777777777</v>
      </c>
      <c r="S742">
        <v>454</v>
      </c>
      <c r="T742">
        <v>49.47</v>
      </c>
      <c r="U742">
        <v>4</v>
      </c>
      <c r="V742" s="8">
        <f>IF(Matrice1!$Q742="Pro Monde",10%,IF(AND(Matrice1!$R742&gt;12,Matrice1!$O742&gt;5),70%,IF(AND(OR(Matrice1!$R742&gt;=4,Matrice1!$R742&lt;=12,Matrice1!$O742&lt;5,(OR(Matrice1!$Q742="Premium ")))),45%,0%)))</f>
        <v>0.45</v>
      </c>
      <c r="W742">
        <f>Matrice1!$T742* (Matrice1!$V742/100)</f>
        <v>0.22261500000000001</v>
      </c>
    </row>
    <row r="743" spans="1:23" x14ac:dyDescent="0.3">
      <c r="A743" s="1" t="s">
        <v>1073</v>
      </c>
      <c r="B743" s="2">
        <v>45205</v>
      </c>
      <c r="C743" s="3">
        <v>0.47152777777777777</v>
      </c>
      <c r="D743" s="1" t="s">
        <v>1088</v>
      </c>
      <c r="E743">
        <v>50</v>
      </c>
      <c r="F743" s="1" t="s">
        <v>810</v>
      </c>
      <c r="G743" s="1" t="s">
        <v>1088</v>
      </c>
      <c r="H743" s="1" t="s">
        <v>18</v>
      </c>
      <c r="I743">
        <v>2.628638</v>
      </c>
      <c r="J743">
        <v>28.420582</v>
      </c>
      <c r="K743" s="1" t="s">
        <v>1498</v>
      </c>
      <c r="L743" s="1" t="s">
        <v>1499</v>
      </c>
      <c r="M743" s="1" t="s">
        <v>794</v>
      </c>
      <c r="N743" s="1" t="s">
        <v>18</v>
      </c>
      <c r="O743" s="1" t="str">
        <f>INT(Matrice1!$P743/12) &amp; " ans et " &amp; MOD(Matrice1!$P743,12) &amp; " mois"</f>
        <v>5 ans et 8 mois</v>
      </c>
      <c r="P743">
        <v>68</v>
      </c>
      <c r="Q743" s="1" t="s">
        <v>14</v>
      </c>
      <c r="R743" s="4">
        <f>Matrice1!$S743/1440</f>
        <v>0.19583333333333333</v>
      </c>
      <c r="S743">
        <v>282</v>
      </c>
      <c r="T743">
        <v>35.43</v>
      </c>
      <c r="U743">
        <v>1</v>
      </c>
      <c r="V743" s="8">
        <f>IF(Matrice1!$Q743="Pro Monde",10%,IF(AND(Matrice1!$R743&gt;12,Matrice1!$O743&gt;5),70%,IF(AND(OR(Matrice1!$R743&gt;=4,Matrice1!$R743&lt;=12,Matrice1!$O743&lt;5,(OR(Matrice1!$Q743="Premium ")))),45%,0%)))</f>
        <v>0.1</v>
      </c>
      <c r="W743">
        <f>Matrice1!$T743* (Matrice1!$V743/100)</f>
        <v>3.5430000000000003E-2</v>
      </c>
    </row>
    <row r="744" spans="1:23" x14ac:dyDescent="0.3">
      <c r="A744" s="1" t="s">
        <v>805</v>
      </c>
      <c r="B744" s="2">
        <v>45214</v>
      </c>
      <c r="C744" s="3">
        <v>0.71319444444444446</v>
      </c>
      <c r="D744" s="1" t="s">
        <v>828</v>
      </c>
      <c r="E744">
        <v>25</v>
      </c>
      <c r="F744" s="1" t="s">
        <v>807</v>
      </c>
      <c r="G744" s="1" t="s">
        <v>828</v>
      </c>
      <c r="H744" s="1" t="s">
        <v>24</v>
      </c>
      <c r="I744">
        <v>0.172153</v>
      </c>
      <c r="J744">
        <v>21.091376</v>
      </c>
      <c r="K744" s="1" t="s">
        <v>1500</v>
      </c>
      <c r="L744" s="1" t="s">
        <v>1496</v>
      </c>
      <c r="M744" s="1" t="s">
        <v>795</v>
      </c>
      <c r="N744" s="1" t="s">
        <v>24</v>
      </c>
      <c r="O744" s="1" t="str">
        <f>INT(Matrice1!$P744/12) &amp; " ans et " &amp; MOD(Matrice1!$P744,12) &amp; " mois"</f>
        <v>8 ans et 8 mois</v>
      </c>
      <c r="P744">
        <v>104</v>
      </c>
      <c r="Q744" s="1" t="s">
        <v>19</v>
      </c>
      <c r="R744" s="4">
        <f>Matrice1!$S744/1440</f>
        <v>0.1701388888888889</v>
      </c>
      <c r="S744">
        <v>245</v>
      </c>
      <c r="T744">
        <v>38.270000000000003</v>
      </c>
      <c r="U744">
        <v>0</v>
      </c>
      <c r="V744" s="8">
        <f>IF(Matrice1!$Q744="Pro Monde",10%,IF(AND(Matrice1!$R744&gt;12,Matrice1!$O744&gt;5),70%,IF(AND(OR(Matrice1!$R744&gt;=4,Matrice1!$R744&lt;=12,Matrice1!$O744&lt;5,(OR(Matrice1!$Q744="Premium ")))),45%,0%)))</f>
        <v>0.45</v>
      </c>
      <c r="W744">
        <f>Matrice1!$T744* (Matrice1!$V744/100)</f>
        <v>0.17221500000000003</v>
      </c>
    </row>
    <row r="745" spans="1:23" x14ac:dyDescent="0.3">
      <c r="A745" s="1" t="s">
        <v>1161</v>
      </c>
      <c r="B745" s="2">
        <v>45207</v>
      </c>
      <c r="C745" s="3">
        <v>0.13333333333333333</v>
      </c>
      <c r="D745" s="1" t="s">
        <v>1165</v>
      </c>
      <c r="E745">
        <v>66</v>
      </c>
      <c r="F745" s="1" t="s">
        <v>810</v>
      </c>
      <c r="G745" s="1" t="s">
        <v>1165</v>
      </c>
      <c r="H745" s="1" t="s">
        <v>57</v>
      </c>
      <c r="I745">
        <v>-5.4073029999999997</v>
      </c>
      <c r="J745">
        <v>29.762294000000001</v>
      </c>
      <c r="K745" s="1" t="s">
        <v>1500</v>
      </c>
      <c r="L745" s="1" t="s">
        <v>1496</v>
      </c>
      <c r="M745" s="1" t="s">
        <v>796</v>
      </c>
      <c r="N745" s="1" t="s">
        <v>57</v>
      </c>
      <c r="O745" s="1" t="str">
        <f>INT(Matrice1!$P745/12) &amp; " ans et " &amp; MOD(Matrice1!$P745,12) &amp; " mois"</f>
        <v>8 ans et 6 mois</v>
      </c>
      <c r="P745">
        <v>102</v>
      </c>
      <c r="Q745" s="1" t="s">
        <v>19</v>
      </c>
      <c r="R745" s="4">
        <f>Matrice1!$S745/1440</f>
        <v>0.33611111111111114</v>
      </c>
      <c r="S745">
        <v>484</v>
      </c>
      <c r="T745">
        <v>64.22</v>
      </c>
      <c r="U745">
        <v>2</v>
      </c>
      <c r="V745" s="8">
        <f>IF(Matrice1!$Q745="Pro Monde",10%,IF(AND(Matrice1!$R745&gt;12,Matrice1!$O745&gt;5),70%,IF(AND(OR(Matrice1!$R745&gt;=4,Matrice1!$R745&lt;=12,Matrice1!$O745&lt;5,(OR(Matrice1!$Q745="Premium ")))),45%,0%)))</f>
        <v>0.45</v>
      </c>
      <c r="W745">
        <f>Matrice1!$T745* (Matrice1!$V745/100)</f>
        <v>0.28899000000000002</v>
      </c>
    </row>
    <row r="746" spans="1:23" x14ac:dyDescent="0.3">
      <c r="A746" s="1" t="s">
        <v>898</v>
      </c>
      <c r="B746" s="2">
        <v>45216</v>
      </c>
      <c r="C746" s="3">
        <v>0.90277777777777779</v>
      </c>
      <c r="D746" s="1" t="s">
        <v>929</v>
      </c>
      <c r="E746">
        <v>20</v>
      </c>
      <c r="F746" s="1" t="s">
        <v>812</v>
      </c>
      <c r="G746" s="1" t="s">
        <v>929</v>
      </c>
      <c r="H746" s="1" t="s">
        <v>51</v>
      </c>
      <c r="I746">
        <v>-4.2408359999999998</v>
      </c>
      <c r="J746">
        <v>26.210014000000001</v>
      </c>
      <c r="K746" s="1" t="s">
        <v>1498</v>
      </c>
      <c r="L746" s="1" t="s">
        <v>1499</v>
      </c>
      <c r="M746" s="1" t="s">
        <v>797</v>
      </c>
      <c r="N746" s="1" t="s">
        <v>51</v>
      </c>
      <c r="O746" s="1" t="str">
        <f>INT(Matrice1!$P746/12) &amp; " ans et " &amp; MOD(Matrice1!$P746,12) &amp; " mois"</f>
        <v>2 ans et 1 mois</v>
      </c>
      <c r="P746">
        <v>25</v>
      </c>
      <c r="Q746" s="1" t="s">
        <v>14</v>
      </c>
      <c r="R746" s="4">
        <f>Matrice1!$S746/1440</f>
        <v>4.583333333333333E-2</v>
      </c>
      <c r="S746">
        <v>66</v>
      </c>
      <c r="T746">
        <v>90.14</v>
      </c>
      <c r="U746">
        <v>5</v>
      </c>
      <c r="V746" s="8">
        <f>IF(Matrice1!$Q746="Pro Monde",10%,IF(AND(Matrice1!$R746&gt;12,Matrice1!$O746&gt;5),70%,IF(AND(OR(Matrice1!$R746&gt;=4,Matrice1!$R746&lt;=12,Matrice1!$O746&lt;5,(OR(Matrice1!$Q746="Premium ")))),45%,0%)))</f>
        <v>0.1</v>
      </c>
      <c r="W746">
        <f>Matrice1!$T746* (Matrice1!$V746/100)</f>
        <v>9.0139999999999998E-2</v>
      </c>
    </row>
    <row r="747" spans="1:23" x14ac:dyDescent="0.3">
      <c r="A747" s="1" t="s">
        <v>805</v>
      </c>
      <c r="B747" s="2">
        <v>45217</v>
      </c>
      <c r="C747" s="3">
        <v>0.96875</v>
      </c>
      <c r="D747" s="1" t="s">
        <v>842</v>
      </c>
      <c r="E747">
        <v>97</v>
      </c>
      <c r="F747" s="1" t="s">
        <v>810</v>
      </c>
      <c r="G747" s="1" t="s">
        <v>842</v>
      </c>
      <c r="H747" s="1" t="s">
        <v>29</v>
      </c>
      <c r="I747">
        <v>-10.059846</v>
      </c>
      <c r="J747">
        <v>14.375757999999999</v>
      </c>
      <c r="K747" s="1" t="s">
        <v>1498</v>
      </c>
      <c r="L747" s="1" t="s">
        <v>1499</v>
      </c>
      <c r="M747" s="1" t="s">
        <v>798</v>
      </c>
      <c r="N747" s="1" t="s">
        <v>29</v>
      </c>
      <c r="O747" s="1" t="str">
        <f>INT(Matrice1!$P747/12) &amp; " ans et " &amp; MOD(Matrice1!$P747,12) &amp; " mois"</f>
        <v>1 ans et 0 mois</v>
      </c>
      <c r="P747">
        <v>12</v>
      </c>
      <c r="Q747" s="1" t="s">
        <v>11</v>
      </c>
      <c r="R747" s="4">
        <f>Matrice1!$S747/1440</f>
        <v>9.583333333333334E-2</v>
      </c>
      <c r="S747">
        <v>138</v>
      </c>
      <c r="T747">
        <v>99.83</v>
      </c>
      <c r="U747">
        <v>1</v>
      </c>
      <c r="V747" s="8">
        <f>IF(Matrice1!$Q747="Pro Monde",10%,IF(AND(Matrice1!$R747&gt;12,Matrice1!$O747&gt;5),70%,IF(AND(OR(Matrice1!$R747&gt;=4,Matrice1!$R747&lt;=12,Matrice1!$O747&lt;5,(OR(Matrice1!$Q747="Premium ")))),45%,0%)))</f>
        <v>0.45</v>
      </c>
      <c r="W747">
        <f>Matrice1!$T747* (Matrice1!$V747/100)</f>
        <v>0.44923500000000005</v>
      </c>
    </row>
    <row r="748" spans="1:23" x14ac:dyDescent="0.3">
      <c r="A748" s="1" t="s">
        <v>1073</v>
      </c>
      <c r="B748" s="2">
        <v>45205</v>
      </c>
      <c r="C748" s="3">
        <v>0.47152777777777777</v>
      </c>
      <c r="D748" s="1" t="s">
        <v>1088</v>
      </c>
      <c r="E748">
        <v>50</v>
      </c>
      <c r="F748" s="1" t="s">
        <v>810</v>
      </c>
      <c r="G748" s="1" t="s">
        <v>1088</v>
      </c>
      <c r="H748" s="1" t="s">
        <v>18</v>
      </c>
      <c r="I748">
        <v>2.628638</v>
      </c>
      <c r="J748">
        <v>28.420582</v>
      </c>
      <c r="K748" s="1" t="s">
        <v>1498</v>
      </c>
      <c r="L748" s="1" t="s">
        <v>1499</v>
      </c>
      <c r="M748" s="1" t="s">
        <v>799</v>
      </c>
      <c r="N748" s="1" t="s">
        <v>18</v>
      </c>
      <c r="O748" s="1" t="str">
        <f>INT(Matrice1!$P748/12) &amp; " ans et " &amp; MOD(Matrice1!$P748,12) &amp; " mois"</f>
        <v>6 ans et 3 mois</v>
      </c>
      <c r="P748">
        <v>75</v>
      </c>
      <c r="Q748" s="1" t="s">
        <v>19</v>
      </c>
      <c r="R748" s="4">
        <f>Matrice1!$S748/1440</f>
        <v>0.25694444444444442</v>
      </c>
      <c r="S748">
        <v>370</v>
      </c>
      <c r="T748">
        <v>21.67</v>
      </c>
      <c r="U748">
        <v>0</v>
      </c>
      <c r="V748" s="8">
        <f>IF(Matrice1!$Q748="Pro Monde",10%,IF(AND(Matrice1!$R748&gt;12,Matrice1!$O748&gt;5),70%,IF(AND(OR(Matrice1!$R748&gt;=4,Matrice1!$R748&lt;=12,Matrice1!$O748&lt;5,(OR(Matrice1!$Q748="Premium ")))),45%,0%)))</f>
        <v>0.45</v>
      </c>
      <c r="W748">
        <f>Matrice1!$T748* (Matrice1!$V748/100)</f>
        <v>9.7515000000000018E-2</v>
      </c>
    </row>
    <row r="749" spans="1:23" x14ac:dyDescent="0.3">
      <c r="A749" s="1" t="s">
        <v>805</v>
      </c>
      <c r="B749" s="2">
        <v>45201</v>
      </c>
      <c r="C749" s="3">
        <v>0.88472222222222219</v>
      </c>
      <c r="D749" s="1" t="s">
        <v>833</v>
      </c>
      <c r="E749">
        <v>54</v>
      </c>
      <c r="F749" s="1" t="s">
        <v>812</v>
      </c>
      <c r="G749" s="1" t="s">
        <v>833</v>
      </c>
      <c r="H749" s="1" t="s">
        <v>131</v>
      </c>
      <c r="I749">
        <v>4.6287159999999998</v>
      </c>
      <c r="J749">
        <v>19.407077999999998</v>
      </c>
      <c r="K749" s="1" t="s">
        <v>1498</v>
      </c>
      <c r="L749" s="1" t="s">
        <v>1496</v>
      </c>
      <c r="M749" s="1" t="s">
        <v>800</v>
      </c>
      <c r="N749" s="1" t="s">
        <v>131</v>
      </c>
      <c r="O749" s="1" t="str">
        <f>INT(Matrice1!$P749/12) &amp; " ans et " &amp; MOD(Matrice1!$P749,12) &amp; " mois"</f>
        <v>0 ans et 4 mois</v>
      </c>
      <c r="P749">
        <v>4</v>
      </c>
      <c r="Q749" s="1" t="s">
        <v>19</v>
      </c>
      <c r="R749" s="4">
        <f>Matrice1!$S749/1440</f>
        <v>1.4583333333333334E-2</v>
      </c>
      <c r="S749">
        <v>21</v>
      </c>
      <c r="T749">
        <v>45.8</v>
      </c>
      <c r="U749">
        <v>1</v>
      </c>
      <c r="V749" s="8">
        <f>IF(Matrice1!$Q749="Pro Monde",10%,IF(AND(Matrice1!$R749&gt;12,Matrice1!$O749&gt;5),70%,IF(AND(OR(Matrice1!$R749&gt;=4,Matrice1!$R749&lt;=12,Matrice1!$O749&lt;5,(OR(Matrice1!$Q749="Premium ")))),45%,0%)))</f>
        <v>0.45</v>
      </c>
      <c r="W749">
        <f>Matrice1!$T749* (Matrice1!$V749/100)</f>
        <v>0.20610000000000001</v>
      </c>
    </row>
    <row r="750" spans="1:23" x14ac:dyDescent="0.3">
      <c r="A750" s="1"/>
      <c r="B750" s="2"/>
      <c r="C750" s="3"/>
      <c r="D750" s="1"/>
      <c r="F750" s="1"/>
      <c r="G750" s="1"/>
      <c r="H750" s="1"/>
      <c r="K750" s="1"/>
      <c r="L750" s="1"/>
      <c r="M750" s="1"/>
      <c r="N750" s="1"/>
      <c r="O750" s="1"/>
      <c r="Q750" s="1"/>
      <c r="W750" s="1">
        <f>SUM(W2:W749)</f>
        <v>144.1152049999998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B0F7-0031-4765-9DA1-790659D18B0E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AA3E44-3DAB-4FDA-AD4A-A90B38154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Client</vt:lpstr>
      <vt:lpstr>Logs_Reseau2</vt:lpstr>
      <vt:lpstr>Maintenance_Rx</vt:lpstr>
      <vt:lpstr>Vlookup</vt:lpstr>
      <vt:lpstr>TCD</vt:lpstr>
      <vt:lpstr>Matrice1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samuelle safi</dc:creator>
  <cp:lastModifiedBy>samuelle safi</cp:lastModifiedBy>
  <dcterms:created xsi:type="dcterms:W3CDTF">2026-03-31T15:20:39Z</dcterms:created>
  <dcterms:modified xsi:type="dcterms:W3CDTF">2026-03-31T20:54:44Z</dcterms:modified>
</cp:coreProperties>
</file>